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KNN dan NBC DL Rabu malam\"/>
    </mc:Choice>
  </mc:AlternateContent>
  <xr:revisionPtr revIDLastSave="0" documentId="13_ncr:1_{85D40119-67DF-4FAD-8F02-DD6730256BD7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CLEANING" sheetId="2" r:id="rId1"/>
    <sheet name="NORMALISASI" sheetId="3" r:id="rId2"/>
    <sheet name="DATA TRAINING" sheetId="4" r:id="rId3"/>
    <sheet name="DATA TESTING" sheetId="5" r:id="rId4"/>
    <sheet name="NBC" sheetId="7" r:id="rId5"/>
    <sheet name="C4.5" sheetId="8" r:id="rId6"/>
    <sheet name="Sheet1" sheetId="10" r:id="rId7"/>
    <sheet name="Sheet1 (2)" sheetId="11" r:id="rId8"/>
  </sheets>
  <calcPr calcId="191029"/>
</workbook>
</file>

<file path=xl/calcChain.xml><?xml version="1.0" encoding="utf-8"?>
<calcChain xmlns="http://schemas.openxmlformats.org/spreadsheetml/2006/main">
  <c r="C18" i="7" l="1"/>
  <c r="B18" i="7"/>
  <c r="D17" i="7"/>
  <c r="G31" i="11"/>
  <c r="D31" i="11" l="1"/>
  <c r="D26" i="10"/>
  <c r="U33" i="11"/>
  <c r="T31" i="11"/>
  <c r="S31" i="11"/>
  <c r="U30" i="11"/>
  <c r="G94" i="11" l="1"/>
  <c r="G43" i="11"/>
  <c r="H150" i="11"/>
  <c r="G147" i="11"/>
  <c r="H146" i="11" s="1"/>
  <c r="G143" i="11"/>
  <c r="H142" i="11" s="1"/>
  <c r="G139" i="11"/>
  <c r="H138" i="11" s="1"/>
  <c r="G135" i="11"/>
  <c r="H134" i="11" s="1"/>
  <c r="G131" i="11"/>
  <c r="H130" i="11" s="1"/>
  <c r="G126" i="11"/>
  <c r="H126" i="11" s="1"/>
  <c r="G123" i="11"/>
  <c r="H122" i="11" s="1"/>
  <c r="G119" i="11"/>
  <c r="H118" i="11" s="1"/>
  <c r="G115" i="11"/>
  <c r="H114" i="11" s="1"/>
  <c r="G110" i="11"/>
  <c r="H110" i="11" s="1"/>
  <c r="G107" i="11"/>
  <c r="H106" i="11" s="1"/>
  <c r="G103" i="11"/>
  <c r="H102" i="11" s="1"/>
  <c r="G99" i="11"/>
  <c r="H98" i="11" s="1"/>
  <c r="G91" i="11"/>
  <c r="H90" i="11" s="1"/>
  <c r="G86" i="11"/>
  <c r="H86" i="11" s="1"/>
  <c r="G82" i="11"/>
  <c r="H82" i="11" s="1"/>
  <c r="G78" i="11"/>
  <c r="H78" i="11" s="1"/>
  <c r="G74" i="11"/>
  <c r="G70" i="11"/>
  <c r="G66" i="11"/>
  <c r="H66" i="11" s="1"/>
  <c r="G62" i="11"/>
  <c r="G58" i="11"/>
  <c r="G55" i="11"/>
  <c r="H54" i="11" s="1"/>
  <c r="G51" i="11"/>
  <c r="G47" i="11"/>
  <c r="H46" i="11" s="1"/>
  <c r="G38" i="11"/>
  <c r="H38" i="11" s="1"/>
  <c r="G34" i="11"/>
  <c r="E28" i="11"/>
  <c r="D28" i="11"/>
  <c r="F27" i="11"/>
  <c r="F26" i="11"/>
  <c r="G172" i="10"/>
  <c r="H171" i="10" s="1"/>
  <c r="G163" i="10"/>
  <c r="G164" i="10"/>
  <c r="G85" i="10"/>
  <c r="G73" i="10"/>
  <c r="G46" i="10"/>
  <c r="E37" i="10"/>
  <c r="E38" i="10"/>
  <c r="E36" i="10"/>
  <c r="D37" i="10"/>
  <c r="D38" i="10"/>
  <c r="D36" i="10"/>
  <c r="H94" i="11" l="1"/>
  <c r="H42" i="11"/>
  <c r="H58" i="11"/>
  <c r="F28" i="11"/>
  <c r="H26" i="11" s="1"/>
  <c r="F30" i="11"/>
  <c r="H70" i="11"/>
  <c r="F31" i="11"/>
  <c r="H74" i="11"/>
  <c r="H62" i="11"/>
  <c r="H34" i="11"/>
  <c r="H50" i="11"/>
  <c r="F38" i="10"/>
  <c r="G38" i="10" s="1"/>
  <c r="F37" i="10"/>
  <c r="G37" i="10" s="1"/>
  <c r="G168" i="10"/>
  <c r="G162" i="10"/>
  <c r="H162" i="10" s="1"/>
  <c r="G159" i="10"/>
  <c r="H158" i="10" s="1"/>
  <c r="G155" i="10"/>
  <c r="H154" i="10" s="1"/>
  <c r="G151" i="10"/>
  <c r="H150" i="10" s="1"/>
  <c r="G147" i="10"/>
  <c r="H146" i="10" s="1"/>
  <c r="G135" i="10"/>
  <c r="H134" i="10" s="1"/>
  <c r="G142" i="10"/>
  <c r="H142" i="10" s="1"/>
  <c r="G139" i="10"/>
  <c r="H138" i="10" s="1"/>
  <c r="G131" i="10"/>
  <c r="H130" i="10" s="1"/>
  <c r="G123" i="10"/>
  <c r="H122" i="10" s="1"/>
  <c r="G126" i="10"/>
  <c r="H126" i="10" s="1"/>
  <c r="G119" i="10"/>
  <c r="H118" i="10" s="1"/>
  <c r="G115" i="10"/>
  <c r="H114" i="10" s="1"/>
  <c r="G111" i="10"/>
  <c r="H110" i="10" s="1"/>
  <c r="G104" i="10"/>
  <c r="H104" i="10" s="1"/>
  <c r="G101" i="10"/>
  <c r="H100" i="10" s="1"/>
  <c r="G96" i="10"/>
  <c r="H96" i="10" s="1"/>
  <c r="G92" i="10"/>
  <c r="H92" i="10" s="1"/>
  <c r="G88" i="10"/>
  <c r="H88" i="10" s="1"/>
  <c r="G84" i="10"/>
  <c r="H84" i="10" s="1"/>
  <c r="G80" i="10"/>
  <c r="G81" i="10"/>
  <c r="G76" i="10"/>
  <c r="H76" i="10" s="1"/>
  <c r="G72" i="10"/>
  <c r="H72" i="10" s="1"/>
  <c r="G68" i="10"/>
  <c r="G69" i="10"/>
  <c r="G60" i="10"/>
  <c r="G65" i="10"/>
  <c r="H64" i="10" s="1"/>
  <c r="G61" i="10"/>
  <c r="G57" i="10"/>
  <c r="H56" i="10" s="1"/>
  <c r="G52" i="10"/>
  <c r="H52" i="10" s="1"/>
  <c r="G45" i="10"/>
  <c r="H45" i="10" s="1"/>
  <c r="G48" i="10"/>
  <c r="H48" i="10" s="1"/>
  <c r="G41" i="10"/>
  <c r="G42" i="10"/>
  <c r="F36" i="10"/>
  <c r="H30" i="11" l="1"/>
  <c r="H167" i="10"/>
  <c r="H41" i="10"/>
  <c r="G36" i="10"/>
  <c r="H36" i="10" s="1"/>
  <c r="H80" i="10"/>
  <c r="H68" i="10"/>
  <c r="H60" i="10"/>
  <c r="E34" i="10"/>
  <c r="D34" i="10"/>
  <c r="F32" i="10"/>
  <c r="G32" i="10" s="1"/>
  <c r="F33" i="10"/>
  <c r="G33" i="10" s="1"/>
  <c r="E31" i="10"/>
  <c r="D31" i="10"/>
  <c r="F30" i="10"/>
  <c r="F27" i="10"/>
  <c r="G27" i="10" s="1"/>
  <c r="F29" i="10"/>
  <c r="G29" i="10" s="1"/>
  <c r="E26" i="10"/>
  <c r="E28" i="10" s="1"/>
  <c r="H3" i="8"/>
  <c r="D28" i="10" l="1"/>
  <c r="F28" i="10" s="1"/>
  <c r="F26" i="10"/>
  <c r="F34" i="10"/>
  <c r="H32" i="10" s="1"/>
  <c r="F31" i="10"/>
  <c r="H29" i="10" s="1"/>
  <c r="H26" i="10" l="1"/>
  <c r="F4" i="8"/>
  <c r="E2" i="8" l="1"/>
  <c r="F53" i="8" l="1"/>
  <c r="F52" i="8"/>
  <c r="F51" i="8"/>
  <c r="F50" i="8"/>
  <c r="F48" i="8"/>
  <c r="F47" i="8"/>
  <c r="F46" i="8"/>
  <c r="F45" i="8"/>
  <c r="F44" i="8"/>
  <c r="F41" i="8"/>
  <c r="F33" i="8"/>
  <c r="E53" i="8"/>
  <c r="E52" i="8"/>
  <c r="E51" i="8"/>
  <c r="E50" i="8"/>
  <c r="E49" i="8"/>
  <c r="G49" i="8" s="1"/>
  <c r="E48" i="8"/>
  <c r="E47" i="8"/>
  <c r="E46" i="8"/>
  <c r="E45" i="8"/>
  <c r="E44" i="8"/>
  <c r="E41" i="8"/>
  <c r="D53" i="8"/>
  <c r="D52" i="8"/>
  <c r="D51" i="8"/>
  <c r="D50" i="8"/>
  <c r="D48" i="8"/>
  <c r="D47" i="8"/>
  <c r="D46" i="8"/>
  <c r="D45" i="8"/>
  <c r="D44" i="8"/>
  <c r="D41" i="8"/>
  <c r="E42" i="8" l="1"/>
  <c r="G42" i="8" s="1"/>
  <c r="E33" i="8"/>
  <c r="D33" i="8"/>
  <c r="F39" i="8"/>
  <c r="F38" i="8"/>
  <c r="F37" i="8"/>
  <c r="F36" i="8"/>
  <c r="F35" i="8"/>
  <c r="F22" i="8"/>
  <c r="E39" i="8"/>
  <c r="E38" i="8"/>
  <c r="E37" i="8"/>
  <c r="E36" i="8"/>
  <c r="E35" i="8"/>
  <c r="G35" i="8" s="1"/>
  <c r="E34" i="8"/>
  <c r="E22" i="8"/>
  <c r="D39" i="8"/>
  <c r="D38" i="8"/>
  <c r="D37" i="8"/>
  <c r="D36" i="8"/>
  <c r="D35" i="8"/>
  <c r="D22" i="8"/>
  <c r="F31" i="8"/>
  <c r="F30" i="8"/>
  <c r="F29" i="8"/>
  <c r="F28" i="8"/>
  <c r="F27" i="8"/>
  <c r="F25" i="8"/>
  <c r="F24" i="8"/>
  <c r="F23" i="8"/>
  <c r="F16" i="8"/>
  <c r="E31" i="8"/>
  <c r="E30" i="8"/>
  <c r="E29" i="8"/>
  <c r="E28" i="8"/>
  <c r="E27" i="8"/>
  <c r="G27" i="8" s="1"/>
  <c r="E26" i="8"/>
  <c r="E25" i="8"/>
  <c r="E24" i="8"/>
  <c r="E23" i="8"/>
  <c r="E16" i="8"/>
  <c r="G16" i="8" s="1"/>
  <c r="D31" i="8"/>
  <c r="D30" i="8"/>
  <c r="D29" i="8"/>
  <c r="D28" i="8"/>
  <c r="D27" i="8"/>
  <c r="D25" i="8"/>
  <c r="D24" i="8"/>
  <c r="D23" i="8"/>
  <c r="I21" i="8" s="1"/>
  <c r="D16" i="8"/>
  <c r="I15" i="8" s="1"/>
  <c r="G17" i="8"/>
  <c r="F20" i="8"/>
  <c r="F19" i="8"/>
  <c r="F18" i="8"/>
  <c r="F10" i="8"/>
  <c r="E20" i="8"/>
  <c r="E19" i="8"/>
  <c r="E18" i="8"/>
  <c r="E17" i="8"/>
  <c r="E10" i="8"/>
  <c r="I32" i="8" l="1"/>
  <c r="D19" i="8" l="1"/>
  <c r="D20" i="8"/>
  <c r="D18" i="8"/>
  <c r="D10" i="8"/>
  <c r="I9" i="8" l="1"/>
  <c r="G10" i="8"/>
  <c r="F14" i="8"/>
  <c r="F13" i="8"/>
  <c r="F12" i="8"/>
  <c r="E14" i="8"/>
  <c r="E13" i="8"/>
  <c r="E12" i="8"/>
  <c r="E11" i="8"/>
  <c r="G11" i="8" s="1"/>
  <c r="E4" i="8"/>
  <c r="D14" i="8"/>
  <c r="D13" i="8"/>
  <c r="D12" i="8"/>
  <c r="D5" i="8"/>
  <c r="D4" i="8"/>
  <c r="E5" i="8"/>
  <c r="D8" i="8"/>
  <c r="D7" i="8"/>
  <c r="D6" i="8"/>
  <c r="F2" i="8"/>
  <c r="G2" i="8" s="1"/>
  <c r="I3" i="8" l="1"/>
  <c r="J3" i="8" s="1"/>
  <c r="H9" i="8"/>
  <c r="J9" i="8" s="1"/>
  <c r="H32" i="8"/>
  <c r="J32" i="8" s="1"/>
  <c r="H21" i="8"/>
  <c r="J21" i="8" s="1"/>
  <c r="H15" i="8"/>
  <c r="J15" i="8" s="1"/>
  <c r="F8" i="8"/>
  <c r="F7" i="8"/>
  <c r="F6" i="8"/>
  <c r="F5" i="8"/>
  <c r="E8" i="8"/>
  <c r="E7" i="8"/>
  <c r="E6" i="8"/>
  <c r="G7" i="8" l="1"/>
  <c r="B80" i="7"/>
  <c r="B83" i="7"/>
  <c r="B82" i="7"/>
  <c r="B79" i="7"/>
  <c r="B77" i="7"/>
  <c r="AI64" i="7" l="1"/>
  <c r="AI63" i="7"/>
  <c r="AH64" i="7"/>
  <c r="AH63" i="7"/>
  <c r="AG64" i="7"/>
  <c r="AG63" i="7"/>
  <c r="AF64" i="7"/>
  <c r="AF63" i="7"/>
  <c r="AE64" i="7"/>
  <c r="AE63" i="7"/>
  <c r="AD64" i="7"/>
  <c r="AD63" i="7"/>
  <c r="AC64" i="7"/>
  <c r="AC63" i="7"/>
  <c r="AB64" i="7"/>
  <c r="AB63" i="7"/>
  <c r="AA64" i="7"/>
  <c r="AA63" i="7"/>
  <c r="Z64" i="7"/>
  <c r="Z63" i="7"/>
  <c r="Y64" i="7"/>
  <c r="Y63" i="7"/>
  <c r="X64" i="7"/>
  <c r="X63" i="7"/>
  <c r="W64" i="7"/>
  <c r="W63" i="7"/>
  <c r="V64" i="7"/>
  <c r="V63" i="7"/>
  <c r="U64" i="7"/>
  <c r="U63" i="7"/>
  <c r="T64" i="7"/>
  <c r="T63" i="7"/>
  <c r="S64" i="7"/>
  <c r="S63" i="7"/>
  <c r="R64" i="7"/>
  <c r="R63" i="7"/>
  <c r="Q64" i="7"/>
  <c r="Q63" i="7"/>
  <c r="P64" i="7"/>
  <c r="P63" i="7"/>
  <c r="O64" i="7"/>
  <c r="O63" i="7"/>
  <c r="N64" i="7"/>
  <c r="N63" i="7"/>
  <c r="M64" i="7"/>
  <c r="M63" i="7"/>
  <c r="L64" i="7"/>
  <c r="L63" i="7"/>
  <c r="K64" i="7"/>
  <c r="K63" i="7"/>
  <c r="J64" i="7"/>
  <c r="J63" i="7"/>
  <c r="I64" i="7"/>
  <c r="I63" i="7"/>
  <c r="H64" i="7"/>
  <c r="H63" i="7"/>
  <c r="G64" i="7"/>
  <c r="G63" i="7"/>
  <c r="F64" i="7"/>
  <c r="F63" i="7"/>
  <c r="E64" i="7"/>
  <c r="E63" i="7"/>
  <c r="D64" i="7"/>
  <c r="D63" i="7"/>
  <c r="C64" i="7"/>
  <c r="C63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I51" i="7" l="1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C37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H38" i="7"/>
  <c r="I38" i="7"/>
  <c r="G38" i="7"/>
  <c r="F38" i="7"/>
  <c r="E38" i="7"/>
  <c r="D38" i="7"/>
  <c r="D37" i="7"/>
  <c r="C38" i="7"/>
  <c r="C24" i="7"/>
  <c r="AH24" i="7" l="1"/>
  <c r="AG24" i="7"/>
  <c r="AF24" i="7"/>
  <c r="AE24" i="7"/>
  <c r="AD24" i="7"/>
  <c r="AC24" i="7"/>
  <c r="AA24" i="7"/>
  <c r="Z24" i="7"/>
  <c r="Y24" i="7"/>
  <c r="W24" i="7"/>
  <c r="V24" i="7"/>
  <c r="U24" i="7"/>
  <c r="S24" i="7"/>
  <c r="AI25" i="7"/>
  <c r="AI24" i="7"/>
  <c r="AH25" i="7"/>
  <c r="AG25" i="7"/>
  <c r="AF25" i="7"/>
  <c r="AE25" i="7"/>
  <c r="AD25" i="7"/>
  <c r="AC25" i="7"/>
  <c r="AB25" i="7"/>
  <c r="AB24" i="7"/>
  <c r="AA25" i="7"/>
  <c r="Z25" i="7"/>
  <c r="Y25" i="7"/>
  <c r="X25" i="7"/>
  <c r="X24" i="7"/>
  <c r="W25" i="7"/>
  <c r="V25" i="7"/>
  <c r="U25" i="7"/>
  <c r="T25" i="7"/>
  <c r="T24" i="7"/>
  <c r="S25" i="7"/>
  <c r="R25" i="7"/>
  <c r="R24" i="7"/>
  <c r="Q25" i="7"/>
  <c r="Q24" i="7"/>
  <c r="P25" i="7"/>
  <c r="P24" i="7"/>
  <c r="O25" i="7"/>
  <c r="O24" i="7"/>
  <c r="N25" i="7"/>
  <c r="N24" i="7"/>
  <c r="M25" i="7"/>
  <c r="M24" i="7"/>
  <c r="L25" i="7"/>
  <c r="L24" i="7"/>
  <c r="K25" i="7"/>
  <c r="K24" i="7"/>
  <c r="J25" i="7"/>
  <c r="J24" i="7"/>
  <c r="F25" i="7"/>
  <c r="F24" i="7"/>
  <c r="D24" i="7"/>
  <c r="E24" i="7"/>
  <c r="G24" i="7"/>
  <c r="H24" i="7"/>
  <c r="I24" i="7"/>
  <c r="C25" i="7"/>
  <c r="D25" i="7"/>
  <c r="E25" i="7"/>
  <c r="G25" i="7"/>
  <c r="H25" i="7"/>
  <c r="I25" i="7"/>
  <c r="C17" i="7" l="1"/>
  <c r="H27" i="7" s="1"/>
  <c r="B17" i="7"/>
  <c r="F26" i="7" l="1"/>
  <c r="X26" i="7"/>
  <c r="H26" i="7"/>
  <c r="Z26" i="7"/>
  <c r="J26" i="7"/>
  <c r="AC26" i="7"/>
  <c r="S26" i="7"/>
  <c r="AC27" i="7"/>
  <c r="O27" i="7"/>
  <c r="AI27" i="7"/>
  <c r="V27" i="7"/>
  <c r="U27" i="7"/>
  <c r="L27" i="7"/>
  <c r="G27" i="7"/>
  <c r="AD27" i="7"/>
  <c r="E27" i="7"/>
  <c r="AF52" i="7"/>
  <c r="AB52" i="7"/>
  <c r="X52" i="7"/>
  <c r="T52" i="7"/>
  <c r="P52" i="7"/>
  <c r="L52" i="7"/>
  <c r="H52" i="7"/>
  <c r="AI52" i="7"/>
  <c r="AE52" i="7"/>
  <c r="AA52" i="7"/>
  <c r="W52" i="7"/>
  <c r="O52" i="7"/>
  <c r="K52" i="7"/>
  <c r="AH52" i="7"/>
  <c r="Z52" i="7"/>
  <c r="V52" i="7"/>
  <c r="N52" i="7"/>
  <c r="V65" i="7"/>
  <c r="J65" i="7"/>
  <c r="AG52" i="7"/>
  <c r="U52" i="7"/>
  <c r="M52" i="7"/>
  <c r="D52" i="7"/>
  <c r="S52" i="7"/>
  <c r="G52" i="7"/>
  <c r="R52" i="7"/>
  <c r="F52" i="7"/>
  <c r="AH65" i="7"/>
  <c r="Z65" i="7"/>
  <c r="F65" i="7"/>
  <c r="AI65" i="7"/>
  <c r="AE65" i="7"/>
  <c r="AA65" i="7"/>
  <c r="AD52" i="7"/>
  <c r="J52" i="7"/>
  <c r="AD65" i="7"/>
  <c r="R65" i="7"/>
  <c r="Y52" i="7"/>
  <c r="N65" i="7"/>
  <c r="AC52" i="7"/>
  <c r="Q52" i="7"/>
  <c r="H65" i="7"/>
  <c r="O65" i="7"/>
  <c r="AG65" i="7"/>
  <c r="M65" i="7"/>
  <c r="E52" i="7"/>
  <c r="P65" i="7"/>
  <c r="AF65" i="7"/>
  <c r="L65" i="7"/>
  <c r="U65" i="7"/>
  <c r="C65" i="7"/>
  <c r="Q65" i="7"/>
  <c r="I52" i="7"/>
  <c r="T65" i="7"/>
  <c r="W65" i="7"/>
  <c r="D65" i="7"/>
  <c r="C52" i="7"/>
  <c r="Y65" i="7"/>
  <c r="E65" i="7"/>
  <c r="S65" i="7"/>
  <c r="X65" i="7"/>
  <c r="G65" i="7"/>
  <c r="K65" i="7"/>
  <c r="AC65" i="7"/>
  <c r="I65" i="7"/>
  <c r="AB65" i="7"/>
  <c r="Z39" i="7"/>
  <c r="AG39" i="7"/>
  <c r="AC39" i="7"/>
  <c r="Y39" i="7"/>
  <c r="U39" i="7"/>
  <c r="Q39" i="7"/>
  <c r="M39" i="7"/>
  <c r="I39" i="7"/>
  <c r="E39" i="7"/>
  <c r="AF39" i="7"/>
  <c r="AB39" i="7"/>
  <c r="T39" i="7"/>
  <c r="P39" i="7"/>
  <c r="L39" i="7"/>
  <c r="D39" i="7"/>
  <c r="X39" i="7"/>
  <c r="AI39" i="7"/>
  <c r="AE39" i="7"/>
  <c r="AA39" i="7"/>
  <c r="W39" i="7"/>
  <c r="S39" i="7"/>
  <c r="O39" i="7"/>
  <c r="K39" i="7"/>
  <c r="G39" i="7"/>
  <c r="AH39" i="7"/>
  <c r="AD39" i="7"/>
  <c r="V39" i="7"/>
  <c r="R39" i="7"/>
  <c r="N39" i="7"/>
  <c r="J39" i="7"/>
  <c r="F39" i="7"/>
  <c r="H39" i="7"/>
  <c r="C26" i="7"/>
  <c r="C39" i="7"/>
  <c r="Z27" i="7"/>
  <c r="M27" i="7"/>
  <c r="AF27" i="7"/>
  <c r="S27" i="7"/>
  <c r="R27" i="7"/>
  <c r="J27" i="7"/>
  <c r="F27" i="7"/>
  <c r="AA27" i="7"/>
  <c r="C27" i="7"/>
  <c r="AH26" i="7"/>
  <c r="T26" i="7"/>
  <c r="AF26" i="7"/>
  <c r="P26" i="7"/>
  <c r="W26" i="7"/>
  <c r="AA26" i="7"/>
  <c r="U26" i="7"/>
  <c r="W27" i="7"/>
  <c r="AB27" i="7"/>
  <c r="P27" i="7"/>
  <c r="I27" i="7"/>
  <c r="T27" i="7"/>
  <c r="AD26" i="7"/>
  <c r="O26" i="7"/>
  <c r="V26" i="7"/>
  <c r="E26" i="7"/>
  <c r="Q26" i="7"/>
  <c r="AI26" i="7"/>
  <c r="R26" i="7"/>
  <c r="F66" i="7"/>
  <c r="N66" i="7"/>
  <c r="V66" i="7"/>
  <c r="AD66" i="7"/>
  <c r="G66" i="7"/>
  <c r="O66" i="7"/>
  <c r="W66" i="7"/>
  <c r="AE66" i="7"/>
  <c r="H66" i="7"/>
  <c r="P66" i="7"/>
  <c r="X66" i="7"/>
  <c r="AF66" i="7"/>
  <c r="I66" i="7"/>
  <c r="Q66" i="7"/>
  <c r="Y66" i="7"/>
  <c r="AG66" i="7"/>
  <c r="U66" i="7"/>
  <c r="J66" i="7"/>
  <c r="R66" i="7"/>
  <c r="Z66" i="7"/>
  <c r="AH66" i="7"/>
  <c r="C66" i="7"/>
  <c r="K66" i="7"/>
  <c r="S66" i="7"/>
  <c r="AA66" i="7"/>
  <c r="AI66" i="7"/>
  <c r="D66" i="7"/>
  <c r="L66" i="7"/>
  <c r="T66" i="7"/>
  <c r="AB66" i="7"/>
  <c r="E66" i="7"/>
  <c r="M66" i="7"/>
  <c r="AC66" i="7"/>
  <c r="H40" i="7"/>
  <c r="D40" i="7"/>
  <c r="T40" i="7"/>
  <c r="U40" i="7"/>
  <c r="F40" i="7"/>
  <c r="V40" i="7"/>
  <c r="G40" i="7"/>
  <c r="W40" i="7"/>
  <c r="C40" i="7"/>
  <c r="L53" i="7"/>
  <c r="AB53" i="7"/>
  <c r="M53" i="7"/>
  <c r="AC53" i="7"/>
  <c r="N53" i="7"/>
  <c r="AD53" i="7"/>
  <c r="K53" i="7"/>
  <c r="AA53" i="7"/>
  <c r="I40" i="7"/>
  <c r="X40" i="7"/>
  <c r="E40" i="7"/>
  <c r="Y40" i="7"/>
  <c r="J40" i="7"/>
  <c r="Z40" i="7"/>
  <c r="K40" i="7"/>
  <c r="AA40" i="7"/>
  <c r="P53" i="7"/>
  <c r="AF53" i="7"/>
  <c r="Q53" i="7"/>
  <c r="AG53" i="7"/>
  <c r="R53" i="7"/>
  <c r="AH53" i="7"/>
  <c r="O53" i="7"/>
  <c r="AE53" i="7"/>
  <c r="L40" i="7"/>
  <c r="AB40" i="7"/>
  <c r="M40" i="7"/>
  <c r="AC40" i="7"/>
  <c r="N40" i="7"/>
  <c r="AD40" i="7"/>
  <c r="O40" i="7"/>
  <c r="AE40" i="7"/>
  <c r="D53" i="7"/>
  <c r="T53" i="7"/>
  <c r="E53" i="7"/>
  <c r="U53" i="7"/>
  <c r="F53" i="7"/>
  <c r="V53" i="7"/>
  <c r="C53" i="7"/>
  <c r="S53" i="7"/>
  <c r="AI53" i="7"/>
  <c r="P40" i="7"/>
  <c r="AF40" i="7"/>
  <c r="Q40" i="7"/>
  <c r="AG40" i="7"/>
  <c r="R40" i="7"/>
  <c r="AH40" i="7"/>
  <c r="S40" i="7"/>
  <c r="AI40" i="7"/>
  <c r="H53" i="7"/>
  <c r="X53" i="7"/>
  <c r="I53" i="7"/>
  <c r="Y53" i="7"/>
  <c r="J53" i="7"/>
  <c r="Z53" i="7"/>
  <c r="G53" i="7"/>
  <c r="W53" i="7"/>
  <c r="K27" i="7"/>
  <c r="AE27" i="7"/>
  <c r="D26" i="7"/>
  <c r="AG27" i="7"/>
  <c r="Q27" i="7"/>
  <c r="G26" i="7"/>
  <c r="Y27" i="7"/>
  <c r="X27" i="7"/>
  <c r="N27" i="7"/>
  <c r="I26" i="7"/>
  <c r="AH27" i="7"/>
  <c r="L26" i="7"/>
  <c r="D27" i="7"/>
  <c r="Y26" i="7"/>
  <c r="K26" i="7"/>
  <c r="AE26" i="7"/>
  <c r="AG26" i="7"/>
  <c r="M26" i="7"/>
  <c r="AB26" i="7"/>
  <c r="N26" i="7"/>
  <c r="AJ53" i="7" l="1"/>
  <c r="B57" i="7" s="1"/>
  <c r="AJ52" i="7"/>
  <c r="B56" i="7" s="1"/>
  <c r="AJ39" i="7"/>
  <c r="B43" i="7" s="1"/>
  <c r="AJ27" i="7"/>
  <c r="B31" i="7" s="1"/>
  <c r="AJ40" i="7"/>
  <c r="B44" i="7" s="1"/>
  <c r="AJ66" i="7"/>
  <c r="B70" i="7" s="1"/>
  <c r="AJ26" i="7"/>
  <c r="B30" i="7" s="1"/>
  <c r="AJ65" i="7"/>
  <c r="B69" i="7" s="1"/>
  <c r="C69" i="7" l="1"/>
  <c r="C56" i="7"/>
  <c r="C43" i="7"/>
  <c r="C30" i="7"/>
</calcChain>
</file>

<file path=xl/sharedStrings.xml><?xml version="1.0" encoding="utf-8"?>
<sst xmlns="http://schemas.openxmlformats.org/spreadsheetml/2006/main" count="944" uniqueCount="121">
  <si>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</si>
  <si>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</si>
  <si>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</si>
  <si>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</si>
  <si>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</si>
  <si>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</si>
  <si>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</si>
  <si>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</si>
  <si>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</si>
  <si>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</si>
  <si>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</si>
  <si>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</si>
  <si>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</si>
  <si>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</si>
  <si>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</si>
  <si>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</si>
  <si>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</si>
  <si>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</si>
  <si>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</si>
  <si>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</si>
  <si>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</si>
  <si>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</si>
  <si>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</si>
  <si>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</si>
  <si>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</si>
  <si>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</si>
  <si>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</si>
  <si>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</si>
  <si>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</si>
  <si>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</si>
  <si>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</si>
  <si>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</si>
  <si>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</si>
  <si>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STATUS</t>
  </si>
  <si>
    <t>YES</t>
  </si>
  <si>
    <t>NO</t>
  </si>
  <si>
    <t>HO: 60% : 40 % yaitu 60% data treining dan 40% data testing. Menggunakan linear sampling</t>
  </si>
  <si>
    <t>?</t>
  </si>
  <si>
    <t xml:space="preserve">Probabilitas </t>
  </si>
  <si>
    <t>Total Data</t>
  </si>
  <si>
    <t>Probabilitas Kelas</t>
  </si>
  <si>
    <t>P(X)</t>
  </si>
  <si>
    <t>No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</si>
  <si>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</si>
  <si>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</si>
  <si>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</si>
  <si>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</si>
  <si>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</si>
  <si>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</si>
  <si>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</si>
  <si>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</si>
  <si>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</si>
  <si>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</si>
  <si>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CLASS</t>
  </si>
  <si>
    <t>P(X|CI)</t>
  </si>
  <si>
    <t>Atribut</t>
  </si>
  <si>
    <t>Yes</t>
  </si>
  <si>
    <t>(P(X|H) * P(H)) / P(X)</t>
  </si>
  <si>
    <t>NEW KELAS</t>
  </si>
  <si>
    <t>prediksi</t>
  </si>
  <si>
    <t>kelas sebelumnya</t>
  </si>
  <si>
    <t>akurasi seluruh data</t>
  </si>
  <si>
    <t>recall Yes</t>
  </si>
  <si>
    <t>recall No</t>
  </si>
  <si>
    <t>precission Yes</t>
  </si>
  <si>
    <t>precission No</t>
  </si>
  <si>
    <t>Sum Kasus</t>
  </si>
  <si>
    <t>Entropy</t>
  </si>
  <si>
    <t>Information Gain</t>
  </si>
  <si>
    <t>Split Info</t>
  </si>
  <si>
    <t>Gain Ratio</t>
  </si>
  <si>
    <t>Node 1</t>
  </si>
  <si>
    <t>Kategori</t>
  </si>
  <si>
    <t>Status bangunan</t>
  </si>
  <si>
    <t>Status lahan</t>
  </si>
  <si>
    <t>Anggota ART</t>
  </si>
  <si>
    <t xml:space="preserve"> Jenis Lantai</t>
  </si>
  <si>
    <t>Jenis Dinding</t>
  </si>
  <si>
    <t>Kondisi Dinding</t>
  </si>
  <si>
    <t>Jenis Atap</t>
  </si>
  <si>
    <t>Kondisi Atap</t>
  </si>
  <si>
    <t>Jumlah Kamar Tidur</t>
  </si>
  <si>
    <t>Sumber Air Minum</t>
  </si>
  <si>
    <t>Sumber Penerangan</t>
  </si>
  <si>
    <t>Daya Terpasang</t>
  </si>
  <si>
    <t>Bahan Bakar Masak</t>
  </si>
  <si>
    <t>Fasilitas BAB</t>
  </si>
  <si>
    <t>Jenis Kloset</t>
  </si>
  <si>
    <t>Pembuangan Tinja</t>
  </si>
  <si>
    <t xml:space="preserve">Tabung Gas </t>
  </si>
  <si>
    <t>Lemari Es</t>
  </si>
  <si>
    <t>AC</t>
  </si>
  <si>
    <t>Pemanas Air</t>
  </si>
  <si>
    <t>Telepon Rumah</t>
  </si>
  <si>
    <t>Televisi</t>
  </si>
  <si>
    <t>Emas</t>
  </si>
  <si>
    <t>Komputer/Laptop</t>
  </si>
  <si>
    <t>Sepeda</t>
  </si>
  <si>
    <t>Sepeda Motor</t>
  </si>
  <si>
    <t>Mobil</t>
  </si>
  <si>
    <t>Perahu</t>
  </si>
  <si>
    <t>Motor Tempel</t>
  </si>
  <si>
    <t>Kapal</t>
  </si>
  <si>
    <t>Aset Tidak Bergerak</t>
  </si>
  <si>
    <t>Rumah Ditempat Lain</t>
  </si>
  <si>
    <t>Status ART Usaha</t>
  </si>
  <si>
    <t>&lt;=0,25</t>
  </si>
  <si>
    <t>&gt;0,25</t>
  </si>
  <si>
    <t>&lt;=0,5</t>
  </si>
  <si>
    <t>&gt;0,5</t>
  </si>
  <si>
    <t>&lt;=0,75</t>
  </si>
  <si>
    <t>&gt;0,75</t>
  </si>
  <si>
    <t>TOTAL</t>
  </si>
  <si>
    <t>PRED</t>
  </si>
  <si>
    <t>ASAL</t>
  </si>
  <si>
    <t>CONFLUSION MATRIX</t>
  </si>
  <si>
    <t>NBC</t>
  </si>
  <si>
    <t>KELAS ASAL</t>
  </si>
  <si>
    <t>PRECISION</t>
  </si>
  <si>
    <t>RECALL</t>
  </si>
  <si>
    <t>AKURASI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</si>
</sst>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5C52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 wrapText="1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 wrapText="1"/>
    </xf>
    <xf numFmtId="164" fontId="0" fillId="6" borderId="0" xfId="0" applyNumberFormat="1" applyFill="1" applyAlignment="1">
      <alignment horizontal="center"/>
    </xf>
    <xf numFmtId="0" fontId="1" fillId="7" borderId="0" xfId="0" applyFont="1" applyFill="1"/>
    <xf numFmtId="0" fontId="0" fillId="0" borderId="0" xfId="0" applyAlignment="1">
      <alignment horizontal="center"/>
    </xf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164" fontId="0" fillId="8" borderId="0" xfId="0" applyNumberFormat="1" applyFill="1" applyAlignment="1">
      <alignment horizontal="center" wrapText="1"/>
    </xf>
    <xf numFmtId="0" fontId="1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3" xfId="0" applyFont="1" applyBorder="1"/>
    <xf numFmtId="0" fontId="0" fillId="0" borderId="3" xfId="0" applyBorder="1"/>
    <xf numFmtId="165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4" fontId="0" fillId="11" borderId="3" xfId="0" applyNumberFormat="1" applyFill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vertical="center" wrapText="1"/>
    </xf>
    <xf numFmtId="164" fontId="0" fillId="12" borderId="0" xfId="0" applyNumberFormat="1" applyFill="1"/>
    <xf numFmtId="164" fontId="0" fillId="12" borderId="0" xfId="0" applyNumberFormat="1" applyFill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vertical="center"/>
    </xf>
    <xf numFmtId="164" fontId="0" fillId="13" borderId="0" xfId="0" applyNumberFormat="1" applyFill="1" applyAlignment="1">
      <alignment horizontal="center" vertical="center" wrapText="1"/>
    </xf>
    <xf numFmtId="0" fontId="0" fillId="14" borderId="3" xfId="0" applyFill="1" applyBorder="1"/>
    <xf numFmtId="0" fontId="0" fillId="14" borderId="3" xfId="0" applyFill="1" applyBorder="1" applyAlignment="1">
      <alignment vertical="center"/>
    </xf>
    <xf numFmtId="0" fontId="1" fillId="0" borderId="0" xfId="0" applyFont="1"/>
    <xf numFmtId="0" fontId="0" fillId="6" borderId="0" xfId="0" applyFill="1"/>
    <xf numFmtId="164" fontId="0" fillId="15" borderId="0" xfId="0" applyNumberFormat="1" applyFill="1" applyAlignment="1">
      <alignment horizontal="center" vertical="center" wrapText="1"/>
    </xf>
    <xf numFmtId="0" fontId="0" fillId="16" borderId="0" xfId="0" applyFill="1"/>
    <xf numFmtId="0" fontId="0" fillId="0" borderId="0" xfId="0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9" fontId="0" fillId="17" borderId="3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1" fillId="8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164" fontId="1" fillId="6" borderId="0" xfId="0" applyNumberFormat="1" applyFont="1" applyFill="1" applyAlignment="1">
      <alignment horizontal="center"/>
    </xf>
    <xf numFmtId="0" fontId="0" fillId="17" borderId="3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9" fontId="0" fillId="17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99FFCC"/>
      <color rgb="FFC5C529"/>
      <color rgb="FF6C826D"/>
      <color rgb="FFCDD1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zoomScaleNormal="100" workbookViewId="0">
      <selection activeCell="D22" sqref="D22"/>
    </sheetView>
  </sheetViews>
  <sheetFormatPr defaultRowHeight="14.5" x14ac:dyDescent="0.35"/>
  <sheetData>
    <row r="1" spans="1:35" x14ac:dyDescent="0.35">
      <c r="A1" s="51" t="s">
        <v>35</v>
      </c>
      <c r="B1" s="51" t="s">
        <v>33</v>
      </c>
      <c r="C1" s="51" t="s">
        <v>0</v>
      </c>
      <c r="D1" s="51" t="s">
        <v>1</v>
      </c>
      <c r="E1" s="51" t="s">
        <v>2</v>
      </c>
      <c r="F1" s="51" t="s">
        <v>3</v>
      </c>
      <c r="G1" s="51" t="s">
        <v>4</v>
      </c>
      <c r="H1" s="51" t="s">
        <v>5</v>
      </c>
      <c r="I1" s="51" t="s">
        <v>6</v>
      </c>
      <c r="J1" s="51" t="s">
        <v>7</v>
      </c>
      <c r="K1" s="51" t="s">
        <v>8</v>
      </c>
      <c r="L1" s="51" t="s">
        <v>9</v>
      </c>
      <c r="M1" s="51" t="s">
        <v>10</v>
      </c>
      <c r="N1" s="51" t="s">
        <v>11</v>
      </c>
      <c r="O1" s="51" t="s">
        <v>12</v>
      </c>
      <c r="P1" s="51" t="s">
        <v>13</v>
      </c>
      <c r="Q1" s="51" t="s">
        <v>14</v>
      </c>
      <c r="R1" s="51" t="s">
        <v>15</v>
      </c>
      <c r="S1" s="51" t="s">
        <v>16</v>
      </c>
      <c r="T1" s="51" t="s">
        <v>17</v>
      </c>
      <c r="U1" s="51" t="s">
        <v>18</v>
      </c>
      <c r="V1" s="51" t="s">
        <v>19</v>
      </c>
      <c r="W1" s="51" t="s">
        <v>20</v>
      </c>
      <c r="X1" s="51" t="s">
        <v>21</v>
      </c>
      <c r="Y1" s="51" t="s">
        <v>22</v>
      </c>
      <c r="Z1" s="51" t="s">
        <v>23</v>
      </c>
      <c r="AA1" s="51" t="s">
        <v>24</v>
      </c>
      <c r="AB1" s="51" t="s">
        <v>25</v>
      </c>
      <c r="AC1" s="51" t="s">
        <v>26</v>
      </c>
      <c r="AD1" s="51" t="s">
        <v>27</v>
      </c>
      <c r="AE1" s="51" t="s">
        <v>28</v>
      </c>
      <c r="AF1" s="51" t="s">
        <v>29</v>
      </c>
      <c r="AG1" s="51" t="s">
        <v>30</v>
      </c>
      <c r="AH1" s="51" t="s">
        <v>31</v>
      </c>
      <c r="AI1" s="51" t="s">
        <v>32</v>
      </c>
    </row>
    <row r="2" spans="1:35" x14ac:dyDescent="0.35">
      <c r="A2" s="52">
        <v>1</v>
      </c>
      <c r="B2" s="52" t="s">
        <v>34</v>
      </c>
      <c r="C2" s="50">
        <v>5</v>
      </c>
      <c r="D2" s="50">
        <v>2</v>
      </c>
      <c r="E2" s="50">
        <v>2</v>
      </c>
      <c r="F2" s="50">
        <v>6</v>
      </c>
      <c r="G2" s="50">
        <v>3</v>
      </c>
      <c r="H2" s="50">
        <v>2</v>
      </c>
      <c r="I2" s="50">
        <v>6</v>
      </c>
      <c r="J2" s="50">
        <v>2</v>
      </c>
      <c r="K2" s="50">
        <v>1</v>
      </c>
      <c r="L2" s="50">
        <v>2</v>
      </c>
      <c r="M2" s="50">
        <v>1</v>
      </c>
      <c r="N2" s="50">
        <v>2</v>
      </c>
      <c r="O2" s="50">
        <v>3</v>
      </c>
      <c r="P2" s="50">
        <v>1</v>
      </c>
      <c r="Q2" s="50">
        <v>1</v>
      </c>
      <c r="R2" s="50">
        <v>1</v>
      </c>
      <c r="S2" s="50">
        <v>2</v>
      </c>
      <c r="T2" s="50">
        <v>3</v>
      </c>
      <c r="U2" s="50">
        <v>2</v>
      </c>
      <c r="V2" s="50">
        <v>4</v>
      </c>
      <c r="W2" s="50">
        <v>2</v>
      </c>
      <c r="X2" s="50">
        <v>3</v>
      </c>
      <c r="Y2" s="50">
        <v>2</v>
      </c>
      <c r="Z2" s="50">
        <v>4</v>
      </c>
      <c r="AA2" s="50">
        <v>2</v>
      </c>
      <c r="AB2" s="50">
        <v>3</v>
      </c>
      <c r="AC2" s="50">
        <v>2</v>
      </c>
      <c r="AD2" s="50">
        <v>4</v>
      </c>
      <c r="AE2" s="50">
        <v>2</v>
      </c>
      <c r="AF2" s="50">
        <v>4</v>
      </c>
      <c r="AG2" s="50">
        <v>2</v>
      </c>
      <c r="AH2" s="50">
        <v>4</v>
      </c>
      <c r="AI2" s="50">
        <v>1</v>
      </c>
    </row>
    <row r="3" spans="1:35" x14ac:dyDescent="0.35">
      <c r="A3" s="52">
        <v>2</v>
      </c>
      <c r="B3" s="52" t="s">
        <v>35</v>
      </c>
      <c r="C3" s="50">
        <v>4</v>
      </c>
      <c r="D3" s="50">
        <v>1.55</v>
      </c>
      <c r="E3" s="50">
        <v>1.7435897435897401</v>
      </c>
      <c r="F3" s="50">
        <v>5.0250000000000004</v>
      </c>
      <c r="G3" s="50">
        <v>1.625</v>
      </c>
      <c r="H3" s="50">
        <v>1.83544303797468</v>
      </c>
      <c r="I3" s="50">
        <v>5.9874999999999998</v>
      </c>
      <c r="J3" s="50">
        <v>1.84810126582278</v>
      </c>
      <c r="K3" s="50">
        <v>2.1139240506329098</v>
      </c>
      <c r="L3" s="50">
        <v>3.1749999999999998</v>
      </c>
      <c r="M3" s="50">
        <v>1.1000000000000001</v>
      </c>
      <c r="N3" s="50">
        <v>2.3108108108108101</v>
      </c>
      <c r="O3" s="50">
        <v>3.0625</v>
      </c>
      <c r="P3" s="50">
        <v>1.2250000000000001</v>
      </c>
      <c r="Q3" s="50">
        <v>1.15189873417721</v>
      </c>
      <c r="R3" s="50">
        <v>1.4</v>
      </c>
      <c r="S3" s="50">
        <v>1.93827160493827</v>
      </c>
      <c r="T3" s="50">
        <v>3.3827160493827102</v>
      </c>
      <c r="U3" s="50">
        <v>1.9629629629629599</v>
      </c>
      <c r="V3" s="50">
        <v>4</v>
      </c>
      <c r="W3" s="50">
        <v>2</v>
      </c>
      <c r="X3" s="50">
        <v>3.1234567901234498</v>
      </c>
      <c r="Y3" s="50">
        <v>1.9629629629629599</v>
      </c>
      <c r="Z3" s="50">
        <v>3.95061728395061</v>
      </c>
      <c r="AA3" s="50">
        <v>1.75308641975308</v>
      </c>
      <c r="AB3" s="50">
        <v>3.3580246913580201</v>
      </c>
      <c r="AC3" s="50">
        <v>1.98765432098765</v>
      </c>
      <c r="AD3" s="50">
        <v>4</v>
      </c>
      <c r="AE3" s="50">
        <v>1.9753086419753001</v>
      </c>
      <c r="AF3" s="50">
        <v>4</v>
      </c>
      <c r="AG3" s="50">
        <v>1.4624999999999999</v>
      </c>
      <c r="AH3" s="50">
        <v>4</v>
      </c>
      <c r="AI3" s="50">
        <v>1.7922077922077899</v>
      </c>
    </row>
    <row r="4" spans="1:35" x14ac:dyDescent="0.35">
      <c r="A4" s="52">
        <v>3</v>
      </c>
      <c r="B4" s="52" t="s">
        <v>35</v>
      </c>
      <c r="C4" s="50">
        <v>1</v>
      </c>
      <c r="D4" s="50">
        <v>1.55</v>
      </c>
      <c r="E4" s="50">
        <v>1.7435897435897401</v>
      </c>
      <c r="F4" s="50">
        <v>5.0250000000000004</v>
      </c>
      <c r="G4" s="50">
        <v>1.625</v>
      </c>
      <c r="H4" s="50">
        <v>1.83544303797468</v>
      </c>
      <c r="I4" s="50">
        <v>5.9874999999999998</v>
      </c>
      <c r="J4" s="50">
        <v>1.84810126582278</v>
      </c>
      <c r="K4" s="50">
        <v>2.1139240506329098</v>
      </c>
      <c r="L4" s="50">
        <v>3.1749999999999998</v>
      </c>
      <c r="M4" s="50">
        <v>1.1000000000000001</v>
      </c>
      <c r="N4" s="50">
        <v>2.3108108108108101</v>
      </c>
      <c r="O4" s="50">
        <v>3.0625</v>
      </c>
      <c r="P4" s="50">
        <v>1.2250000000000001</v>
      </c>
      <c r="Q4" s="50">
        <v>1.15189873417721</v>
      </c>
      <c r="R4" s="50">
        <v>1.4</v>
      </c>
      <c r="S4" s="50">
        <v>1.93827160493827</v>
      </c>
      <c r="T4" s="50">
        <v>3.3827160493827102</v>
      </c>
      <c r="U4" s="50">
        <v>1.9629629629629599</v>
      </c>
      <c r="V4" s="50">
        <v>4</v>
      </c>
      <c r="W4" s="50">
        <v>2</v>
      </c>
      <c r="X4" s="50">
        <v>3.1234567901234498</v>
      </c>
      <c r="Y4" s="50">
        <v>1.9629629629629599</v>
      </c>
      <c r="Z4" s="50">
        <v>3.95061728395061</v>
      </c>
      <c r="AA4" s="50">
        <v>1.75308641975308</v>
      </c>
      <c r="AB4" s="50">
        <v>3.3580246913580201</v>
      </c>
      <c r="AC4" s="50">
        <v>1.98765432098765</v>
      </c>
      <c r="AD4" s="50">
        <v>4</v>
      </c>
      <c r="AE4" s="50">
        <v>1.9753086419753001</v>
      </c>
      <c r="AF4" s="50">
        <v>4</v>
      </c>
      <c r="AG4" s="50">
        <v>1.4624999999999999</v>
      </c>
      <c r="AH4" s="50">
        <v>4</v>
      </c>
      <c r="AI4" s="50">
        <v>1.7922077922077899</v>
      </c>
    </row>
    <row r="5" spans="1:35" x14ac:dyDescent="0.35">
      <c r="A5" s="52">
        <v>4</v>
      </c>
      <c r="B5" s="52" t="s">
        <v>35</v>
      </c>
      <c r="C5" s="50">
        <v>1</v>
      </c>
      <c r="D5" s="50">
        <v>1.55</v>
      </c>
      <c r="E5" s="50">
        <v>1.7435897435897401</v>
      </c>
      <c r="F5" s="50">
        <v>5.0250000000000004</v>
      </c>
      <c r="G5" s="50">
        <v>1.625</v>
      </c>
      <c r="H5" s="50">
        <v>1.83544303797468</v>
      </c>
      <c r="I5" s="50">
        <v>5.9874999999999998</v>
      </c>
      <c r="J5" s="50">
        <v>1.84810126582278</v>
      </c>
      <c r="K5" s="50">
        <v>2.1139240506329098</v>
      </c>
      <c r="L5" s="50">
        <v>3.1749999999999998</v>
      </c>
      <c r="M5" s="50">
        <v>1.1000000000000001</v>
      </c>
      <c r="N5" s="50">
        <v>2.3108108108108101</v>
      </c>
      <c r="O5" s="50">
        <v>3.0625</v>
      </c>
      <c r="P5" s="50">
        <v>1.2250000000000001</v>
      </c>
      <c r="Q5" s="50">
        <v>1.15189873417721</v>
      </c>
      <c r="R5" s="50">
        <v>1.4</v>
      </c>
      <c r="S5" s="50">
        <v>1.93827160493827</v>
      </c>
      <c r="T5" s="50">
        <v>3.3827160493827102</v>
      </c>
      <c r="U5" s="50">
        <v>1.9629629629629599</v>
      </c>
      <c r="V5" s="50">
        <v>4</v>
      </c>
      <c r="W5" s="50">
        <v>2</v>
      </c>
      <c r="X5" s="50">
        <v>3.1234567901234498</v>
      </c>
      <c r="Y5" s="50">
        <v>1.9629629629629599</v>
      </c>
      <c r="Z5" s="50">
        <v>3.95061728395061</v>
      </c>
      <c r="AA5" s="50">
        <v>1.75308641975308</v>
      </c>
      <c r="AB5" s="50">
        <v>3.3580246913580201</v>
      </c>
      <c r="AC5" s="50">
        <v>1.98765432098765</v>
      </c>
      <c r="AD5" s="50">
        <v>4</v>
      </c>
      <c r="AE5" s="50">
        <v>1.9753086419753001</v>
      </c>
      <c r="AF5" s="50">
        <v>4</v>
      </c>
      <c r="AG5" s="50">
        <v>1.4624999999999999</v>
      </c>
      <c r="AH5" s="50">
        <v>4</v>
      </c>
      <c r="AI5" s="50">
        <v>1.7922077922077899</v>
      </c>
    </row>
    <row r="6" spans="1:35" x14ac:dyDescent="0.35">
      <c r="A6" s="52">
        <v>5</v>
      </c>
      <c r="B6" s="52" t="s">
        <v>35</v>
      </c>
      <c r="C6" s="50">
        <v>1</v>
      </c>
      <c r="D6" s="50">
        <v>1.55</v>
      </c>
      <c r="E6" s="50">
        <v>1.7435897435897401</v>
      </c>
      <c r="F6" s="50">
        <v>5.0250000000000004</v>
      </c>
      <c r="G6" s="50">
        <v>1.625</v>
      </c>
      <c r="H6" s="50">
        <v>1.83544303797468</v>
      </c>
      <c r="I6" s="50">
        <v>5.9874999999999998</v>
      </c>
      <c r="J6" s="50">
        <v>1.84810126582278</v>
      </c>
      <c r="K6" s="50">
        <v>2.1139240506329098</v>
      </c>
      <c r="L6" s="50">
        <v>3.1749999999999998</v>
      </c>
      <c r="M6" s="50">
        <v>1.1000000000000001</v>
      </c>
      <c r="N6" s="50">
        <v>2.3108108108108101</v>
      </c>
      <c r="O6" s="50">
        <v>3.0625</v>
      </c>
      <c r="P6" s="50">
        <v>1.2250000000000001</v>
      </c>
      <c r="Q6" s="50">
        <v>1.15189873417721</v>
      </c>
      <c r="R6" s="50">
        <v>1.4</v>
      </c>
      <c r="S6" s="50">
        <v>1.93827160493827</v>
      </c>
      <c r="T6" s="50">
        <v>3.3827160493827102</v>
      </c>
      <c r="U6" s="50">
        <v>1.9629629629629599</v>
      </c>
      <c r="V6" s="50">
        <v>4</v>
      </c>
      <c r="W6" s="50">
        <v>2</v>
      </c>
      <c r="X6" s="50">
        <v>3.1234567901234498</v>
      </c>
      <c r="Y6" s="50">
        <v>1.9629629629629599</v>
      </c>
      <c r="Z6" s="50">
        <v>3.95061728395061</v>
      </c>
      <c r="AA6" s="50">
        <v>1.75308641975308</v>
      </c>
      <c r="AB6" s="50">
        <v>3.3580246913580201</v>
      </c>
      <c r="AC6" s="50">
        <v>1.98765432098765</v>
      </c>
      <c r="AD6" s="50">
        <v>4</v>
      </c>
      <c r="AE6" s="50">
        <v>1.9753086419753001</v>
      </c>
      <c r="AF6" s="50">
        <v>4</v>
      </c>
      <c r="AG6" s="50">
        <v>1.4624999999999999</v>
      </c>
      <c r="AH6" s="50">
        <v>4</v>
      </c>
      <c r="AI6" s="50">
        <v>1.7922077922077899</v>
      </c>
    </row>
    <row r="7" spans="1:35" x14ac:dyDescent="0.35">
      <c r="A7" s="52">
        <v>6</v>
      </c>
      <c r="B7" s="52" t="s">
        <v>35</v>
      </c>
      <c r="C7" s="50">
        <v>1</v>
      </c>
      <c r="D7" s="50">
        <v>1.55</v>
      </c>
      <c r="E7" s="50">
        <v>1.7435897435897401</v>
      </c>
      <c r="F7" s="50">
        <v>5.0250000000000004</v>
      </c>
      <c r="G7" s="50">
        <v>1.625</v>
      </c>
      <c r="H7" s="50">
        <v>1.83544303797468</v>
      </c>
      <c r="I7" s="50">
        <v>5.9874999999999998</v>
      </c>
      <c r="J7" s="50">
        <v>1.84810126582278</v>
      </c>
      <c r="K7" s="50">
        <v>2.1139240506329098</v>
      </c>
      <c r="L7" s="50">
        <v>3.1749999999999998</v>
      </c>
      <c r="M7" s="50">
        <v>1.1000000000000001</v>
      </c>
      <c r="N7" s="50">
        <v>2.3108108108108101</v>
      </c>
      <c r="O7" s="50">
        <v>3.0625</v>
      </c>
      <c r="P7" s="50">
        <v>1.2250000000000001</v>
      </c>
      <c r="Q7" s="50">
        <v>1.15189873417721</v>
      </c>
      <c r="R7" s="50">
        <v>1.4</v>
      </c>
      <c r="S7" s="50">
        <v>1.93827160493827</v>
      </c>
      <c r="T7" s="50">
        <v>3.3827160493827102</v>
      </c>
      <c r="U7" s="50">
        <v>1.9629629629629599</v>
      </c>
      <c r="V7" s="50">
        <v>4</v>
      </c>
      <c r="W7" s="50">
        <v>2</v>
      </c>
      <c r="X7" s="50">
        <v>3.1234567901234498</v>
      </c>
      <c r="Y7" s="50">
        <v>1.9629629629629599</v>
      </c>
      <c r="Z7" s="50">
        <v>3.95061728395061</v>
      </c>
      <c r="AA7" s="50">
        <v>1.75308641975308</v>
      </c>
      <c r="AB7" s="50">
        <v>3.3580246913580201</v>
      </c>
      <c r="AC7" s="50">
        <v>1.98765432098765</v>
      </c>
      <c r="AD7" s="50">
        <v>4</v>
      </c>
      <c r="AE7" s="50">
        <v>1.9753086419753001</v>
      </c>
      <c r="AF7" s="50">
        <v>4</v>
      </c>
      <c r="AG7" s="50">
        <v>1.4624999999999999</v>
      </c>
      <c r="AH7" s="50">
        <v>4</v>
      </c>
      <c r="AI7" s="50">
        <v>1.7922077922077899</v>
      </c>
    </row>
    <row r="8" spans="1:35" x14ac:dyDescent="0.35">
      <c r="A8" s="52">
        <v>7</v>
      </c>
      <c r="B8" s="52" t="s">
        <v>35</v>
      </c>
      <c r="C8" s="50">
        <v>4</v>
      </c>
      <c r="D8" s="50">
        <v>2</v>
      </c>
      <c r="E8" s="50">
        <v>2</v>
      </c>
      <c r="F8" s="50">
        <v>6</v>
      </c>
      <c r="G8" s="50">
        <v>3</v>
      </c>
      <c r="H8" s="50">
        <v>2</v>
      </c>
      <c r="I8" s="50">
        <v>6</v>
      </c>
      <c r="J8" s="50">
        <v>2</v>
      </c>
      <c r="K8" s="50">
        <v>1</v>
      </c>
      <c r="L8" s="50">
        <v>2</v>
      </c>
      <c r="M8" s="50">
        <v>1</v>
      </c>
      <c r="N8" s="50">
        <v>2</v>
      </c>
      <c r="O8" s="50">
        <v>3</v>
      </c>
      <c r="P8" s="50">
        <v>1</v>
      </c>
      <c r="Q8" s="50">
        <v>1</v>
      </c>
      <c r="R8" s="50">
        <v>1</v>
      </c>
      <c r="S8" s="50">
        <v>2</v>
      </c>
      <c r="T8" s="50">
        <v>3</v>
      </c>
      <c r="U8" s="50">
        <v>2</v>
      </c>
      <c r="V8" s="50">
        <v>4</v>
      </c>
      <c r="W8" s="50">
        <v>2</v>
      </c>
      <c r="X8" s="50">
        <v>3</v>
      </c>
      <c r="Y8" s="50">
        <v>2</v>
      </c>
      <c r="Z8" s="50">
        <v>4</v>
      </c>
      <c r="AA8" s="50">
        <v>2</v>
      </c>
      <c r="AB8" s="50">
        <v>3</v>
      </c>
      <c r="AC8" s="50">
        <v>2</v>
      </c>
      <c r="AD8" s="50">
        <v>4</v>
      </c>
      <c r="AE8" s="50">
        <v>2</v>
      </c>
      <c r="AF8" s="50">
        <v>4</v>
      </c>
      <c r="AG8" s="50">
        <v>2</v>
      </c>
      <c r="AH8" s="50">
        <v>4</v>
      </c>
      <c r="AI8" s="50">
        <v>2</v>
      </c>
    </row>
    <row r="9" spans="1:35" x14ac:dyDescent="0.35">
      <c r="A9" s="52">
        <v>8</v>
      </c>
      <c r="B9" s="52" t="s">
        <v>35</v>
      </c>
      <c r="C9" s="50">
        <v>1</v>
      </c>
      <c r="D9" s="50">
        <v>1.55</v>
      </c>
      <c r="E9" s="50">
        <v>1.7435897435897401</v>
      </c>
      <c r="F9" s="50">
        <v>5.0250000000000004</v>
      </c>
      <c r="G9" s="50">
        <v>1.625</v>
      </c>
      <c r="H9" s="50">
        <v>1.83544303797468</v>
      </c>
      <c r="I9" s="50">
        <v>5.9874999999999998</v>
      </c>
      <c r="J9" s="50">
        <v>1.84810126582278</v>
      </c>
      <c r="K9" s="50">
        <v>2.1139240506329098</v>
      </c>
      <c r="L9" s="50">
        <v>3.1749999999999998</v>
      </c>
      <c r="M9" s="50">
        <v>1.1000000000000001</v>
      </c>
      <c r="N9" s="50">
        <v>2.3108108108108101</v>
      </c>
      <c r="O9" s="50">
        <v>3.0625</v>
      </c>
      <c r="P9" s="50">
        <v>1.2250000000000001</v>
      </c>
      <c r="Q9" s="50">
        <v>1.15189873417721</v>
      </c>
      <c r="R9" s="50">
        <v>1.4</v>
      </c>
      <c r="S9" s="50">
        <v>1.93827160493827</v>
      </c>
      <c r="T9" s="50">
        <v>3.3827160493827102</v>
      </c>
      <c r="U9" s="50">
        <v>1.9629629629629599</v>
      </c>
      <c r="V9" s="50">
        <v>4</v>
      </c>
      <c r="W9" s="50">
        <v>2</v>
      </c>
      <c r="X9" s="50">
        <v>3.1234567901234498</v>
      </c>
      <c r="Y9" s="50">
        <v>1.9629629629629599</v>
      </c>
      <c r="Z9" s="50">
        <v>3.95061728395061</v>
      </c>
      <c r="AA9" s="50">
        <v>1.75308641975308</v>
      </c>
      <c r="AB9" s="50">
        <v>3.3580246913580201</v>
      </c>
      <c r="AC9" s="50">
        <v>1.98765432098765</v>
      </c>
      <c r="AD9" s="50">
        <v>4</v>
      </c>
      <c r="AE9" s="50">
        <v>1.9753086419753001</v>
      </c>
      <c r="AF9" s="50">
        <v>4</v>
      </c>
      <c r="AG9" s="50">
        <v>1.4624999999999999</v>
      </c>
      <c r="AH9" s="50">
        <v>4</v>
      </c>
      <c r="AI9" s="50">
        <v>1.7922077922077899</v>
      </c>
    </row>
    <row r="10" spans="1:35" x14ac:dyDescent="0.35">
      <c r="A10" s="52">
        <v>9</v>
      </c>
      <c r="B10" s="52" t="s">
        <v>35</v>
      </c>
      <c r="C10" s="50">
        <v>2</v>
      </c>
      <c r="D10" s="50">
        <v>1</v>
      </c>
      <c r="E10" s="50">
        <v>1</v>
      </c>
      <c r="F10" s="50">
        <v>2</v>
      </c>
      <c r="G10" s="50">
        <v>1</v>
      </c>
      <c r="H10" s="50">
        <v>2</v>
      </c>
      <c r="I10" s="50">
        <v>6</v>
      </c>
      <c r="J10" s="50">
        <v>2</v>
      </c>
      <c r="K10" s="50">
        <v>2</v>
      </c>
      <c r="L10" s="50">
        <v>11</v>
      </c>
      <c r="M10" s="50">
        <v>1</v>
      </c>
      <c r="N10" s="50">
        <v>1</v>
      </c>
      <c r="O10" s="50">
        <v>3</v>
      </c>
      <c r="P10" s="50">
        <v>1</v>
      </c>
      <c r="Q10" s="50">
        <v>1</v>
      </c>
      <c r="R10" s="50">
        <v>1</v>
      </c>
      <c r="S10" s="50">
        <v>2</v>
      </c>
      <c r="T10" s="50">
        <v>4</v>
      </c>
      <c r="U10" s="50">
        <v>2</v>
      </c>
      <c r="V10" s="50">
        <v>4</v>
      </c>
      <c r="W10" s="50">
        <v>2</v>
      </c>
      <c r="X10" s="50">
        <v>4</v>
      </c>
      <c r="Y10" s="50">
        <v>2</v>
      </c>
      <c r="Z10" s="50">
        <v>4</v>
      </c>
      <c r="AA10" s="50">
        <v>1</v>
      </c>
      <c r="AB10" s="50">
        <v>4</v>
      </c>
      <c r="AC10" s="50">
        <v>2</v>
      </c>
      <c r="AD10" s="50">
        <v>4</v>
      </c>
      <c r="AE10" s="50">
        <v>2</v>
      </c>
      <c r="AF10" s="50">
        <v>4</v>
      </c>
      <c r="AG10" s="50">
        <v>1</v>
      </c>
      <c r="AH10" s="50">
        <v>4</v>
      </c>
      <c r="AI10" s="50">
        <v>2</v>
      </c>
    </row>
    <row r="11" spans="1:35" x14ac:dyDescent="0.35">
      <c r="A11" s="52">
        <v>10</v>
      </c>
      <c r="B11" s="52" t="s">
        <v>34</v>
      </c>
      <c r="C11" s="50">
        <v>4</v>
      </c>
      <c r="D11" s="50">
        <v>1</v>
      </c>
      <c r="E11" s="50">
        <v>1</v>
      </c>
      <c r="F11" s="50">
        <v>8</v>
      </c>
      <c r="G11" s="50">
        <v>3</v>
      </c>
      <c r="H11" s="50">
        <v>2</v>
      </c>
      <c r="I11" s="50">
        <v>6</v>
      </c>
      <c r="J11" s="50">
        <v>2</v>
      </c>
      <c r="K11" s="50">
        <v>2</v>
      </c>
      <c r="L11" s="50">
        <v>2</v>
      </c>
      <c r="M11" s="50">
        <v>1</v>
      </c>
      <c r="N11" s="50">
        <v>2</v>
      </c>
      <c r="O11" s="50">
        <v>3</v>
      </c>
      <c r="P11" s="50">
        <v>1</v>
      </c>
      <c r="Q11" s="50">
        <v>1</v>
      </c>
      <c r="R11" s="50">
        <v>1</v>
      </c>
      <c r="S11" s="50">
        <v>2</v>
      </c>
      <c r="T11" s="50">
        <v>4</v>
      </c>
      <c r="U11" s="50">
        <v>2</v>
      </c>
      <c r="V11" s="50">
        <v>4</v>
      </c>
      <c r="W11" s="50">
        <v>2</v>
      </c>
      <c r="X11" s="50">
        <v>3</v>
      </c>
      <c r="Y11" s="50">
        <v>2</v>
      </c>
      <c r="Z11" s="50">
        <v>4</v>
      </c>
      <c r="AA11" s="50">
        <v>2</v>
      </c>
      <c r="AB11" s="50">
        <v>3</v>
      </c>
      <c r="AC11" s="50">
        <v>2</v>
      </c>
      <c r="AD11" s="50">
        <v>4</v>
      </c>
      <c r="AE11" s="50">
        <v>2</v>
      </c>
      <c r="AF11" s="50">
        <v>4</v>
      </c>
      <c r="AG11" s="50">
        <v>1</v>
      </c>
      <c r="AH11" s="50">
        <v>4</v>
      </c>
      <c r="AI11" s="5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1"/>
  <sheetViews>
    <sheetView topLeftCell="S1" workbookViewId="0">
      <selection activeCell="F24" sqref="F24"/>
    </sheetView>
  </sheetViews>
  <sheetFormatPr defaultRowHeight="14.5" x14ac:dyDescent="0.35"/>
  <sheetData>
    <row r="1" spans="1:34" x14ac:dyDescent="0.35">
      <c r="A1" s="35" t="s">
        <v>33</v>
      </c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</row>
    <row r="2" spans="1:34" x14ac:dyDescent="0.35">
      <c r="A2" s="48" t="s">
        <v>34</v>
      </c>
      <c r="B2" s="49">
        <v>0.7</v>
      </c>
      <c r="C2" s="49">
        <v>0.2</v>
      </c>
      <c r="D2" s="49">
        <v>0.3</v>
      </c>
      <c r="E2" s="49">
        <v>0.7</v>
      </c>
      <c r="F2" s="49">
        <v>0.3</v>
      </c>
      <c r="G2" s="49">
        <v>1</v>
      </c>
      <c r="H2" s="49">
        <v>0.5</v>
      </c>
      <c r="I2" s="49">
        <v>1</v>
      </c>
      <c r="J2" s="49">
        <v>0.2</v>
      </c>
      <c r="K2" s="49">
        <v>0</v>
      </c>
      <c r="L2" s="49">
        <v>0</v>
      </c>
      <c r="M2" s="49">
        <v>0.2</v>
      </c>
      <c r="N2" s="49">
        <v>0.5</v>
      </c>
      <c r="O2" s="49">
        <v>0</v>
      </c>
      <c r="P2" s="49">
        <v>0</v>
      </c>
      <c r="Q2" s="49">
        <v>0</v>
      </c>
      <c r="R2" s="49">
        <v>1</v>
      </c>
      <c r="S2" s="49">
        <v>0</v>
      </c>
      <c r="T2" s="49">
        <v>1</v>
      </c>
      <c r="U2" s="49">
        <v>1</v>
      </c>
      <c r="V2" s="49">
        <v>1</v>
      </c>
      <c r="W2" s="49">
        <v>0</v>
      </c>
      <c r="X2" s="49">
        <v>1</v>
      </c>
      <c r="Y2" s="49">
        <v>1</v>
      </c>
      <c r="Z2" s="49">
        <v>1</v>
      </c>
      <c r="AA2" s="49">
        <v>0</v>
      </c>
      <c r="AB2" s="49">
        <v>1</v>
      </c>
      <c r="AC2" s="49">
        <v>1</v>
      </c>
      <c r="AD2" s="49">
        <v>1</v>
      </c>
      <c r="AE2" s="49">
        <v>1</v>
      </c>
      <c r="AF2" s="49">
        <v>1</v>
      </c>
      <c r="AG2" s="49">
        <v>1</v>
      </c>
      <c r="AH2" s="49">
        <v>0.5</v>
      </c>
    </row>
    <row r="3" spans="1:34" x14ac:dyDescent="0.35">
      <c r="A3" s="48" t="s">
        <v>35</v>
      </c>
      <c r="B3" s="49">
        <v>0.5</v>
      </c>
      <c r="C3" s="49">
        <v>0.1</v>
      </c>
      <c r="D3" s="49">
        <v>0.2</v>
      </c>
      <c r="E3" s="49">
        <v>0.5</v>
      </c>
      <c r="F3" s="49">
        <v>0.1</v>
      </c>
      <c r="G3" s="49">
        <v>0.9</v>
      </c>
      <c r="H3" s="49">
        <v>0.55416666666666603</v>
      </c>
      <c r="I3" s="49">
        <v>0.848101265822784</v>
      </c>
      <c r="J3" s="49">
        <v>0.42278481012658198</v>
      </c>
      <c r="K3" s="49">
        <v>0.13055555555555501</v>
      </c>
      <c r="L3" s="49">
        <v>0.05</v>
      </c>
      <c r="M3" s="49">
        <v>0.26216216216216198</v>
      </c>
      <c r="N3" s="49">
        <v>0.515625</v>
      </c>
      <c r="O3" s="49">
        <v>7.4999999999999997E-2</v>
      </c>
      <c r="P3" s="49">
        <v>5.0632911392405E-2</v>
      </c>
      <c r="Q3" s="49">
        <v>9.9999999999999895E-2</v>
      </c>
      <c r="R3" s="49">
        <v>0.938271604938271</v>
      </c>
      <c r="S3" s="49">
        <v>0.38271604938271597</v>
      </c>
      <c r="T3" s="49">
        <v>0.96296296296296302</v>
      </c>
      <c r="U3" s="49">
        <v>1</v>
      </c>
      <c r="V3" s="49">
        <v>1</v>
      </c>
      <c r="W3" s="49">
        <v>0.12345679012345601</v>
      </c>
      <c r="X3" s="49">
        <v>0.96296296296296302</v>
      </c>
      <c r="Y3" s="49">
        <v>0.95061728395061695</v>
      </c>
      <c r="Z3" s="49">
        <v>0.75308641975308599</v>
      </c>
      <c r="AA3" s="49">
        <v>0.35802469135802401</v>
      </c>
      <c r="AB3" s="49">
        <v>0.98765432098765404</v>
      </c>
      <c r="AC3" s="49">
        <v>1</v>
      </c>
      <c r="AD3" s="49">
        <v>0.97530864197530798</v>
      </c>
      <c r="AE3" s="49">
        <v>1</v>
      </c>
      <c r="AF3" s="49">
        <v>0.46249999999999902</v>
      </c>
      <c r="AG3" s="49">
        <v>1</v>
      </c>
      <c r="AH3" s="49">
        <v>0.89610389610389596</v>
      </c>
    </row>
    <row r="4" spans="1:34" x14ac:dyDescent="0.35">
      <c r="A4" s="48" t="s">
        <v>35</v>
      </c>
      <c r="B4" s="49">
        <v>0</v>
      </c>
      <c r="C4" s="49">
        <v>0.1</v>
      </c>
      <c r="D4" s="49">
        <v>0.2</v>
      </c>
      <c r="E4" s="49">
        <v>0.5</v>
      </c>
      <c r="F4" s="49">
        <v>0.1</v>
      </c>
      <c r="G4" s="49">
        <v>0.9</v>
      </c>
      <c r="H4" s="49">
        <v>0.55416666666666603</v>
      </c>
      <c r="I4" s="49">
        <v>0.848101265822784</v>
      </c>
      <c r="J4" s="49">
        <v>0.42278481012658198</v>
      </c>
      <c r="K4" s="49">
        <v>0.13055555555555501</v>
      </c>
      <c r="L4" s="49">
        <v>0.05</v>
      </c>
      <c r="M4" s="49">
        <v>0.26216216216216198</v>
      </c>
      <c r="N4" s="49">
        <v>0.515625</v>
      </c>
      <c r="O4" s="49">
        <v>7.4999999999999997E-2</v>
      </c>
      <c r="P4" s="49">
        <v>5.0632911392405E-2</v>
      </c>
      <c r="Q4" s="49">
        <v>9.9999999999999895E-2</v>
      </c>
      <c r="R4" s="49">
        <v>0.938271604938271</v>
      </c>
      <c r="S4" s="49">
        <v>0.38271604938271597</v>
      </c>
      <c r="T4" s="49">
        <v>0.96296296296296302</v>
      </c>
      <c r="U4" s="49">
        <v>1</v>
      </c>
      <c r="V4" s="49">
        <v>1</v>
      </c>
      <c r="W4" s="49">
        <v>0.12345679012345601</v>
      </c>
      <c r="X4" s="49">
        <v>0.96296296296296302</v>
      </c>
      <c r="Y4" s="49">
        <v>0.95061728395061695</v>
      </c>
      <c r="Z4" s="49">
        <v>0.75308641975308599</v>
      </c>
      <c r="AA4" s="49">
        <v>0.35802469135802401</v>
      </c>
      <c r="AB4" s="49">
        <v>0.98765432098765404</v>
      </c>
      <c r="AC4" s="49">
        <v>1</v>
      </c>
      <c r="AD4" s="49">
        <v>0.97530864197530798</v>
      </c>
      <c r="AE4" s="49">
        <v>1</v>
      </c>
      <c r="AF4" s="49">
        <v>0.46249999999999902</v>
      </c>
      <c r="AG4" s="49">
        <v>1</v>
      </c>
      <c r="AH4" s="49">
        <v>0.89610389610389596</v>
      </c>
    </row>
    <row r="5" spans="1:34" x14ac:dyDescent="0.35">
      <c r="A5" s="48" t="s">
        <v>35</v>
      </c>
      <c r="B5" s="49">
        <v>0</v>
      </c>
      <c r="C5" s="49">
        <v>0.1</v>
      </c>
      <c r="D5" s="49">
        <v>0.2</v>
      </c>
      <c r="E5" s="49">
        <v>0.5</v>
      </c>
      <c r="F5" s="49">
        <v>0.1</v>
      </c>
      <c r="G5" s="49">
        <v>0.9</v>
      </c>
      <c r="H5" s="49">
        <v>0.55416666666666603</v>
      </c>
      <c r="I5" s="49">
        <v>0.848101265822784</v>
      </c>
      <c r="J5" s="49">
        <v>0.42278481012658198</v>
      </c>
      <c r="K5" s="49">
        <v>0.13055555555555501</v>
      </c>
      <c r="L5" s="49">
        <v>0.05</v>
      </c>
      <c r="M5" s="49">
        <v>0.26216216216216198</v>
      </c>
      <c r="N5" s="49">
        <v>0.515625</v>
      </c>
      <c r="O5" s="49">
        <v>7.4999999999999997E-2</v>
      </c>
      <c r="P5" s="49">
        <v>5.0632911392405E-2</v>
      </c>
      <c r="Q5" s="49">
        <v>9.9999999999999895E-2</v>
      </c>
      <c r="R5" s="49">
        <v>0.938271604938271</v>
      </c>
      <c r="S5" s="49">
        <v>0.38271604938271597</v>
      </c>
      <c r="T5" s="49">
        <v>0.96296296296296302</v>
      </c>
      <c r="U5" s="49">
        <v>1</v>
      </c>
      <c r="V5" s="49">
        <v>1</v>
      </c>
      <c r="W5" s="49">
        <v>0.12345679012345601</v>
      </c>
      <c r="X5" s="49">
        <v>0.96296296296296302</v>
      </c>
      <c r="Y5" s="49">
        <v>0.95061728395061695</v>
      </c>
      <c r="Z5" s="49">
        <v>0.75308641975308599</v>
      </c>
      <c r="AA5" s="49">
        <v>0.35802469135802401</v>
      </c>
      <c r="AB5" s="49">
        <v>0.98765432098765404</v>
      </c>
      <c r="AC5" s="49">
        <v>1</v>
      </c>
      <c r="AD5" s="49">
        <v>0.97530864197530798</v>
      </c>
      <c r="AE5" s="49">
        <v>1</v>
      </c>
      <c r="AF5" s="49">
        <v>0.46249999999999902</v>
      </c>
      <c r="AG5" s="49">
        <v>1</v>
      </c>
      <c r="AH5" s="49">
        <v>0.89610389610389596</v>
      </c>
    </row>
    <row r="6" spans="1:34" x14ac:dyDescent="0.35">
      <c r="A6" s="48" t="s">
        <v>35</v>
      </c>
      <c r="B6" s="49">
        <v>0</v>
      </c>
      <c r="C6" s="49">
        <v>0.1</v>
      </c>
      <c r="D6" s="49">
        <v>0.2</v>
      </c>
      <c r="E6" s="49">
        <v>0.5</v>
      </c>
      <c r="F6" s="49">
        <v>0.1</v>
      </c>
      <c r="G6" s="49">
        <v>0.9</v>
      </c>
      <c r="H6" s="49">
        <v>0.55416666666666603</v>
      </c>
      <c r="I6" s="49">
        <v>0.848101265822784</v>
      </c>
      <c r="J6" s="49">
        <v>0.42278481012658198</v>
      </c>
      <c r="K6" s="49">
        <v>0.13055555555555501</v>
      </c>
      <c r="L6" s="49">
        <v>0.05</v>
      </c>
      <c r="M6" s="49">
        <v>0.26216216216216198</v>
      </c>
      <c r="N6" s="49">
        <v>0.515625</v>
      </c>
      <c r="O6" s="49">
        <v>7.4999999999999997E-2</v>
      </c>
      <c r="P6" s="49">
        <v>5.0632911392405E-2</v>
      </c>
      <c r="Q6" s="49">
        <v>9.9999999999999895E-2</v>
      </c>
      <c r="R6" s="49">
        <v>0.938271604938271</v>
      </c>
      <c r="S6" s="49">
        <v>0.38271604938271597</v>
      </c>
      <c r="T6" s="49">
        <v>0.96296296296296302</v>
      </c>
      <c r="U6" s="49">
        <v>1</v>
      </c>
      <c r="V6" s="49">
        <v>1</v>
      </c>
      <c r="W6" s="49">
        <v>0.12345679012345601</v>
      </c>
      <c r="X6" s="49">
        <v>0.96296296296296302</v>
      </c>
      <c r="Y6" s="49">
        <v>0.95061728395061695</v>
      </c>
      <c r="Z6" s="49">
        <v>0.75308641975308599</v>
      </c>
      <c r="AA6" s="49">
        <v>0.35802469135802401</v>
      </c>
      <c r="AB6" s="49">
        <v>0.98765432098765404</v>
      </c>
      <c r="AC6" s="49">
        <v>1</v>
      </c>
      <c r="AD6" s="49">
        <v>0.97530864197530798</v>
      </c>
      <c r="AE6" s="49">
        <v>1</v>
      </c>
      <c r="AF6" s="49">
        <v>0.46249999999999902</v>
      </c>
      <c r="AG6" s="49">
        <v>1</v>
      </c>
      <c r="AH6" s="49">
        <v>0.89610389610389596</v>
      </c>
    </row>
    <row r="7" spans="1:34" x14ac:dyDescent="0.35">
      <c r="A7" s="48" t="s">
        <v>35</v>
      </c>
      <c r="B7" s="49">
        <v>0</v>
      </c>
      <c r="C7" s="49">
        <v>0.1</v>
      </c>
      <c r="D7" s="49">
        <v>0.2</v>
      </c>
      <c r="E7" s="49">
        <v>0.5</v>
      </c>
      <c r="F7" s="49">
        <v>0.1</v>
      </c>
      <c r="G7" s="49">
        <v>0.9</v>
      </c>
      <c r="H7" s="49">
        <v>0.55416666666666603</v>
      </c>
      <c r="I7" s="49">
        <v>0.848101265822784</v>
      </c>
      <c r="J7" s="49">
        <v>0.42278481012658198</v>
      </c>
      <c r="K7" s="49">
        <v>0.13055555555555501</v>
      </c>
      <c r="L7" s="49">
        <v>0.05</v>
      </c>
      <c r="M7" s="49">
        <v>0.26216216216216198</v>
      </c>
      <c r="N7" s="49">
        <v>0.515625</v>
      </c>
      <c r="O7" s="49">
        <v>7.4999999999999997E-2</v>
      </c>
      <c r="P7" s="49">
        <v>5.0632911392405E-2</v>
      </c>
      <c r="Q7" s="49">
        <v>9.9999999999999895E-2</v>
      </c>
      <c r="R7" s="49">
        <v>0.938271604938271</v>
      </c>
      <c r="S7" s="49">
        <v>0.38271604938271597</v>
      </c>
      <c r="T7" s="49">
        <v>0.96296296296296302</v>
      </c>
      <c r="U7" s="49">
        <v>1</v>
      </c>
      <c r="V7" s="49">
        <v>1</v>
      </c>
      <c r="W7" s="49">
        <v>0.12345679012345601</v>
      </c>
      <c r="X7" s="49">
        <v>0.96296296296296302</v>
      </c>
      <c r="Y7" s="49">
        <v>0.95061728395061695</v>
      </c>
      <c r="Z7" s="49">
        <v>0.75308641975308599</v>
      </c>
      <c r="AA7" s="49">
        <v>0.35802469135802401</v>
      </c>
      <c r="AB7" s="49">
        <v>0.98765432098765404</v>
      </c>
      <c r="AC7" s="49">
        <v>1</v>
      </c>
      <c r="AD7" s="49">
        <v>0.97530864197530798</v>
      </c>
      <c r="AE7" s="49">
        <v>1</v>
      </c>
      <c r="AF7" s="49">
        <v>0.46249999999999902</v>
      </c>
      <c r="AG7" s="49">
        <v>1</v>
      </c>
      <c r="AH7" s="49">
        <v>0.89610389610389596</v>
      </c>
    </row>
    <row r="8" spans="1:34" x14ac:dyDescent="0.35">
      <c r="A8" s="48" t="s">
        <v>35</v>
      </c>
      <c r="B8" s="49">
        <v>0.5</v>
      </c>
      <c r="C8" s="49">
        <v>0.2</v>
      </c>
      <c r="D8" s="49">
        <v>0.3</v>
      </c>
      <c r="E8" s="49">
        <v>0.7</v>
      </c>
      <c r="F8" s="49">
        <v>0.3</v>
      </c>
      <c r="G8" s="49">
        <v>1</v>
      </c>
      <c r="H8" s="49">
        <v>0.5</v>
      </c>
      <c r="I8" s="49">
        <v>1</v>
      </c>
      <c r="J8" s="49">
        <v>0.2</v>
      </c>
      <c r="K8" s="49">
        <v>0</v>
      </c>
      <c r="L8" s="49">
        <v>0</v>
      </c>
      <c r="M8" s="49">
        <v>0.2</v>
      </c>
      <c r="N8" s="49">
        <v>0.5</v>
      </c>
      <c r="O8" s="49">
        <v>0</v>
      </c>
      <c r="P8" s="49">
        <v>0</v>
      </c>
      <c r="Q8" s="49">
        <v>0</v>
      </c>
      <c r="R8" s="49">
        <v>1</v>
      </c>
      <c r="S8" s="49">
        <v>0</v>
      </c>
      <c r="T8" s="49">
        <v>1</v>
      </c>
      <c r="U8" s="49">
        <v>1</v>
      </c>
      <c r="V8" s="49">
        <v>1</v>
      </c>
      <c r="W8" s="49">
        <v>0</v>
      </c>
      <c r="X8" s="49">
        <v>1</v>
      </c>
      <c r="Y8" s="49">
        <v>1</v>
      </c>
      <c r="Z8" s="49">
        <v>1</v>
      </c>
      <c r="AA8" s="49">
        <v>0</v>
      </c>
      <c r="AB8" s="49">
        <v>1</v>
      </c>
      <c r="AC8" s="49">
        <v>1</v>
      </c>
      <c r="AD8" s="49">
        <v>1</v>
      </c>
      <c r="AE8" s="49">
        <v>1</v>
      </c>
      <c r="AF8" s="49">
        <v>1</v>
      </c>
      <c r="AG8" s="49">
        <v>1</v>
      </c>
      <c r="AH8" s="49">
        <v>1</v>
      </c>
    </row>
    <row r="9" spans="1:34" x14ac:dyDescent="0.35">
      <c r="A9" s="48" t="s">
        <v>35</v>
      </c>
      <c r="B9" s="49">
        <v>0</v>
      </c>
      <c r="C9" s="49">
        <v>0.1</v>
      </c>
      <c r="D9" s="49">
        <v>0.2</v>
      </c>
      <c r="E9" s="49">
        <v>0.5</v>
      </c>
      <c r="F9" s="49">
        <v>0.1</v>
      </c>
      <c r="G9" s="49">
        <v>0.9</v>
      </c>
      <c r="H9" s="49">
        <v>0.55416666666666603</v>
      </c>
      <c r="I9" s="49">
        <v>0.848101265822784</v>
      </c>
      <c r="J9" s="49">
        <v>0.42278481012658198</v>
      </c>
      <c r="K9" s="49">
        <v>0.13055555555555501</v>
      </c>
      <c r="L9" s="49">
        <v>0.05</v>
      </c>
      <c r="M9" s="49">
        <v>0.26216216216216198</v>
      </c>
      <c r="N9" s="49">
        <v>0.515625</v>
      </c>
      <c r="O9" s="49">
        <v>7.4999999999999997E-2</v>
      </c>
      <c r="P9" s="49">
        <v>5.0632911392405E-2</v>
      </c>
      <c r="Q9" s="49">
        <v>9.9999999999999895E-2</v>
      </c>
      <c r="R9" s="49">
        <v>0.938271604938271</v>
      </c>
      <c r="S9" s="49">
        <v>0.38271604938271597</v>
      </c>
      <c r="T9" s="49">
        <v>0.96296296296296302</v>
      </c>
      <c r="U9" s="49">
        <v>1</v>
      </c>
      <c r="V9" s="49">
        <v>1</v>
      </c>
      <c r="W9" s="49">
        <v>0.12345679012345601</v>
      </c>
      <c r="X9" s="49">
        <v>0.96296296296296302</v>
      </c>
      <c r="Y9" s="49">
        <v>0.95061728395061695</v>
      </c>
      <c r="Z9" s="49">
        <v>0.75308641975308599</v>
      </c>
      <c r="AA9" s="49">
        <v>0.35802469135802401</v>
      </c>
      <c r="AB9" s="49">
        <v>0.98765432098765404</v>
      </c>
      <c r="AC9" s="49">
        <v>1</v>
      </c>
      <c r="AD9" s="49">
        <v>0.97530864197530798</v>
      </c>
      <c r="AE9" s="49">
        <v>1</v>
      </c>
      <c r="AF9" s="49">
        <v>0.46249999999999902</v>
      </c>
      <c r="AG9" s="49">
        <v>1</v>
      </c>
      <c r="AH9" s="49">
        <v>0.89610389610389596</v>
      </c>
    </row>
    <row r="10" spans="1:34" x14ac:dyDescent="0.35">
      <c r="A10" s="48" t="s">
        <v>35</v>
      </c>
      <c r="B10" s="49">
        <v>0.2</v>
      </c>
      <c r="C10" s="49">
        <v>0</v>
      </c>
      <c r="D10" s="49">
        <v>0</v>
      </c>
      <c r="E10" s="49">
        <v>0</v>
      </c>
      <c r="F10" s="49">
        <v>0</v>
      </c>
      <c r="G10" s="49">
        <v>1</v>
      </c>
      <c r="H10" s="49">
        <v>0.5</v>
      </c>
      <c r="I10" s="49">
        <v>1</v>
      </c>
      <c r="J10" s="49">
        <v>0.4</v>
      </c>
      <c r="K10" s="49">
        <v>1</v>
      </c>
      <c r="L10" s="49">
        <v>0</v>
      </c>
      <c r="M10" s="49">
        <v>0</v>
      </c>
      <c r="N10" s="49">
        <v>0.5</v>
      </c>
      <c r="O10" s="49">
        <v>0</v>
      </c>
      <c r="P10" s="49">
        <v>0</v>
      </c>
      <c r="Q10" s="49">
        <v>0</v>
      </c>
      <c r="R10" s="49">
        <v>1</v>
      </c>
      <c r="S10" s="49">
        <v>1</v>
      </c>
      <c r="T10" s="49">
        <v>1</v>
      </c>
      <c r="U10" s="49">
        <v>1</v>
      </c>
      <c r="V10" s="49">
        <v>1</v>
      </c>
      <c r="W10" s="49">
        <v>1</v>
      </c>
      <c r="X10" s="49">
        <v>1</v>
      </c>
      <c r="Y10" s="49">
        <v>1</v>
      </c>
      <c r="Z10" s="49">
        <v>0</v>
      </c>
      <c r="AA10" s="49">
        <v>1</v>
      </c>
      <c r="AB10" s="49">
        <v>1</v>
      </c>
      <c r="AC10" s="49">
        <v>1</v>
      </c>
      <c r="AD10" s="49">
        <v>1</v>
      </c>
      <c r="AE10" s="49">
        <v>1</v>
      </c>
      <c r="AF10" s="49">
        <v>0</v>
      </c>
      <c r="AG10" s="49">
        <v>1</v>
      </c>
      <c r="AH10" s="49">
        <v>1</v>
      </c>
    </row>
    <row r="11" spans="1:34" x14ac:dyDescent="0.35">
      <c r="A11" s="48" t="s">
        <v>34</v>
      </c>
      <c r="B11" s="49">
        <v>0.5</v>
      </c>
      <c r="C11" s="49">
        <v>0</v>
      </c>
      <c r="D11" s="49">
        <v>0</v>
      </c>
      <c r="E11" s="49">
        <v>1</v>
      </c>
      <c r="F11" s="49">
        <v>0.3</v>
      </c>
      <c r="G11" s="49">
        <v>1</v>
      </c>
      <c r="H11" s="49">
        <v>0.5</v>
      </c>
      <c r="I11" s="49">
        <v>1</v>
      </c>
      <c r="J11" s="49">
        <v>0.4</v>
      </c>
      <c r="K11" s="49">
        <v>0</v>
      </c>
      <c r="L11" s="49">
        <v>0</v>
      </c>
      <c r="M11" s="49">
        <v>0.2</v>
      </c>
      <c r="N11" s="49">
        <v>0.5</v>
      </c>
      <c r="O11" s="49">
        <v>0</v>
      </c>
      <c r="P11" s="49">
        <v>0</v>
      </c>
      <c r="Q11" s="49">
        <v>0</v>
      </c>
      <c r="R11" s="49">
        <v>1</v>
      </c>
      <c r="S11" s="49">
        <v>1</v>
      </c>
      <c r="T11" s="49">
        <v>1</v>
      </c>
      <c r="U11" s="49">
        <v>1</v>
      </c>
      <c r="V11" s="49">
        <v>1</v>
      </c>
      <c r="W11" s="49">
        <v>0</v>
      </c>
      <c r="X11" s="49">
        <v>1</v>
      </c>
      <c r="Y11" s="49">
        <v>1</v>
      </c>
      <c r="Z11" s="49">
        <v>1</v>
      </c>
      <c r="AA11" s="49">
        <v>0</v>
      </c>
      <c r="AB11" s="49">
        <v>1</v>
      </c>
      <c r="AC11" s="49">
        <v>1</v>
      </c>
      <c r="AD11" s="49">
        <v>1</v>
      </c>
      <c r="AE11" s="49">
        <v>1</v>
      </c>
      <c r="AF11" s="49">
        <v>0</v>
      </c>
      <c r="AG11" s="49">
        <v>1</v>
      </c>
      <c r="AH11" s="49">
        <v>1</v>
      </c>
    </row>
    <row r="12" spans="1:34" x14ac:dyDescent="0.35">
      <c r="A12" s="48" t="s">
        <v>35</v>
      </c>
      <c r="B12" s="49">
        <v>0.5</v>
      </c>
      <c r="C12" s="49">
        <v>0.2</v>
      </c>
      <c r="D12" s="49">
        <v>0.3</v>
      </c>
      <c r="E12" s="49">
        <v>0.7</v>
      </c>
      <c r="F12" s="49">
        <v>0</v>
      </c>
      <c r="G12" s="49">
        <v>1</v>
      </c>
      <c r="H12" s="49">
        <v>0.5</v>
      </c>
      <c r="I12" s="49">
        <v>1</v>
      </c>
      <c r="J12" s="49">
        <v>0.2</v>
      </c>
      <c r="K12" s="49">
        <v>0</v>
      </c>
      <c r="L12" s="49">
        <v>0</v>
      </c>
      <c r="M12" s="49">
        <v>1</v>
      </c>
      <c r="N12" s="49">
        <v>0.5</v>
      </c>
      <c r="O12" s="49">
        <v>0.3</v>
      </c>
      <c r="P12" s="49">
        <v>0</v>
      </c>
      <c r="Q12" s="49">
        <v>0</v>
      </c>
      <c r="R12" s="49">
        <v>1</v>
      </c>
      <c r="S12" s="49">
        <v>0</v>
      </c>
      <c r="T12" s="49">
        <v>1</v>
      </c>
      <c r="U12" s="49">
        <v>1</v>
      </c>
      <c r="V12" s="49">
        <v>1</v>
      </c>
      <c r="W12" s="49">
        <v>0</v>
      </c>
      <c r="X12" s="49">
        <v>1</v>
      </c>
      <c r="Y12" s="49">
        <v>1</v>
      </c>
      <c r="Z12" s="49">
        <v>0</v>
      </c>
      <c r="AA12" s="49">
        <v>0</v>
      </c>
      <c r="AB12" s="49">
        <v>1</v>
      </c>
      <c r="AC12" s="49">
        <v>1</v>
      </c>
      <c r="AD12" s="49">
        <v>1</v>
      </c>
      <c r="AE12" s="49">
        <v>1</v>
      </c>
      <c r="AF12" s="49">
        <v>1</v>
      </c>
      <c r="AG12" s="49">
        <v>1</v>
      </c>
      <c r="AH12" s="49">
        <v>1</v>
      </c>
    </row>
    <row r="13" spans="1:34" x14ac:dyDescent="0.35">
      <c r="A13" s="48" t="s">
        <v>35</v>
      </c>
      <c r="B13" s="49">
        <v>0.5</v>
      </c>
      <c r="C13" s="49">
        <v>0.2</v>
      </c>
      <c r="D13" s="49">
        <v>0.3</v>
      </c>
      <c r="E13" s="49">
        <v>0.7</v>
      </c>
      <c r="F13" s="49">
        <v>0</v>
      </c>
      <c r="G13" s="49">
        <v>1</v>
      </c>
      <c r="H13" s="49">
        <v>0.5</v>
      </c>
      <c r="I13" s="49">
        <v>1</v>
      </c>
      <c r="J13" s="49">
        <v>0.4</v>
      </c>
      <c r="K13" s="49">
        <v>0</v>
      </c>
      <c r="L13" s="49">
        <v>0</v>
      </c>
      <c r="M13" s="49">
        <v>1</v>
      </c>
      <c r="N13" s="49">
        <v>1</v>
      </c>
      <c r="O13" s="49">
        <v>0.3</v>
      </c>
      <c r="P13" s="49">
        <v>0</v>
      </c>
      <c r="Q13" s="49">
        <v>0</v>
      </c>
      <c r="R13" s="49">
        <v>1</v>
      </c>
      <c r="S13" s="49">
        <v>1</v>
      </c>
      <c r="T13" s="49">
        <v>1</v>
      </c>
      <c r="U13" s="49">
        <v>1</v>
      </c>
      <c r="V13" s="49">
        <v>1</v>
      </c>
      <c r="W13" s="49">
        <v>0</v>
      </c>
      <c r="X13" s="49">
        <v>1</v>
      </c>
      <c r="Y13" s="49">
        <v>1</v>
      </c>
      <c r="Z13" s="49">
        <v>1</v>
      </c>
      <c r="AA13" s="49">
        <v>1</v>
      </c>
      <c r="AB13" s="49">
        <v>1</v>
      </c>
      <c r="AC13" s="49">
        <v>1</v>
      </c>
      <c r="AD13" s="49">
        <v>1</v>
      </c>
      <c r="AE13" s="49">
        <v>1</v>
      </c>
      <c r="AF13" s="49">
        <v>1</v>
      </c>
      <c r="AG13" s="49">
        <v>1</v>
      </c>
      <c r="AH13" s="49">
        <v>1</v>
      </c>
    </row>
    <row r="14" spans="1:34" x14ac:dyDescent="0.35">
      <c r="A14" s="48" t="s">
        <v>35</v>
      </c>
      <c r="B14" s="49">
        <v>1</v>
      </c>
      <c r="C14" s="49">
        <v>0.2</v>
      </c>
      <c r="D14" s="49">
        <v>0.3</v>
      </c>
      <c r="E14" s="49">
        <v>0.7</v>
      </c>
      <c r="F14" s="49">
        <v>0</v>
      </c>
      <c r="G14" s="49">
        <v>1</v>
      </c>
      <c r="H14" s="49">
        <v>0.5</v>
      </c>
      <c r="I14" s="49">
        <v>1</v>
      </c>
      <c r="J14" s="49">
        <v>0.4</v>
      </c>
      <c r="K14" s="49">
        <v>0</v>
      </c>
      <c r="L14" s="49">
        <v>0</v>
      </c>
      <c r="M14" s="49">
        <v>0.2</v>
      </c>
      <c r="N14" s="49">
        <v>1</v>
      </c>
      <c r="O14" s="49">
        <v>0.3</v>
      </c>
      <c r="P14" s="49">
        <v>0</v>
      </c>
      <c r="Q14" s="49">
        <v>0</v>
      </c>
      <c r="R14" s="49">
        <v>1</v>
      </c>
      <c r="S14" s="49">
        <v>0</v>
      </c>
      <c r="T14" s="49">
        <v>1</v>
      </c>
      <c r="U14" s="49">
        <v>1</v>
      </c>
      <c r="V14" s="49">
        <v>1</v>
      </c>
      <c r="W14" s="49">
        <v>0</v>
      </c>
      <c r="X14" s="49">
        <v>1</v>
      </c>
      <c r="Y14" s="49">
        <v>1</v>
      </c>
      <c r="Z14" s="49">
        <v>1</v>
      </c>
      <c r="AA14" s="49">
        <v>0</v>
      </c>
      <c r="AB14" s="49">
        <v>1</v>
      </c>
      <c r="AC14" s="49">
        <v>1</v>
      </c>
      <c r="AD14" s="49">
        <v>1</v>
      </c>
      <c r="AE14" s="49">
        <v>1</v>
      </c>
      <c r="AF14" s="49">
        <v>1</v>
      </c>
      <c r="AG14" s="49">
        <v>1</v>
      </c>
      <c r="AH14" s="49">
        <v>0.5</v>
      </c>
    </row>
    <row r="15" spans="1:34" x14ac:dyDescent="0.35">
      <c r="A15" s="48" t="s">
        <v>34</v>
      </c>
      <c r="B15" s="49">
        <v>1</v>
      </c>
      <c r="C15" s="49">
        <v>0</v>
      </c>
      <c r="D15" s="49">
        <v>0</v>
      </c>
      <c r="E15" s="49">
        <v>0</v>
      </c>
      <c r="F15" s="49">
        <v>0</v>
      </c>
      <c r="G15" s="49">
        <v>0</v>
      </c>
      <c r="H15" s="49">
        <v>0.5</v>
      </c>
      <c r="I15" s="49">
        <v>0</v>
      </c>
      <c r="J15" s="49">
        <v>1</v>
      </c>
      <c r="K15" s="49">
        <v>0</v>
      </c>
      <c r="L15" s="49">
        <v>0</v>
      </c>
      <c r="M15" s="49">
        <v>0.4</v>
      </c>
      <c r="N15" s="49">
        <v>0.2</v>
      </c>
      <c r="O15" s="49">
        <v>0</v>
      </c>
      <c r="P15" s="49">
        <v>0</v>
      </c>
      <c r="Q15" s="49">
        <v>0</v>
      </c>
      <c r="R15" s="49">
        <v>1</v>
      </c>
      <c r="S15" s="49">
        <v>0</v>
      </c>
      <c r="T15" s="49">
        <v>1</v>
      </c>
      <c r="U15" s="49">
        <v>1</v>
      </c>
      <c r="V15" s="49">
        <v>1</v>
      </c>
      <c r="W15" s="49">
        <v>0</v>
      </c>
      <c r="X15" s="49">
        <v>1</v>
      </c>
      <c r="Y15" s="49">
        <v>1</v>
      </c>
      <c r="Z15" s="49">
        <v>1</v>
      </c>
      <c r="AA15" s="49">
        <v>0</v>
      </c>
      <c r="AB15" s="49">
        <v>1</v>
      </c>
      <c r="AC15" s="49">
        <v>1</v>
      </c>
      <c r="AD15" s="49">
        <v>0</v>
      </c>
      <c r="AE15" s="49">
        <v>1</v>
      </c>
      <c r="AF15" s="49">
        <v>0</v>
      </c>
      <c r="AG15" s="49">
        <v>1</v>
      </c>
      <c r="AH15" s="49">
        <v>1</v>
      </c>
    </row>
    <row r="16" spans="1:34" x14ac:dyDescent="0.35">
      <c r="A16" s="48" t="s">
        <v>35</v>
      </c>
      <c r="B16" s="49">
        <v>0.7</v>
      </c>
      <c r="C16" s="49">
        <v>0</v>
      </c>
      <c r="D16" s="49">
        <v>0</v>
      </c>
      <c r="E16" s="49">
        <v>0.7</v>
      </c>
      <c r="F16" s="49">
        <v>0</v>
      </c>
      <c r="G16" s="49">
        <v>0</v>
      </c>
      <c r="H16" s="49">
        <v>0.5</v>
      </c>
      <c r="I16" s="49">
        <v>0</v>
      </c>
      <c r="J16" s="49">
        <v>0.8</v>
      </c>
      <c r="K16" s="49">
        <v>0</v>
      </c>
      <c r="L16" s="49">
        <v>0</v>
      </c>
      <c r="M16" s="49">
        <v>0.2</v>
      </c>
      <c r="N16" s="49">
        <v>0.5</v>
      </c>
      <c r="O16" s="49">
        <v>0</v>
      </c>
      <c r="P16" s="49">
        <v>0</v>
      </c>
      <c r="Q16" s="49">
        <v>0</v>
      </c>
      <c r="R16" s="49">
        <v>1</v>
      </c>
      <c r="S16" s="49">
        <v>0</v>
      </c>
      <c r="T16" s="49">
        <v>1</v>
      </c>
      <c r="U16" s="49">
        <v>1</v>
      </c>
      <c r="V16" s="49">
        <v>1</v>
      </c>
      <c r="W16" s="49">
        <v>0</v>
      </c>
      <c r="X16" s="49">
        <v>1</v>
      </c>
      <c r="Y16" s="49">
        <v>0</v>
      </c>
      <c r="Z16" s="49">
        <v>1</v>
      </c>
      <c r="AA16" s="49">
        <v>0</v>
      </c>
      <c r="AB16" s="49">
        <v>1</v>
      </c>
      <c r="AC16" s="49">
        <v>1</v>
      </c>
      <c r="AD16" s="49">
        <v>1</v>
      </c>
      <c r="AE16" s="49">
        <v>1</v>
      </c>
      <c r="AF16" s="49">
        <v>0</v>
      </c>
      <c r="AG16" s="49">
        <v>1</v>
      </c>
      <c r="AH16" s="49">
        <v>0.5</v>
      </c>
    </row>
    <row r="17" spans="1:34" x14ac:dyDescent="0.35">
      <c r="A17" s="48" t="s">
        <v>35</v>
      </c>
      <c r="B17" s="49">
        <v>0</v>
      </c>
      <c r="C17" s="49">
        <v>1</v>
      </c>
      <c r="D17" s="49">
        <v>1</v>
      </c>
      <c r="E17" s="49">
        <v>0</v>
      </c>
      <c r="F17" s="49">
        <v>0</v>
      </c>
      <c r="G17" s="49">
        <v>1</v>
      </c>
      <c r="H17" s="49">
        <v>0.5</v>
      </c>
      <c r="I17" s="49">
        <v>1</v>
      </c>
      <c r="J17" s="49">
        <v>0.4</v>
      </c>
      <c r="K17" s="49">
        <v>0.3</v>
      </c>
      <c r="L17" s="49">
        <v>0</v>
      </c>
      <c r="M17" s="49">
        <v>0.2</v>
      </c>
      <c r="N17" s="49">
        <v>0.2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1</v>
      </c>
      <c r="U17" s="49">
        <v>1</v>
      </c>
      <c r="V17" s="49">
        <v>1</v>
      </c>
      <c r="W17" s="49">
        <v>0</v>
      </c>
      <c r="X17" s="49">
        <v>1</v>
      </c>
      <c r="Y17" s="49">
        <v>1</v>
      </c>
      <c r="Z17" s="49">
        <v>1</v>
      </c>
      <c r="AA17" s="49">
        <v>0</v>
      </c>
      <c r="AB17" s="49">
        <v>1</v>
      </c>
      <c r="AC17" s="49">
        <v>1</v>
      </c>
      <c r="AD17" s="49">
        <v>1</v>
      </c>
      <c r="AE17" s="49">
        <v>1</v>
      </c>
      <c r="AF17" s="49">
        <v>1</v>
      </c>
      <c r="AG17" s="49">
        <v>1</v>
      </c>
      <c r="AH17" s="49">
        <v>1</v>
      </c>
    </row>
    <row r="18" spans="1:34" x14ac:dyDescent="0.35">
      <c r="A18" s="48" t="s">
        <v>35</v>
      </c>
      <c r="B18" s="49">
        <v>0.3</v>
      </c>
      <c r="C18" s="49">
        <v>0</v>
      </c>
      <c r="D18" s="49">
        <v>0</v>
      </c>
      <c r="E18" s="49">
        <v>0.7</v>
      </c>
      <c r="F18" s="49">
        <v>0</v>
      </c>
      <c r="G18" s="49">
        <v>1</v>
      </c>
      <c r="H18" s="49">
        <v>0.5</v>
      </c>
      <c r="I18" s="49">
        <v>1</v>
      </c>
      <c r="J18" s="49">
        <v>0.4</v>
      </c>
      <c r="K18" s="49">
        <v>0</v>
      </c>
      <c r="L18" s="49">
        <v>0</v>
      </c>
      <c r="M18" s="49">
        <v>0</v>
      </c>
      <c r="N18" s="49">
        <v>0.5</v>
      </c>
      <c r="O18" s="49">
        <v>0</v>
      </c>
      <c r="P18" s="49">
        <v>0</v>
      </c>
      <c r="Q18" s="49">
        <v>0</v>
      </c>
      <c r="R18" s="49">
        <v>1</v>
      </c>
      <c r="S18" s="49">
        <v>1</v>
      </c>
      <c r="T18" s="49">
        <v>1</v>
      </c>
      <c r="U18" s="49">
        <v>1</v>
      </c>
      <c r="V18" s="49">
        <v>1</v>
      </c>
      <c r="W18" s="49">
        <v>0</v>
      </c>
      <c r="X18" s="49">
        <v>1</v>
      </c>
      <c r="Y18" s="49">
        <v>1</v>
      </c>
      <c r="Z18" s="49">
        <v>0</v>
      </c>
      <c r="AA18" s="49">
        <v>1</v>
      </c>
      <c r="AB18" s="49">
        <v>1</v>
      </c>
      <c r="AC18" s="49">
        <v>1</v>
      </c>
      <c r="AD18" s="49">
        <v>1</v>
      </c>
      <c r="AE18" s="49">
        <v>1</v>
      </c>
      <c r="AF18" s="49">
        <v>0</v>
      </c>
      <c r="AG18" s="49">
        <v>1</v>
      </c>
      <c r="AH18" s="49">
        <v>1</v>
      </c>
    </row>
    <row r="19" spans="1:34" x14ac:dyDescent="0.35">
      <c r="A19" s="48" t="s">
        <v>35</v>
      </c>
      <c r="B19" s="49">
        <v>0.5</v>
      </c>
      <c r="C19" s="49">
        <v>0</v>
      </c>
      <c r="D19" s="49">
        <v>0</v>
      </c>
      <c r="E19" s="49">
        <v>0</v>
      </c>
      <c r="F19" s="49">
        <v>0</v>
      </c>
      <c r="G19" s="49">
        <v>1</v>
      </c>
      <c r="H19" s="49">
        <v>0.5</v>
      </c>
      <c r="I19" s="49">
        <v>1</v>
      </c>
      <c r="J19" s="49">
        <v>0.6</v>
      </c>
      <c r="K19" s="49">
        <v>0</v>
      </c>
      <c r="L19" s="49">
        <v>0</v>
      </c>
      <c r="M19" s="49">
        <v>0.2</v>
      </c>
      <c r="N19" s="49">
        <v>0.5</v>
      </c>
      <c r="O19" s="49">
        <v>0</v>
      </c>
      <c r="P19" s="49">
        <v>0</v>
      </c>
      <c r="Q19" s="49">
        <v>0</v>
      </c>
      <c r="R19" s="49">
        <v>1</v>
      </c>
      <c r="S19" s="49">
        <v>0</v>
      </c>
      <c r="T19" s="49">
        <v>1</v>
      </c>
      <c r="U19" s="49">
        <v>1</v>
      </c>
      <c r="V19" s="49">
        <v>1</v>
      </c>
      <c r="W19" s="49">
        <v>0</v>
      </c>
      <c r="X19" s="49">
        <v>0</v>
      </c>
      <c r="Y19" s="49">
        <v>1</v>
      </c>
      <c r="Z19" s="49">
        <v>1</v>
      </c>
      <c r="AA19" s="49">
        <v>0</v>
      </c>
      <c r="AB19" s="49">
        <v>0</v>
      </c>
      <c r="AC19" s="49">
        <v>1</v>
      </c>
      <c r="AD19" s="49">
        <v>1</v>
      </c>
      <c r="AE19" s="49">
        <v>1</v>
      </c>
      <c r="AF19" s="49">
        <v>0</v>
      </c>
      <c r="AG19" s="49">
        <v>1</v>
      </c>
      <c r="AH19" s="49">
        <v>1</v>
      </c>
    </row>
    <row r="20" spans="1:34" x14ac:dyDescent="0.35">
      <c r="A20" s="48" t="s">
        <v>35</v>
      </c>
      <c r="B20" s="49">
        <v>0.5</v>
      </c>
      <c r="C20" s="49">
        <v>0</v>
      </c>
      <c r="D20" s="49">
        <v>0</v>
      </c>
      <c r="E20" s="49">
        <v>0.7</v>
      </c>
      <c r="F20" s="49">
        <v>0</v>
      </c>
      <c r="G20" s="49">
        <v>1</v>
      </c>
      <c r="H20" s="49">
        <v>0.5</v>
      </c>
      <c r="I20" s="49">
        <v>1</v>
      </c>
      <c r="J20" s="49">
        <v>0.4</v>
      </c>
      <c r="K20" s="49">
        <v>1</v>
      </c>
      <c r="L20" s="49">
        <v>0</v>
      </c>
      <c r="M20" s="49">
        <v>0.2</v>
      </c>
      <c r="N20" s="49">
        <v>0.5</v>
      </c>
      <c r="O20" s="49">
        <v>0</v>
      </c>
      <c r="P20" s="49">
        <v>0</v>
      </c>
      <c r="Q20" s="49">
        <v>0</v>
      </c>
      <c r="R20" s="49">
        <v>1</v>
      </c>
      <c r="S20" s="49">
        <v>0</v>
      </c>
      <c r="T20" s="49">
        <v>1</v>
      </c>
      <c r="U20" s="49">
        <v>1</v>
      </c>
      <c r="V20" s="49">
        <v>1</v>
      </c>
      <c r="W20" s="49">
        <v>1</v>
      </c>
      <c r="X20" s="49">
        <v>1</v>
      </c>
      <c r="Y20" s="49">
        <v>1</v>
      </c>
      <c r="Z20" s="49">
        <v>1</v>
      </c>
      <c r="AA20" s="49">
        <v>0</v>
      </c>
      <c r="AB20" s="49">
        <v>1</v>
      </c>
      <c r="AC20" s="49">
        <v>1</v>
      </c>
      <c r="AD20" s="49">
        <v>1</v>
      </c>
      <c r="AE20" s="49">
        <v>1</v>
      </c>
      <c r="AF20" s="49">
        <v>0</v>
      </c>
      <c r="AG20" s="49">
        <v>1</v>
      </c>
      <c r="AH20" s="49">
        <v>1</v>
      </c>
    </row>
    <row r="21" spans="1:34" x14ac:dyDescent="0.35">
      <c r="A21" s="48" t="s">
        <v>34</v>
      </c>
      <c r="B21" s="49">
        <v>0.5</v>
      </c>
      <c r="C21" s="49">
        <v>0</v>
      </c>
      <c r="D21" s="49">
        <v>0</v>
      </c>
      <c r="E21" s="49">
        <v>0.7</v>
      </c>
      <c r="F21" s="49">
        <v>0.3</v>
      </c>
      <c r="G21" s="49">
        <v>1</v>
      </c>
      <c r="H21" s="49">
        <v>0.5</v>
      </c>
      <c r="I21" s="49">
        <v>0</v>
      </c>
      <c r="J21" s="49">
        <v>0.2</v>
      </c>
      <c r="K21" s="49">
        <v>0.44444444444444398</v>
      </c>
      <c r="L21" s="49">
        <v>1</v>
      </c>
      <c r="M21" s="49">
        <v>0.26216216216216198</v>
      </c>
      <c r="N21" s="49">
        <v>0.5</v>
      </c>
      <c r="O21" s="49">
        <v>1</v>
      </c>
      <c r="P21" s="49">
        <v>1</v>
      </c>
      <c r="Q21" s="49">
        <v>0.75</v>
      </c>
      <c r="R21" s="49">
        <v>1</v>
      </c>
      <c r="S21" s="49">
        <v>1</v>
      </c>
      <c r="T21" s="49">
        <v>1</v>
      </c>
      <c r="U21" s="49">
        <v>1</v>
      </c>
      <c r="V21" s="49">
        <v>1</v>
      </c>
      <c r="W21" s="49">
        <v>1</v>
      </c>
      <c r="X21" s="49">
        <v>1</v>
      </c>
      <c r="Y21" s="49">
        <v>1</v>
      </c>
      <c r="Z21" s="49">
        <v>1</v>
      </c>
      <c r="AA21" s="49">
        <v>1</v>
      </c>
      <c r="AB21" s="49">
        <v>1</v>
      </c>
      <c r="AC21" s="49">
        <v>1</v>
      </c>
      <c r="AD21" s="49">
        <v>1</v>
      </c>
      <c r="AE21" s="49">
        <v>1</v>
      </c>
      <c r="AF21" s="49">
        <v>1</v>
      </c>
      <c r="AG21" s="49">
        <v>1</v>
      </c>
      <c r="AH21" s="49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7"/>
  <sheetViews>
    <sheetView workbookViewId="0"/>
  </sheetViews>
  <sheetFormatPr defaultRowHeight="14.5" x14ac:dyDescent="0.35"/>
  <sheetData>
    <row r="1" spans="1:34" x14ac:dyDescent="0.35">
      <c r="A1" s="44" t="s">
        <v>33</v>
      </c>
      <c r="B1" s="44" t="s">
        <v>0</v>
      </c>
      <c r="C1" s="44" t="s">
        <v>1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6</v>
      </c>
      <c r="I1" s="44" t="s">
        <v>7</v>
      </c>
      <c r="J1" s="44" t="s">
        <v>8</v>
      </c>
      <c r="K1" s="44" t="s">
        <v>9</v>
      </c>
      <c r="L1" s="44" t="s">
        <v>10</v>
      </c>
      <c r="M1" s="44" t="s">
        <v>11</v>
      </c>
      <c r="N1" s="44" t="s">
        <v>12</v>
      </c>
      <c r="O1" s="44" t="s">
        <v>13</v>
      </c>
      <c r="P1" s="44" t="s">
        <v>14</v>
      </c>
      <c r="Q1" s="44" t="s">
        <v>15</v>
      </c>
      <c r="R1" s="44" t="s">
        <v>16</v>
      </c>
      <c r="S1" s="44" t="s">
        <v>17</v>
      </c>
      <c r="T1" s="44" t="s">
        <v>18</v>
      </c>
      <c r="U1" s="44" t="s">
        <v>19</v>
      </c>
      <c r="V1" s="44" t="s">
        <v>20</v>
      </c>
      <c r="W1" s="44" t="s">
        <v>21</v>
      </c>
      <c r="X1" s="44" t="s">
        <v>22</v>
      </c>
      <c r="Y1" s="44" t="s">
        <v>23</v>
      </c>
      <c r="Z1" s="44" t="s">
        <v>24</v>
      </c>
      <c r="AA1" s="44" t="s">
        <v>25</v>
      </c>
      <c r="AB1" s="44" t="s">
        <v>26</v>
      </c>
      <c r="AC1" s="44" t="s">
        <v>27</v>
      </c>
      <c r="AD1" s="44" t="s">
        <v>28</v>
      </c>
      <c r="AE1" s="44" t="s">
        <v>29</v>
      </c>
      <c r="AF1" s="44" t="s">
        <v>30</v>
      </c>
      <c r="AG1" s="44" t="s">
        <v>31</v>
      </c>
      <c r="AH1" s="44" t="s">
        <v>32</v>
      </c>
    </row>
    <row r="2" spans="1:34" x14ac:dyDescent="0.35">
      <c r="A2" s="45" t="s">
        <v>34</v>
      </c>
      <c r="B2" s="45">
        <v>0.7</v>
      </c>
      <c r="C2" s="45">
        <v>0.2</v>
      </c>
      <c r="D2" s="45">
        <v>0.3</v>
      </c>
      <c r="E2" s="45">
        <v>0.7</v>
      </c>
      <c r="F2" s="45">
        <v>0.3</v>
      </c>
      <c r="G2" s="45">
        <v>1</v>
      </c>
      <c r="H2" s="45">
        <v>0.5</v>
      </c>
      <c r="I2" s="45">
        <v>1</v>
      </c>
      <c r="J2" s="45">
        <v>0.2</v>
      </c>
      <c r="K2" s="45">
        <v>0</v>
      </c>
      <c r="L2" s="45">
        <v>0</v>
      </c>
      <c r="M2" s="45">
        <v>0.2</v>
      </c>
      <c r="N2" s="45">
        <v>0.5</v>
      </c>
      <c r="O2" s="45">
        <v>0</v>
      </c>
      <c r="P2" s="45">
        <v>0</v>
      </c>
      <c r="Q2" s="45">
        <v>0</v>
      </c>
      <c r="R2" s="45">
        <v>1</v>
      </c>
      <c r="S2" s="45">
        <v>0</v>
      </c>
      <c r="T2" s="45">
        <v>1</v>
      </c>
      <c r="U2" s="45">
        <v>1</v>
      </c>
      <c r="V2" s="45">
        <v>1</v>
      </c>
      <c r="W2" s="45">
        <v>0</v>
      </c>
      <c r="X2" s="45">
        <v>1</v>
      </c>
      <c r="Y2" s="45">
        <v>1</v>
      </c>
      <c r="Z2" s="45">
        <v>1</v>
      </c>
      <c r="AA2" s="45">
        <v>0</v>
      </c>
      <c r="AB2" s="45">
        <v>1</v>
      </c>
      <c r="AC2" s="45">
        <v>1</v>
      </c>
      <c r="AD2" s="45">
        <v>1</v>
      </c>
      <c r="AE2" s="45">
        <v>1</v>
      </c>
      <c r="AF2" s="45">
        <v>1</v>
      </c>
      <c r="AG2" s="45">
        <v>1</v>
      </c>
      <c r="AH2" s="45">
        <v>0.5</v>
      </c>
    </row>
    <row r="3" spans="1:34" x14ac:dyDescent="0.35">
      <c r="A3" s="45" t="s">
        <v>35</v>
      </c>
      <c r="B3" s="45">
        <v>0.5</v>
      </c>
      <c r="C3" s="45">
        <v>0.1</v>
      </c>
      <c r="D3" s="45">
        <v>0.2</v>
      </c>
      <c r="E3" s="45">
        <v>0.5</v>
      </c>
      <c r="F3" s="45">
        <v>0.1</v>
      </c>
      <c r="G3" s="45">
        <v>0.9</v>
      </c>
      <c r="H3" s="45">
        <v>0.55416666666666603</v>
      </c>
      <c r="I3" s="45">
        <v>0.848101265822784</v>
      </c>
      <c r="J3" s="45">
        <v>0.42278481012658198</v>
      </c>
      <c r="K3" s="45">
        <v>0.13055555555555501</v>
      </c>
      <c r="L3" s="45">
        <v>0.05</v>
      </c>
      <c r="M3" s="45">
        <v>0.26216216216216198</v>
      </c>
      <c r="N3" s="45">
        <v>0.515625</v>
      </c>
      <c r="O3" s="45">
        <v>7.4999999999999997E-2</v>
      </c>
      <c r="P3" s="45">
        <v>5.0632911392405E-2</v>
      </c>
      <c r="Q3" s="45">
        <v>9.9999999999999895E-2</v>
      </c>
      <c r="R3" s="45">
        <v>0.938271604938271</v>
      </c>
      <c r="S3" s="45">
        <v>0.38271604938271597</v>
      </c>
      <c r="T3" s="45">
        <v>0.96296296296296302</v>
      </c>
      <c r="U3" s="45">
        <v>1</v>
      </c>
      <c r="V3" s="45">
        <v>1</v>
      </c>
      <c r="W3" s="45">
        <v>0.12345679012345601</v>
      </c>
      <c r="X3" s="45">
        <v>0.96296296296296302</v>
      </c>
      <c r="Y3" s="45">
        <v>0.95061728395061695</v>
      </c>
      <c r="Z3" s="45">
        <v>0.75308641975308599</v>
      </c>
      <c r="AA3" s="45">
        <v>0.35802469135802401</v>
      </c>
      <c r="AB3" s="45">
        <v>0.98765432098765404</v>
      </c>
      <c r="AC3" s="45">
        <v>1</v>
      </c>
      <c r="AD3" s="45">
        <v>0.97530864197530798</v>
      </c>
      <c r="AE3" s="45">
        <v>1</v>
      </c>
      <c r="AF3" s="45">
        <v>0.46249999999999902</v>
      </c>
      <c r="AG3" s="45">
        <v>1</v>
      </c>
      <c r="AH3" s="45">
        <v>0.89610389610389596</v>
      </c>
    </row>
    <row r="4" spans="1:34" x14ac:dyDescent="0.35">
      <c r="A4" s="45" t="s">
        <v>35</v>
      </c>
      <c r="B4" s="45">
        <v>0</v>
      </c>
      <c r="C4" s="45">
        <v>0.1</v>
      </c>
      <c r="D4" s="45">
        <v>0.2</v>
      </c>
      <c r="E4" s="45">
        <v>0.5</v>
      </c>
      <c r="F4" s="45">
        <v>0.1</v>
      </c>
      <c r="G4" s="45">
        <v>0.9</v>
      </c>
      <c r="H4" s="45">
        <v>0.55416666666666603</v>
      </c>
      <c r="I4" s="45">
        <v>0.848101265822784</v>
      </c>
      <c r="J4" s="45">
        <v>0.42278481012658198</v>
      </c>
      <c r="K4" s="45">
        <v>0.13055555555555501</v>
      </c>
      <c r="L4" s="45">
        <v>0.05</v>
      </c>
      <c r="M4" s="45">
        <v>0.26216216216216198</v>
      </c>
      <c r="N4" s="45">
        <v>0.515625</v>
      </c>
      <c r="O4" s="45">
        <v>7.4999999999999997E-2</v>
      </c>
      <c r="P4" s="45">
        <v>5.0632911392405E-2</v>
      </c>
      <c r="Q4" s="45">
        <v>9.9999999999999895E-2</v>
      </c>
      <c r="R4" s="45">
        <v>0.938271604938271</v>
      </c>
      <c r="S4" s="45">
        <v>0.38271604938271597</v>
      </c>
      <c r="T4" s="45">
        <v>0.96296296296296302</v>
      </c>
      <c r="U4" s="45">
        <v>1</v>
      </c>
      <c r="V4" s="45">
        <v>1</v>
      </c>
      <c r="W4" s="45">
        <v>0.12345679012345601</v>
      </c>
      <c r="X4" s="45">
        <v>0.96296296296296302</v>
      </c>
      <c r="Y4" s="45">
        <v>0.95061728395061695</v>
      </c>
      <c r="Z4" s="45">
        <v>0.75308641975308599</v>
      </c>
      <c r="AA4" s="45">
        <v>0.35802469135802401</v>
      </c>
      <c r="AB4" s="45">
        <v>0.98765432098765404</v>
      </c>
      <c r="AC4" s="45">
        <v>1</v>
      </c>
      <c r="AD4" s="45">
        <v>0.97530864197530798</v>
      </c>
      <c r="AE4" s="45">
        <v>1</v>
      </c>
      <c r="AF4" s="45">
        <v>0.46249999999999902</v>
      </c>
      <c r="AG4" s="45">
        <v>1</v>
      </c>
      <c r="AH4" s="45">
        <v>0.89610389610389596</v>
      </c>
    </row>
    <row r="5" spans="1:34" x14ac:dyDescent="0.35">
      <c r="A5" s="45" t="s">
        <v>35</v>
      </c>
      <c r="B5" s="45">
        <v>0</v>
      </c>
      <c r="C5" s="45">
        <v>0.1</v>
      </c>
      <c r="D5" s="45">
        <v>0.2</v>
      </c>
      <c r="E5" s="45">
        <v>0.5</v>
      </c>
      <c r="F5" s="45">
        <v>0.1</v>
      </c>
      <c r="G5" s="45">
        <v>0.9</v>
      </c>
      <c r="H5" s="45">
        <v>0.55416666666666603</v>
      </c>
      <c r="I5" s="45">
        <v>0.848101265822784</v>
      </c>
      <c r="J5" s="45">
        <v>0.42278481012658198</v>
      </c>
      <c r="K5" s="45">
        <v>0.13055555555555501</v>
      </c>
      <c r="L5" s="45">
        <v>0.05</v>
      </c>
      <c r="M5" s="45">
        <v>0.26216216216216198</v>
      </c>
      <c r="N5" s="45">
        <v>0.515625</v>
      </c>
      <c r="O5" s="45">
        <v>7.4999999999999997E-2</v>
      </c>
      <c r="P5" s="45">
        <v>5.0632911392405E-2</v>
      </c>
      <c r="Q5" s="45">
        <v>9.9999999999999895E-2</v>
      </c>
      <c r="R5" s="45">
        <v>0.938271604938271</v>
      </c>
      <c r="S5" s="45">
        <v>0.38271604938271597</v>
      </c>
      <c r="T5" s="45">
        <v>0.96296296296296302</v>
      </c>
      <c r="U5" s="45">
        <v>1</v>
      </c>
      <c r="V5" s="45">
        <v>1</v>
      </c>
      <c r="W5" s="45">
        <v>0.12345679012345601</v>
      </c>
      <c r="X5" s="45">
        <v>0.96296296296296302</v>
      </c>
      <c r="Y5" s="45">
        <v>0.95061728395061695</v>
      </c>
      <c r="Z5" s="45">
        <v>0.75308641975308599</v>
      </c>
      <c r="AA5" s="45">
        <v>0.35802469135802401</v>
      </c>
      <c r="AB5" s="45">
        <v>0.98765432098765404</v>
      </c>
      <c r="AC5" s="45">
        <v>1</v>
      </c>
      <c r="AD5" s="45">
        <v>0.97530864197530798</v>
      </c>
      <c r="AE5" s="45">
        <v>1</v>
      </c>
      <c r="AF5" s="45">
        <v>0.46249999999999902</v>
      </c>
      <c r="AG5" s="45">
        <v>1</v>
      </c>
      <c r="AH5" s="45">
        <v>0.89610389610389596</v>
      </c>
    </row>
    <row r="6" spans="1:34" x14ac:dyDescent="0.35">
      <c r="A6" s="45" t="s">
        <v>35</v>
      </c>
      <c r="B6" s="45">
        <v>0</v>
      </c>
      <c r="C6" s="45">
        <v>0.1</v>
      </c>
      <c r="D6" s="45">
        <v>0.2</v>
      </c>
      <c r="E6" s="45">
        <v>0.5</v>
      </c>
      <c r="F6" s="45">
        <v>0.1</v>
      </c>
      <c r="G6" s="45">
        <v>0.9</v>
      </c>
      <c r="H6" s="45">
        <v>0.55416666666666603</v>
      </c>
      <c r="I6" s="45">
        <v>0.848101265822784</v>
      </c>
      <c r="J6" s="45">
        <v>0.42278481012658198</v>
      </c>
      <c r="K6" s="45">
        <v>0.13055555555555501</v>
      </c>
      <c r="L6" s="45">
        <v>0.05</v>
      </c>
      <c r="M6" s="45">
        <v>0.26216216216216198</v>
      </c>
      <c r="N6" s="45">
        <v>0.515625</v>
      </c>
      <c r="O6" s="45">
        <v>7.4999999999999997E-2</v>
      </c>
      <c r="P6" s="45">
        <v>5.0632911392405E-2</v>
      </c>
      <c r="Q6" s="45">
        <v>9.9999999999999895E-2</v>
      </c>
      <c r="R6" s="45">
        <v>0.938271604938271</v>
      </c>
      <c r="S6" s="45">
        <v>0.38271604938271597</v>
      </c>
      <c r="T6" s="45">
        <v>0.96296296296296302</v>
      </c>
      <c r="U6" s="45">
        <v>1</v>
      </c>
      <c r="V6" s="45">
        <v>1</v>
      </c>
      <c r="W6" s="45">
        <v>0.12345679012345601</v>
      </c>
      <c r="X6" s="45">
        <v>0.96296296296296302</v>
      </c>
      <c r="Y6" s="45">
        <v>0.95061728395061695</v>
      </c>
      <c r="Z6" s="45">
        <v>0.75308641975308599</v>
      </c>
      <c r="AA6" s="45">
        <v>0.35802469135802401</v>
      </c>
      <c r="AB6" s="45">
        <v>0.98765432098765404</v>
      </c>
      <c r="AC6" s="45">
        <v>1</v>
      </c>
      <c r="AD6" s="45">
        <v>0.97530864197530798</v>
      </c>
      <c r="AE6" s="45">
        <v>1</v>
      </c>
      <c r="AF6" s="45">
        <v>0.46249999999999902</v>
      </c>
      <c r="AG6" s="45">
        <v>1</v>
      </c>
      <c r="AH6" s="45">
        <v>0.89610389610389596</v>
      </c>
    </row>
    <row r="7" spans="1:34" x14ac:dyDescent="0.35">
      <c r="A7" s="45" t="s">
        <v>35</v>
      </c>
      <c r="B7" s="45">
        <v>0</v>
      </c>
      <c r="C7" s="45">
        <v>0.1</v>
      </c>
      <c r="D7" s="45">
        <v>0.2</v>
      </c>
      <c r="E7" s="45">
        <v>0.5</v>
      </c>
      <c r="F7" s="45">
        <v>0.1</v>
      </c>
      <c r="G7" s="45">
        <v>0.9</v>
      </c>
      <c r="H7" s="45">
        <v>0.55416666666666603</v>
      </c>
      <c r="I7" s="45">
        <v>0.848101265822784</v>
      </c>
      <c r="J7" s="45">
        <v>0.42278481012658198</v>
      </c>
      <c r="K7" s="45">
        <v>0.13055555555555501</v>
      </c>
      <c r="L7" s="45">
        <v>0.05</v>
      </c>
      <c r="M7" s="45">
        <v>0.26216216216216198</v>
      </c>
      <c r="N7" s="45">
        <v>0.515625</v>
      </c>
      <c r="O7" s="45">
        <v>7.4999999999999997E-2</v>
      </c>
      <c r="P7" s="45">
        <v>5.0632911392405E-2</v>
      </c>
      <c r="Q7" s="45">
        <v>9.9999999999999895E-2</v>
      </c>
      <c r="R7" s="45">
        <v>0.938271604938271</v>
      </c>
      <c r="S7" s="45">
        <v>0.38271604938271597</v>
      </c>
      <c r="T7" s="45">
        <v>0.96296296296296302</v>
      </c>
      <c r="U7" s="45">
        <v>1</v>
      </c>
      <c r="V7" s="45">
        <v>1</v>
      </c>
      <c r="W7" s="45">
        <v>0.12345679012345601</v>
      </c>
      <c r="X7" s="45">
        <v>0.96296296296296302</v>
      </c>
      <c r="Y7" s="45">
        <v>0.95061728395061695</v>
      </c>
      <c r="Z7" s="45">
        <v>0.75308641975308599</v>
      </c>
      <c r="AA7" s="45">
        <v>0.35802469135802401</v>
      </c>
      <c r="AB7" s="45">
        <v>0.98765432098765404</v>
      </c>
      <c r="AC7" s="45">
        <v>1</v>
      </c>
      <c r="AD7" s="45">
        <v>0.97530864197530798</v>
      </c>
      <c r="AE7" s="45">
        <v>1</v>
      </c>
      <c r="AF7" s="45">
        <v>0.46249999999999902</v>
      </c>
      <c r="AG7" s="45">
        <v>1</v>
      </c>
      <c r="AH7" s="45">
        <v>0.89610389610389596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"/>
  <sheetViews>
    <sheetView workbookViewId="0">
      <selection activeCell="B5" sqref="B5"/>
    </sheetView>
  </sheetViews>
  <sheetFormatPr defaultRowHeight="14.5" x14ac:dyDescent="0.35"/>
  <sheetData>
    <row r="1" spans="1:34" x14ac:dyDescent="0.35">
      <c r="A1" s="46" t="s">
        <v>33</v>
      </c>
      <c r="B1" s="46" t="s">
        <v>0</v>
      </c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9</v>
      </c>
      <c r="L1" s="46" t="s">
        <v>10</v>
      </c>
      <c r="M1" s="46" t="s">
        <v>11</v>
      </c>
      <c r="N1" s="46" t="s">
        <v>12</v>
      </c>
      <c r="O1" s="46" t="s">
        <v>13</v>
      </c>
      <c r="P1" s="46" t="s">
        <v>14</v>
      </c>
      <c r="Q1" s="46" t="s">
        <v>15</v>
      </c>
      <c r="R1" s="46" t="s">
        <v>16</v>
      </c>
      <c r="S1" s="46" t="s">
        <v>17</v>
      </c>
      <c r="T1" s="46" t="s">
        <v>18</v>
      </c>
      <c r="U1" s="46" t="s">
        <v>19</v>
      </c>
      <c r="V1" s="46" t="s">
        <v>20</v>
      </c>
      <c r="W1" s="46" t="s">
        <v>21</v>
      </c>
      <c r="X1" s="46" t="s">
        <v>22</v>
      </c>
      <c r="Y1" s="46" t="s">
        <v>23</v>
      </c>
      <c r="Z1" s="46" t="s">
        <v>24</v>
      </c>
      <c r="AA1" s="46" t="s">
        <v>25</v>
      </c>
      <c r="AB1" s="46" t="s">
        <v>26</v>
      </c>
      <c r="AC1" s="46" t="s">
        <v>27</v>
      </c>
      <c r="AD1" s="46" t="s">
        <v>28</v>
      </c>
      <c r="AE1" s="46" t="s">
        <v>29</v>
      </c>
      <c r="AF1" s="46" t="s">
        <v>30</v>
      </c>
      <c r="AG1" s="46" t="s">
        <v>31</v>
      </c>
      <c r="AH1" s="46" t="s">
        <v>32</v>
      </c>
    </row>
    <row r="2" spans="1:34" x14ac:dyDescent="0.35">
      <c r="A2" s="47" t="s">
        <v>35</v>
      </c>
      <c r="B2" s="47">
        <v>0.5</v>
      </c>
      <c r="C2" s="47">
        <v>0.2</v>
      </c>
      <c r="D2" s="47">
        <v>0.3</v>
      </c>
      <c r="E2" s="47">
        <v>0.7</v>
      </c>
      <c r="F2" s="47">
        <v>0.3</v>
      </c>
      <c r="G2" s="47">
        <v>1</v>
      </c>
      <c r="H2" s="47">
        <v>0.5</v>
      </c>
      <c r="I2" s="47">
        <v>1</v>
      </c>
      <c r="J2" s="47">
        <v>0.2</v>
      </c>
      <c r="K2" s="47">
        <v>0</v>
      </c>
      <c r="L2" s="47">
        <v>0</v>
      </c>
      <c r="M2" s="47">
        <v>0.2</v>
      </c>
      <c r="N2" s="47">
        <v>0.5</v>
      </c>
      <c r="O2" s="47">
        <v>0</v>
      </c>
      <c r="P2" s="47">
        <v>0</v>
      </c>
      <c r="Q2" s="47">
        <v>0</v>
      </c>
      <c r="R2" s="47">
        <v>1</v>
      </c>
      <c r="S2" s="47">
        <v>0</v>
      </c>
      <c r="T2" s="47">
        <v>1</v>
      </c>
      <c r="U2" s="47">
        <v>1</v>
      </c>
      <c r="V2" s="47">
        <v>1</v>
      </c>
      <c r="W2" s="47">
        <v>0</v>
      </c>
      <c r="X2" s="47">
        <v>1</v>
      </c>
      <c r="Y2" s="47">
        <v>1</v>
      </c>
      <c r="Z2" s="47">
        <v>1</v>
      </c>
      <c r="AA2" s="47">
        <v>0</v>
      </c>
      <c r="AB2" s="47">
        <v>1</v>
      </c>
      <c r="AC2" s="47">
        <v>1</v>
      </c>
      <c r="AD2" s="47">
        <v>1</v>
      </c>
      <c r="AE2" s="47">
        <v>1</v>
      </c>
      <c r="AF2" s="47">
        <v>1</v>
      </c>
      <c r="AG2" s="47">
        <v>1</v>
      </c>
      <c r="AH2" s="47">
        <v>1</v>
      </c>
    </row>
    <row r="3" spans="1:34" x14ac:dyDescent="0.35">
      <c r="A3" s="47" t="s">
        <v>35</v>
      </c>
      <c r="B3" s="47">
        <v>0</v>
      </c>
      <c r="C3" s="47">
        <v>0.1</v>
      </c>
      <c r="D3" s="47">
        <v>0.2</v>
      </c>
      <c r="E3" s="47">
        <v>0.5</v>
      </c>
      <c r="F3" s="47">
        <v>0.1</v>
      </c>
      <c r="G3" s="47">
        <v>0.9</v>
      </c>
      <c r="H3" s="47">
        <v>0.55416666666666603</v>
      </c>
      <c r="I3" s="47">
        <v>0.848101265822784</v>
      </c>
      <c r="J3" s="47">
        <v>0.42278481012658198</v>
      </c>
      <c r="K3" s="47">
        <v>0.13055555555555501</v>
      </c>
      <c r="L3" s="47">
        <v>0.05</v>
      </c>
      <c r="M3" s="47">
        <v>0.26216216216216198</v>
      </c>
      <c r="N3" s="47">
        <v>0.515625</v>
      </c>
      <c r="O3" s="47">
        <v>7.4999999999999997E-2</v>
      </c>
      <c r="P3" s="47">
        <v>5.0632911392405E-2</v>
      </c>
      <c r="Q3" s="47">
        <v>9.9999999999999895E-2</v>
      </c>
      <c r="R3" s="47">
        <v>0.938271604938271</v>
      </c>
      <c r="S3" s="47">
        <v>0.38271604938271597</v>
      </c>
      <c r="T3" s="47">
        <v>0.96296296296296302</v>
      </c>
      <c r="U3" s="47">
        <v>1</v>
      </c>
      <c r="V3" s="47">
        <v>1</v>
      </c>
      <c r="W3" s="47">
        <v>0.12345679012345601</v>
      </c>
      <c r="X3" s="47">
        <v>0.96296296296296302</v>
      </c>
      <c r="Y3" s="47">
        <v>0.95061728395061695</v>
      </c>
      <c r="Z3" s="47">
        <v>0.75308641975308599</v>
      </c>
      <c r="AA3" s="47">
        <v>0.35802469135802401</v>
      </c>
      <c r="AB3" s="47">
        <v>0.98765432098765404</v>
      </c>
      <c r="AC3" s="47">
        <v>1</v>
      </c>
      <c r="AD3" s="47">
        <v>0.97530864197530798</v>
      </c>
      <c r="AE3" s="47">
        <v>1</v>
      </c>
      <c r="AF3" s="47">
        <v>0.46249999999999902</v>
      </c>
      <c r="AG3" s="47">
        <v>1</v>
      </c>
      <c r="AH3" s="47">
        <v>0.89610389610389596</v>
      </c>
    </row>
    <row r="4" spans="1:34" x14ac:dyDescent="0.35">
      <c r="A4" s="47" t="s">
        <v>35</v>
      </c>
      <c r="B4" s="47">
        <v>0.2</v>
      </c>
      <c r="C4" s="47">
        <v>0</v>
      </c>
      <c r="D4" s="47">
        <v>0</v>
      </c>
      <c r="E4" s="47">
        <v>0</v>
      </c>
      <c r="F4" s="47">
        <v>0</v>
      </c>
      <c r="G4" s="47">
        <v>1</v>
      </c>
      <c r="H4" s="47">
        <v>0.5</v>
      </c>
      <c r="I4" s="47">
        <v>1</v>
      </c>
      <c r="J4" s="47">
        <v>0.4</v>
      </c>
      <c r="K4" s="47">
        <v>1</v>
      </c>
      <c r="L4" s="47">
        <v>0</v>
      </c>
      <c r="M4" s="47">
        <v>0</v>
      </c>
      <c r="N4" s="47">
        <v>0.5</v>
      </c>
      <c r="O4" s="47">
        <v>0</v>
      </c>
      <c r="P4" s="47">
        <v>0</v>
      </c>
      <c r="Q4" s="47">
        <v>0</v>
      </c>
      <c r="R4" s="47">
        <v>1</v>
      </c>
      <c r="S4" s="47">
        <v>1</v>
      </c>
      <c r="T4" s="47">
        <v>1</v>
      </c>
      <c r="U4" s="47">
        <v>1</v>
      </c>
      <c r="V4" s="47">
        <v>1</v>
      </c>
      <c r="W4" s="47">
        <v>1</v>
      </c>
      <c r="X4" s="47">
        <v>1</v>
      </c>
      <c r="Y4" s="47">
        <v>1</v>
      </c>
      <c r="Z4" s="47">
        <v>0</v>
      </c>
      <c r="AA4" s="47">
        <v>1</v>
      </c>
      <c r="AB4" s="47">
        <v>1</v>
      </c>
      <c r="AC4" s="47">
        <v>1</v>
      </c>
      <c r="AD4" s="47">
        <v>1</v>
      </c>
      <c r="AE4" s="47">
        <v>1</v>
      </c>
      <c r="AF4" s="47">
        <v>0</v>
      </c>
      <c r="AG4" s="47">
        <v>1</v>
      </c>
      <c r="AH4" s="47">
        <v>1</v>
      </c>
    </row>
    <row r="5" spans="1:34" x14ac:dyDescent="0.35">
      <c r="A5" s="47" t="s">
        <v>34</v>
      </c>
      <c r="B5" s="47">
        <v>0.5</v>
      </c>
      <c r="C5" s="47">
        <v>0</v>
      </c>
      <c r="D5" s="47">
        <v>0</v>
      </c>
      <c r="E5" s="47">
        <v>1</v>
      </c>
      <c r="F5" s="47">
        <v>0.3</v>
      </c>
      <c r="G5" s="47">
        <v>1</v>
      </c>
      <c r="H5" s="47">
        <v>0.5</v>
      </c>
      <c r="I5" s="47">
        <v>1</v>
      </c>
      <c r="J5" s="47">
        <v>0.4</v>
      </c>
      <c r="K5" s="47">
        <v>0</v>
      </c>
      <c r="L5" s="47">
        <v>0</v>
      </c>
      <c r="M5" s="47">
        <v>0.2</v>
      </c>
      <c r="N5" s="47">
        <v>0.5</v>
      </c>
      <c r="O5" s="47">
        <v>0</v>
      </c>
      <c r="P5" s="47">
        <v>0</v>
      </c>
      <c r="Q5" s="47">
        <v>0</v>
      </c>
      <c r="R5" s="47">
        <v>1</v>
      </c>
      <c r="S5" s="47">
        <v>1</v>
      </c>
      <c r="T5" s="47">
        <v>1</v>
      </c>
      <c r="U5" s="47">
        <v>1</v>
      </c>
      <c r="V5" s="47">
        <v>1</v>
      </c>
      <c r="W5" s="47">
        <v>0</v>
      </c>
      <c r="X5" s="47">
        <v>1</v>
      </c>
      <c r="Y5" s="47">
        <v>1</v>
      </c>
      <c r="Z5" s="47">
        <v>1</v>
      </c>
      <c r="AA5" s="47">
        <v>0</v>
      </c>
      <c r="AB5" s="47">
        <v>1</v>
      </c>
      <c r="AC5" s="47">
        <v>1</v>
      </c>
      <c r="AD5" s="47">
        <v>1</v>
      </c>
      <c r="AE5" s="47">
        <v>1</v>
      </c>
      <c r="AF5" s="47">
        <v>0</v>
      </c>
      <c r="AG5" s="47">
        <v>1</v>
      </c>
      <c r="AH5" s="4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3"/>
  <sheetViews>
    <sheetView tabSelected="1" topLeftCell="A13" workbookViewId="0">
      <selection activeCell="H15" sqref="H15"/>
    </sheetView>
  </sheetViews>
  <sheetFormatPr defaultRowHeight="14.5" x14ac:dyDescent="0.35"/>
  <cols>
    <col min="1" max="1" width="18.1796875" customWidth="1"/>
    <col min="2" max="2" width="9.54296875" bestFit="1" customWidth="1"/>
    <col min="3" max="3" width="11.26953125" customWidth="1"/>
  </cols>
  <sheetData>
    <row r="1" spans="1:35" x14ac:dyDescent="0.35">
      <c r="A1" s="23" t="s">
        <v>36</v>
      </c>
      <c r="B1" s="23"/>
      <c r="C1" s="23"/>
      <c r="D1" s="23"/>
      <c r="E1" s="23"/>
      <c r="F1" s="23"/>
      <c r="G1" s="23"/>
      <c r="H1" s="23"/>
    </row>
    <row r="3" spans="1:35" x14ac:dyDescent="0.35">
      <c r="A3" s="1" t="s">
        <v>42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53</v>
      </c>
    </row>
    <row r="4" spans="1:35" x14ac:dyDescent="0.35">
      <c r="A4" s="3" t="s">
        <v>43</v>
      </c>
      <c r="B4" s="4">
        <v>0.7</v>
      </c>
      <c r="C4" s="4">
        <v>0.2</v>
      </c>
      <c r="D4" s="4">
        <v>0.3</v>
      </c>
      <c r="E4" s="4">
        <v>0.7</v>
      </c>
      <c r="F4" s="4">
        <v>0.3</v>
      </c>
      <c r="G4" s="4">
        <v>1</v>
      </c>
      <c r="H4" s="4">
        <v>0.5</v>
      </c>
      <c r="I4" s="4">
        <v>1</v>
      </c>
      <c r="J4" s="4">
        <v>0.2</v>
      </c>
      <c r="K4" s="4">
        <v>0</v>
      </c>
      <c r="L4" s="4">
        <v>0</v>
      </c>
      <c r="M4" s="4">
        <v>0.2</v>
      </c>
      <c r="N4" s="4">
        <v>0.5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1</v>
      </c>
      <c r="U4" s="4">
        <v>1</v>
      </c>
      <c r="V4" s="4">
        <v>1</v>
      </c>
      <c r="W4" s="4">
        <v>0</v>
      </c>
      <c r="X4" s="4">
        <v>1</v>
      </c>
      <c r="Y4" s="4">
        <v>1</v>
      </c>
      <c r="Z4" s="4">
        <v>1</v>
      </c>
      <c r="AA4" s="4">
        <v>0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0.5</v>
      </c>
      <c r="AI4" s="4" t="s">
        <v>34</v>
      </c>
    </row>
    <row r="5" spans="1:35" x14ac:dyDescent="0.35">
      <c r="A5" s="3" t="s">
        <v>44</v>
      </c>
      <c r="B5" s="4">
        <v>0.5</v>
      </c>
      <c r="C5" s="4">
        <v>0.1</v>
      </c>
      <c r="D5" s="4">
        <v>0.2</v>
      </c>
      <c r="E5" s="4">
        <v>0.5</v>
      </c>
      <c r="F5" s="4">
        <v>0.1</v>
      </c>
      <c r="G5" s="4">
        <v>0.9</v>
      </c>
      <c r="H5" s="4">
        <v>0.55416666666666603</v>
      </c>
      <c r="I5" s="4">
        <v>0.848101265822784</v>
      </c>
      <c r="J5" s="4">
        <v>0.42278481012658198</v>
      </c>
      <c r="K5" s="4">
        <v>0.13055555555555501</v>
      </c>
      <c r="L5" s="4">
        <v>0.05</v>
      </c>
      <c r="M5" s="4">
        <v>0.26216216216216198</v>
      </c>
      <c r="N5" s="4">
        <v>0.515625</v>
      </c>
      <c r="O5" s="4">
        <v>7.4999999999999997E-2</v>
      </c>
      <c r="P5" s="4">
        <v>5.0632911392405E-2</v>
      </c>
      <c r="Q5" s="4">
        <v>9.9999999999999895E-2</v>
      </c>
      <c r="R5" s="4">
        <v>0.938271604938271</v>
      </c>
      <c r="S5" s="4">
        <v>0.38271604938271597</v>
      </c>
      <c r="T5" s="4">
        <v>0.96296296296296302</v>
      </c>
      <c r="U5" s="4">
        <v>1</v>
      </c>
      <c r="V5" s="4">
        <v>1</v>
      </c>
      <c r="W5" s="4">
        <v>0.12345679012345601</v>
      </c>
      <c r="X5" s="4">
        <v>0.96296296296296302</v>
      </c>
      <c r="Y5" s="4">
        <v>0.95061728395061695</v>
      </c>
      <c r="Z5" s="4">
        <v>0.75308641975308599</v>
      </c>
      <c r="AA5" s="4">
        <v>0.35802469135802401</v>
      </c>
      <c r="AB5" s="4">
        <v>0.98765432098765404</v>
      </c>
      <c r="AC5" s="4">
        <v>1</v>
      </c>
      <c r="AD5" s="4">
        <v>0.97530864197530798</v>
      </c>
      <c r="AE5" s="4">
        <v>1</v>
      </c>
      <c r="AF5" s="4">
        <v>0.46249999999999902</v>
      </c>
      <c r="AG5" s="4">
        <v>1</v>
      </c>
      <c r="AH5" s="4">
        <v>0.89610389610389596</v>
      </c>
      <c r="AI5" s="4" t="s">
        <v>35</v>
      </c>
    </row>
    <row r="6" spans="1:35" x14ac:dyDescent="0.35">
      <c r="A6" s="3" t="s">
        <v>45</v>
      </c>
      <c r="B6" s="4">
        <v>0</v>
      </c>
      <c r="C6" s="4">
        <v>0.1</v>
      </c>
      <c r="D6" s="4">
        <v>0.2</v>
      </c>
      <c r="E6" s="4">
        <v>0.5</v>
      </c>
      <c r="F6" s="4">
        <v>0.1</v>
      </c>
      <c r="G6" s="4">
        <v>0.9</v>
      </c>
      <c r="H6" s="4">
        <v>0.55416666666666603</v>
      </c>
      <c r="I6" s="4">
        <v>0.848101265822784</v>
      </c>
      <c r="J6" s="4">
        <v>0.42278481012658198</v>
      </c>
      <c r="K6" s="4">
        <v>0.13055555555555501</v>
      </c>
      <c r="L6" s="4">
        <v>0.05</v>
      </c>
      <c r="M6" s="4">
        <v>0.26216216216216198</v>
      </c>
      <c r="N6" s="4">
        <v>0.515625</v>
      </c>
      <c r="O6" s="4">
        <v>7.4999999999999997E-2</v>
      </c>
      <c r="P6" s="4">
        <v>5.0632911392405E-2</v>
      </c>
      <c r="Q6" s="4">
        <v>9.9999999999999895E-2</v>
      </c>
      <c r="R6" s="4">
        <v>0.938271604938271</v>
      </c>
      <c r="S6" s="4">
        <v>0.38271604938271597</v>
      </c>
      <c r="T6" s="4">
        <v>0.96296296296296302</v>
      </c>
      <c r="U6" s="4">
        <v>1</v>
      </c>
      <c r="V6" s="4">
        <v>1</v>
      </c>
      <c r="W6" s="4">
        <v>0.12345679012345601</v>
      </c>
      <c r="X6" s="4">
        <v>0.96296296296296302</v>
      </c>
      <c r="Y6" s="4">
        <v>0.95061728395061695</v>
      </c>
      <c r="Z6" s="4">
        <v>0.75308641975308599</v>
      </c>
      <c r="AA6" s="4">
        <v>0.35802469135802401</v>
      </c>
      <c r="AB6" s="4">
        <v>0.98765432098765404</v>
      </c>
      <c r="AC6" s="4">
        <v>1</v>
      </c>
      <c r="AD6" s="4">
        <v>0.97530864197530798</v>
      </c>
      <c r="AE6" s="4">
        <v>1</v>
      </c>
      <c r="AF6" s="4">
        <v>0.46249999999999902</v>
      </c>
      <c r="AG6" s="4">
        <v>1</v>
      </c>
      <c r="AH6" s="4">
        <v>0.89610389610389596</v>
      </c>
      <c r="AI6" s="4" t="s">
        <v>35</v>
      </c>
    </row>
    <row r="7" spans="1:35" x14ac:dyDescent="0.35">
      <c r="A7" s="3" t="s">
        <v>46</v>
      </c>
      <c r="B7" s="4">
        <v>0</v>
      </c>
      <c r="C7" s="4">
        <v>0.1</v>
      </c>
      <c r="D7" s="4">
        <v>0.2</v>
      </c>
      <c r="E7" s="4">
        <v>0.5</v>
      </c>
      <c r="F7" s="4">
        <v>0.1</v>
      </c>
      <c r="G7" s="4">
        <v>0.9</v>
      </c>
      <c r="H7" s="4">
        <v>0.55416666666666603</v>
      </c>
      <c r="I7" s="4">
        <v>0.848101265822784</v>
      </c>
      <c r="J7" s="4">
        <v>0.42278481012658198</v>
      </c>
      <c r="K7" s="4">
        <v>0.13055555555555501</v>
      </c>
      <c r="L7" s="4">
        <v>0.05</v>
      </c>
      <c r="M7" s="4">
        <v>0.26216216216216198</v>
      </c>
      <c r="N7" s="4">
        <v>0.515625</v>
      </c>
      <c r="O7" s="4">
        <v>7.4999999999999997E-2</v>
      </c>
      <c r="P7" s="4">
        <v>5.0632911392405E-2</v>
      </c>
      <c r="Q7" s="4">
        <v>9.9999999999999895E-2</v>
      </c>
      <c r="R7" s="4">
        <v>0.938271604938271</v>
      </c>
      <c r="S7" s="4">
        <v>0.38271604938271597</v>
      </c>
      <c r="T7" s="4">
        <v>0.96296296296296302</v>
      </c>
      <c r="U7" s="4">
        <v>1</v>
      </c>
      <c r="V7" s="4">
        <v>1</v>
      </c>
      <c r="W7" s="4">
        <v>0.12345679012345601</v>
      </c>
      <c r="X7" s="4">
        <v>0.96296296296296302</v>
      </c>
      <c r="Y7" s="4">
        <v>0.95061728395061695</v>
      </c>
      <c r="Z7" s="4">
        <v>0.75308641975308599</v>
      </c>
      <c r="AA7" s="4">
        <v>0.35802469135802401</v>
      </c>
      <c r="AB7" s="4">
        <v>0.98765432098765404</v>
      </c>
      <c r="AC7" s="4">
        <v>1</v>
      </c>
      <c r="AD7" s="4">
        <v>0.97530864197530798</v>
      </c>
      <c r="AE7" s="4">
        <v>1</v>
      </c>
      <c r="AF7" s="4">
        <v>0.46249999999999902</v>
      </c>
      <c r="AG7" s="4">
        <v>1</v>
      </c>
      <c r="AH7" s="4">
        <v>0.89610389610389596</v>
      </c>
      <c r="AI7" s="4" t="s">
        <v>35</v>
      </c>
    </row>
    <row r="8" spans="1:35" x14ac:dyDescent="0.35">
      <c r="A8" s="3" t="s">
        <v>47</v>
      </c>
      <c r="B8" s="4">
        <v>0</v>
      </c>
      <c r="C8" s="4">
        <v>0.1</v>
      </c>
      <c r="D8" s="4">
        <v>0.2</v>
      </c>
      <c r="E8" s="4">
        <v>0.5</v>
      </c>
      <c r="F8" s="4">
        <v>0.1</v>
      </c>
      <c r="G8" s="4">
        <v>0.9</v>
      </c>
      <c r="H8" s="4">
        <v>0.55416666666666603</v>
      </c>
      <c r="I8" s="4">
        <v>0.848101265822784</v>
      </c>
      <c r="J8" s="4">
        <v>0.42278481012658198</v>
      </c>
      <c r="K8" s="4">
        <v>0.13055555555555501</v>
      </c>
      <c r="L8" s="4">
        <v>0.05</v>
      </c>
      <c r="M8" s="4">
        <v>0.26216216216216198</v>
      </c>
      <c r="N8" s="4">
        <v>0.515625</v>
      </c>
      <c r="O8" s="4">
        <v>7.4999999999999997E-2</v>
      </c>
      <c r="P8" s="4">
        <v>5.0632911392405E-2</v>
      </c>
      <c r="Q8" s="4">
        <v>9.9999999999999895E-2</v>
      </c>
      <c r="R8" s="4">
        <v>0.938271604938271</v>
      </c>
      <c r="S8" s="4">
        <v>0.38271604938271597</v>
      </c>
      <c r="T8" s="4">
        <v>0.96296296296296302</v>
      </c>
      <c r="U8" s="4">
        <v>1</v>
      </c>
      <c r="V8" s="4">
        <v>1</v>
      </c>
      <c r="W8" s="4">
        <v>0.12345679012345601</v>
      </c>
      <c r="X8" s="4">
        <v>0.96296296296296302</v>
      </c>
      <c r="Y8" s="4">
        <v>0.95061728395061695</v>
      </c>
      <c r="Z8" s="4">
        <v>0.75308641975308599</v>
      </c>
      <c r="AA8" s="4">
        <v>0.35802469135802401</v>
      </c>
      <c r="AB8" s="4">
        <v>0.98765432098765404</v>
      </c>
      <c r="AC8" s="4">
        <v>1</v>
      </c>
      <c r="AD8" s="4">
        <v>0.97530864197530798</v>
      </c>
      <c r="AE8" s="4">
        <v>1</v>
      </c>
      <c r="AF8" s="4">
        <v>0.46249999999999902</v>
      </c>
      <c r="AG8" s="4">
        <v>1</v>
      </c>
      <c r="AH8" s="4">
        <v>0.89610389610389596</v>
      </c>
      <c r="AI8" s="4" t="s">
        <v>35</v>
      </c>
    </row>
    <row r="9" spans="1:35" x14ac:dyDescent="0.35">
      <c r="A9" s="3" t="s">
        <v>48</v>
      </c>
      <c r="B9" s="4">
        <v>0</v>
      </c>
      <c r="C9" s="4">
        <v>0.1</v>
      </c>
      <c r="D9" s="4">
        <v>0.2</v>
      </c>
      <c r="E9" s="4">
        <v>0.5</v>
      </c>
      <c r="F9" s="4">
        <v>0.1</v>
      </c>
      <c r="G9" s="4">
        <v>0.9</v>
      </c>
      <c r="H9" s="4">
        <v>0.55416666666666603</v>
      </c>
      <c r="I9" s="4">
        <v>0.848101265822784</v>
      </c>
      <c r="J9" s="4">
        <v>0.42278481012658198</v>
      </c>
      <c r="K9" s="4">
        <v>0.13055555555555501</v>
      </c>
      <c r="L9" s="4">
        <v>0.05</v>
      </c>
      <c r="M9" s="4">
        <v>0.26216216216216198</v>
      </c>
      <c r="N9" s="4">
        <v>0.515625</v>
      </c>
      <c r="O9" s="4">
        <v>7.4999999999999997E-2</v>
      </c>
      <c r="P9" s="4">
        <v>5.0632911392405E-2</v>
      </c>
      <c r="Q9" s="4">
        <v>9.9999999999999895E-2</v>
      </c>
      <c r="R9" s="4">
        <v>0.938271604938271</v>
      </c>
      <c r="S9" s="4">
        <v>0.38271604938271597</v>
      </c>
      <c r="T9" s="4">
        <v>0.96296296296296302</v>
      </c>
      <c r="U9" s="4">
        <v>1</v>
      </c>
      <c r="V9" s="4">
        <v>1</v>
      </c>
      <c r="W9" s="4">
        <v>0.12345679012345601</v>
      </c>
      <c r="X9" s="4">
        <v>0.96296296296296302</v>
      </c>
      <c r="Y9" s="4">
        <v>0.95061728395061695</v>
      </c>
      <c r="Z9" s="4">
        <v>0.75308641975308599</v>
      </c>
      <c r="AA9" s="4">
        <v>0.35802469135802401</v>
      </c>
      <c r="AB9" s="4">
        <v>0.98765432098765404</v>
      </c>
      <c r="AC9" s="4">
        <v>1</v>
      </c>
      <c r="AD9" s="4">
        <v>0.97530864197530798</v>
      </c>
      <c r="AE9" s="4">
        <v>1</v>
      </c>
      <c r="AF9" s="4">
        <v>0.46249999999999902</v>
      </c>
      <c r="AG9" s="4">
        <v>1</v>
      </c>
      <c r="AH9" s="4">
        <v>0.89610389610389596</v>
      </c>
      <c r="AI9" s="4" t="s">
        <v>35</v>
      </c>
    </row>
    <row r="10" spans="1:35" x14ac:dyDescent="0.35">
      <c r="A10" s="5" t="s">
        <v>49</v>
      </c>
      <c r="B10" s="6">
        <v>0.5</v>
      </c>
      <c r="C10" s="6">
        <v>0.2</v>
      </c>
      <c r="D10" s="6">
        <v>0.3</v>
      </c>
      <c r="E10" s="6">
        <v>0.7</v>
      </c>
      <c r="F10" s="6">
        <v>0.3</v>
      </c>
      <c r="G10" s="6">
        <v>1</v>
      </c>
      <c r="H10" s="6">
        <v>0.5</v>
      </c>
      <c r="I10" s="6">
        <v>1</v>
      </c>
      <c r="J10" s="6">
        <v>0.2</v>
      </c>
      <c r="K10" s="6">
        <v>0</v>
      </c>
      <c r="L10" s="6">
        <v>0</v>
      </c>
      <c r="M10" s="6">
        <v>0.2</v>
      </c>
      <c r="N10" s="6">
        <v>0.5</v>
      </c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6">
        <v>1</v>
      </c>
      <c r="U10" s="6">
        <v>1</v>
      </c>
      <c r="V10" s="6">
        <v>1</v>
      </c>
      <c r="W10" s="6">
        <v>0</v>
      </c>
      <c r="X10" s="6">
        <v>1</v>
      </c>
      <c r="Y10" s="6">
        <v>1</v>
      </c>
      <c r="Z10" s="6">
        <v>1</v>
      </c>
      <c r="AA10" s="6">
        <v>0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7" t="s">
        <v>37</v>
      </c>
    </row>
    <row r="11" spans="1:35" x14ac:dyDescent="0.35">
      <c r="A11" s="5" t="s">
        <v>50</v>
      </c>
      <c r="B11" s="6">
        <v>0</v>
      </c>
      <c r="C11" s="6">
        <v>0.1</v>
      </c>
      <c r="D11" s="6">
        <v>0.2</v>
      </c>
      <c r="E11" s="6">
        <v>0.5</v>
      </c>
      <c r="F11" s="6">
        <v>0.1</v>
      </c>
      <c r="G11" s="6">
        <v>0.9</v>
      </c>
      <c r="H11" s="6">
        <v>0.55416666666666603</v>
      </c>
      <c r="I11" s="6">
        <v>0.848101265822784</v>
      </c>
      <c r="J11" s="6">
        <v>0.42278481012658198</v>
      </c>
      <c r="K11" s="6">
        <v>0.13055555555555501</v>
      </c>
      <c r="L11" s="6">
        <v>0.05</v>
      </c>
      <c r="M11" s="6">
        <v>0.26216216216216198</v>
      </c>
      <c r="N11" s="6">
        <v>0.515625</v>
      </c>
      <c r="O11" s="6">
        <v>7.4999999999999997E-2</v>
      </c>
      <c r="P11" s="6">
        <v>5.0632911392405E-2</v>
      </c>
      <c r="Q11" s="6">
        <v>9.9999999999999895E-2</v>
      </c>
      <c r="R11" s="6">
        <v>0.938271604938271</v>
      </c>
      <c r="S11" s="6">
        <v>0.38271604938271597</v>
      </c>
      <c r="T11" s="6">
        <v>0.96296296296296302</v>
      </c>
      <c r="U11" s="6">
        <v>1</v>
      </c>
      <c r="V11" s="6">
        <v>1</v>
      </c>
      <c r="W11" s="6">
        <v>0.12345679012345601</v>
      </c>
      <c r="X11" s="6">
        <v>0.96296296296296302</v>
      </c>
      <c r="Y11" s="6">
        <v>0.95061728395061695</v>
      </c>
      <c r="Z11" s="6">
        <v>0.75308641975308599</v>
      </c>
      <c r="AA11" s="6">
        <v>0.35802469135802401</v>
      </c>
      <c r="AB11" s="6">
        <v>0.98765432098765404</v>
      </c>
      <c r="AC11" s="6">
        <v>1</v>
      </c>
      <c r="AD11" s="6">
        <v>0.97530864197530798</v>
      </c>
      <c r="AE11" s="6">
        <v>1</v>
      </c>
      <c r="AF11" s="6">
        <v>0.46249999999999902</v>
      </c>
      <c r="AG11" s="6">
        <v>1</v>
      </c>
      <c r="AH11" s="6">
        <v>0.89610389610389596</v>
      </c>
      <c r="AI11" s="7" t="s">
        <v>37</v>
      </c>
    </row>
    <row r="12" spans="1:35" x14ac:dyDescent="0.35">
      <c r="A12" s="5" t="s">
        <v>51</v>
      </c>
      <c r="B12" s="6">
        <v>0.2</v>
      </c>
      <c r="C12" s="6">
        <v>0</v>
      </c>
      <c r="D12" s="6">
        <v>0</v>
      </c>
      <c r="E12" s="6">
        <v>0</v>
      </c>
      <c r="F12" s="6">
        <v>0</v>
      </c>
      <c r="G12" s="6">
        <v>1</v>
      </c>
      <c r="H12" s="6">
        <v>0.5</v>
      </c>
      <c r="I12" s="6">
        <v>1</v>
      </c>
      <c r="J12" s="6">
        <v>0.4</v>
      </c>
      <c r="K12" s="6">
        <v>1</v>
      </c>
      <c r="L12" s="6">
        <v>0</v>
      </c>
      <c r="M12" s="6">
        <v>0</v>
      </c>
      <c r="N12" s="6">
        <v>0.5</v>
      </c>
      <c r="O12" s="6">
        <v>0</v>
      </c>
      <c r="P12" s="6">
        <v>0</v>
      </c>
      <c r="Q12" s="6">
        <v>0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0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0</v>
      </c>
      <c r="AG12" s="6">
        <v>1</v>
      </c>
      <c r="AH12" s="6">
        <v>1</v>
      </c>
      <c r="AI12" s="7" t="s">
        <v>37</v>
      </c>
    </row>
    <row r="13" spans="1:35" x14ac:dyDescent="0.35">
      <c r="A13" s="5" t="s">
        <v>52</v>
      </c>
      <c r="B13" s="6">
        <v>0.5</v>
      </c>
      <c r="C13" s="6">
        <v>0</v>
      </c>
      <c r="D13" s="6">
        <v>0</v>
      </c>
      <c r="E13" s="6">
        <v>1</v>
      </c>
      <c r="F13" s="6">
        <v>0.3</v>
      </c>
      <c r="G13" s="6">
        <v>1</v>
      </c>
      <c r="H13" s="6">
        <v>0.5</v>
      </c>
      <c r="I13" s="6">
        <v>1</v>
      </c>
      <c r="J13" s="6">
        <v>0.4</v>
      </c>
      <c r="K13" s="6">
        <v>0</v>
      </c>
      <c r="L13" s="6">
        <v>0</v>
      </c>
      <c r="M13" s="6">
        <v>0.2</v>
      </c>
      <c r="N13" s="6">
        <v>0.5</v>
      </c>
      <c r="O13" s="6">
        <v>0</v>
      </c>
      <c r="P13" s="6">
        <v>0</v>
      </c>
      <c r="Q13" s="6">
        <v>0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0</v>
      </c>
      <c r="X13" s="6">
        <v>1</v>
      </c>
      <c r="Y13" s="6">
        <v>1</v>
      </c>
      <c r="Z13" s="6">
        <v>1</v>
      </c>
      <c r="AA13" s="6">
        <v>0</v>
      </c>
      <c r="AB13" s="6">
        <v>1</v>
      </c>
      <c r="AC13" s="6">
        <v>1</v>
      </c>
      <c r="AD13" s="6">
        <v>1</v>
      </c>
      <c r="AE13" s="6">
        <v>1</v>
      </c>
      <c r="AF13" s="6">
        <v>0</v>
      </c>
      <c r="AG13" s="6">
        <v>1</v>
      </c>
      <c r="AH13" s="6">
        <v>1</v>
      </c>
      <c r="AI13" s="7" t="s">
        <v>37</v>
      </c>
    </row>
    <row r="16" spans="1:35" x14ac:dyDescent="0.35">
      <c r="A16" s="28" t="s">
        <v>38</v>
      </c>
      <c r="B16" s="29" t="s">
        <v>34</v>
      </c>
      <c r="C16" s="29" t="s">
        <v>35</v>
      </c>
      <c r="D16" s="29" t="s">
        <v>39</v>
      </c>
    </row>
    <row r="17" spans="1:36" x14ac:dyDescent="0.35">
      <c r="A17" s="28" t="s">
        <v>40</v>
      </c>
      <c r="B17" s="30">
        <f>COUNTIFS(AI4:AI9,"YES")</f>
        <v>1</v>
      </c>
      <c r="C17" s="30">
        <f>COUNTIFS(AI4:AI13,"NO")</f>
        <v>5</v>
      </c>
      <c r="D17" s="75">
        <f>SUM(B17:C17)</f>
        <v>6</v>
      </c>
    </row>
    <row r="18" spans="1:36" x14ac:dyDescent="0.35">
      <c r="A18" s="31" t="s">
        <v>41</v>
      </c>
      <c r="B18" s="30">
        <f>B17/D17</f>
        <v>0.16666666666666666</v>
      </c>
      <c r="C18" s="30">
        <f>C17/D17</f>
        <v>0.83333333333333337</v>
      </c>
      <c r="D18" s="75"/>
    </row>
    <row r="20" spans="1:36" x14ac:dyDescent="0.35">
      <c r="A20" s="18"/>
      <c r="B20" s="19" t="s">
        <v>0</v>
      </c>
      <c r="C20" s="19" t="s">
        <v>1</v>
      </c>
      <c r="D20" s="19" t="s">
        <v>2</v>
      </c>
      <c r="E20" s="19" t="s">
        <v>3</v>
      </c>
      <c r="F20" s="19" t="s">
        <v>4</v>
      </c>
      <c r="G20" s="19" t="s">
        <v>5</v>
      </c>
      <c r="H20" s="19" t="s">
        <v>6</v>
      </c>
      <c r="I20" s="19" t="s">
        <v>7</v>
      </c>
      <c r="J20" s="19" t="s">
        <v>8</v>
      </c>
      <c r="K20" s="19" t="s">
        <v>9</v>
      </c>
      <c r="L20" s="19" t="s">
        <v>10</v>
      </c>
      <c r="M20" s="19" t="s">
        <v>11</v>
      </c>
      <c r="N20" s="19" t="s">
        <v>12</v>
      </c>
      <c r="O20" s="19" t="s">
        <v>13</v>
      </c>
      <c r="P20" s="19" t="s">
        <v>14</v>
      </c>
      <c r="Q20" s="19" t="s">
        <v>15</v>
      </c>
      <c r="R20" s="19" t="s">
        <v>16</v>
      </c>
      <c r="S20" s="19" t="s">
        <v>17</v>
      </c>
      <c r="T20" s="19" t="s">
        <v>18</v>
      </c>
      <c r="U20" s="19" t="s">
        <v>19</v>
      </c>
      <c r="V20" s="19" t="s">
        <v>20</v>
      </c>
      <c r="W20" s="19" t="s">
        <v>21</v>
      </c>
      <c r="X20" s="19" t="s">
        <v>22</v>
      </c>
      <c r="Y20" s="19" t="s">
        <v>23</v>
      </c>
      <c r="Z20" s="19" t="s">
        <v>24</v>
      </c>
      <c r="AA20" s="19" t="s">
        <v>25</v>
      </c>
      <c r="AB20" s="19" t="s">
        <v>26</v>
      </c>
      <c r="AC20" s="19" t="s">
        <v>27</v>
      </c>
      <c r="AD20" s="19" t="s">
        <v>28</v>
      </c>
      <c r="AE20" s="19" t="s">
        <v>29</v>
      </c>
      <c r="AF20" s="19" t="s">
        <v>30</v>
      </c>
      <c r="AG20" s="19" t="s">
        <v>31</v>
      </c>
      <c r="AH20" s="19" t="s">
        <v>32</v>
      </c>
      <c r="AI20" s="19"/>
    </row>
    <row r="21" spans="1:36" x14ac:dyDescent="0.35">
      <c r="A21" s="20" t="s">
        <v>49</v>
      </c>
      <c r="B21" s="21">
        <v>0.5</v>
      </c>
      <c r="C21" s="21">
        <v>0.2</v>
      </c>
      <c r="D21" s="21">
        <v>0.3</v>
      </c>
      <c r="E21" s="21">
        <v>0.7</v>
      </c>
      <c r="F21" s="21">
        <v>0.3</v>
      </c>
      <c r="G21" s="21">
        <v>1</v>
      </c>
      <c r="H21" s="21">
        <v>0.5</v>
      </c>
      <c r="I21" s="21">
        <v>1</v>
      </c>
      <c r="J21" s="21">
        <v>0.2</v>
      </c>
      <c r="K21" s="21">
        <v>0</v>
      </c>
      <c r="L21" s="21">
        <v>0</v>
      </c>
      <c r="M21" s="21">
        <v>0.2</v>
      </c>
      <c r="N21" s="21">
        <v>0.5</v>
      </c>
      <c r="O21" s="21">
        <v>0</v>
      </c>
      <c r="P21" s="21">
        <v>0</v>
      </c>
      <c r="Q21" s="21">
        <v>0</v>
      </c>
      <c r="R21" s="21">
        <v>1</v>
      </c>
      <c r="S21" s="21">
        <v>0</v>
      </c>
      <c r="T21" s="21">
        <v>1</v>
      </c>
      <c r="U21" s="21">
        <v>1</v>
      </c>
      <c r="V21" s="21">
        <v>1</v>
      </c>
      <c r="W21" s="21">
        <v>0</v>
      </c>
      <c r="X21" s="21">
        <v>1</v>
      </c>
      <c r="Y21" s="21">
        <v>1</v>
      </c>
      <c r="Z21" s="21">
        <v>1</v>
      </c>
      <c r="AA21" s="21">
        <v>0</v>
      </c>
      <c r="AB21" s="21">
        <v>1</v>
      </c>
      <c r="AC21" s="21">
        <v>1</v>
      </c>
      <c r="AD21" s="21">
        <v>1</v>
      </c>
      <c r="AE21" s="21">
        <v>1</v>
      </c>
      <c r="AF21" s="21">
        <v>1</v>
      </c>
      <c r="AG21" s="21">
        <v>1</v>
      </c>
      <c r="AH21" s="21">
        <v>1</v>
      </c>
      <c r="AI21" s="19" t="s">
        <v>37</v>
      </c>
    </row>
    <row r="23" spans="1:36" x14ac:dyDescent="0.35">
      <c r="A23" s="76" t="s">
        <v>55</v>
      </c>
      <c r="B23" s="76"/>
      <c r="C23" s="20" t="s">
        <v>0</v>
      </c>
      <c r="D23" s="20" t="s">
        <v>1</v>
      </c>
      <c r="E23" s="20" t="s">
        <v>2</v>
      </c>
      <c r="F23" s="20" t="s">
        <v>3</v>
      </c>
      <c r="G23" s="20" t="s">
        <v>4</v>
      </c>
      <c r="H23" s="20" t="s">
        <v>5</v>
      </c>
      <c r="I23" s="20" t="s">
        <v>6</v>
      </c>
      <c r="J23" s="20" t="s">
        <v>7</v>
      </c>
      <c r="K23" s="20" t="s">
        <v>8</v>
      </c>
      <c r="L23" s="20" t="s">
        <v>9</v>
      </c>
      <c r="M23" s="20" t="s">
        <v>10</v>
      </c>
      <c r="N23" s="20" t="s">
        <v>11</v>
      </c>
      <c r="O23" s="20" t="s">
        <v>12</v>
      </c>
      <c r="P23" s="20" t="s">
        <v>13</v>
      </c>
      <c r="Q23" s="20" t="s">
        <v>14</v>
      </c>
      <c r="R23" s="20" t="s">
        <v>15</v>
      </c>
      <c r="S23" s="20" t="s">
        <v>16</v>
      </c>
      <c r="T23" s="20" t="s">
        <v>17</v>
      </c>
      <c r="U23" s="20" t="s">
        <v>18</v>
      </c>
      <c r="V23" s="20" t="s">
        <v>19</v>
      </c>
      <c r="W23" s="20" t="s">
        <v>20</v>
      </c>
      <c r="X23" s="20" t="s">
        <v>21</v>
      </c>
      <c r="Y23" s="20" t="s">
        <v>22</v>
      </c>
      <c r="Z23" s="20" t="s">
        <v>23</v>
      </c>
      <c r="AA23" s="20" t="s">
        <v>24</v>
      </c>
      <c r="AB23" s="20" t="s">
        <v>25</v>
      </c>
      <c r="AC23" s="20" t="s">
        <v>26</v>
      </c>
      <c r="AD23" s="20" t="s">
        <v>27</v>
      </c>
      <c r="AE23" s="20" t="s">
        <v>28</v>
      </c>
      <c r="AF23" s="20" t="s">
        <v>29</v>
      </c>
      <c r="AG23" s="20" t="s">
        <v>30</v>
      </c>
      <c r="AH23" s="20" t="s">
        <v>31</v>
      </c>
      <c r="AI23" s="20" t="s">
        <v>32</v>
      </c>
    </row>
    <row r="24" spans="1:36" x14ac:dyDescent="0.35">
      <c r="A24" s="76" t="s">
        <v>56</v>
      </c>
      <c r="B24" s="76"/>
      <c r="C24" s="22">
        <f>COUNTIFS(B$4:B$9,"0,5",$AI$4:$AI$9,"Yes")</f>
        <v>0</v>
      </c>
      <c r="D24" s="22">
        <f>COUNTIFS(C$4:C$9,"0,2",$AI$4:$AI$9,"Yes")</f>
        <v>1</v>
      </c>
      <c r="E24" s="22">
        <f>COUNTIFS(D$4:D$9,"0,3",$AI$4:$AI$9,"Yes")</f>
        <v>1</v>
      </c>
      <c r="F24" s="22">
        <f>COUNTIFS(E$4:E$9,"0,3",$AI$4:$AI$9,"Yes")</f>
        <v>0</v>
      </c>
      <c r="G24" s="22">
        <f>COUNTIFS(F$4:F$9,"0,3",$AI$4:$AI$9,"Yes")</f>
        <v>1</v>
      </c>
      <c r="H24" s="22">
        <f>COUNTIFS(G$4:G$9,"1",$AI$4:$AI$9,"Yes")</f>
        <v>1</v>
      </c>
      <c r="I24" s="22">
        <f>COUNTIFS(H$4:H$9,"0,5",$AI$4:$AI$9,"Yes")</f>
        <v>1</v>
      </c>
      <c r="J24" s="22">
        <f>COUNTIFS(I$4:I$9,"1",$AI$4:$AI$9,"Yes")</f>
        <v>1</v>
      </c>
      <c r="K24" s="22">
        <f>COUNTIFS(J$4:J$9,"0,2",$AI$4:$AI$9,"Yes")</f>
        <v>1</v>
      </c>
      <c r="L24" s="22">
        <f>COUNTIFS(K$4:K$9,"0",$AI$4:$AI$9,"Yes")</f>
        <v>1</v>
      </c>
      <c r="M24" s="18">
        <f>COUNTIFS(L$4:L$9,"0,0",$AI$4:$AI$9,"Yes")</f>
        <v>1</v>
      </c>
      <c r="N24" s="18">
        <f>COUNTIFS(M$4:M$9,"0,2",$AI$4:$AI$9,"Yes")</f>
        <v>1</v>
      </c>
      <c r="O24" s="18">
        <f>COUNTIFS(N$4:N$9,"0,5",$AI$4:$AI$9,"Yes")</f>
        <v>1</v>
      </c>
      <c r="P24" s="18">
        <f>COUNTIFS(O$4:O$9,"0",$AI$4:$AI$9,"Yes")</f>
        <v>1</v>
      </c>
      <c r="Q24" s="18">
        <f>COUNTIFS(P$4:P$9,"0",$AI$4:$AI$9,"Yes")</f>
        <v>1</v>
      </c>
      <c r="R24" s="18">
        <f>COUNTIFS(Q$4:Q$9,"0",$AI$4:$AI$9,"Yes")</f>
        <v>1</v>
      </c>
      <c r="S24" s="18">
        <f>COUNTIFS(R$4:R$9,"1,0",$AI$4:$AI$9,"Yes")</f>
        <v>1</v>
      </c>
      <c r="T24" s="18">
        <f>COUNTIFS(S$4:S$9,"0",$AI$4:$AI$9,"Yes")</f>
        <v>1</v>
      </c>
      <c r="U24" s="18">
        <f>COUNTIFS(T$4:T$9,"1,0",$AI$4:$AI$9,"Yes")</f>
        <v>1</v>
      </c>
      <c r="V24" s="18">
        <f>COUNTIFS(U$4:U$9,"1",$AI$4:$AI$9,"Yes")</f>
        <v>1</v>
      </c>
      <c r="W24" s="18">
        <f>COUNTIFS(V$4:V$9,"1",$AI$4:$AI$9,"Yes")</f>
        <v>1</v>
      </c>
      <c r="X24" s="18">
        <f>COUNTIFS(W$4:W$9,"0",$AI$4:$AI$9,"Yes")</f>
        <v>1</v>
      </c>
      <c r="Y24" s="18">
        <f>COUNTIFS(X$4:X$9,"1",$AI$4:$AI$9,"Yes")</f>
        <v>1</v>
      </c>
      <c r="Z24" s="18">
        <f>COUNTIFS(Y$4:Y$9,"1",$AI$4:$AI$9,"Yes")</f>
        <v>1</v>
      </c>
      <c r="AA24" s="18">
        <f>COUNTIFS(Z$4:Z$9,"1",$AI$4:$AI$9,"Yes")</f>
        <v>1</v>
      </c>
      <c r="AB24" s="18">
        <f>COUNTIFS(AA$4:AA$9,"0",$AI$4:$AI$9,"Yes")</f>
        <v>1</v>
      </c>
      <c r="AC24" s="18">
        <f t="shared" ref="AC24:AI24" si="0">COUNTIFS(AB$4:AB$9,"1",$AI$4:$AI$9,"Yes")</f>
        <v>1</v>
      </c>
      <c r="AD24" s="18">
        <f t="shared" si="0"/>
        <v>1</v>
      </c>
      <c r="AE24" s="18">
        <f t="shared" si="0"/>
        <v>1</v>
      </c>
      <c r="AF24" s="18">
        <f t="shared" si="0"/>
        <v>1</v>
      </c>
      <c r="AG24" s="18">
        <f t="shared" si="0"/>
        <v>1</v>
      </c>
      <c r="AH24" s="18">
        <f t="shared" si="0"/>
        <v>1</v>
      </c>
      <c r="AI24" s="18">
        <f t="shared" si="0"/>
        <v>0</v>
      </c>
      <c r="AJ24" s="24"/>
    </row>
    <row r="25" spans="1:36" x14ac:dyDescent="0.35">
      <c r="A25" s="76" t="s">
        <v>42</v>
      </c>
      <c r="B25" s="76"/>
      <c r="C25" s="22">
        <f>COUNTIFS(B$4:B$9,"0,5",$AI$4:$AI$9,"No")</f>
        <v>1</v>
      </c>
      <c r="D25" s="22">
        <f>COUNTIFS(C$4:C$9,"0,2",$AI$4:$AI$9,"No")</f>
        <v>0</v>
      </c>
      <c r="E25" s="22">
        <f>COUNTIFS(D$4:D$9,"0,3",$AI$4:$AI$9,"No")</f>
        <v>0</v>
      </c>
      <c r="F25" s="22">
        <f>COUNTIFS(E$4:E$9,"0,7",$AI$4:$AI$9,"NO")</f>
        <v>0</v>
      </c>
      <c r="G25" s="22">
        <f>COUNTIFS(F$4:F$9,"0,3",$AI$4:$AI$9,"No")</f>
        <v>0</v>
      </c>
      <c r="H25" s="22">
        <f>COUNTIFS(G$4:G$9,"1,0",$AI$4:$AI$9,"No")</f>
        <v>0</v>
      </c>
      <c r="I25" s="22">
        <f>COUNTIFS(H$4:H$9,"0,5",$AI$4:$AI$9,"No")</f>
        <v>0</v>
      </c>
      <c r="J25" s="22">
        <f>COUNTIFS(I$4:I$9,"1",$AI$4:$AI$9,"No")</f>
        <v>0</v>
      </c>
      <c r="K25" s="22">
        <f>COUNTIFS(J$4:J$9,"0,2",$AI$4:$AI$9,"No")</f>
        <v>0</v>
      </c>
      <c r="L25" s="22">
        <f>COUNTIFS(K$4:K$9,"0",$AI$4:$AI$9,"No")</f>
        <v>0</v>
      </c>
      <c r="M25" s="18">
        <f>COUNTIFS(L$4:L$9,"0,0",$AI$4:$AI$9,"No")</f>
        <v>0</v>
      </c>
      <c r="N25" s="18">
        <f>COUNTIFS(M$4:M$9,"0,2",$AI$4:$AI$9,"No")</f>
        <v>0</v>
      </c>
      <c r="O25" s="18">
        <f>COUNTIFS(N$4:N$9,"0,5",$AI$4:$AI$9,"No")</f>
        <v>0</v>
      </c>
      <c r="P25" s="18">
        <f>COUNTIFS(O$4:O$9,"0,0",$AI$4:$AI$9,"No")</f>
        <v>0</v>
      </c>
      <c r="Q25" s="18">
        <f>COUNTIFS(P$4:P$9,"0",$AI$4:$AI$9,"No")</f>
        <v>0</v>
      </c>
      <c r="R25" s="18">
        <f>COUNTIFS(Q$4:Q$9,"0",$AI$4:$AI$9,"No")</f>
        <v>0</v>
      </c>
      <c r="S25" s="18">
        <f>COUNTIFS(R$4:R$9,"1,0",$AI$4:$AI$9,"No")</f>
        <v>0</v>
      </c>
      <c r="T25" s="18">
        <f>COUNTIFS(S$4:S$9,"0",$AI$4:$AI$9,"No")</f>
        <v>0</v>
      </c>
      <c r="U25" s="18">
        <f>COUNTIFS(T$4:T$9,"1,0",$AI$4:$AI$9,"No")</f>
        <v>0</v>
      </c>
      <c r="V25" s="18">
        <f>COUNTIFS(T$4:T$9,"1,0",$AI$4:$AI$9,"No")</f>
        <v>0</v>
      </c>
      <c r="W25" s="18">
        <f>COUNTIFS(V$4:V$9,"1",$AI$4:$AI$9,"No")</f>
        <v>5</v>
      </c>
      <c r="X25" s="18">
        <f>COUNTIFS(W$4:W$9,"0,0",$AI$4:$AI$9,"No")</f>
        <v>0</v>
      </c>
      <c r="Y25" s="18">
        <f>COUNTIFS(X$4:X$9,"1",$AI$4:$AI$9,"No")</f>
        <v>0</v>
      </c>
      <c r="Z25" s="18">
        <f>COUNTIFS(Y$4:Y$9,"1",$AI$4:$AI$9,"No")</f>
        <v>0</v>
      </c>
      <c r="AA25" s="18">
        <f>COUNTIFS(Z$4:Z$9,"1",$AI$4:$AI$9,"No")</f>
        <v>0</v>
      </c>
      <c r="AB25" s="18">
        <f>COUNTIFS(AA$4:AA$9,"0",$AI$4:$AI$9,"No")</f>
        <v>0</v>
      </c>
      <c r="AC25" s="18">
        <f t="shared" ref="AC25:AI25" si="1">COUNTIFS(AB$4:AB$9,"1",$AI$4:$AI$9,"No")</f>
        <v>0</v>
      </c>
      <c r="AD25" s="18">
        <f t="shared" si="1"/>
        <v>5</v>
      </c>
      <c r="AE25" s="18">
        <f t="shared" si="1"/>
        <v>0</v>
      </c>
      <c r="AF25" s="18">
        <f t="shared" si="1"/>
        <v>5</v>
      </c>
      <c r="AG25" s="18">
        <f t="shared" si="1"/>
        <v>0</v>
      </c>
      <c r="AH25" s="18">
        <f t="shared" si="1"/>
        <v>5</v>
      </c>
      <c r="AI25" s="18">
        <f t="shared" si="1"/>
        <v>0</v>
      </c>
      <c r="AJ25" s="24"/>
    </row>
    <row r="26" spans="1:36" x14ac:dyDescent="0.35">
      <c r="A26" s="76" t="s">
        <v>54</v>
      </c>
      <c r="B26" s="20" t="s">
        <v>56</v>
      </c>
      <c r="C26" s="22">
        <f t="shared" ref="C26:AI26" si="2">C24/$B$17</f>
        <v>0</v>
      </c>
      <c r="D26" s="22">
        <f t="shared" si="2"/>
        <v>1</v>
      </c>
      <c r="E26" s="22">
        <f t="shared" si="2"/>
        <v>1</v>
      </c>
      <c r="F26" s="22">
        <f t="shared" si="2"/>
        <v>0</v>
      </c>
      <c r="G26" s="22">
        <f t="shared" si="2"/>
        <v>1</v>
      </c>
      <c r="H26" s="22">
        <f t="shared" si="2"/>
        <v>1</v>
      </c>
      <c r="I26" s="22">
        <f t="shared" si="2"/>
        <v>1</v>
      </c>
      <c r="J26" s="22">
        <f t="shared" si="2"/>
        <v>1</v>
      </c>
      <c r="K26" s="22">
        <f t="shared" si="2"/>
        <v>1</v>
      </c>
      <c r="L26" s="22">
        <f t="shared" si="2"/>
        <v>1</v>
      </c>
      <c r="M26" s="18">
        <f t="shared" si="2"/>
        <v>1</v>
      </c>
      <c r="N26" s="18">
        <f t="shared" si="2"/>
        <v>1</v>
      </c>
      <c r="O26" s="18">
        <f t="shared" si="2"/>
        <v>1</v>
      </c>
      <c r="P26" s="18">
        <f t="shared" si="2"/>
        <v>1</v>
      </c>
      <c r="Q26" s="18">
        <f t="shared" si="2"/>
        <v>1</v>
      </c>
      <c r="R26" s="18">
        <f t="shared" si="2"/>
        <v>1</v>
      </c>
      <c r="S26" s="18">
        <f t="shared" si="2"/>
        <v>1</v>
      </c>
      <c r="T26" s="18">
        <f t="shared" si="2"/>
        <v>1</v>
      </c>
      <c r="U26" s="18">
        <f t="shared" si="2"/>
        <v>1</v>
      </c>
      <c r="V26" s="18">
        <f t="shared" si="2"/>
        <v>1</v>
      </c>
      <c r="W26" s="18">
        <f t="shared" si="2"/>
        <v>1</v>
      </c>
      <c r="X26" s="18">
        <f t="shared" si="2"/>
        <v>1</v>
      </c>
      <c r="Y26" s="18">
        <f t="shared" si="2"/>
        <v>1</v>
      </c>
      <c r="Z26" s="18">
        <f t="shared" si="2"/>
        <v>1</v>
      </c>
      <c r="AA26" s="18">
        <f t="shared" si="2"/>
        <v>1</v>
      </c>
      <c r="AB26" s="18">
        <f t="shared" si="2"/>
        <v>1</v>
      </c>
      <c r="AC26" s="18">
        <f t="shared" si="2"/>
        <v>1</v>
      </c>
      <c r="AD26" s="18">
        <f t="shared" si="2"/>
        <v>1</v>
      </c>
      <c r="AE26" s="18">
        <f t="shared" si="2"/>
        <v>1</v>
      </c>
      <c r="AF26" s="18">
        <f t="shared" si="2"/>
        <v>1</v>
      </c>
      <c r="AG26" s="18">
        <f t="shared" si="2"/>
        <v>1</v>
      </c>
      <c r="AH26" s="18">
        <f t="shared" si="2"/>
        <v>1</v>
      </c>
      <c r="AI26" s="18">
        <f t="shared" si="2"/>
        <v>0</v>
      </c>
      <c r="AJ26" s="18">
        <f>C26*D26*E26*F26*G26*H26*I26*J26*K26*L26*M26*N26*O26*P26*Q26*R26*S26*T26*U26*V26*W26*X26*Y26*Z26*AA26*AB26*AC26*AD26*AE26*AF26*AG26*AH26*AI26</f>
        <v>0</v>
      </c>
    </row>
    <row r="27" spans="1:36" x14ac:dyDescent="0.35">
      <c r="A27" s="76"/>
      <c r="B27" s="20" t="s">
        <v>42</v>
      </c>
      <c r="C27" s="22">
        <f t="shared" ref="C27:AI27" si="3">C25/$C$17</f>
        <v>0.2</v>
      </c>
      <c r="D27" s="22">
        <f t="shared" si="3"/>
        <v>0</v>
      </c>
      <c r="E27" s="22">
        <f t="shared" si="3"/>
        <v>0</v>
      </c>
      <c r="F27" s="22">
        <f t="shared" si="3"/>
        <v>0</v>
      </c>
      <c r="G27" s="22">
        <f t="shared" si="3"/>
        <v>0</v>
      </c>
      <c r="H27" s="22">
        <f t="shared" si="3"/>
        <v>0</v>
      </c>
      <c r="I27" s="22">
        <f t="shared" si="3"/>
        <v>0</v>
      </c>
      <c r="J27" s="22">
        <f t="shared" si="3"/>
        <v>0</v>
      </c>
      <c r="K27" s="22">
        <f t="shared" si="3"/>
        <v>0</v>
      </c>
      <c r="L27" s="22">
        <f t="shared" si="3"/>
        <v>0</v>
      </c>
      <c r="M27" s="18">
        <f t="shared" si="3"/>
        <v>0</v>
      </c>
      <c r="N27" s="18">
        <f t="shared" si="3"/>
        <v>0</v>
      </c>
      <c r="O27" s="18">
        <f t="shared" si="3"/>
        <v>0</v>
      </c>
      <c r="P27" s="18">
        <f t="shared" si="3"/>
        <v>0</v>
      </c>
      <c r="Q27" s="18">
        <f t="shared" si="3"/>
        <v>0</v>
      </c>
      <c r="R27" s="18">
        <f t="shared" si="3"/>
        <v>0</v>
      </c>
      <c r="S27" s="18">
        <f t="shared" si="3"/>
        <v>0</v>
      </c>
      <c r="T27" s="18">
        <f t="shared" si="3"/>
        <v>0</v>
      </c>
      <c r="U27" s="18">
        <f t="shared" si="3"/>
        <v>0</v>
      </c>
      <c r="V27" s="18">
        <f t="shared" si="3"/>
        <v>0</v>
      </c>
      <c r="W27" s="18">
        <f t="shared" si="3"/>
        <v>1</v>
      </c>
      <c r="X27" s="18">
        <f t="shared" si="3"/>
        <v>0</v>
      </c>
      <c r="Y27" s="18">
        <f t="shared" si="3"/>
        <v>0</v>
      </c>
      <c r="Z27" s="18">
        <f t="shared" si="3"/>
        <v>0</v>
      </c>
      <c r="AA27" s="18">
        <f t="shared" si="3"/>
        <v>0</v>
      </c>
      <c r="AB27" s="18">
        <f t="shared" si="3"/>
        <v>0</v>
      </c>
      <c r="AC27" s="18">
        <f t="shared" si="3"/>
        <v>0</v>
      </c>
      <c r="AD27" s="18">
        <f t="shared" si="3"/>
        <v>1</v>
      </c>
      <c r="AE27" s="18">
        <f t="shared" si="3"/>
        <v>0</v>
      </c>
      <c r="AF27" s="18">
        <f t="shared" si="3"/>
        <v>1</v>
      </c>
      <c r="AG27" s="18">
        <f t="shared" si="3"/>
        <v>0</v>
      </c>
      <c r="AH27" s="18">
        <f t="shared" si="3"/>
        <v>1</v>
      </c>
      <c r="AI27" s="18">
        <f t="shared" si="3"/>
        <v>0</v>
      </c>
      <c r="AJ27" s="18">
        <f>C27*D27*E27*F27*G27*H27*I27*J27*K27*L27*M27*N27*O27*P27*Q27*R27*S27*T27*U27*V27*W27*X27*Y27*Z27*AA27*AB27*AC27*AD27*AE27*AF27*AG27*AH27*AI27</f>
        <v>0</v>
      </c>
    </row>
    <row r="28" spans="1:36" x14ac:dyDescent="0.35">
      <c r="A28" s="34"/>
      <c r="B28" s="34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</row>
    <row r="29" spans="1:36" x14ac:dyDescent="0.35">
      <c r="A29" s="66" t="s">
        <v>57</v>
      </c>
      <c r="B29" s="67"/>
      <c r="C29" s="36" t="s">
        <v>58</v>
      </c>
      <c r="D29" s="35"/>
      <c r="E29" s="35"/>
      <c r="F29" s="35"/>
      <c r="G29" s="35"/>
      <c r="H29" s="35"/>
      <c r="I29" s="35"/>
      <c r="J29" s="35"/>
      <c r="K29" s="35"/>
      <c r="L29" s="35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</row>
    <row r="30" spans="1:36" x14ac:dyDescent="0.35">
      <c r="A30" s="37" t="s">
        <v>56</v>
      </c>
      <c r="B30" s="38">
        <f>AJ26*$B$18</f>
        <v>0</v>
      </c>
      <c r="C30" s="68" t="str">
        <f>IF(B30&gt;B31,A30, A31)</f>
        <v>No</v>
      </c>
      <c r="D30" s="35"/>
      <c r="E30" s="35"/>
      <c r="F30" s="35"/>
      <c r="G30" s="35"/>
      <c r="H30" s="35"/>
      <c r="I30" s="35"/>
      <c r="J30" s="35"/>
      <c r="K30" s="35"/>
      <c r="L30" s="35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</row>
    <row r="31" spans="1:36" x14ac:dyDescent="0.35">
      <c r="A31" s="37" t="s">
        <v>42</v>
      </c>
      <c r="B31" s="38">
        <f>AJ27*$C$18</f>
        <v>0</v>
      </c>
      <c r="C31" s="69"/>
      <c r="D31" s="35"/>
      <c r="E31" s="35"/>
      <c r="F31" s="35"/>
      <c r="G31" s="35"/>
      <c r="H31" s="35"/>
      <c r="I31" s="35"/>
      <c r="J31" s="35"/>
      <c r="K31" s="35"/>
      <c r="L31" s="35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</row>
    <row r="33" spans="1:36" x14ac:dyDescent="0.35">
      <c r="A33" s="8"/>
      <c r="B33" s="8" t="s">
        <v>0</v>
      </c>
      <c r="C33" s="8" t="s">
        <v>1</v>
      </c>
      <c r="D33" s="8" t="s">
        <v>2</v>
      </c>
      <c r="E33" s="8" t="s">
        <v>3</v>
      </c>
      <c r="F33" s="8" t="s">
        <v>4</v>
      </c>
      <c r="G33" s="8" t="s">
        <v>5</v>
      </c>
      <c r="H33" s="8" t="s">
        <v>6</v>
      </c>
      <c r="I33" s="8" t="s">
        <v>7</v>
      </c>
      <c r="J33" s="8" t="s">
        <v>8</v>
      </c>
      <c r="K33" s="8" t="s">
        <v>9</v>
      </c>
      <c r="L33" s="8" t="s">
        <v>10</v>
      </c>
      <c r="M33" s="8" t="s">
        <v>11</v>
      </c>
      <c r="N33" s="8" t="s">
        <v>12</v>
      </c>
      <c r="O33" s="8" t="s">
        <v>13</v>
      </c>
      <c r="P33" s="8" t="s">
        <v>14</v>
      </c>
      <c r="Q33" s="8" t="s">
        <v>15</v>
      </c>
      <c r="R33" s="8" t="s">
        <v>16</v>
      </c>
      <c r="S33" s="8" t="s">
        <v>17</v>
      </c>
      <c r="T33" s="8" t="s">
        <v>18</v>
      </c>
      <c r="U33" s="8" t="s">
        <v>19</v>
      </c>
      <c r="V33" s="8" t="s">
        <v>20</v>
      </c>
      <c r="W33" s="8" t="s">
        <v>21</v>
      </c>
      <c r="X33" s="8" t="s">
        <v>22</v>
      </c>
      <c r="Y33" s="8" t="s">
        <v>23</v>
      </c>
      <c r="Z33" s="8" t="s">
        <v>24</v>
      </c>
      <c r="AA33" s="8" t="s">
        <v>25</v>
      </c>
      <c r="AB33" s="8" t="s">
        <v>26</v>
      </c>
      <c r="AC33" s="8" t="s">
        <v>27</v>
      </c>
      <c r="AD33" s="8" t="s">
        <v>28</v>
      </c>
      <c r="AE33" s="8" t="s">
        <v>29</v>
      </c>
      <c r="AF33" s="8" t="s">
        <v>30</v>
      </c>
      <c r="AG33" s="8" t="s">
        <v>31</v>
      </c>
      <c r="AH33" s="8" t="s">
        <v>32</v>
      </c>
      <c r="AI33" s="8"/>
    </row>
    <row r="34" spans="1:36" x14ac:dyDescent="0.35">
      <c r="A34" s="9" t="s">
        <v>50</v>
      </c>
      <c r="B34" s="10">
        <v>0</v>
      </c>
      <c r="C34" s="10">
        <v>0.1</v>
      </c>
      <c r="D34" s="10">
        <v>0.2</v>
      </c>
      <c r="E34" s="10">
        <v>0.5</v>
      </c>
      <c r="F34" s="10">
        <v>0.1</v>
      </c>
      <c r="G34" s="10">
        <v>0.9</v>
      </c>
      <c r="H34" s="10">
        <v>0.55416666666666603</v>
      </c>
      <c r="I34" s="10">
        <v>0.848101265822784</v>
      </c>
      <c r="J34" s="10">
        <v>0.42278481012658198</v>
      </c>
      <c r="K34" s="10">
        <v>0.13055555555555501</v>
      </c>
      <c r="L34" s="10">
        <v>0.05</v>
      </c>
      <c r="M34" s="10">
        <v>0.26216216216216198</v>
      </c>
      <c r="N34" s="10">
        <v>0.515625</v>
      </c>
      <c r="O34" s="10">
        <v>7.4999999999999997E-2</v>
      </c>
      <c r="P34" s="10">
        <v>5.0632911392405E-2</v>
      </c>
      <c r="Q34" s="10">
        <v>9.9999999999999895E-2</v>
      </c>
      <c r="R34" s="10">
        <v>0.938271604938271</v>
      </c>
      <c r="S34" s="10">
        <v>0.38271604938271597</v>
      </c>
      <c r="T34" s="10">
        <v>0.96296296296296302</v>
      </c>
      <c r="U34" s="10">
        <v>1</v>
      </c>
      <c r="V34" s="10">
        <v>1</v>
      </c>
      <c r="W34" s="10">
        <v>0.12345679012345601</v>
      </c>
      <c r="X34" s="10">
        <v>0.96296296296296302</v>
      </c>
      <c r="Y34" s="10">
        <v>0.95061728395061695</v>
      </c>
      <c r="Z34" s="10">
        <v>0.75308641975308599</v>
      </c>
      <c r="AA34" s="10">
        <v>0.35802469135802401</v>
      </c>
      <c r="AB34" s="10">
        <v>0.98765432098765404</v>
      </c>
      <c r="AC34" s="10">
        <v>1</v>
      </c>
      <c r="AD34" s="10">
        <v>0.97530864197530798</v>
      </c>
      <c r="AE34" s="10">
        <v>1</v>
      </c>
      <c r="AF34" s="10">
        <v>0.46249999999999902</v>
      </c>
      <c r="AG34" s="10">
        <v>1</v>
      </c>
      <c r="AH34" s="10">
        <v>0.89610389610389596</v>
      </c>
      <c r="AI34" s="8" t="s">
        <v>37</v>
      </c>
    </row>
    <row r="36" spans="1:36" x14ac:dyDescent="0.35">
      <c r="A36" s="74" t="s">
        <v>55</v>
      </c>
      <c r="B36" s="74"/>
      <c r="C36" s="9" t="s">
        <v>0</v>
      </c>
      <c r="D36" s="9" t="s">
        <v>1</v>
      </c>
      <c r="E36" s="9" t="s">
        <v>2</v>
      </c>
      <c r="F36" s="9" t="s">
        <v>3</v>
      </c>
      <c r="G36" s="9" t="s">
        <v>4</v>
      </c>
      <c r="H36" s="9" t="s">
        <v>5</v>
      </c>
      <c r="I36" s="9" t="s">
        <v>6</v>
      </c>
      <c r="J36" s="9" t="s">
        <v>7</v>
      </c>
      <c r="K36" s="9" t="s">
        <v>8</v>
      </c>
      <c r="L36" s="9" t="s">
        <v>9</v>
      </c>
      <c r="M36" s="9" t="s">
        <v>10</v>
      </c>
      <c r="N36" s="9" t="s">
        <v>11</v>
      </c>
      <c r="O36" s="9" t="s">
        <v>12</v>
      </c>
      <c r="P36" s="9" t="s">
        <v>13</v>
      </c>
      <c r="Q36" s="9" t="s">
        <v>14</v>
      </c>
      <c r="R36" s="9" t="s">
        <v>15</v>
      </c>
      <c r="S36" s="9" t="s">
        <v>16</v>
      </c>
      <c r="T36" s="9" t="s">
        <v>17</v>
      </c>
      <c r="U36" s="9" t="s">
        <v>18</v>
      </c>
      <c r="V36" s="9" t="s">
        <v>19</v>
      </c>
      <c r="W36" s="9" t="s">
        <v>20</v>
      </c>
      <c r="X36" s="9" t="s">
        <v>21</v>
      </c>
      <c r="Y36" s="9" t="s">
        <v>22</v>
      </c>
      <c r="Z36" s="9" t="s">
        <v>23</v>
      </c>
      <c r="AA36" s="9" t="s">
        <v>24</v>
      </c>
      <c r="AB36" s="9" t="s">
        <v>25</v>
      </c>
      <c r="AC36" s="9" t="s">
        <v>26</v>
      </c>
      <c r="AD36" s="9" t="s">
        <v>27</v>
      </c>
      <c r="AE36" s="9" t="s">
        <v>28</v>
      </c>
      <c r="AF36" s="9" t="s">
        <v>29</v>
      </c>
      <c r="AG36" s="9" t="s">
        <v>30</v>
      </c>
      <c r="AH36" s="9" t="s">
        <v>31</v>
      </c>
      <c r="AI36" s="9" t="s">
        <v>32</v>
      </c>
    </row>
    <row r="37" spans="1:36" x14ac:dyDescent="0.35">
      <c r="A37" s="74" t="s">
        <v>56</v>
      </c>
      <c r="B37" s="74"/>
      <c r="C37" s="11">
        <f>COUNTIFS(B$4:B$9,"0,0",$AI$4:$AI$9,"Yes")</f>
        <v>0</v>
      </c>
      <c r="D37" s="11">
        <f>COUNTIFS(C$4:C$9,"0,1",$AI$4:$AI$9,"Yes")</f>
        <v>0</v>
      </c>
      <c r="E37" s="11">
        <f>COUNTIFS(D$4:D$9,"0,2",$AI$4:$AI$9,"Yes")</f>
        <v>0</v>
      </c>
      <c r="F37" s="11">
        <f>COUNTIFS(E$4:E$9,"0,5",$AI$4:$AI$9,"Yes")</f>
        <v>0</v>
      </c>
      <c r="G37" s="11">
        <f>COUNTIFS(F$4:F$9,"0,1",$AI$4:$AI$9,"Yes")</f>
        <v>0</v>
      </c>
      <c r="H37" s="11">
        <f>COUNTIFS(G$4:G$9,"0,9",$AI$4:$AI$9,"Yes")</f>
        <v>0</v>
      </c>
      <c r="I37" s="11">
        <f>COUNTIFS(H$4:H$9,"0,6",$AI$4:$AI$9,"Yes")</f>
        <v>0</v>
      </c>
      <c r="J37" s="11">
        <f>COUNTIFS(I$4:I$9,"0,8",$AI$4:$AI$9,"Yes")</f>
        <v>0</v>
      </c>
      <c r="K37" s="11">
        <f>COUNTIFS(J$4:J$9,"0,4",$AI$4:$AI$9,"Yes")</f>
        <v>0</v>
      </c>
      <c r="L37" s="11">
        <f>COUNTIFS(K$4:K$9,"0,1",$AI$4:$AI$9,"Yes")</f>
        <v>0</v>
      </c>
      <c r="M37" s="12">
        <f>COUNTIFS(L$4:L$9,"0,1",$AI$4:$AI$9,"Yes")</f>
        <v>0</v>
      </c>
      <c r="N37" s="12">
        <f>COUNTIFS(M$4:M$9,"0,3",$AI$4:$AI$9,"Yes")</f>
        <v>0</v>
      </c>
      <c r="O37" s="12">
        <f>COUNTIFS(N$4:N$9,"0,5",$AI$4:$AI$9,"Yes")</f>
        <v>1</v>
      </c>
      <c r="P37" s="12">
        <f>COUNTIFS(O$4:O$9,"0,1",$AI$4:$AI$9,"Yes")</f>
        <v>0</v>
      </c>
      <c r="Q37" s="12">
        <f>COUNTIFS(P$4:P$9,"0,1",$AI$4:$AI$9,"Yes")</f>
        <v>0</v>
      </c>
      <c r="R37" s="12">
        <f>COUNTIFS(Q$4:Q$9,"0,1",$AI$4:$AI$9,"Yes")</f>
        <v>0</v>
      </c>
      <c r="S37" s="12">
        <f>COUNTIFS(R$4:R$9,"0,9",$AI$4:$AI$9,"Yes")</f>
        <v>0</v>
      </c>
      <c r="T37" s="12">
        <f>COUNTIFS(S$4:S$9,"0,4",$AI$4:$AI$9,"Yes")</f>
        <v>0</v>
      </c>
      <c r="U37" s="12">
        <f>COUNTIFS(T$4:T$9,"1,0",$AI$4:$AI$9,"Yes")</f>
        <v>1</v>
      </c>
      <c r="V37" s="12">
        <f>COUNTIFS(U$4:U$9,"1,0",$AI$4:$AI$9,"Yes")</f>
        <v>1</v>
      </c>
      <c r="W37" s="12">
        <f>COUNTIFS(V$4:V$9,"1,0",$AI$4:$AI$9,"Yes")</f>
        <v>1</v>
      </c>
      <c r="X37" s="12">
        <f>COUNTIFS(W$4:W$9,"0,1",$AI$4:$AI$9,"Yes")</f>
        <v>0</v>
      </c>
      <c r="Y37" s="12">
        <f>COUNTIFS(X$4:X$9,"1,0",$AI$4:$AI$9,"Yes")</f>
        <v>1</v>
      </c>
      <c r="Z37" s="12">
        <f>COUNTIFS(Y$4:Y$9,"1,0",$AI$4:$AI$9,"Yes")</f>
        <v>1</v>
      </c>
      <c r="AA37" s="12">
        <f>COUNTIFS(Z$4:Z$9,"0,8",$AI$4:$AI$9,"Yes")</f>
        <v>0</v>
      </c>
      <c r="AB37" s="12">
        <f>COUNTIFS(AA$4:AA$9,"0,4",$AI$4:$AI$9,"Yes")</f>
        <v>0</v>
      </c>
      <c r="AC37" s="12">
        <f>COUNTIFS(AB$4:AB$9,"1,0",$AI$4:$AI$9,"Yes")</f>
        <v>1</v>
      </c>
      <c r="AD37" s="12">
        <f>COUNTIFS(AC$4:AC$9,"1,0",$AI$4:$AI$9,"Yes")</f>
        <v>1</v>
      </c>
      <c r="AE37" s="12">
        <f>COUNTIFS(AD$4:AD$9,"1,0",$AI$4:$AI$9,"Yes")</f>
        <v>1</v>
      </c>
      <c r="AF37" s="12">
        <f>COUNTIFS(AE$4:AE$9,"1,0",$AI$4:$AI$9,"Yes")</f>
        <v>1</v>
      </c>
      <c r="AG37" s="12">
        <f>COUNTIFS(AF$4:AF$9,"0,5",$AI$4:$AI$9,"Yes")</f>
        <v>0</v>
      </c>
      <c r="AH37" s="12">
        <f>COUNTIFS(AG$4:AG$9,"1,0",$AI$4:$AI$9,"Yes")</f>
        <v>1</v>
      </c>
      <c r="AI37" s="12">
        <f>COUNTIFS(AH$4:AH$9,"0,9",$AI$4:$AI$9,"Yes")</f>
        <v>0</v>
      </c>
      <c r="AJ37" s="24"/>
    </row>
    <row r="38" spans="1:36" x14ac:dyDescent="0.35">
      <c r="A38" s="74" t="s">
        <v>42</v>
      </c>
      <c r="B38" s="74"/>
      <c r="C38" s="11">
        <f>COUNTIFS(B$4:B$9,"0,0",$AI$4:$AI$9,"No")</f>
        <v>4</v>
      </c>
      <c r="D38" s="11">
        <f>COUNTIFS(C$4:C$9,"0,1",$AI$4:$AI$9,"No")</f>
        <v>5</v>
      </c>
      <c r="E38" s="11">
        <f>COUNTIFS(D$4:D$9,"0,2",$AI$4:$AI$9,"No")</f>
        <v>5</v>
      </c>
      <c r="F38" s="11">
        <f>COUNTIFS(E$4:E$9,"0,5",$AI$4:$AI$9,"No")</f>
        <v>5</v>
      </c>
      <c r="G38" s="11">
        <f>COUNTIFS(F$4:F$9,"0,1",$AI$4:$AI$9,"No")</f>
        <v>5</v>
      </c>
      <c r="H38" s="11">
        <f>COUNTIFS(G$4:G$9,"0,9",$AI$4:$AI$9,"No")</f>
        <v>5</v>
      </c>
      <c r="I38" s="11">
        <f>COUNTIFS(H$4:H$9,"0,6",$AI$4:$AI$9,"No")</f>
        <v>0</v>
      </c>
      <c r="J38" s="11">
        <f>COUNTIFS(I$4:I$9,"0,8",$AI$4:$AI$9,"No")</f>
        <v>0</v>
      </c>
      <c r="K38" s="11">
        <f>COUNTIFS(J$4:J$9,"0,4",$AI$4:$AI$9,"No")</f>
        <v>0</v>
      </c>
      <c r="L38" s="11">
        <f>COUNTIFS(K$4:K$9,"0,1",$AI$4:$AI$9,"No")</f>
        <v>0</v>
      </c>
      <c r="M38" s="12">
        <f>COUNTIFS(L$4:L$9,"0,1",$AI$4:$AI$9,"No")</f>
        <v>0</v>
      </c>
      <c r="N38" s="12">
        <f>COUNTIFS(M$4:M$9,"0,3",$AI$4:$AI$9,"No")</f>
        <v>0</v>
      </c>
      <c r="O38" s="12">
        <f>COUNTIFS(N$4:N$9,"0,5",$AI$4:$AI$9,"No")</f>
        <v>0</v>
      </c>
      <c r="P38" s="12">
        <f>COUNTIFS(O$4:O$9,"0,1",$AI$4:$AI$9,"No")</f>
        <v>0</v>
      </c>
      <c r="Q38" s="12">
        <f>COUNTIFS(P$4:P$9,"0,1",$AI$4:$AI$9,"No")</f>
        <v>0</v>
      </c>
      <c r="R38" s="12">
        <f>COUNTIFS(Q$4:Q$9,"0,1",$AI$4:$AI$9,"No")</f>
        <v>0</v>
      </c>
      <c r="S38" s="12">
        <f>COUNTIFS(R$4:R$9,"0,9",$AI$4:$AI$9,"No")</f>
        <v>0</v>
      </c>
      <c r="T38" s="12">
        <f>COUNTIFS(S$4:S$9,"0,4",$AI$4:$AI$9,"No")</f>
        <v>0</v>
      </c>
      <c r="U38" s="12">
        <f>COUNTIFS(T$4:T$9,"1,0",$AI$4:$AI$9,"No")</f>
        <v>0</v>
      </c>
      <c r="V38" s="12">
        <f>COUNTIFS(U$4:U$9,"1,0",$AI$4:$AI$9,"No")</f>
        <v>5</v>
      </c>
      <c r="W38" s="12">
        <f>COUNTIFS(V$4:V$9,"1,0",$AI$4:$AI$9,"No")</f>
        <v>5</v>
      </c>
      <c r="X38" s="12">
        <f>COUNTIFS(W$4:W$9,"0,1",$AI$4:$AI$9,"No")</f>
        <v>0</v>
      </c>
      <c r="Y38" s="12">
        <f>COUNTIFS(X$4:X$9,"1,0",$AI$4:$AI$9,"No")</f>
        <v>0</v>
      </c>
      <c r="Z38" s="12">
        <f>COUNTIFS(Y$4:Y$9,"1,0",$AI$4:$AI$9,"No")</f>
        <v>0</v>
      </c>
      <c r="AA38" s="12">
        <f>COUNTIFS(Z$4:Z$9,"0,8",$AI$4:$AI$9,"No")</f>
        <v>0</v>
      </c>
      <c r="AB38" s="12">
        <f>COUNTIFS(AA$4:AA$9,"0,4",$AI$4:$AI$9,"No")</f>
        <v>0</v>
      </c>
      <c r="AC38" s="12">
        <f>COUNTIFS(AB$4:AB$9,"1,0",$AI$4:$AI$9,"No")</f>
        <v>0</v>
      </c>
      <c r="AD38" s="12">
        <f>COUNTIFS(AC$4:AC$9,"1,0",$AI$4:$AI$9,"No")</f>
        <v>5</v>
      </c>
      <c r="AE38" s="12">
        <f>COUNTIFS(AD$4:AD$9,"1,0",$AI$4:$AI$9,"No")</f>
        <v>0</v>
      </c>
      <c r="AF38" s="12">
        <f>COUNTIFS(AE$4:AE$9,"1,0",$AI$4:$AI$9,"No")</f>
        <v>5</v>
      </c>
      <c r="AG38" s="12">
        <f>COUNTIFS(AF$4:AF$9,"0,5",$AI$4:$AI$9,"No")</f>
        <v>0</v>
      </c>
      <c r="AH38" s="12">
        <f>COUNTIFS(AG$4:AG$9,"1,0",$AI$4:$AI$9,"No")</f>
        <v>5</v>
      </c>
      <c r="AI38" s="12">
        <f>COUNTIFS(AH$4:AH$9,"0,9",$AI$4:$AI$9,"No")</f>
        <v>0</v>
      </c>
      <c r="AJ38" s="24"/>
    </row>
    <row r="39" spans="1:36" x14ac:dyDescent="0.35">
      <c r="A39" s="74" t="s">
        <v>54</v>
      </c>
      <c r="B39" s="9" t="s">
        <v>56</v>
      </c>
      <c r="C39" s="11">
        <f>C37/$B$17</f>
        <v>0</v>
      </c>
      <c r="D39" s="11">
        <f t="shared" ref="D39:AI39" si="4">D37/$B$17</f>
        <v>0</v>
      </c>
      <c r="E39" s="11">
        <f t="shared" si="4"/>
        <v>0</v>
      </c>
      <c r="F39" s="11">
        <f t="shared" si="4"/>
        <v>0</v>
      </c>
      <c r="G39" s="11">
        <f t="shared" si="4"/>
        <v>0</v>
      </c>
      <c r="H39" s="11">
        <f t="shared" si="4"/>
        <v>0</v>
      </c>
      <c r="I39" s="11">
        <f t="shared" si="4"/>
        <v>0</v>
      </c>
      <c r="J39" s="11">
        <f t="shared" si="4"/>
        <v>0</v>
      </c>
      <c r="K39" s="11">
        <f t="shared" si="4"/>
        <v>0</v>
      </c>
      <c r="L39" s="11">
        <f t="shared" si="4"/>
        <v>0</v>
      </c>
      <c r="M39" s="12">
        <f t="shared" si="4"/>
        <v>0</v>
      </c>
      <c r="N39" s="12">
        <f t="shared" si="4"/>
        <v>0</v>
      </c>
      <c r="O39" s="12">
        <f t="shared" si="4"/>
        <v>1</v>
      </c>
      <c r="P39" s="12">
        <f t="shared" si="4"/>
        <v>0</v>
      </c>
      <c r="Q39" s="12">
        <f t="shared" si="4"/>
        <v>0</v>
      </c>
      <c r="R39" s="12">
        <f t="shared" si="4"/>
        <v>0</v>
      </c>
      <c r="S39" s="12">
        <f t="shared" si="4"/>
        <v>0</v>
      </c>
      <c r="T39" s="12">
        <f t="shared" si="4"/>
        <v>0</v>
      </c>
      <c r="U39" s="12">
        <f t="shared" si="4"/>
        <v>1</v>
      </c>
      <c r="V39" s="12">
        <f t="shared" si="4"/>
        <v>1</v>
      </c>
      <c r="W39" s="12">
        <f t="shared" si="4"/>
        <v>1</v>
      </c>
      <c r="X39" s="12">
        <f t="shared" si="4"/>
        <v>0</v>
      </c>
      <c r="Y39" s="12">
        <f t="shared" si="4"/>
        <v>1</v>
      </c>
      <c r="Z39" s="12">
        <f t="shared" si="4"/>
        <v>1</v>
      </c>
      <c r="AA39" s="12">
        <f t="shared" si="4"/>
        <v>0</v>
      </c>
      <c r="AB39" s="12">
        <f t="shared" si="4"/>
        <v>0</v>
      </c>
      <c r="AC39" s="12">
        <f t="shared" si="4"/>
        <v>1</v>
      </c>
      <c r="AD39" s="12">
        <f t="shared" si="4"/>
        <v>1</v>
      </c>
      <c r="AE39" s="12">
        <f t="shared" si="4"/>
        <v>1</v>
      </c>
      <c r="AF39" s="12">
        <f t="shared" si="4"/>
        <v>1</v>
      </c>
      <c r="AG39" s="12">
        <f t="shared" si="4"/>
        <v>0</v>
      </c>
      <c r="AH39" s="12">
        <f t="shared" si="4"/>
        <v>1</v>
      </c>
      <c r="AI39" s="12">
        <f t="shared" si="4"/>
        <v>0</v>
      </c>
      <c r="AJ39" s="12">
        <f>C39*D39*E39*F39*G39*H39*I39*J39*K39*L39*M39*N39*O39*P39*Q39*R39*S39*T39*U39*V39*W39*X39*Y39*Z39*AA39*AB39*AC39*AD39*AE39*AF39*AG39*AH39*AI39</f>
        <v>0</v>
      </c>
    </row>
    <row r="40" spans="1:36" x14ac:dyDescent="0.35">
      <c r="A40" s="74"/>
      <c r="B40" s="9" t="s">
        <v>42</v>
      </c>
      <c r="C40" s="11">
        <f>C38/$C$17</f>
        <v>0.8</v>
      </c>
      <c r="D40" s="11">
        <f t="shared" ref="D40:AI40" si="5">D38/$C$17</f>
        <v>1</v>
      </c>
      <c r="E40" s="11">
        <f t="shared" si="5"/>
        <v>1</v>
      </c>
      <c r="F40" s="11">
        <f t="shared" si="5"/>
        <v>1</v>
      </c>
      <c r="G40" s="11">
        <f t="shared" si="5"/>
        <v>1</v>
      </c>
      <c r="H40" s="11">
        <f t="shared" si="5"/>
        <v>1</v>
      </c>
      <c r="I40" s="11">
        <f t="shared" si="5"/>
        <v>0</v>
      </c>
      <c r="J40" s="11">
        <f t="shared" si="5"/>
        <v>0</v>
      </c>
      <c r="K40" s="11">
        <f t="shared" si="5"/>
        <v>0</v>
      </c>
      <c r="L40" s="11">
        <f t="shared" si="5"/>
        <v>0</v>
      </c>
      <c r="M40" s="12">
        <f t="shared" si="5"/>
        <v>0</v>
      </c>
      <c r="N40" s="12">
        <f t="shared" si="5"/>
        <v>0</v>
      </c>
      <c r="O40" s="12">
        <f t="shared" si="5"/>
        <v>0</v>
      </c>
      <c r="P40" s="12">
        <f t="shared" si="5"/>
        <v>0</v>
      </c>
      <c r="Q40" s="12">
        <f t="shared" si="5"/>
        <v>0</v>
      </c>
      <c r="R40" s="12">
        <f t="shared" si="5"/>
        <v>0</v>
      </c>
      <c r="S40" s="12">
        <f t="shared" si="5"/>
        <v>0</v>
      </c>
      <c r="T40" s="12">
        <f t="shared" si="5"/>
        <v>0</v>
      </c>
      <c r="U40" s="12">
        <f t="shared" si="5"/>
        <v>0</v>
      </c>
      <c r="V40" s="12">
        <f t="shared" si="5"/>
        <v>1</v>
      </c>
      <c r="W40" s="12">
        <f t="shared" si="5"/>
        <v>1</v>
      </c>
      <c r="X40" s="12">
        <f t="shared" si="5"/>
        <v>0</v>
      </c>
      <c r="Y40" s="12">
        <f t="shared" si="5"/>
        <v>0</v>
      </c>
      <c r="Z40" s="12">
        <f t="shared" si="5"/>
        <v>0</v>
      </c>
      <c r="AA40" s="12">
        <f t="shared" si="5"/>
        <v>0</v>
      </c>
      <c r="AB40" s="12">
        <f t="shared" si="5"/>
        <v>0</v>
      </c>
      <c r="AC40" s="12">
        <f t="shared" si="5"/>
        <v>0</v>
      </c>
      <c r="AD40" s="12">
        <f t="shared" si="5"/>
        <v>1</v>
      </c>
      <c r="AE40" s="12">
        <f t="shared" si="5"/>
        <v>0</v>
      </c>
      <c r="AF40" s="12">
        <f t="shared" si="5"/>
        <v>1</v>
      </c>
      <c r="AG40" s="12">
        <f t="shared" si="5"/>
        <v>0</v>
      </c>
      <c r="AH40" s="12">
        <f t="shared" si="5"/>
        <v>1</v>
      </c>
      <c r="AI40" s="12">
        <f t="shared" si="5"/>
        <v>0</v>
      </c>
      <c r="AJ40" s="12">
        <f>C40*D40*E40*F40*G40*H40*I40*J40*K40*L40*M40*N40*O40*P40*Q40*R40*S40*T40*U40*V40*W40*X40*Y40*Z40*AA40*AB40*AC40*AD40*AE40*AF40*AG40*AH40*AI40</f>
        <v>0</v>
      </c>
    </row>
    <row r="41" spans="1:36" x14ac:dyDescent="0.35">
      <c r="A41" s="34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</row>
    <row r="42" spans="1:36" x14ac:dyDescent="0.35">
      <c r="A42" s="66" t="s">
        <v>57</v>
      </c>
      <c r="B42" s="67"/>
      <c r="C42" s="36" t="s">
        <v>58</v>
      </c>
      <c r="D42" s="35"/>
      <c r="E42" s="35"/>
      <c r="F42" s="35"/>
      <c r="G42" s="35"/>
      <c r="H42" s="35"/>
      <c r="I42" s="35"/>
      <c r="J42" s="35"/>
      <c r="K42" s="35"/>
      <c r="L42" s="35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</row>
    <row r="43" spans="1:36" x14ac:dyDescent="0.35">
      <c r="A43" s="37" t="s">
        <v>56</v>
      </c>
      <c r="B43" s="38">
        <f>AJ39*$B$18</f>
        <v>0</v>
      </c>
      <c r="C43" s="68" t="str">
        <f>IF(B43&gt;B44,A43, A44)</f>
        <v>No</v>
      </c>
      <c r="D43" s="35"/>
      <c r="E43" s="35"/>
      <c r="F43" s="35"/>
      <c r="G43" s="35"/>
      <c r="H43" s="35"/>
      <c r="I43" s="35"/>
      <c r="J43" s="35"/>
      <c r="K43" s="35"/>
      <c r="L43" s="35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</row>
    <row r="44" spans="1:36" x14ac:dyDescent="0.35">
      <c r="A44" s="37" t="s">
        <v>42</v>
      </c>
      <c r="B44" s="38">
        <f>AJ40*$C$18</f>
        <v>0</v>
      </c>
      <c r="C44" s="69"/>
      <c r="D44" s="35"/>
      <c r="E44" s="35"/>
      <c r="F44" s="35"/>
      <c r="G44" s="35"/>
      <c r="H44" s="35"/>
      <c r="I44" s="35"/>
      <c r="J44" s="35"/>
      <c r="K44" s="35"/>
      <c r="L44" s="35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</row>
    <row r="46" spans="1:36" x14ac:dyDescent="0.35">
      <c r="A46" s="13"/>
      <c r="B46" s="13" t="s">
        <v>0</v>
      </c>
      <c r="C46" s="13" t="s">
        <v>1</v>
      </c>
      <c r="D46" s="13" t="s">
        <v>2</v>
      </c>
      <c r="E46" s="13" t="s">
        <v>3</v>
      </c>
      <c r="F46" s="13" t="s">
        <v>4</v>
      </c>
      <c r="G46" s="13" t="s">
        <v>5</v>
      </c>
      <c r="H46" s="13" t="s">
        <v>6</v>
      </c>
      <c r="I46" s="13" t="s">
        <v>7</v>
      </c>
      <c r="J46" s="13" t="s">
        <v>8</v>
      </c>
      <c r="K46" s="13" t="s">
        <v>9</v>
      </c>
      <c r="L46" s="13" t="s">
        <v>10</v>
      </c>
      <c r="M46" s="13" t="s">
        <v>11</v>
      </c>
      <c r="N46" s="13" t="s">
        <v>12</v>
      </c>
      <c r="O46" s="13" t="s">
        <v>13</v>
      </c>
      <c r="P46" s="13" t="s">
        <v>14</v>
      </c>
      <c r="Q46" s="13" t="s">
        <v>15</v>
      </c>
      <c r="R46" s="13" t="s">
        <v>16</v>
      </c>
      <c r="S46" s="13" t="s">
        <v>17</v>
      </c>
      <c r="T46" s="13" t="s">
        <v>18</v>
      </c>
      <c r="U46" s="13" t="s">
        <v>19</v>
      </c>
      <c r="V46" s="13" t="s">
        <v>20</v>
      </c>
      <c r="W46" s="13" t="s">
        <v>21</v>
      </c>
      <c r="X46" s="13" t="s">
        <v>22</v>
      </c>
      <c r="Y46" s="13" t="s">
        <v>23</v>
      </c>
      <c r="Z46" s="13" t="s">
        <v>24</v>
      </c>
      <c r="AA46" s="13" t="s">
        <v>25</v>
      </c>
      <c r="AB46" s="13" t="s">
        <v>26</v>
      </c>
      <c r="AC46" s="13" t="s">
        <v>27</v>
      </c>
      <c r="AD46" s="13" t="s">
        <v>28</v>
      </c>
      <c r="AE46" s="13" t="s">
        <v>29</v>
      </c>
      <c r="AF46" s="13" t="s">
        <v>30</v>
      </c>
      <c r="AG46" s="13" t="s">
        <v>31</v>
      </c>
      <c r="AH46" s="13" t="s">
        <v>32</v>
      </c>
      <c r="AI46" s="13"/>
    </row>
    <row r="47" spans="1:36" x14ac:dyDescent="0.35">
      <c r="A47" s="14" t="s">
        <v>51</v>
      </c>
      <c r="B47" s="15">
        <v>0.2</v>
      </c>
      <c r="C47" s="15">
        <v>0</v>
      </c>
      <c r="D47" s="15">
        <v>0</v>
      </c>
      <c r="E47" s="15">
        <v>0</v>
      </c>
      <c r="F47" s="15">
        <v>0</v>
      </c>
      <c r="G47" s="15">
        <v>1</v>
      </c>
      <c r="H47" s="15">
        <v>0.5</v>
      </c>
      <c r="I47" s="15">
        <v>1</v>
      </c>
      <c r="J47" s="15">
        <v>0.4</v>
      </c>
      <c r="K47" s="15">
        <v>1</v>
      </c>
      <c r="L47" s="15">
        <v>0</v>
      </c>
      <c r="M47" s="15">
        <v>0</v>
      </c>
      <c r="N47" s="15">
        <v>0.5</v>
      </c>
      <c r="O47" s="15">
        <v>0</v>
      </c>
      <c r="P47" s="15">
        <v>0</v>
      </c>
      <c r="Q47" s="15">
        <v>0</v>
      </c>
      <c r="R47" s="15">
        <v>1</v>
      </c>
      <c r="S47" s="15">
        <v>1</v>
      </c>
      <c r="T47" s="15">
        <v>1</v>
      </c>
      <c r="U47" s="15">
        <v>1</v>
      </c>
      <c r="V47" s="15">
        <v>1</v>
      </c>
      <c r="W47" s="15">
        <v>1</v>
      </c>
      <c r="X47" s="15">
        <v>1</v>
      </c>
      <c r="Y47" s="15">
        <v>1</v>
      </c>
      <c r="Z47" s="15">
        <v>0</v>
      </c>
      <c r="AA47" s="15">
        <v>1</v>
      </c>
      <c r="AB47" s="15">
        <v>1</v>
      </c>
      <c r="AC47" s="15">
        <v>1</v>
      </c>
      <c r="AD47" s="15">
        <v>1</v>
      </c>
      <c r="AE47" s="15">
        <v>1</v>
      </c>
      <c r="AF47" s="15">
        <v>0</v>
      </c>
      <c r="AG47" s="15">
        <v>1</v>
      </c>
      <c r="AH47" s="15">
        <v>1</v>
      </c>
      <c r="AI47" s="13" t="s">
        <v>37</v>
      </c>
    </row>
    <row r="49" spans="1:36" x14ac:dyDescent="0.35">
      <c r="A49" s="73" t="s">
        <v>55</v>
      </c>
      <c r="B49" s="73"/>
      <c r="C49" s="14" t="s">
        <v>0</v>
      </c>
      <c r="D49" s="14" t="s">
        <v>1</v>
      </c>
      <c r="E49" s="14" t="s">
        <v>2</v>
      </c>
      <c r="F49" s="14" t="s">
        <v>3</v>
      </c>
      <c r="G49" s="14" t="s">
        <v>4</v>
      </c>
      <c r="H49" s="14" t="s">
        <v>5</v>
      </c>
      <c r="I49" s="14" t="s">
        <v>6</v>
      </c>
      <c r="J49" s="14" t="s">
        <v>7</v>
      </c>
      <c r="K49" s="14" t="s">
        <v>8</v>
      </c>
      <c r="L49" s="14" t="s">
        <v>9</v>
      </c>
      <c r="M49" s="14" t="s">
        <v>10</v>
      </c>
      <c r="N49" s="14" t="s">
        <v>11</v>
      </c>
      <c r="O49" s="14" t="s">
        <v>12</v>
      </c>
      <c r="P49" s="14" t="s">
        <v>13</v>
      </c>
      <c r="Q49" s="14" t="s">
        <v>14</v>
      </c>
      <c r="R49" s="14" t="s">
        <v>15</v>
      </c>
      <c r="S49" s="14" t="s">
        <v>16</v>
      </c>
      <c r="T49" s="14" t="s">
        <v>17</v>
      </c>
      <c r="U49" s="14" t="s">
        <v>18</v>
      </c>
      <c r="V49" s="14" t="s">
        <v>19</v>
      </c>
      <c r="W49" s="14" t="s">
        <v>20</v>
      </c>
      <c r="X49" s="14" t="s">
        <v>21</v>
      </c>
      <c r="Y49" s="14" t="s">
        <v>22</v>
      </c>
      <c r="Z49" s="14" t="s">
        <v>23</v>
      </c>
      <c r="AA49" s="14" t="s">
        <v>24</v>
      </c>
      <c r="AB49" s="14" t="s">
        <v>25</v>
      </c>
      <c r="AC49" s="14" t="s">
        <v>26</v>
      </c>
      <c r="AD49" s="14" t="s">
        <v>27</v>
      </c>
      <c r="AE49" s="14" t="s">
        <v>28</v>
      </c>
      <c r="AF49" s="14" t="s">
        <v>29</v>
      </c>
      <c r="AG49" s="14" t="s">
        <v>30</v>
      </c>
      <c r="AH49" s="14" t="s">
        <v>31</v>
      </c>
      <c r="AI49" s="14" t="s">
        <v>32</v>
      </c>
    </row>
    <row r="50" spans="1:36" x14ac:dyDescent="0.35">
      <c r="A50" s="73" t="s">
        <v>56</v>
      </c>
      <c r="B50" s="73"/>
      <c r="C50" s="16">
        <f>COUNTIFS(B$4:B$9,"0,2",$AI$4:$AI$9,"Yes")</f>
        <v>0</v>
      </c>
      <c r="D50" s="16">
        <f>COUNTIFS(C$4:C$9,"0,0",$AI$4:$AI$9,"Yes")</f>
        <v>0</v>
      </c>
      <c r="E50" s="16">
        <f>COUNTIFS(D$4:D$9,"0,0",$AI$4:$AI$9,"Yes")</f>
        <v>0</v>
      </c>
      <c r="F50" s="16">
        <f>COUNTIFS(E$4:E$9,"0,0",$AI$4:$AI$9,"Yes")</f>
        <v>0</v>
      </c>
      <c r="G50" s="16">
        <f>COUNTIFS(F$4:F$9,"0,0",$AI$4:$AI$9,"Yes")</f>
        <v>0</v>
      </c>
      <c r="H50" s="16">
        <f>COUNTIFS(G$4:G$9,"1,0",$AI$4:$AI$9,"Yes")</f>
        <v>1</v>
      </c>
      <c r="I50" s="16">
        <f>COUNTIFS(H$4:H$9,"0,5",$AI$4:$AI$9,"Yes")</f>
        <v>1</v>
      </c>
      <c r="J50" s="16">
        <f>COUNTIFS(I$4:I$9,"1,0",$AI$4:$AI$9,"Yes")</f>
        <v>1</v>
      </c>
      <c r="K50" s="16">
        <f>COUNTIFS(J$4:J$9,"0,4",$AI$4:$AI$9,"Yes")</f>
        <v>0</v>
      </c>
      <c r="L50" s="16">
        <f>COUNTIFS(K$4:K$9,"1,0",$AI$4:$AI$9,"Yes")</f>
        <v>0</v>
      </c>
      <c r="M50" s="17">
        <f>COUNTIFS(L$4:L$9,"0,0",$AI$4:$AI$9,"Yes")</f>
        <v>1</v>
      </c>
      <c r="N50" s="17">
        <f>COUNTIFS(M$4:M$9,"0,0",$AI$4:$AI$9,"Yes")</f>
        <v>0</v>
      </c>
      <c r="O50" s="17">
        <f>COUNTIFS(N$4:N$9,"0,5",$AI$4:$AI$9,"Yes")</f>
        <v>1</v>
      </c>
      <c r="P50" s="17">
        <f>COUNTIFS(O$4:O$9,"0,0",$AI$4:$AI$9,"Yes")</f>
        <v>1</v>
      </c>
      <c r="Q50" s="17">
        <f>COUNTIFS(P$4:P$9,"0,0",$AI$4:$AI$9,"Yes")</f>
        <v>1</v>
      </c>
      <c r="R50" s="17">
        <f>COUNTIFS(Q$4:Q$9,"0,0",$AI$4:$AI$9,"Yes")</f>
        <v>1</v>
      </c>
      <c r="S50" s="17">
        <f t="shared" ref="S50:Z50" si="6">COUNTIFS(R$4:R$9,"1,0",$AI$4:$AI$9,"Yes")</f>
        <v>1</v>
      </c>
      <c r="T50" s="17">
        <f t="shared" si="6"/>
        <v>0</v>
      </c>
      <c r="U50" s="17">
        <f t="shared" si="6"/>
        <v>1</v>
      </c>
      <c r="V50" s="17">
        <f t="shared" si="6"/>
        <v>1</v>
      </c>
      <c r="W50" s="17">
        <f t="shared" si="6"/>
        <v>1</v>
      </c>
      <c r="X50" s="17">
        <f t="shared" si="6"/>
        <v>0</v>
      </c>
      <c r="Y50" s="17">
        <f t="shared" si="6"/>
        <v>1</v>
      </c>
      <c r="Z50" s="17">
        <f t="shared" si="6"/>
        <v>1</v>
      </c>
      <c r="AA50" s="17">
        <f>COUNTIFS(Z$4:Z$9,"0,0",$AI$4:$AI$9,"Yes")</f>
        <v>0</v>
      </c>
      <c r="AB50" s="17">
        <f>COUNTIFS(AA$4:AA$9,"1,0",$AI$4:$AI$9,"Yes")</f>
        <v>0</v>
      </c>
      <c r="AC50" s="17">
        <f>COUNTIFS(AB$4:AB$9,"1,0",$AI$4:$AI$9,"Yes")</f>
        <v>1</v>
      </c>
      <c r="AD50" s="17">
        <f>COUNTIFS(AC$4:AC$9,"1,0",$AI$4:$AI$9,"Yes")</f>
        <v>1</v>
      </c>
      <c r="AE50" s="17">
        <f>COUNTIFS(AD$4:AD$9,"1,0",$AI$4:$AI$9,"Yes")</f>
        <v>1</v>
      </c>
      <c r="AF50" s="17">
        <f>COUNTIFS(AE$4:AE$9,"1,0",$AI$4:$AI$9,"Yes")</f>
        <v>1</v>
      </c>
      <c r="AG50" s="17">
        <f>COUNTIFS(AF$4:AF$9,"0,0",$AI$4:$AI$9,"Yes")</f>
        <v>0</v>
      </c>
      <c r="AH50" s="17">
        <f>COUNTIFS(AG$4:AG$9,"1,0",$AI$4:$AI$9,"Yes")</f>
        <v>1</v>
      </c>
      <c r="AI50" s="17">
        <f>COUNTIFS(AH$4:AH$9,"1,0",$AI$4:$AI$9,"Yes")</f>
        <v>0</v>
      </c>
      <c r="AJ50" s="24"/>
    </row>
    <row r="51" spans="1:36" x14ac:dyDescent="0.35">
      <c r="A51" s="73" t="s">
        <v>42</v>
      </c>
      <c r="B51" s="73"/>
      <c r="C51" s="16">
        <f>COUNTIFS(B$4:B$9,"0,2",$AI$4:$AI$9,"No")</f>
        <v>0</v>
      </c>
      <c r="D51" s="16">
        <f>COUNTIFS(C$4:C$9,"0,0",$AI$4:$AI$9,"No")</f>
        <v>0</v>
      </c>
      <c r="E51" s="16">
        <f>COUNTIFS(D$4:D$9,"0,0",$AI$4:$AI$9,"No")</f>
        <v>0</v>
      </c>
      <c r="F51" s="16">
        <f>COUNTIFS(E$4:E$9,"0,0",$AI$4:$AI$9,"No")</f>
        <v>0</v>
      </c>
      <c r="G51" s="16">
        <f>COUNTIFS(F$4:F$9,"0,0",$AI$4:$AI$9,"No")</f>
        <v>0</v>
      </c>
      <c r="H51" s="16">
        <f>COUNTIFS(G$4:G$9,"1,0",$AI$4:$AI$9,"No")</f>
        <v>0</v>
      </c>
      <c r="I51" s="16">
        <f>COUNTIFS(H$4:H$9,"0,5",$AI$4:$AI$9,"No")</f>
        <v>0</v>
      </c>
      <c r="J51" s="16">
        <f>COUNTIFS(I$4:I$9,"1,0",$AI$4:$AI$9,"No")</f>
        <v>0</v>
      </c>
      <c r="K51" s="16">
        <f>COUNTIFS(J$4:J$9,"0,4",$AI$4:$AI$9,"No")</f>
        <v>0</v>
      </c>
      <c r="L51" s="16">
        <f>COUNTIFS(K$4:K$9,"1,0",$AI$4:$AI$9,"No")</f>
        <v>0</v>
      </c>
      <c r="M51" s="17">
        <f>COUNTIFS(L$4:L$9,"0,0",$AI$4:$AI$9,"No")</f>
        <v>0</v>
      </c>
      <c r="N51" s="17">
        <f>COUNTIFS(M$4:M$9,"0,0",$AI$4:$AI$9,"No")</f>
        <v>0</v>
      </c>
      <c r="O51" s="17">
        <f>COUNTIFS(N$4:N$9,"0,5",$AI$4:$AI$9,"No")</f>
        <v>0</v>
      </c>
      <c r="P51" s="17">
        <f>COUNTIFS(O$4:O$9,"0,0",$AI$4:$AI$9,"No")</f>
        <v>0</v>
      </c>
      <c r="Q51" s="17">
        <f>COUNTIFS(P$4:P$9,"0,0",$AI$4:$AI$9,"No")</f>
        <v>0</v>
      </c>
      <c r="R51" s="17">
        <f>COUNTIFS(Q$4:Q$9,"0,0",$AI$4:$AI$9,"No")</f>
        <v>0</v>
      </c>
      <c r="S51" s="17">
        <f t="shared" ref="S51:Z51" si="7">COUNTIFS(R$4:R$9,"1,0",$AI$4:$AI$9,"No")</f>
        <v>0</v>
      </c>
      <c r="T51" s="17">
        <f t="shared" si="7"/>
        <v>0</v>
      </c>
      <c r="U51" s="17">
        <f t="shared" si="7"/>
        <v>0</v>
      </c>
      <c r="V51" s="17">
        <f t="shared" si="7"/>
        <v>5</v>
      </c>
      <c r="W51" s="17">
        <f t="shared" si="7"/>
        <v>5</v>
      </c>
      <c r="X51" s="17">
        <f t="shared" si="7"/>
        <v>0</v>
      </c>
      <c r="Y51" s="17">
        <f t="shared" si="7"/>
        <v>0</v>
      </c>
      <c r="Z51" s="17">
        <f t="shared" si="7"/>
        <v>0</v>
      </c>
      <c r="AA51" s="17">
        <f>COUNTIFS(Z$4:Z$9,"0,0",$AI$4:$AI$9,"No")</f>
        <v>0</v>
      </c>
      <c r="AB51" s="17">
        <f>COUNTIFS(AA$4:AA$9,"1,0",$AI$4:$AI$9,"No")</f>
        <v>0</v>
      </c>
      <c r="AC51" s="17">
        <f>COUNTIFS(AB$4:AB$9,"1,0",$AI$4:$AI$9,"No")</f>
        <v>0</v>
      </c>
      <c r="AD51" s="17">
        <f>COUNTIFS(AC$4:AC$9,"1,0",$AI$4:$AI$9,"No")</f>
        <v>5</v>
      </c>
      <c r="AE51" s="17">
        <f>COUNTIFS(AD$4:AD$9,"1,0",$AI$4:$AI$9,"No")</f>
        <v>0</v>
      </c>
      <c r="AF51" s="17">
        <f>COUNTIFS(AE$4:AE$9,"1,0",$AI$4:$AI$9,"No")</f>
        <v>5</v>
      </c>
      <c r="AG51" s="17">
        <f>COUNTIFS(AF$4:AF$9,"0,0",$AI$4:$AI$9,"No")</f>
        <v>0</v>
      </c>
      <c r="AH51" s="17">
        <f>COUNTIFS(AG$4:AG$9,"1,0",$AI$4:$AI$9,"No")</f>
        <v>5</v>
      </c>
      <c r="AI51" s="17">
        <f>COUNTIFS(AH$4:AH$9,"1,0",$AI$4:$AI$9,"No")</f>
        <v>0</v>
      </c>
      <c r="AJ51" s="24"/>
    </row>
    <row r="52" spans="1:36" x14ac:dyDescent="0.35">
      <c r="A52" s="73" t="s">
        <v>54</v>
      </c>
      <c r="B52" s="14" t="s">
        <v>56</v>
      </c>
      <c r="C52" s="16">
        <f t="shared" ref="C52:AI52" si="8">C50/$B$17</f>
        <v>0</v>
      </c>
      <c r="D52" s="16">
        <f t="shared" si="8"/>
        <v>0</v>
      </c>
      <c r="E52" s="16">
        <f t="shared" si="8"/>
        <v>0</v>
      </c>
      <c r="F52" s="16">
        <f t="shared" si="8"/>
        <v>0</v>
      </c>
      <c r="G52" s="16">
        <f t="shared" si="8"/>
        <v>0</v>
      </c>
      <c r="H52" s="16">
        <f t="shared" si="8"/>
        <v>1</v>
      </c>
      <c r="I52" s="16">
        <f t="shared" si="8"/>
        <v>1</v>
      </c>
      <c r="J52" s="16">
        <f t="shared" si="8"/>
        <v>1</v>
      </c>
      <c r="K52" s="16">
        <f t="shared" si="8"/>
        <v>0</v>
      </c>
      <c r="L52" s="16">
        <f t="shared" si="8"/>
        <v>0</v>
      </c>
      <c r="M52" s="17">
        <f t="shared" si="8"/>
        <v>1</v>
      </c>
      <c r="N52" s="17">
        <f t="shared" si="8"/>
        <v>0</v>
      </c>
      <c r="O52" s="17">
        <f t="shared" si="8"/>
        <v>1</v>
      </c>
      <c r="P52" s="17">
        <f t="shared" si="8"/>
        <v>1</v>
      </c>
      <c r="Q52" s="17">
        <f t="shared" si="8"/>
        <v>1</v>
      </c>
      <c r="R52" s="17">
        <f t="shared" si="8"/>
        <v>1</v>
      </c>
      <c r="S52" s="17">
        <f t="shared" si="8"/>
        <v>1</v>
      </c>
      <c r="T52" s="17">
        <f t="shared" si="8"/>
        <v>0</v>
      </c>
      <c r="U52" s="17">
        <f t="shared" si="8"/>
        <v>1</v>
      </c>
      <c r="V52" s="17">
        <f t="shared" si="8"/>
        <v>1</v>
      </c>
      <c r="W52" s="17">
        <f t="shared" si="8"/>
        <v>1</v>
      </c>
      <c r="X52" s="17">
        <f t="shared" si="8"/>
        <v>0</v>
      </c>
      <c r="Y52" s="17">
        <f t="shared" si="8"/>
        <v>1</v>
      </c>
      <c r="Z52" s="17">
        <f t="shared" si="8"/>
        <v>1</v>
      </c>
      <c r="AA52" s="17">
        <f t="shared" si="8"/>
        <v>0</v>
      </c>
      <c r="AB52" s="17">
        <f t="shared" si="8"/>
        <v>0</v>
      </c>
      <c r="AC52" s="17">
        <f t="shared" si="8"/>
        <v>1</v>
      </c>
      <c r="AD52" s="17">
        <f t="shared" si="8"/>
        <v>1</v>
      </c>
      <c r="AE52" s="17">
        <f t="shared" si="8"/>
        <v>1</v>
      </c>
      <c r="AF52" s="17">
        <f t="shared" si="8"/>
        <v>1</v>
      </c>
      <c r="AG52" s="17">
        <f t="shared" si="8"/>
        <v>0</v>
      </c>
      <c r="AH52" s="17">
        <f t="shared" si="8"/>
        <v>1</v>
      </c>
      <c r="AI52" s="17">
        <f t="shared" si="8"/>
        <v>0</v>
      </c>
      <c r="AJ52" s="17">
        <f>C52*D52*E52*F52*G52*H52*I52*J52*K52*L52*M52*N52*O52*P52*Q52*R52*S52*T52*U52*V52*W52*X52*Y52*Z52*AA52*AB52*AC52*AD52*AE52*AF52*AG52*AH52*AI52</f>
        <v>0</v>
      </c>
    </row>
    <row r="53" spans="1:36" x14ac:dyDescent="0.35">
      <c r="A53" s="73"/>
      <c r="B53" s="14" t="s">
        <v>42</v>
      </c>
      <c r="C53" s="16">
        <f t="shared" ref="C53:AI53" si="9">C51/$C$17</f>
        <v>0</v>
      </c>
      <c r="D53" s="16">
        <f t="shared" si="9"/>
        <v>0</v>
      </c>
      <c r="E53" s="16">
        <f t="shared" si="9"/>
        <v>0</v>
      </c>
      <c r="F53" s="16">
        <f t="shared" si="9"/>
        <v>0</v>
      </c>
      <c r="G53" s="16">
        <f t="shared" si="9"/>
        <v>0</v>
      </c>
      <c r="H53" s="16">
        <f t="shared" si="9"/>
        <v>0</v>
      </c>
      <c r="I53" s="16">
        <f t="shared" si="9"/>
        <v>0</v>
      </c>
      <c r="J53" s="16">
        <f t="shared" si="9"/>
        <v>0</v>
      </c>
      <c r="K53" s="16">
        <f t="shared" si="9"/>
        <v>0</v>
      </c>
      <c r="L53" s="16">
        <f t="shared" si="9"/>
        <v>0</v>
      </c>
      <c r="M53" s="17">
        <f t="shared" si="9"/>
        <v>0</v>
      </c>
      <c r="N53" s="17">
        <f t="shared" si="9"/>
        <v>0</v>
      </c>
      <c r="O53" s="17">
        <f t="shared" si="9"/>
        <v>0</v>
      </c>
      <c r="P53" s="17">
        <f t="shared" si="9"/>
        <v>0</v>
      </c>
      <c r="Q53" s="17">
        <f t="shared" si="9"/>
        <v>0</v>
      </c>
      <c r="R53" s="17">
        <f t="shared" si="9"/>
        <v>0</v>
      </c>
      <c r="S53" s="17">
        <f t="shared" si="9"/>
        <v>0</v>
      </c>
      <c r="T53" s="17">
        <f t="shared" si="9"/>
        <v>0</v>
      </c>
      <c r="U53" s="17">
        <f t="shared" si="9"/>
        <v>0</v>
      </c>
      <c r="V53" s="17">
        <f t="shared" si="9"/>
        <v>1</v>
      </c>
      <c r="W53" s="17">
        <f t="shared" si="9"/>
        <v>1</v>
      </c>
      <c r="X53" s="17">
        <f t="shared" si="9"/>
        <v>0</v>
      </c>
      <c r="Y53" s="17">
        <f t="shared" si="9"/>
        <v>0</v>
      </c>
      <c r="Z53" s="17">
        <f t="shared" si="9"/>
        <v>0</v>
      </c>
      <c r="AA53" s="17">
        <f t="shared" si="9"/>
        <v>0</v>
      </c>
      <c r="AB53" s="17">
        <f t="shared" si="9"/>
        <v>0</v>
      </c>
      <c r="AC53" s="17">
        <f t="shared" si="9"/>
        <v>0</v>
      </c>
      <c r="AD53" s="17">
        <f t="shared" si="9"/>
        <v>1</v>
      </c>
      <c r="AE53" s="17">
        <f t="shared" si="9"/>
        <v>0</v>
      </c>
      <c r="AF53" s="17">
        <f t="shared" si="9"/>
        <v>1</v>
      </c>
      <c r="AG53" s="17">
        <f t="shared" si="9"/>
        <v>0</v>
      </c>
      <c r="AH53" s="17">
        <f t="shared" si="9"/>
        <v>1</v>
      </c>
      <c r="AI53" s="17">
        <f t="shared" si="9"/>
        <v>0</v>
      </c>
      <c r="AJ53" s="17">
        <f>C53*D53*E53*F53*G53*H53*I53*J53*K53*L53*M53*N53*O53*P53*Q53*R53*S53*T53*U53*V53*W53*X53*Y53*Z53*AA53*AB53*AC53*AD53*AE53*AF53*AG53*AH53*AI53</f>
        <v>0</v>
      </c>
    </row>
    <row r="54" spans="1:36" x14ac:dyDescent="0.35">
      <c r="A54" s="34"/>
      <c r="B54" s="34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</row>
    <row r="55" spans="1:36" x14ac:dyDescent="0.35">
      <c r="A55" s="66" t="s">
        <v>57</v>
      </c>
      <c r="B55" s="67"/>
      <c r="C55" s="36" t="s">
        <v>58</v>
      </c>
      <c r="D55" s="35"/>
      <c r="E55" s="35"/>
      <c r="F55" s="35"/>
      <c r="G55" s="35"/>
      <c r="H55" s="35"/>
      <c r="I55" s="35"/>
      <c r="J55" s="35"/>
      <c r="K55" s="35"/>
      <c r="L55" s="35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</row>
    <row r="56" spans="1:36" x14ac:dyDescent="0.35">
      <c r="A56" s="37" t="s">
        <v>56</v>
      </c>
      <c r="B56" s="38">
        <f>AJ52*$B$18</f>
        <v>0</v>
      </c>
      <c r="C56" s="68" t="str">
        <f>IF(B56&gt;B57,A56, A57)</f>
        <v>No</v>
      </c>
      <c r="D56" s="35"/>
      <c r="E56" s="35"/>
      <c r="F56" s="35"/>
      <c r="G56" s="35"/>
      <c r="H56" s="35"/>
      <c r="I56" s="35"/>
      <c r="J56" s="35"/>
      <c r="K56" s="35"/>
      <c r="L56" s="35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</row>
    <row r="57" spans="1:36" x14ac:dyDescent="0.35">
      <c r="A57" s="37" t="s">
        <v>42</v>
      </c>
      <c r="B57" s="38">
        <f>AJ53*$C$18</f>
        <v>0</v>
      </c>
      <c r="C57" s="69"/>
      <c r="D57" s="35"/>
      <c r="E57" s="35"/>
      <c r="F57" s="35"/>
      <c r="G57" s="35"/>
      <c r="H57" s="35"/>
      <c r="I57" s="35"/>
      <c r="J57" s="35"/>
      <c r="K57" s="35"/>
      <c r="L57" s="35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</row>
    <row r="59" spans="1:36" x14ac:dyDescent="0.35">
      <c r="A59" s="25"/>
      <c r="B59" s="25" t="s">
        <v>0</v>
      </c>
      <c r="C59" s="25" t="s">
        <v>1</v>
      </c>
      <c r="D59" s="25" t="s">
        <v>2</v>
      </c>
      <c r="E59" s="25" t="s">
        <v>3</v>
      </c>
      <c r="F59" s="25" t="s">
        <v>4</v>
      </c>
      <c r="G59" s="25" t="s">
        <v>5</v>
      </c>
      <c r="H59" s="25" t="s">
        <v>6</v>
      </c>
      <c r="I59" s="25" t="s">
        <v>7</v>
      </c>
      <c r="J59" s="25" t="s">
        <v>8</v>
      </c>
      <c r="K59" s="25" t="s">
        <v>9</v>
      </c>
      <c r="L59" s="25" t="s">
        <v>10</v>
      </c>
      <c r="M59" s="25" t="s">
        <v>11</v>
      </c>
      <c r="N59" s="25" t="s">
        <v>12</v>
      </c>
      <c r="O59" s="25" t="s">
        <v>13</v>
      </c>
      <c r="P59" s="25" t="s">
        <v>14</v>
      </c>
      <c r="Q59" s="25" t="s">
        <v>15</v>
      </c>
      <c r="R59" s="25" t="s">
        <v>16</v>
      </c>
      <c r="S59" s="25" t="s">
        <v>17</v>
      </c>
      <c r="T59" s="25" t="s">
        <v>18</v>
      </c>
      <c r="U59" s="25" t="s">
        <v>19</v>
      </c>
      <c r="V59" s="25" t="s">
        <v>20</v>
      </c>
      <c r="W59" s="25" t="s">
        <v>21</v>
      </c>
      <c r="X59" s="25" t="s">
        <v>22</v>
      </c>
      <c r="Y59" s="25" t="s">
        <v>23</v>
      </c>
      <c r="Z59" s="25" t="s">
        <v>24</v>
      </c>
      <c r="AA59" s="25" t="s">
        <v>25</v>
      </c>
      <c r="AB59" s="25" t="s">
        <v>26</v>
      </c>
      <c r="AC59" s="25" t="s">
        <v>27</v>
      </c>
      <c r="AD59" s="25" t="s">
        <v>28</v>
      </c>
      <c r="AE59" s="25" t="s">
        <v>29</v>
      </c>
      <c r="AF59" s="25" t="s">
        <v>30</v>
      </c>
      <c r="AG59" s="25" t="s">
        <v>31</v>
      </c>
      <c r="AH59" s="25" t="s">
        <v>32</v>
      </c>
      <c r="AI59" s="25"/>
    </row>
    <row r="60" spans="1:36" x14ac:dyDescent="0.35">
      <c r="A60" s="26" t="s">
        <v>52</v>
      </c>
      <c r="B60" s="27">
        <v>0.5</v>
      </c>
      <c r="C60" s="27">
        <v>0</v>
      </c>
      <c r="D60" s="27">
        <v>0</v>
      </c>
      <c r="E60" s="27">
        <v>1</v>
      </c>
      <c r="F60" s="27">
        <v>0.3</v>
      </c>
      <c r="G60" s="27">
        <v>1</v>
      </c>
      <c r="H60" s="27">
        <v>0.5</v>
      </c>
      <c r="I60" s="27">
        <v>1</v>
      </c>
      <c r="J60" s="27">
        <v>0.4</v>
      </c>
      <c r="K60" s="27">
        <v>0</v>
      </c>
      <c r="L60" s="27">
        <v>0</v>
      </c>
      <c r="M60" s="27">
        <v>0.2</v>
      </c>
      <c r="N60" s="27">
        <v>0.5</v>
      </c>
      <c r="O60" s="27">
        <v>0</v>
      </c>
      <c r="P60" s="27">
        <v>0</v>
      </c>
      <c r="Q60" s="27">
        <v>0</v>
      </c>
      <c r="R60" s="27">
        <v>1</v>
      </c>
      <c r="S60" s="27">
        <v>1</v>
      </c>
      <c r="T60" s="27">
        <v>1</v>
      </c>
      <c r="U60" s="27">
        <v>1</v>
      </c>
      <c r="V60" s="27">
        <v>1</v>
      </c>
      <c r="W60" s="27">
        <v>0</v>
      </c>
      <c r="X60" s="27">
        <v>1</v>
      </c>
      <c r="Y60" s="27">
        <v>1</v>
      </c>
      <c r="Z60" s="27">
        <v>1</v>
      </c>
      <c r="AA60" s="27">
        <v>0</v>
      </c>
      <c r="AB60" s="27">
        <v>1</v>
      </c>
      <c r="AC60" s="27">
        <v>1</v>
      </c>
      <c r="AD60" s="27">
        <v>1</v>
      </c>
      <c r="AE60" s="27">
        <v>1</v>
      </c>
      <c r="AF60" s="27">
        <v>0</v>
      </c>
      <c r="AG60" s="27">
        <v>1</v>
      </c>
      <c r="AH60" s="27">
        <v>1</v>
      </c>
      <c r="AI60" s="25" t="s">
        <v>37</v>
      </c>
    </row>
    <row r="62" spans="1:36" x14ac:dyDescent="0.35">
      <c r="A62" s="72" t="s">
        <v>55</v>
      </c>
      <c r="B62" s="72"/>
      <c r="C62" s="26" t="s">
        <v>0</v>
      </c>
      <c r="D62" s="26" t="s">
        <v>1</v>
      </c>
      <c r="E62" s="26" t="s">
        <v>2</v>
      </c>
      <c r="F62" s="26" t="s">
        <v>3</v>
      </c>
      <c r="G62" s="26" t="s">
        <v>4</v>
      </c>
      <c r="H62" s="26" t="s">
        <v>5</v>
      </c>
      <c r="I62" s="26" t="s">
        <v>6</v>
      </c>
      <c r="J62" s="26" t="s">
        <v>7</v>
      </c>
      <c r="K62" s="26" t="s">
        <v>8</v>
      </c>
      <c r="L62" s="26" t="s">
        <v>9</v>
      </c>
      <c r="M62" s="26" t="s">
        <v>10</v>
      </c>
      <c r="N62" s="26" t="s">
        <v>11</v>
      </c>
      <c r="O62" s="26" t="s">
        <v>12</v>
      </c>
      <c r="P62" s="26" t="s">
        <v>13</v>
      </c>
      <c r="Q62" s="26" t="s">
        <v>14</v>
      </c>
      <c r="R62" s="26" t="s">
        <v>15</v>
      </c>
      <c r="S62" s="26" t="s">
        <v>16</v>
      </c>
      <c r="T62" s="26" t="s">
        <v>17</v>
      </c>
      <c r="U62" s="26" t="s">
        <v>18</v>
      </c>
      <c r="V62" s="26" t="s">
        <v>19</v>
      </c>
      <c r="W62" s="26" t="s">
        <v>20</v>
      </c>
      <c r="X62" s="26" t="s">
        <v>21</v>
      </c>
      <c r="Y62" s="26" t="s">
        <v>22</v>
      </c>
      <c r="Z62" s="26" t="s">
        <v>23</v>
      </c>
      <c r="AA62" s="26" t="s">
        <v>24</v>
      </c>
      <c r="AB62" s="26" t="s">
        <v>25</v>
      </c>
      <c r="AC62" s="26" t="s">
        <v>26</v>
      </c>
      <c r="AD62" s="26" t="s">
        <v>27</v>
      </c>
      <c r="AE62" s="26" t="s">
        <v>28</v>
      </c>
      <c r="AF62" s="26" t="s">
        <v>29</v>
      </c>
      <c r="AG62" s="26" t="s">
        <v>30</v>
      </c>
      <c r="AH62" s="26" t="s">
        <v>31</v>
      </c>
      <c r="AI62" s="26" t="s">
        <v>32</v>
      </c>
    </row>
    <row r="63" spans="1:36" x14ac:dyDescent="0.35">
      <c r="A63" s="72" t="s">
        <v>56</v>
      </c>
      <c r="B63" s="72"/>
      <c r="C63" s="32">
        <f>COUNTIFS(B$4:B$9,"0,5",$AI$4:$AI$9,"Yes")</f>
        <v>0</v>
      </c>
      <c r="D63" s="32">
        <f>COUNTIFS(C$4:C$9,"0,0",$AI$4:$AI$9,"Yes")</f>
        <v>0</v>
      </c>
      <c r="E63" s="32">
        <f>COUNTIFS(D$4:D$9,"0,0",$AI$4:$AI$9,"Yes")</f>
        <v>0</v>
      </c>
      <c r="F63" s="32">
        <f>COUNTIFS(E$4:E$9,"1,0",$AI$4:$AI$9,"Yes")</f>
        <v>0</v>
      </c>
      <c r="G63" s="32">
        <f>COUNTIFS(F$4:F$9,"0,3",$AI$4:$AI$9,"Yes")</f>
        <v>1</v>
      </c>
      <c r="H63" s="32">
        <f>COUNTIFS(G$4:G$9,"1,0",$AI$4:$AI$9,"Yes")</f>
        <v>1</v>
      </c>
      <c r="I63" s="32">
        <f>COUNTIFS(H$4:H$9,"0,5",$AI$4:$AI$9,"Yes")</f>
        <v>1</v>
      </c>
      <c r="J63" s="32">
        <f>COUNTIFS(I$4:I$9,"1,0",$AI$4:$AI$9,"Yes")</f>
        <v>1</v>
      </c>
      <c r="K63" s="32">
        <f>COUNTIFS(J$4:J$9,"0,4",$AI$4:$AI$9,"Yes")</f>
        <v>0</v>
      </c>
      <c r="L63" s="32">
        <f>COUNTIFS(K$4:K$9,"0,0",$AI$4:$AI$9,"Yes")</f>
        <v>1</v>
      </c>
      <c r="M63" s="33">
        <f>COUNTIFS(L$4:L$9,"0,0",$AI$4:$AI$9,"Yes")</f>
        <v>1</v>
      </c>
      <c r="N63" s="33">
        <f>COUNTIFS(M$4:M$9,"0,2",$AI$4:$AI$9,"Yes")</f>
        <v>1</v>
      </c>
      <c r="O63" s="33">
        <f>COUNTIFS(N$4:N$9,"0,5",$AI$4:$AI$9,"Yes")</f>
        <v>1</v>
      </c>
      <c r="P63" s="33">
        <f>COUNTIFS(O$4:O$9,"0,0",$AI$4:$AI$9,"Yes")</f>
        <v>1</v>
      </c>
      <c r="Q63" s="33">
        <f>COUNTIFS(P$4:P$9,"0,0",$AI$4:$AI$9,"Yes")</f>
        <v>1</v>
      </c>
      <c r="R63" s="33">
        <f>COUNTIFS(Q$4:Q$9,"0,0",$AI$4:$AI$9,"Yes")</f>
        <v>1</v>
      </c>
      <c r="S63" s="33">
        <f>COUNTIFS(R$4:R$9,"1,0",$AI$4:$AI$9,"Yes")</f>
        <v>1</v>
      </c>
      <c r="T63" s="33">
        <f>COUNTIFS(S$4:S$9,"1,0",$AI$4:$AI$9,"Yes")</f>
        <v>0</v>
      </c>
      <c r="U63" s="33">
        <f>COUNTIFS(T$4:T$9,"1,0",$AI$4:$AI$9,"Yes")</f>
        <v>1</v>
      </c>
      <c r="V63" s="33">
        <f>COUNTIFS(U$4:U$9,"1,0",$AI$4:$AI$9,"Yes")</f>
        <v>1</v>
      </c>
      <c r="W63" s="33">
        <f>COUNTIFS(V$4:V$9,"1,0",$AI$4:$AI$9,"Yes")</f>
        <v>1</v>
      </c>
      <c r="X63" s="33">
        <f>COUNTIFS(W$4:W$9,"0,0",$AI$4:$AI$9,"Yes")</f>
        <v>1</v>
      </c>
      <c r="Y63" s="33">
        <f>COUNTIFS(X$4:X$9,"1,0",$AI$4:$AI$9,"Yes")</f>
        <v>1</v>
      </c>
      <c r="Z63" s="33">
        <f>COUNTIFS(Y$4:Y$9,"1,0",$AI$4:$AI$9,"Yes")</f>
        <v>1</v>
      </c>
      <c r="AA63" s="33">
        <f>COUNTIFS(Z$4:Z$9,"1,0",$AI$4:$AI$9,"Yes")</f>
        <v>1</v>
      </c>
      <c r="AB63" s="33">
        <f>COUNTIFS(AA$4:AA$9,"0,0",$AI$4:$AI$9,"Yes")</f>
        <v>1</v>
      </c>
      <c r="AC63" s="33">
        <f>COUNTIFS(AB$4:AB$9,"1,0",$AI$4:$AI$9,"Yes")</f>
        <v>1</v>
      </c>
      <c r="AD63" s="33">
        <f>COUNTIFS(AC$4:AC$9,"1,0",$AI$4:$AI$9,"Yes")</f>
        <v>1</v>
      </c>
      <c r="AE63" s="33">
        <f>COUNTIFS(AD$4:AD$9,"1,0",$AI$4:$AI$9,"Yes")</f>
        <v>1</v>
      </c>
      <c r="AF63" s="33">
        <f>COUNTIFS(AE$4:AE$9,"1,0",$AI$4:$AI$9,"Yes")</f>
        <v>1</v>
      </c>
      <c r="AG63" s="33">
        <f>COUNTIFS(AF$4:AF$9,"0,0",$AI$4:$AI$9,"Yes")</f>
        <v>0</v>
      </c>
      <c r="AH63" s="33">
        <f>COUNTIFS(AG$4:AG$9,"1,0",$AI$4:$AI$9,"Yes")</f>
        <v>1</v>
      </c>
      <c r="AI63" s="33">
        <f>COUNTIFS(AH$4:AH$9,"1,0",$AI$4:$AI$9,"Yes")</f>
        <v>0</v>
      </c>
      <c r="AJ63" s="24"/>
    </row>
    <row r="64" spans="1:36" x14ac:dyDescent="0.35">
      <c r="A64" s="72" t="s">
        <v>42</v>
      </c>
      <c r="B64" s="72"/>
      <c r="C64" s="32">
        <f>COUNTIFS(B$4:B$9,"0,5",$AI$4:$AI$9,"No")</f>
        <v>1</v>
      </c>
      <c r="D64" s="32">
        <f>COUNTIFS(C$4:C$9,"0,0",$AI$4:$AI$9,"No")</f>
        <v>0</v>
      </c>
      <c r="E64" s="32">
        <f>COUNTIFS(D$4:D$9,"0,0",$AI$4:$AI$9,"No")</f>
        <v>0</v>
      </c>
      <c r="F64" s="32">
        <f>COUNTIFS(E$4:E$9,"1,0",$AI$4:$AI$9,"No")</f>
        <v>0</v>
      </c>
      <c r="G64" s="32">
        <f>COUNTIFS(F$4:F$9,"0,3",$AI$4:$AI$9,"No")</f>
        <v>0</v>
      </c>
      <c r="H64" s="32">
        <f>COUNTIFS(G$4:G$9,"1,0",$AI$4:$AI$9,"No")</f>
        <v>0</v>
      </c>
      <c r="I64" s="32">
        <f>COUNTIFS(H$4:H$9,"0,5",$AI$4:$AI$9,"No")</f>
        <v>0</v>
      </c>
      <c r="J64" s="32">
        <f>COUNTIFS(I$4:I$9,"1,0",$AI$4:$AI$9,"No")</f>
        <v>0</v>
      </c>
      <c r="K64" s="32">
        <f>COUNTIFS(J$4:J$9,"0,4",$AI$4:$AI$9,"No")</f>
        <v>0</v>
      </c>
      <c r="L64" s="32">
        <f>COUNTIFS(K$4:K$9,"0,0",$AI$4:$AI$9,"No")</f>
        <v>0</v>
      </c>
      <c r="M64" s="33">
        <f>COUNTIFS(L$4:L$9,"0,0",$AI$4:$AI$9,"No")</f>
        <v>0</v>
      </c>
      <c r="N64" s="33">
        <f>COUNTIFS(M$4:M$9,"0,2",$AI$4:$AI$9,"No")</f>
        <v>0</v>
      </c>
      <c r="O64" s="33">
        <f>COUNTIFS(N$4:N$9,"0,5",$AI$4:$AI$9,"No")</f>
        <v>0</v>
      </c>
      <c r="P64" s="33">
        <f>COUNTIFS(O$4:O$9,"0,0",$AI$4:$AI$9,"No")</f>
        <v>0</v>
      </c>
      <c r="Q64" s="33">
        <f>COUNTIFS(P$4:P$9,"0,0",$AI$4:$AI$9,"No")</f>
        <v>0</v>
      </c>
      <c r="R64" s="33">
        <f>COUNTIFS(Q$4:Q$9,"0,0",$AI$4:$AI$9,"No")</f>
        <v>0</v>
      </c>
      <c r="S64" s="33">
        <f>COUNTIFS(R$4:R$9,"1,0",$AI$4:$AI$9,"No")</f>
        <v>0</v>
      </c>
      <c r="T64" s="33">
        <f>COUNTIFS(S$4:S$9,"1,0",$AI$4:$AI$9,"No")</f>
        <v>0</v>
      </c>
      <c r="U64" s="33">
        <f>COUNTIFS(T$4:T$9,"1,0",$AI$4:$AI$9,"No")</f>
        <v>0</v>
      </c>
      <c r="V64" s="33">
        <f>COUNTIFS(U$4:U$9,"1,0",$AI$4:$AI$9,"No")</f>
        <v>5</v>
      </c>
      <c r="W64" s="33">
        <f>COUNTIFS(V$4:V$9,"1,0",$AI$4:$AI$9,"No")</f>
        <v>5</v>
      </c>
      <c r="X64" s="33">
        <f>COUNTIFS(W$4:W$9,"0,0",$AI$4:$AI$9,"No")</f>
        <v>0</v>
      </c>
      <c r="Y64" s="33">
        <f>COUNTIFS(X$4:X$9,"1,0",$AI$4:$AI$9,"No")</f>
        <v>0</v>
      </c>
      <c r="Z64" s="33">
        <f>COUNTIFS(Y$4:Y$9,"1,0",$AI$4:$AI$9,"No")</f>
        <v>0</v>
      </c>
      <c r="AA64" s="33">
        <f>COUNTIFS(Z$4:Z$9,"1,0",$AI$4:$AI$9,"No")</f>
        <v>0</v>
      </c>
      <c r="AB64" s="33">
        <f>COUNTIFS(AA$4:AA$9,"0,0",$AI$4:$AI$9,"No")</f>
        <v>0</v>
      </c>
      <c r="AC64" s="33">
        <f>COUNTIFS(AB$4:AB$9,"1,0",$AI$4:$AI$9,"No")</f>
        <v>0</v>
      </c>
      <c r="AD64" s="33">
        <f>COUNTIFS(AC$4:AC$9,"1,0",$AI$4:$AI$9,"No")</f>
        <v>5</v>
      </c>
      <c r="AE64" s="33">
        <f>COUNTIFS(AD$4:AD$9,"1,0",$AI$4:$AI$9,"No")</f>
        <v>0</v>
      </c>
      <c r="AF64" s="33">
        <f>COUNTIFS(AE$4:AE$9,"1,0",$AI$4:$AI$9,"No")</f>
        <v>5</v>
      </c>
      <c r="AG64" s="33">
        <f>COUNTIFS(AF$4:AF$9,"0,0",$AI$4:$AI$9,"No")</f>
        <v>0</v>
      </c>
      <c r="AH64" s="33">
        <f>COUNTIFS(AG$4:AG$9,"1,0",$AI$4:$AI$9,"No")</f>
        <v>5</v>
      </c>
      <c r="AI64" s="33">
        <f>COUNTIFS(AH$4:AH$9,"1,0",$AI$4:$AI$9,"No")</f>
        <v>0</v>
      </c>
      <c r="AJ64" s="24"/>
    </row>
    <row r="65" spans="1:36" x14ac:dyDescent="0.35">
      <c r="A65" s="72" t="s">
        <v>54</v>
      </c>
      <c r="B65" s="26" t="s">
        <v>56</v>
      </c>
      <c r="C65" s="32">
        <f t="shared" ref="C65:AI65" si="10">C63/$B$17</f>
        <v>0</v>
      </c>
      <c r="D65" s="32">
        <f t="shared" si="10"/>
        <v>0</v>
      </c>
      <c r="E65" s="32">
        <f t="shared" si="10"/>
        <v>0</v>
      </c>
      <c r="F65" s="32">
        <f t="shared" si="10"/>
        <v>0</v>
      </c>
      <c r="G65" s="32">
        <f t="shared" si="10"/>
        <v>1</v>
      </c>
      <c r="H65" s="32">
        <f t="shared" si="10"/>
        <v>1</v>
      </c>
      <c r="I65" s="32">
        <f t="shared" si="10"/>
        <v>1</v>
      </c>
      <c r="J65" s="32">
        <f t="shared" si="10"/>
        <v>1</v>
      </c>
      <c r="K65" s="32">
        <f t="shared" si="10"/>
        <v>0</v>
      </c>
      <c r="L65" s="32">
        <f t="shared" si="10"/>
        <v>1</v>
      </c>
      <c r="M65" s="33">
        <f t="shared" si="10"/>
        <v>1</v>
      </c>
      <c r="N65" s="33">
        <f t="shared" si="10"/>
        <v>1</v>
      </c>
      <c r="O65" s="33">
        <f t="shared" si="10"/>
        <v>1</v>
      </c>
      <c r="P65" s="33">
        <f t="shared" si="10"/>
        <v>1</v>
      </c>
      <c r="Q65" s="33">
        <f t="shared" si="10"/>
        <v>1</v>
      </c>
      <c r="R65" s="33">
        <f t="shared" si="10"/>
        <v>1</v>
      </c>
      <c r="S65" s="33">
        <f t="shared" si="10"/>
        <v>1</v>
      </c>
      <c r="T65" s="33">
        <f t="shared" si="10"/>
        <v>0</v>
      </c>
      <c r="U65" s="33">
        <f t="shared" si="10"/>
        <v>1</v>
      </c>
      <c r="V65" s="33">
        <f t="shared" si="10"/>
        <v>1</v>
      </c>
      <c r="W65" s="33">
        <f t="shared" si="10"/>
        <v>1</v>
      </c>
      <c r="X65" s="33">
        <f t="shared" si="10"/>
        <v>1</v>
      </c>
      <c r="Y65" s="33">
        <f t="shared" si="10"/>
        <v>1</v>
      </c>
      <c r="Z65" s="33">
        <f t="shared" si="10"/>
        <v>1</v>
      </c>
      <c r="AA65" s="33">
        <f t="shared" si="10"/>
        <v>1</v>
      </c>
      <c r="AB65" s="33">
        <f t="shared" si="10"/>
        <v>1</v>
      </c>
      <c r="AC65" s="33">
        <f t="shared" si="10"/>
        <v>1</v>
      </c>
      <c r="AD65" s="33">
        <f t="shared" si="10"/>
        <v>1</v>
      </c>
      <c r="AE65" s="33">
        <f t="shared" si="10"/>
        <v>1</v>
      </c>
      <c r="AF65" s="33">
        <f t="shared" si="10"/>
        <v>1</v>
      </c>
      <c r="AG65" s="33">
        <f t="shared" si="10"/>
        <v>0</v>
      </c>
      <c r="AH65" s="33">
        <f t="shared" si="10"/>
        <v>1</v>
      </c>
      <c r="AI65" s="33">
        <f t="shared" si="10"/>
        <v>0</v>
      </c>
      <c r="AJ65" s="33">
        <f>C65*D65*E65*F65*G65*H65*I65*J65*K65*L65*M65*N65*O65*P65*Q65*R65*S65*T65*U65*V65*W65*X65*Y65*Z65*AA65*AB65*AC65*AD65*AE65*AF65*AG65*AH65*AI65</f>
        <v>0</v>
      </c>
    </row>
    <row r="66" spans="1:36" x14ac:dyDescent="0.35">
      <c r="A66" s="72"/>
      <c r="B66" s="26" t="s">
        <v>42</v>
      </c>
      <c r="C66" s="32">
        <f t="shared" ref="C66:AI66" si="11">C64/$C$17</f>
        <v>0.2</v>
      </c>
      <c r="D66" s="32">
        <f t="shared" si="11"/>
        <v>0</v>
      </c>
      <c r="E66" s="32">
        <f t="shared" si="11"/>
        <v>0</v>
      </c>
      <c r="F66" s="32">
        <f t="shared" si="11"/>
        <v>0</v>
      </c>
      <c r="G66" s="32">
        <f t="shared" si="11"/>
        <v>0</v>
      </c>
      <c r="H66" s="32">
        <f t="shared" si="11"/>
        <v>0</v>
      </c>
      <c r="I66" s="32">
        <f t="shared" si="11"/>
        <v>0</v>
      </c>
      <c r="J66" s="32">
        <f t="shared" si="11"/>
        <v>0</v>
      </c>
      <c r="K66" s="32">
        <f t="shared" si="11"/>
        <v>0</v>
      </c>
      <c r="L66" s="32">
        <f t="shared" si="11"/>
        <v>0</v>
      </c>
      <c r="M66" s="33">
        <f t="shared" si="11"/>
        <v>0</v>
      </c>
      <c r="N66" s="33">
        <f t="shared" si="11"/>
        <v>0</v>
      </c>
      <c r="O66" s="33">
        <f t="shared" si="11"/>
        <v>0</v>
      </c>
      <c r="P66" s="33">
        <f t="shared" si="11"/>
        <v>0</v>
      </c>
      <c r="Q66" s="33">
        <f t="shared" si="11"/>
        <v>0</v>
      </c>
      <c r="R66" s="33">
        <f t="shared" si="11"/>
        <v>0</v>
      </c>
      <c r="S66" s="33">
        <f t="shared" si="11"/>
        <v>0</v>
      </c>
      <c r="T66" s="33">
        <f t="shared" si="11"/>
        <v>0</v>
      </c>
      <c r="U66" s="33">
        <f t="shared" si="11"/>
        <v>0</v>
      </c>
      <c r="V66" s="33">
        <f t="shared" si="11"/>
        <v>1</v>
      </c>
      <c r="W66" s="33">
        <f t="shared" si="11"/>
        <v>1</v>
      </c>
      <c r="X66" s="33">
        <f t="shared" si="11"/>
        <v>0</v>
      </c>
      <c r="Y66" s="33">
        <f t="shared" si="11"/>
        <v>0</v>
      </c>
      <c r="Z66" s="33">
        <f t="shared" si="11"/>
        <v>0</v>
      </c>
      <c r="AA66" s="33">
        <f t="shared" si="11"/>
        <v>0</v>
      </c>
      <c r="AB66" s="33">
        <f t="shared" si="11"/>
        <v>0</v>
      </c>
      <c r="AC66" s="33">
        <f t="shared" si="11"/>
        <v>0</v>
      </c>
      <c r="AD66" s="33">
        <f t="shared" si="11"/>
        <v>1</v>
      </c>
      <c r="AE66" s="33">
        <f t="shared" si="11"/>
        <v>0</v>
      </c>
      <c r="AF66" s="33">
        <f t="shared" si="11"/>
        <v>1</v>
      </c>
      <c r="AG66" s="33">
        <f t="shared" si="11"/>
        <v>0</v>
      </c>
      <c r="AH66" s="33">
        <f t="shared" si="11"/>
        <v>1</v>
      </c>
      <c r="AI66" s="33">
        <f t="shared" si="11"/>
        <v>0</v>
      </c>
      <c r="AJ66" s="33">
        <f>C66*D66*E66*F66*G66*H66*I66*J66*K66*L66*M66*N66*O66*P66*Q66*R66*S66*T66*U66*V66*W66*X66*Y66*Z66*AA66*AB66*AC66*AD66*AE66*AF66*AG66*AH66*AI66</f>
        <v>0</v>
      </c>
    </row>
    <row r="68" spans="1:36" x14ac:dyDescent="0.35">
      <c r="A68" s="66" t="s">
        <v>57</v>
      </c>
      <c r="B68" s="67"/>
      <c r="C68" s="36" t="s">
        <v>58</v>
      </c>
    </row>
    <row r="69" spans="1:36" x14ac:dyDescent="0.35">
      <c r="A69" s="37" t="s">
        <v>56</v>
      </c>
      <c r="B69" s="38">
        <f>AJ65*$B$18</f>
        <v>0</v>
      </c>
      <c r="C69" s="68" t="str">
        <f>IF(B69&gt;B70,A69, A70)</f>
        <v>No</v>
      </c>
    </row>
    <row r="70" spans="1:36" x14ac:dyDescent="0.35">
      <c r="A70" s="37" t="s">
        <v>42</v>
      </c>
      <c r="B70" s="38">
        <f>AJ66*$C$18</f>
        <v>0</v>
      </c>
      <c r="C70" s="69"/>
    </row>
    <row r="72" spans="1:36" x14ac:dyDescent="0.35">
      <c r="A72" s="39"/>
      <c r="B72" s="40"/>
      <c r="C72" s="70" t="s">
        <v>59</v>
      </c>
      <c r="D72" s="71"/>
    </row>
    <row r="73" spans="1:36" x14ac:dyDescent="0.35">
      <c r="A73" s="39"/>
      <c r="B73" s="40"/>
      <c r="C73" s="40" t="s">
        <v>56</v>
      </c>
      <c r="D73" s="40" t="s">
        <v>42</v>
      </c>
    </row>
    <row r="74" spans="1:36" x14ac:dyDescent="0.35">
      <c r="A74" s="39"/>
      <c r="B74" s="40" t="s">
        <v>56</v>
      </c>
      <c r="C74" s="41">
        <v>1</v>
      </c>
      <c r="D74" s="41">
        <v>0</v>
      </c>
    </row>
    <row r="75" spans="1:36" x14ac:dyDescent="0.35">
      <c r="A75" s="39" t="s">
        <v>60</v>
      </c>
      <c r="B75" s="40" t="s">
        <v>42</v>
      </c>
      <c r="C75" s="41">
        <v>0</v>
      </c>
      <c r="D75" s="41">
        <v>3</v>
      </c>
    </row>
    <row r="77" spans="1:36" x14ac:dyDescent="0.35">
      <c r="A77" s="42" t="s">
        <v>61</v>
      </c>
      <c r="B77" s="43">
        <f>((C74+D75)/(C74+D74+C75+D75))*100%</f>
        <v>1</v>
      </c>
    </row>
    <row r="78" spans="1:36" x14ac:dyDescent="0.35">
      <c r="A78" s="42"/>
      <c r="B78" s="43"/>
    </row>
    <row r="79" spans="1:36" x14ac:dyDescent="0.35">
      <c r="A79" s="42" t="s">
        <v>62</v>
      </c>
      <c r="B79" s="43">
        <f>(C74/(C74+D74)*100%)</f>
        <v>1</v>
      </c>
    </row>
    <row r="80" spans="1:36" x14ac:dyDescent="0.35">
      <c r="A80" s="42" t="s">
        <v>63</v>
      </c>
      <c r="B80" s="43">
        <f>(D75/(C75+D75))*100%</f>
        <v>1</v>
      </c>
    </row>
    <row r="81" spans="1:2" x14ac:dyDescent="0.35">
      <c r="A81" s="42"/>
      <c r="B81" s="43"/>
    </row>
    <row r="82" spans="1:2" x14ac:dyDescent="0.35">
      <c r="A82" s="42" t="s">
        <v>64</v>
      </c>
      <c r="B82" s="43">
        <f>(C74/(C74+C75)*100%)</f>
        <v>1</v>
      </c>
    </row>
    <row r="83" spans="1:2" x14ac:dyDescent="0.35">
      <c r="A83" s="42" t="s">
        <v>65</v>
      </c>
      <c r="B83" s="43">
        <f>(D75/(D75+D74))*100%</f>
        <v>1</v>
      </c>
    </row>
  </sheetData>
  <mergeCells count="26">
    <mergeCell ref="A37:B37"/>
    <mergeCell ref="A38:B38"/>
    <mergeCell ref="A39:A40"/>
    <mergeCell ref="A49:B49"/>
    <mergeCell ref="A29:B29"/>
    <mergeCell ref="D17:D18"/>
    <mergeCell ref="A23:B23"/>
    <mergeCell ref="A24:B24"/>
    <mergeCell ref="A25:B25"/>
    <mergeCell ref="A26:A27"/>
    <mergeCell ref="A68:B68"/>
    <mergeCell ref="C69:C70"/>
    <mergeCell ref="C72:D72"/>
    <mergeCell ref="C30:C31"/>
    <mergeCell ref="A42:B42"/>
    <mergeCell ref="C43:C44"/>
    <mergeCell ref="A55:B55"/>
    <mergeCell ref="C56:C57"/>
    <mergeCell ref="A62:B62"/>
    <mergeCell ref="A63:B63"/>
    <mergeCell ref="A64:B64"/>
    <mergeCell ref="A65:A66"/>
    <mergeCell ref="A50:B50"/>
    <mergeCell ref="A51:B51"/>
    <mergeCell ref="A52:A53"/>
    <mergeCell ref="A36:B36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0"/>
  <sheetViews>
    <sheetView workbookViewId="0">
      <selection activeCell="J19" sqref="J19"/>
    </sheetView>
  </sheetViews>
  <sheetFormatPr defaultRowHeight="14.5" x14ac:dyDescent="0.35"/>
  <cols>
    <col min="4" max="4" width="13.453125" customWidth="1"/>
    <col min="7" max="7" width="10.81640625" customWidth="1"/>
    <col min="8" max="8" width="16.26953125" customWidth="1"/>
    <col min="10" max="10" width="14.54296875" customWidth="1"/>
  </cols>
  <sheetData>
    <row r="1" spans="1:10" x14ac:dyDescent="0.35">
      <c r="A1" s="37" t="s">
        <v>42</v>
      </c>
      <c r="B1" s="53" t="s">
        <v>55</v>
      </c>
      <c r="C1" s="54"/>
      <c r="D1" s="37" t="s">
        <v>66</v>
      </c>
      <c r="E1" s="37" t="s">
        <v>56</v>
      </c>
      <c r="F1" s="37" t="s">
        <v>42</v>
      </c>
      <c r="G1" s="37" t="s">
        <v>67</v>
      </c>
      <c r="H1" s="37" t="s">
        <v>68</v>
      </c>
      <c r="I1" s="37" t="s">
        <v>69</v>
      </c>
      <c r="J1" s="37" t="s">
        <v>70</v>
      </c>
    </row>
    <row r="2" spans="1:10" x14ac:dyDescent="0.35">
      <c r="A2" s="37"/>
      <c r="B2" s="37" t="s">
        <v>71</v>
      </c>
      <c r="C2" s="37" t="s">
        <v>72</v>
      </c>
      <c r="D2" s="37">
        <v>10</v>
      </c>
      <c r="E2" s="37">
        <f>COUNTIF(NORMALISASI!A2:A11,"YES")</f>
        <v>2</v>
      </c>
      <c r="F2" s="37">
        <f>COUNTIF(NORMALISASI!A2:A11,"NO")</f>
        <v>8</v>
      </c>
      <c r="G2" s="37">
        <f>((-E2/D2)*IMLOG2(E2/D2)+(-F2/D2)*IMLOG2(F2/D2))</f>
        <v>0.72192809488736165</v>
      </c>
      <c r="H2" s="37"/>
      <c r="I2" s="37"/>
      <c r="J2" s="37"/>
    </row>
    <row r="3" spans="1:10" x14ac:dyDescent="0.35">
      <c r="A3" s="55">
        <v>1</v>
      </c>
      <c r="B3" s="55" t="s">
        <v>75</v>
      </c>
      <c r="C3" s="37"/>
      <c r="D3" s="37"/>
      <c r="E3" s="37"/>
      <c r="F3" s="37"/>
      <c r="G3" s="37"/>
      <c r="H3" s="37">
        <f>M9</f>
        <v>0</v>
      </c>
      <c r="I3" s="37">
        <f>-((D4/D2*(IMLOG2(D4/D2)))+(D5/D2*(IMLOG2(D5/D2)))+(D7/D2*(IMLOG2(D7/D2)))+(D8/D2*(IMLOG2(D8/D2))))</f>
        <v>1.685475297227335</v>
      </c>
      <c r="J3" s="37">
        <f>H3/I3</f>
        <v>0</v>
      </c>
    </row>
    <row r="4" spans="1:10" x14ac:dyDescent="0.35">
      <c r="A4" s="55"/>
      <c r="B4" s="55"/>
      <c r="C4" s="37">
        <v>1</v>
      </c>
      <c r="D4" s="37">
        <f>COUNTIF(CLEANING!C2:C11,"1")</f>
        <v>5</v>
      </c>
      <c r="E4" s="37">
        <f>COUNTIFS(CLEANING!C2:C11,"1",CLEANING!B2:B11,"YES")</f>
        <v>0</v>
      </c>
      <c r="F4" s="37">
        <f>COUNTIFS(CLEANING!C2:C11,"1",CLEANING!B2:B11,"No")</f>
        <v>5</v>
      </c>
      <c r="G4" s="37"/>
      <c r="H4" s="37"/>
      <c r="I4" s="37"/>
      <c r="J4" s="37"/>
    </row>
    <row r="5" spans="1:10" x14ac:dyDescent="0.35">
      <c r="A5" s="55"/>
      <c r="B5" s="55"/>
      <c r="C5" s="37">
        <v>2</v>
      </c>
      <c r="D5" s="37">
        <f>COUNTIF(CLEANING!C2:C11,"2")</f>
        <v>1</v>
      </c>
      <c r="E5" s="37">
        <f>COUNTIFS(CLEANING!C2:C11,"2",CLEANING!B2:B11,"YES")</f>
        <v>0</v>
      </c>
      <c r="F5" s="37">
        <f>COUNTIFS(CLEANING!C2:C11,"2",CLEANING!B2:B11,"No")</f>
        <v>1</v>
      </c>
      <c r="G5" s="37"/>
      <c r="H5" s="37"/>
      <c r="I5" s="37"/>
      <c r="J5" s="37"/>
    </row>
    <row r="6" spans="1:10" x14ac:dyDescent="0.35">
      <c r="A6" s="55"/>
      <c r="B6" s="55"/>
      <c r="C6" s="37">
        <v>3</v>
      </c>
      <c r="D6" s="37">
        <f>COUNTIF(CLEANING!C2:C11,"3")</f>
        <v>0</v>
      </c>
      <c r="E6" s="37">
        <f>COUNTIFS(CLEANING!C2:C11,"3",CLEANING!B2:B11,"YES")</f>
        <v>0</v>
      </c>
      <c r="F6" s="37">
        <f>COUNTIFS(CLEANING!C2:C11,"3",CLEANING!B2:B11,"No")</f>
        <v>0</v>
      </c>
      <c r="G6" s="37"/>
      <c r="H6" s="37"/>
      <c r="I6" s="37"/>
      <c r="J6" s="37"/>
    </row>
    <row r="7" spans="1:10" x14ac:dyDescent="0.35">
      <c r="A7" s="55"/>
      <c r="B7" s="55"/>
      <c r="C7" s="37">
        <v>4</v>
      </c>
      <c r="D7" s="37">
        <f>COUNTIF(CLEANING!C2:C11,"4")</f>
        <v>3</v>
      </c>
      <c r="E7" s="37">
        <f>COUNTIFS(CLEANING!C2:C11,"4",CLEANING!B2:B11,"YES")</f>
        <v>1</v>
      </c>
      <c r="F7" s="37">
        <f>COUNTIFS(CLEANING!C2:C11,"4",CLEANING!B2:B11,"No")</f>
        <v>2</v>
      </c>
      <c r="G7" s="37">
        <f>((-E7/D7)*IMLOG2(E7/D7)+(-F7/D7)*IMLOG2(F7/D7))</f>
        <v>0.91829583405449056</v>
      </c>
      <c r="H7" s="37"/>
      <c r="I7" s="37"/>
      <c r="J7" s="37"/>
    </row>
    <row r="8" spans="1:10" x14ac:dyDescent="0.35">
      <c r="A8" s="55"/>
      <c r="B8" s="55"/>
      <c r="C8" s="37">
        <v>5</v>
      </c>
      <c r="D8" s="37">
        <f>COUNTIF(CLEANING!C2:C11,"5")</f>
        <v>1</v>
      </c>
      <c r="E8" s="37">
        <f>COUNTIFS(CLEANING!C2:C11,"5",CLEANING!B2:B11,"YES")</f>
        <v>1</v>
      </c>
      <c r="F8" s="37">
        <f>COUNTIFS(CLEANING!C2:C11,"5",CLEANING!B2:B11,"No")</f>
        <v>0</v>
      </c>
      <c r="G8" s="37"/>
      <c r="H8" s="37"/>
      <c r="I8" s="37"/>
      <c r="J8" s="37"/>
    </row>
    <row r="9" spans="1:10" x14ac:dyDescent="0.35">
      <c r="A9" s="55">
        <v>2</v>
      </c>
      <c r="B9" s="55" t="s">
        <v>73</v>
      </c>
      <c r="C9" s="37"/>
      <c r="D9" s="37"/>
      <c r="E9" s="37"/>
      <c r="F9" s="37"/>
      <c r="G9" s="37"/>
      <c r="H9" s="37">
        <f>(G2)-((D10/D2)*G10)-((D11/D2)*G11)</f>
        <v>8.7076540327684471E-2</v>
      </c>
      <c r="I9" s="37">
        <f>-((D10/D2*(IMLOG2(D10/D2)))+(D11/D2*(IMLOG2(D11/D2))))</f>
        <v>0.72192809488736165</v>
      </c>
      <c r="J9" s="37">
        <f>H9/I9</f>
        <v>0.12061663889292261</v>
      </c>
    </row>
    <row r="10" spans="1:10" x14ac:dyDescent="0.35">
      <c r="A10" s="55"/>
      <c r="B10" s="55"/>
      <c r="C10" s="37">
        <v>1</v>
      </c>
      <c r="D10" s="37">
        <f>COUNTIF(CLEANING!D2:D11,"1")</f>
        <v>2</v>
      </c>
      <c r="E10" s="37">
        <f>COUNTIFS(CLEANING!D2:D11,"1",CLEANING!B2:B11,"YES")</f>
        <v>1</v>
      </c>
      <c r="F10" s="37">
        <f>COUNTIFS(CLEANING!D2:D11,"1",CLEANING!B2:B11,"No")</f>
        <v>1</v>
      </c>
      <c r="G10" s="37">
        <f>((-E10/D10)*IMLOG2(E10/D10)+(-F10/D10)*IMLOG2(F10/D10))</f>
        <v>1</v>
      </c>
      <c r="H10" s="37"/>
      <c r="I10" s="37"/>
      <c r="J10" s="37"/>
    </row>
    <row r="11" spans="1:10" x14ac:dyDescent="0.35">
      <c r="A11" s="55"/>
      <c r="B11" s="55"/>
      <c r="C11" s="37">
        <v>2</v>
      </c>
      <c r="D11" s="37">
        <v>8</v>
      </c>
      <c r="E11" s="37">
        <f>COUNTIFS(CLEANING!D2:D11,"2",CLEANING!B2:B11,"YES")</f>
        <v>1</v>
      </c>
      <c r="F11" s="37">
        <v>7</v>
      </c>
      <c r="G11" s="37">
        <f>((-E11/D11)*IMLOG2(E11/D11)+(-F11/D11)*IMLOG2(F11/D11))</f>
        <v>0.54356444319959651</v>
      </c>
      <c r="H11" s="37"/>
      <c r="I11" s="37"/>
      <c r="J11" s="37"/>
    </row>
    <row r="12" spans="1:10" x14ac:dyDescent="0.35">
      <c r="A12" s="55"/>
      <c r="B12" s="55"/>
      <c r="C12" s="37">
        <v>3</v>
      </c>
      <c r="D12" s="37">
        <f>COUNTIF(CLEANING!D2:D11,"3")</f>
        <v>0</v>
      </c>
      <c r="E12" s="37">
        <f>COUNTIFS(CLEANING!D2:D11,"3",CLEANING!B2:B11,"YES")</f>
        <v>0</v>
      </c>
      <c r="F12" s="37">
        <f>COUNTIFS(CLEANING!D2:D11,"3",CLEANING!B2:B11,"No")</f>
        <v>0</v>
      </c>
      <c r="G12" s="37"/>
      <c r="H12" s="37"/>
      <c r="I12" s="37"/>
      <c r="J12" s="37"/>
    </row>
    <row r="13" spans="1:10" x14ac:dyDescent="0.35">
      <c r="A13" s="55"/>
      <c r="B13" s="55"/>
      <c r="C13" s="37">
        <v>4</v>
      </c>
      <c r="D13" s="37">
        <f>COUNTIF(CLEANING!D2:D11,"4")</f>
        <v>0</v>
      </c>
      <c r="E13" s="37">
        <f>COUNTIFS(CLEANING!D2:D11,"4",CLEANING!B2:B11,"YES")</f>
        <v>0</v>
      </c>
      <c r="F13" s="37">
        <f>COUNTIFS(CLEANING!D2:D11,"4",CLEANING!B2:B11,"No")</f>
        <v>0</v>
      </c>
      <c r="G13" s="37"/>
      <c r="H13" s="37"/>
      <c r="I13" s="37"/>
      <c r="J13" s="37"/>
    </row>
    <row r="14" spans="1:10" x14ac:dyDescent="0.35">
      <c r="A14" s="55"/>
      <c r="B14" s="55"/>
      <c r="C14" s="37">
        <v>5</v>
      </c>
      <c r="D14" s="37">
        <f>COUNTIF(CLEANING!D2:D11,"5")</f>
        <v>0</v>
      </c>
      <c r="E14" s="37">
        <f>COUNTIFS(CLEANING!D2:D11,"5",CLEANING!B2:B11,"YES")</f>
        <v>0</v>
      </c>
      <c r="F14" s="37">
        <f>COUNTIFS(CLEANING!D2:D11,"5",CLEANING!B2:B11,"No")</f>
        <v>0</v>
      </c>
      <c r="G14" s="37"/>
      <c r="H14" s="37"/>
      <c r="I14" s="37"/>
      <c r="J14" s="37"/>
    </row>
    <row r="15" spans="1:10" x14ac:dyDescent="0.35">
      <c r="A15" s="55">
        <v>3</v>
      </c>
      <c r="B15" s="55" t="s">
        <v>74</v>
      </c>
      <c r="C15" s="37"/>
      <c r="D15" s="37"/>
      <c r="E15" s="37"/>
      <c r="F15" s="37"/>
      <c r="G15" s="37"/>
      <c r="H15" s="37">
        <f>(G2)-((D16/D2)*G16)-((D17/D2)*G17)</f>
        <v>8.7076540327684471E-2</v>
      </c>
      <c r="I15" s="37">
        <f>-((D16/D2*(IMLOG2(D16/D2)))+(D17/D2*(IMLOG2(D17/D2))))</f>
        <v>0.72192809488736165</v>
      </c>
      <c r="J15" s="37">
        <f>H15/I15</f>
        <v>0.12061663889292261</v>
      </c>
    </row>
    <row r="16" spans="1:10" x14ac:dyDescent="0.35">
      <c r="A16" s="55"/>
      <c r="B16" s="55"/>
      <c r="C16" s="37">
        <v>1</v>
      </c>
      <c r="D16" s="37">
        <f>COUNTIF(CLEANING!E2:E11,"1")</f>
        <v>2</v>
      </c>
      <c r="E16" s="37">
        <f>COUNTIFS(CLEANING!E2:E11,"1",CLEANING!B2:B11,"YES")</f>
        <v>1</v>
      </c>
      <c r="F16" s="37">
        <f>COUNTIFS(CLEANING!E2:E11,"1",CLEANING!B2:B11,"No")</f>
        <v>1</v>
      </c>
      <c r="G16" s="37">
        <f>((-E16/D16)*IMLOG2(E16/D16)+(-F16/D16)*IMLOG2(F16/D16))</f>
        <v>1</v>
      </c>
      <c r="H16" s="37"/>
      <c r="I16" s="37"/>
      <c r="J16" s="37"/>
    </row>
    <row r="17" spans="1:10" x14ac:dyDescent="0.35">
      <c r="A17" s="55"/>
      <c r="B17" s="55"/>
      <c r="C17" s="37">
        <v>2</v>
      </c>
      <c r="D17" s="37">
        <v>8</v>
      </c>
      <c r="E17" s="37">
        <f>COUNTIFS(CLEANING!E2:E11,"2",CLEANING!B2:B11,"YES")</f>
        <v>1</v>
      </c>
      <c r="F17" s="37">
        <v>7</v>
      </c>
      <c r="G17" s="37">
        <f>((-E17/D17)*IMLOG2(E17/D17)+(-F17/D17)*IMLOG2(F17/D17))</f>
        <v>0.54356444319959651</v>
      </c>
      <c r="H17" s="37"/>
      <c r="I17" s="37"/>
      <c r="J17" s="37"/>
    </row>
    <row r="18" spans="1:10" x14ac:dyDescent="0.35">
      <c r="A18" s="55"/>
      <c r="B18" s="55"/>
      <c r="C18" s="37">
        <v>3</v>
      </c>
      <c r="D18" s="37">
        <f>COUNTIF(CLEANING!E2:E11,"3")</f>
        <v>0</v>
      </c>
      <c r="E18" s="37">
        <f>COUNTIFS(CLEANING!E2:E11,"3",CLEANING!B2:B11,"YES")</f>
        <v>0</v>
      </c>
      <c r="F18" s="37">
        <f>COUNTIFS(CLEANING!E2:E11,"3",CLEANING!B2:B11,"No")</f>
        <v>0</v>
      </c>
      <c r="G18" s="37"/>
      <c r="H18" s="37"/>
      <c r="I18" s="37"/>
      <c r="J18" s="37"/>
    </row>
    <row r="19" spans="1:10" x14ac:dyDescent="0.35">
      <c r="A19" s="55"/>
      <c r="B19" s="55"/>
      <c r="C19" s="37">
        <v>4</v>
      </c>
      <c r="D19" s="37">
        <f>COUNTIF(CLEANING!E2:E11,"4")</f>
        <v>0</v>
      </c>
      <c r="E19" s="37">
        <f>COUNTIFS(CLEANING!E2:E11,"4",CLEANING!B2:B11,"YES")</f>
        <v>0</v>
      </c>
      <c r="F19" s="37">
        <f>COUNTIFS(CLEANING!E2:E11,"4",CLEANING!B2:B11,"No")</f>
        <v>0</v>
      </c>
      <c r="G19" s="37"/>
      <c r="H19" s="37"/>
      <c r="I19" s="37"/>
      <c r="J19" s="37"/>
    </row>
    <row r="20" spans="1:10" x14ac:dyDescent="0.35">
      <c r="A20" s="55"/>
      <c r="B20" s="55"/>
      <c r="C20" s="37">
        <v>5</v>
      </c>
      <c r="D20" s="37">
        <f>COUNTIF(CLEANING!E2:E11,"5")</f>
        <v>0</v>
      </c>
      <c r="E20" s="37">
        <f>COUNTIFS(CLEANING!E2:E11,"5",CLEANING!B2:B11,"YES")</f>
        <v>0</v>
      </c>
      <c r="F20" s="37">
        <f>COUNTIFS(CLEANING!E2:E11,"5",CLEANING!B2:B11,"No")</f>
        <v>0</v>
      </c>
      <c r="G20" s="37"/>
      <c r="H20" s="37"/>
      <c r="I20" s="37"/>
      <c r="J20" s="37"/>
    </row>
    <row r="21" spans="1:10" x14ac:dyDescent="0.35">
      <c r="A21" s="55">
        <v>4</v>
      </c>
      <c r="B21" s="55" t="s">
        <v>76</v>
      </c>
      <c r="C21" s="37"/>
      <c r="D21" s="37"/>
      <c r="E21" s="37"/>
      <c r="F21" s="37"/>
      <c r="G21" s="37"/>
      <c r="H21" s="37">
        <f>(G2)-((D27/D2)*G27)</f>
        <v>0.52192809488736169</v>
      </c>
      <c r="I21" s="37">
        <f>-((D23/D2*(IMLOG2(D23/D2)))+(D26/D2*(IMLOG2(D26/D2)))+(D27/D2*(IMLOG2(D29/D2))))</f>
        <v>1.4387577849659317</v>
      </c>
      <c r="J21" s="37">
        <f>H21/I21</f>
        <v>0.36276300315533683</v>
      </c>
    </row>
    <row r="22" spans="1:10" x14ac:dyDescent="0.35">
      <c r="A22" s="55"/>
      <c r="B22" s="55"/>
      <c r="C22" s="37">
        <v>1</v>
      </c>
      <c r="D22" s="37">
        <f>COUNTIF(CLEANING!F2:F11,"1")</f>
        <v>0</v>
      </c>
      <c r="E22" s="37">
        <f>COUNTIFS(CLEANING!F2:F11,"1",CLEANING!B2:B11,"YES")</f>
        <v>0</v>
      </c>
      <c r="F22" s="37">
        <f>COUNTIFS(CLEANING!F2:F11,"1",CLEANING!B2:B11,"No")</f>
        <v>0</v>
      </c>
      <c r="G22" s="37"/>
      <c r="H22" s="37"/>
      <c r="I22" s="37"/>
      <c r="J22" s="37"/>
    </row>
    <row r="23" spans="1:10" x14ac:dyDescent="0.35">
      <c r="A23" s="55"/>
      <c r="B23" s="55"/>
      <c r="C23" s="37">
        <v>2</v>
      </c>
      <c r="D23" s="37">
        <f>COUNTIF(CLEANING!F2:F11,"2")</f>
        <v>1</v>
      </c>
      <c r="E23" s="37">
        <f>COUNTIFS(CLEANING!F2:F11,"2",CLEANING!B2:B11,"YES")</f>
        <v>0</v>
      </c>
      <c r="F23" s="37">
        <f>COUNTIFS(CLEANING!F2:F11,"2",CLEANING!B2:B11,"No")</f>
        <v>1</v>
      </c>
      <c r="G23" s="37"/>
      <c r="H23" s="37"/>
      <c r="I23" s="37"/>
      <c r="J23" s="37"/>
    </row>
    <row r="24" spans="1:10" x14ac:dyDescent="0.35">
      <c r="A24" s="55"/>
      <c r="B24" s="55"/>
      <c r="C24" s="37">
        <v>3</v>
      </c>
      <c r="D24" s="37">
        <f>COUNTIF(CLEANING!F2:F11,"3")</f>
        <v>0</v>
      </c>
      <c r="E24" s="37">
        <f>COUNTIFS(CLEANING!F2:F11,"3",CLEANING!B2:B11,"YES")</f>
        <v>0</v>
      </c>
      <c r="F24" s="37">
        <f>COUNTIFS(CLEANING!F2:F11,"3",CLEANING!B2:B11,"No")</f>
        <v>0</v>
      </c>
      <c r="G24" s="37"/>
      <c r="H24" s="37"/>
      <c r="I24" s="37"/>
      <c r="J24" s="37"/>
    </row>
    <row r="25" spans="1:10" x14ac:dyDescent="0.35">
      <c r="A25" s="55"/>
      <c r="B25" s="55"/>
      <c r="C25" s="37">
        <v>4</v>
      </c>
      <c r="D25" s="37">
        <f>COUNTIF(CLEANING!F2:F11,"4")</f>
        <v>0</v>
      </c>
      <c r="E25" s="37">
        <f>COUNTIFS(CLEANING!F2:F11,"4",CLEANING!B2:B11,"YES")</f>
        <v>0</v>
      </c>
      <c r="F25" s="37">
        <f>COUNTIFS(CLEANING!F2:F11,"4",CLEANING!B2:B11,"No")</f>
        <v>0</v>
      </c>
      <c r="G25" s="37"/>
      <c r="H25" s="37"/>
      <c r="I25" s="37"/>
      <c r="J25" s="37"/>
    </row>
    <row r="26" spans="1:10" x14ac:dyDescent="0.35">
      <c r="A26" s="55"/>
      <c r="B26" s="55"/>
      <c r="C26" s="37">
        <v>5</v>
      </c>
      <c r="D26" s="37">
        <v>6</v>
      </c>
      <c r="E26" s="37">
        <f>COUNTIFS(CLEANING!F2:F11,"5",CLEANING!B2:B11,"YES")</f>
        <v>0</v>
      </c>
      <c r="F26" s="37">
        <v>6</v>
      </c>
      <c r="G26" s="37"/>
      <c r="H26" s="37"/>
      <c r="I26" s="37"/>
      <c r="J26" s="37"/>
    </row>
    <row r="27" spans="1:10" x14ac:dyDescent="0.35">
      <c r="A27" s="55"/>
      <c r="B27" s="55"/>
      <c r="C27" s="37">
        <v>6</v>
      </c>
      <c r="D27" s="37">
        <f>COUNTIF(CLEANING!F2:F11,"6")</f>
        <v>2</v>
      </c>
      <c r="E27" s="37">
        <f>COUNTIFS(CLEANING!F2:F11,"6",CLEANING!B2:B11,"YES")</f>
        <v>1</v>
      </c>
      <c r="F27" s="37">
        <f>COUNTIFS(CLEANING!F2:F11,"6",CLEANING!B2:B11,"No")</f>
        <v>1</v>
      </c>
      <c r="G27" s="37">
        <f>((-E27/D27)*IMLOG2(E27/D27)+(-F27/D27)*IMLOG2(F27/D27))</f>
        <v>1</v>
      </c>
      <c r="H27" s="37"/>
      <c r="I27" s="37"/>
      <c r="J27" s="37"/>
    </row>
    <row r="28" spans="1:10" x14ac:dyDescent="0.35">
      <c r="A28" s="55"/>
      <c r="B28" s="55"/>
      <c r="C28" s="37">
        <v>7</v>
      </c>
      <c r="D28" s="37">
        <f>COUNTIF(CLEANING!F2:F11,"7")</f>
        <v>0</v>
      </c>
      <c r="E28" s="37">
        <f>COUNTIFS(CLEANING!F2:F11,"7",CLEANING!B2:B11,"YES")</f>
        <v>0</v>
      </c>
      <c r="F28" s="37">
        <f>COUNTIFS(CLEANING!F2:F11,"7",CLEANING!B2:B11,"No")</f>
        <v>0</v>
      </c>
      <c r="G28" s="37"/>
      <c r="H28" s="37"/>
      <c r="I28" s="37"/>
      <c r="J28" s="37"/>
    </row>
    <row r="29" spans="1:10" x14ac:dyDescent="0.35">
      <c r="A29" s="55"/>
      <c r="B29" s="55"/>
      <c r="C29" s="37">
        <v>8</v>
      </c>
      <c r="D29" s="37">
        <f>COUNTIF(CLEANING!F2:F11,"8")</f>
        <v>1</v>
      </c>
      <c r="E29" s="37">
        <f>COUNTIFS(CLEANING!F2:F11,"8",CLEANING!B2:B11,"YES")</f>
        <v>1</v>
      </c>
      <c r="F29" s="37">
        <f>COUNTIFS(CLEANING!F2:F11,"8",CLEANING!B2:B11,"No")</f>
        <v>0</v>
      </c>
      <c r="G29" s="37"/>
      <c r="H29" s="37"/>
      <c r="I29" s="37"/>
      <c r="J29" s="37"/>
    </row>
    <row r="30" spans="1:10" x14ac:dyDescent="0.35">
      <c r="A30" s="55"/>
      <c r="B30" s="55"/>
      <c r="C30" s="37">
        <v>9</v>
      </c>
      <c r="D30" s="37">
        <f>COUNTIF(CLEANING!F2:F11,"9")</f>
        <v>0</v>
      </c>
      <c r="E30" s="37">
        <f>COUNTIFS(CLEANING!F2:F11,"9",CLEANING!B2:B11,"YES")</f>
        <v>0</v>
      </c>
      <c r="F30" s="37">
        <f>COUNTIFS(CLEANING!F2:F11,"9",CLEANING!B2:B11,"No")</f>
        <v>0</v>
      </c>
      <c r="G30" s="37"/>
      <c r="H30" s="37"/>
      <c r="I30" s="37"/>
      <c r="J30" s="37"/>
    </row>
    <row r="31" spans="1:10" x14ac:dyDescent="0.35">
      <c r="A31" s="55"/>
      <c r="B31" s="55"/>
      <c r="C31" s="37">
        <v>10</v>
      </c>
      <c r="D31" s="37">
        <f>COUNTIF(CLEANING!F2:F11,"10")</f>
        <v>0</v>
      </c>
      <c r="E31" s="37">
        <f>COUNTIFS(CLEANING!F2:F11,"10",CLEANING!B2:B11,"YES")</f>
        <v>0</v>
      </c>
      <c r="F31" s="37">
        <f>COUNTIFS(CLEANING!F2:F11,"10",CLEANING!B2:B11,"No")</f>
        <v>0</v>
      </c>
      <c r="G31" s="37"/>
      <c r="H31" s="37"/>
      <c r="I31" s="37"/>
      <c r="J31" s="37"/>
    </row>
    <row r="32" spans="1:10" x14ac:dyDescent="0.35">
      <c r="A32" s="55">
        <v>5</v>
      </c>
      <c r="B32" s="55" t="s">
        <v>77</v>
      </c>
      <c r="C32" s="37"/>
      <c r="D32" s="37"/>
      <c r="E32" s="37"/>
      <c r="F32" s="37"/>
      <c r="G32" s="37"/>
      <c r="H32" s="37">
        <f>(G2)-((D35/D2)*G35)</f>
        <v>0.44643934467101448</v>
      </c>
      <c r="I32" s="37">
        <f>-((D33/D2*(IMLOG2(D33/D2)))+(D34/D2*(IMLOG2(D35/D2))))</f>
        <v>1.374372165988462</v>
      </c>
      <c r="J32" s="37">
        <f>H32/I32</f>
        <v>0.32483147994337536</v>
      </c>
    </row>
    <row r="33" spans="1:10" x14ac:dyDescent="0.35">
      <c r="A33" s="55"/>
      <c r="B33" s="55"/>
      <c r="C33" s="37">
        <v>1</v>
      </c>
      <c r="D33" s="37">
        <f>COUNTIF(CLEANING!G2:G11,"1")</f>
        <v>1</v>
      </c>
      <c r="E33" s="37">
        <f>COUNTIFS(CLEANING!G2:G11,"1",CLEANING!B2:B11,"YES")</f>
        <v>0</v>
      </c>
      <c r="F33" s="37">
        <f>COUNTIFS(CLEANING!G2:G11,"1",CLEANING!B2:B11,"No")</f>
        <v>1</v>
      </c>
      <c r="G33" s="37"/>
      <c r="H33" s="37"/>
      <c r="I33" s="37"/>
      <c r="J33" s="37"/>
    </row>
    <row r="34" spans="1:10" x14ac:dyDescent="0.35">
      <c r="A34" s="55"/>
      <c r="B34" s="55"/>
      <c r="C34" s="37">
        <v>2</v>
      </c>
      <c r="D34" s="37">
        <v>6</v>
      </c>
      <c r="E34" s="37">
        <f>COUNTIFS(CLEANING!G2:G11,"2",CLEANING!B2:B11,"YES")</f>
        <v>0</v>
      </c>
      <c r="F34" s="37">
        <v>6</v>
      </c>
      <c r="G34" s="37"/>
      <c r="H34" s="37"/>
      <c r="I34" s="37"/>
      <c r="J34" s="37"/>
    </row>
    <row r="35" spans="1:10" x14ac:dyDescent="0.35">
      <c r="A35" s="55"/>
      <c r="B35" s="55"/>
      <c r="C35" s="37">
        <v>3</v>
      </c>
      <c r="D35" s="37">
        <f>COUNTIF(CLEANING!G2:G11,"3")</f>
        <v>3</v>
      </c>
      <c r="E35" s="37">
        <f>COUNTIFS(CLEANING!G2:G11,"3",CLEANING!B2:B11,"YES")</f>
        <v>2</v>
      </c>
      <c r="F35" s="37">
        <f>COUNTIFS(CLEANING!G2:G11,"3",CLEANING!B2:B11,"No")</f>
        <v>1</v>
      </c>
      <c r="G35" s="37">
        <f>((-E35/D35)*IMLOG2(E35/D35)+(-F35/D35)*IMLOG2(F35/D35))</f>
        <v>0.91829583405449056</v>
      </c>
      <c r="H35" s="37"/>
      <c r="I35" s="37"/>
      <c r="J35" s="37"/>
    </row>
    <row r="36" spans="1:10" x14ac:dyDescent="0.35">
      <c r="A36" s="55"/>
      <c r="B36" s="55"/>
      <c r="C36" s="37">
        <v>4</v>
      </c>
      <c r="D36" s="37">
        <f>COUNTIF(CLEANING!G2:G11,"4")</f>
        <v>0</v>
      </c>
      <c r="E36" s="37">
        <f>COUNTIFS(CLEANING!G2:G11,"4",CLEANING!B2:B11,"YES")</f>
        <v>0</v>
      </c>
      <c r="F36" s="37">
        <f>COUNTIFS(CLEANING!G2:G11,"4",CLEANING!B2:B11,"No")</f>
        <v>0</v>
      </c>
      <c r="G36" s="37"/>
      <c r="H36" s="37"/>
      <c r="I36" s="37"/>
      <c r="J36" s="37"/>
    </row>
    <row r="37" spans="1:10" x14ac:dyDescent="0.35">
      <c r="A37" s="55"/>
      <c r="B37" s="55"/>
      <c r="C37" s="37">
        <v>5</v>
      </c>
      <c r="D37" s="37">
        <f>COUNTIF(CLEANING!G2:G11,"5")</f>
        <v>0</v>
      </c>
      <c r="E37" s="37">
        <f>COUNTIFS(CLEANING!G2:G11,"5",CLEANING!B2:B11,"YES")</f>
        <v>0</v>
      </c>
      <c r="F37" s="37">
        <f>COUNTIFS(CLEANING!G2:G11,"5",CLEANING!B2:B11,"No")</f>
        <v>0</v>
      </c>
      <c r="G37" s="37"/>
      <c r="H37" s="37"/>
      <c r="I37" s="37"/>
      <c r="J37" s="37"/>
    </row>
    <row r="38" spans="1:10" x14ac:dyDescent="0.35">
      <c r="A38" s="55"/>
      <c r="B38" s="55"/>
      <c r="C38" s="37">
        <v>6</v>
      </c>
      <c r="D38" s="37">
        <f>COUNTIF(CLEANING!G2:G11,"6")</f>
        <v>0</v>
      </c>
      <c r="E38" s="37">
        <f>COUNTIFS(CLEANING!G2:G11,"6",CLEANING!B2:B11,"YES")</f>
        <v>0</v>
      </c>
      <c r="F38" s="37">
        <f>COUNTIFS(CLEANING!G2:G11,"6",CLEANING!B2:B11,"No")</f>
        <v>0</v>
      </c>
      <c r="G38" s="37"/>
      <c r="H38" s="37"/>
      <c r="I38" s="37"/>
      <c r="J38" s="37"/>
    </row>
    <row r="39" spans="1:10" x14ac:dyDescent="0.35">
      <c r="A39" s="55"/>
      <c r="B39" s="55"/>
      <c r="C39" s="37">
        <v>7</v>
      </c>
      <c r="D39" s="37">
        <f>COUNTIF(CLEANING!G2:G11,"7")</f>
        <v>0</v>
      </c>
      <c r="E39" s="37">
        <f>COUNTIFS(CLEANING!G2:G11,"7",CLEANING!B2:B11,"YES")</f>
        <v>0</v>
      </c>
      <c r="F39" s="37">
        <f>COUNTIFS(CLEANING!G2:G11,"7",CLEANING!B2:B11,"No")</f>
        <v>0</v>
      </c>
      <c r="G39" s="37"/>
      <c r="H39" s="37"/>
      <c r="I39" s="37"/>
      <c r="J39" s="37"/>
    </row>
    <row r="40" spans="1:10" x14ac:dyDescent="0.35">
      <c r="A40" s="37">
        <v>6</v>
      </c>
      <c r="B40" s="37" t="s">
        <v>78</v>
      </c>
      <c r="C40" s="37"/>
      <c r="D40" s="37"/>
      <c r="E40" s="37"/>
      <c r="F40" s="37"/>
      <c r="G40" s="37"/>
      <c r="H40" s="37"/>
      <c r="I40" s="37"/>
      <c r="J40" s="37"/>
    </row>
    <row r="41" spans="1:10" x14ac:dyDescent="0.35">
      <c r="A41" s="37"/>
      <c r="B41" s="37"/>
      <c r="C41" s="37">
        <v>1</v>
      </c>
      <c r="D41" s="37">
        <f>COUNTIF(CLEANING!H2:H11,"1")</f>
        <v>0</v>
      </c>
      <c r="E41" s="37">
        <f>COUNTIFS(CLEANING!H2:H11,"1",CLEANING!B2:B11,"YES")</f>
        <v>0</v>
      </c>
      <c r="F41" s="37">
        <f>COUNTIFS(CLEANING!H2:H11,"1",CLEANING!B2:B11,"NO")</f>
        <v>0</v>
      </c>
      <c r="G41" s="37"/>
      <c r="H41" s="37"/>
      <c r="I41" s="37"/>
      <c r="J41" s="37"/>
    </row>
    <row r="42" spans="1:10" x14ac:dyDescent="0.35">
      <c r="A42" s="37"/>
      <c r="B42" s="37"/>
      <c r="C42" s="37">
        <v>2</v>
      </c>
      <c r="D42" s="37">
        <v>10</v>
      </c>
      <c r="E42" s="37">
        <f>COUNTIFS(CLEANING!H2:H11,"2",CLEANING!B2:B11,"YES")</f>
        <v>2</v>
      </c>
      <c r="F42" s="37">
        <v>8</v>
      </c>
      <c r="G42" s="37">
        <f>((-E42/D42)*IMLOG2(E42/D42)+(-F42/D42)*IMLOG2(F42/D42))</f>
        <v>0.72192809488736165</v>
      </c>
      <c r="H42" s="37"/>
      <c r="I42" s="37"/>
      <c r="J42" s="37"/>
    </row>
    <row r="43" spans="1:10" x14ac:dyDescent="0.35">
      <c r="A43" s="37">
        <v>7</v>
      </c>
      <c r="B43" s="37" t="s">
        <v>79</v>
      </c>
      <c r="C43" s="37"/>
      <c r="D43" s="37"/>
      <c r="E43" s="37"/>
      <c r="F43" s="37"/>
      <c r="G43" s="37"/>
      <c r="H43" s="37"/>
      <c r="I43" s="37"/>
      <c r="J43" s="37"/>
    </row>
    <row r="44" spans="1:10" x14ac:dyDescent="0.35">
      <c r="A44" s="37"/>
      <c r="B44" s="37"/>
      <c r="C44" s="37">
        <v>1</v>
      </c>
      <c r="D44" s="37">
        <f>COUNTIF(CLEANING!I2:I11,"1")</f>
        <v>0</v>
      </c>
      <c r="E44" s="37">
        <f>COUNTIFS(CLEANING!I2:I11,"1",CLEANING!B2:B11,"YES")</f>
        <v>0</v>
      </c>
      <c r="F44" s="37">
        <f>COUNTIFS(CLEANING!I2:I11,"1",CLEANING!B2:B11,"NO")</f>
        <v>0</v>
      </c>
      <c r="G44" s="37"/>
      <c r="H44" s="37"/>
      <c r="I44" s="37"/>
      <c r="J44" s="37"/>
    </row>
    <row r="45" spans="1:10" x14ac:dyDescent="0.35">
      <c r="A45" s="37"/>
      <c r="B45" s="37"/>
      <c r="C45" s="37">
        <v>2</v>
      </c>
      <c r="D45" s="37">
        <f>COUNTIF(CLEANING!I2:I11,"2")</f>
        <v>0</v>
      </c>
      <c r="E45" s="37">
        <f>COUNTIFS(CLEANING!I2:I11,"2",CLEANING!B2:B11,"YES")</f>
        <v>0</v>
      </c>
      <c r="F45" s="37">
        <f>COUNTIFS(CLEANING!I2:I11,"2",CLEANING!B2:B11,"NO")</f>
        <v>0</v>
      </c>
      <c r="G45" s="37"/>
      <c r="H45" s="37"/>
      <c r="I45" s="37"/>
      <c r="J45" s="37"/>
    </row>
    <row r="46" spans="1:10" x14ac:dyDescent="0.35">
      <c r="A46" s="37"/>
      <c r="B46" s="37"/>
      <c r="C46" s="37">
        <v>3</v>
      </c>
      <c r="D46" s="37">
        <f>COUNTIF(CLEANING!I2:I11,"3")</f>
        <v>0</v>
      </c>
      <c r="E46" s="37">
        <f>COUNTIFS(CLEANING!I2:I11,"3",CLEANING!B2:B11,"YES")</f>
        <v>0</v>
      </c>
      <c r="F46" s="37">
        <f>COUNTIFS(CLEANING!I2:I11,"3",CLEANING!B2:B11,"NO")</f>
        <v>0</v>
      </c>
      <c r="G46" s="37"/>
      <c r="H46" s="37"/>
      <c r="I46" s="37"/>
      <c r="J46" s="37"/>
    </row>
    <row r="47" spans="1:10" x14ac:dyDescent="0.35">
      <c r="A47" s="37"/>
      <c r="B47" s="37"/>
      <c r="C47" s="37">
        <v>4</v>
      </c>
      <c r="D47" s="37">
        <f>COUNTIF(CLEANING!I2:I11,"4")</f>
        <v>0</v>
      </c>
      <c r="E47" s="37">
        <f>COUNTIFS(CLEANING!I2:I11,"4",CLEANING!B2:B11,"YES")</f>
        <v>0</v>
      </c>
      <c r="F47" s="37">
        <f>COUNTIFS(CLEANING!I2:I11,"4",CLEANING!B2:B11,"NO")</f>
        <v>0</v>
      </c>
      <c r="G47" s="37"/>
      <c r="H47" s="37"/>
      <c r="I47" s="37"/>
      <c r="J47" s="37"/>
    </row>
    <row r="48" spans="1:10" x14ac:dyDescent="0.35">
      <c r="A48" s="37"/>
      <c r="B48" s="37"/>
      <c r="C48" s="37">
        <v>5</v>
      </c>
      <c r="D48" s="37">
        <f>COUNTIF(CLEANING!I2:I11,"5")</f>
        <v>0</v>
      </c>
      <c r="E48" s="37">
        <f>COUNTIFS(CLEANING!I2:I11,"5",CLEANING!B2:B11,"YES")</f>
        <v>0</v>
      </c>
      <c r="F48" s="37">
        <f>COUNTIFS(CLEANING!I2:I11,"5",CLEANING!B2:B11,"NO")</f>
        <v>0</v>
      </c>
      <c r="G48" s="37"/>
      <c r="H48" s="37"/>
      <c r="I48" s="37"/>
      <c r="J48" s="37"/>
    </row>
    <row r="49" spans="1:10" x14ac:dyDescent="0.35">
      <c r="A49" s="37"/>
      <c r="B49" s="37"/>
      <c r="C49" s="37">
        <v>6</v>
      </c>
      <c r="D49" s="37">
        <v>10</v>
      </c>
      <c r="E49" s="37">
        <f>COUNTIFS(CLEANING!I2:I11,"6",CLEANING!B2:B11,"YES")</f>
        <v>2</v>
      </c>
      <c r="F49" s="37">
        <v>8</v>
      </c>
      <c r="G49" s="37">
        <f>((-E49/D49)*IMLOG2(E49/D49)+(-F49/D49)*IMLOG2(F49/D49))</f>
        <v>0.72192809488736165</v>
      </c>
      <c r="H49" s="37"/>
      <c r="I49" s="37"/>
      <c r="J49" s="37"/>
    </row>
    <row r="50" spans="1:10" x14ac:dyDescent="0.35">
      <c r="A50" s="37"/>
      <c r="B50" s="37"/>
      <c r="C50" s="37">
        <v>7</v>
      </c>
      <c r="D50" s="37">
        <f>COUNTIF(CLEANING!I2:I11,"7")</f>
        <v>0</v>
      </c>
      <c r="E50" s="37">
        <f>COUNTIFS(CLEANING!I2:I11,"7",CLEANING!B2:B11,"YES")</f>
        <v>0</v>
      </c>
      <c r="F50" s="37">
        <f>COUNTIFS(CLEANING!I2:I11,"7",CLEANING!B2:B11,"NO")</f>
        <v>0</v>
      </c>
      <c r="G50" s="37"/>
      <c r="H50" s="37"/>
      <c r="I50" s="37"/>
      <c r="J50" s="37"/>
    </row>
    <row r="51" spans="1:10" x14ac:dyDescent="0.35">
      <c r="A51" s="37"/>
      <c r="B51" s="37"/>
      <c r="C51" s="37">
        <v>8</v>
      </c>
      <c r="D51" s="37">
        <f>COUNTIF(CLEANING!I2:I11,"8")</f>
        <v>0</v>
      </c>
      <c r="E51" s="37">
        <f>COUNTIFS(CLEANING!I2:I11,"8",CLEANING!B2:B11,"YES")</f>
        <v>0</v>
      </c>
      <c r="F51" s="37">
        <f>COUNTIFS(CLEANING!I2:I11,"8",CLEANING!B2:B11,"NO")</f>
        <v>0</v>
      </c>
      <c r="G51" s="37"/>
      <c r="H51" s="37"/>
      <c r="I51" s="37"/>
      <c r="J51" s="37"/>
    </row>
    <row r="52" spans="1:10" x14ac:dyDescent="0.35">
      <c r="A52" s="37"/>
      <c r="B52" s="37"/>
      <c r="C52" s="37">
        <v>9</v>
      </c>
      <c r="D52" s="37">
        <f>COUNTIF(CLEANING!I2:I11,"9")</f>
        <v>0</v>
      </c>
      <c r="E52" s="37">
        <f>COUNTIFS(CLEANING!I2:I11,"9",CLEANING!B2:B11,"YES")</f>
        <v>0</v>
      </c>
      <c r="F52" s="37">
        <f>COUNTIFS(CLEANING!I2:I11,"9",CLEANING!B2:B11,"NO")</f>
        <v>0</v>
      </c>
      <c r="G52" s="37"/>
      <c r="H52" s="37"/>
      <c r="I52" s="37"/>
      <c r="J52" s="37"/>
    </row>
    <row r="53" spans="1:10" x14ac:dyDescent="0.35">
      <c r="A53" s="37"/>
      <c r="B53" s="37"/>
      <c r="C53" s="37">
        <v>10</v>
      </c>
      <c r="D53" s="37">
        <f>COUNTIF(CLEANING!I2:I11,"10")</f>
        <v>0</v>
      </c>
      <c r="E53" s="37">
        <f>COUNTIFS(CLEANING!I2:I11,"10",CLEANING!B2:B11,"YES")</f>
        <v>0</v>
      </c>
      <c r="F53" s="37">
        <f>COUNTIFS(CLEANING!I2:I11,"10",CLEANING!B2:B11,"NO")</f>
        <v>0</v>
      </c>
      <c r="G53" s="37"/>
      <c r="H53" s="37"/>
      <c r="I53" s="37"/>
      <c r="J53" s="37"/>
    </row>
    <row r="54" spans="1:10" x14ac:dyDescent="0.35">
      <c r="A54" s="37">
        <v>8</v>
      </c>
      <c r="B54" s="37" t="s">
        <v>80</v>
      </c>
      <c r="C54" s="37"/>
      <c r="D54" s="37"/>
      <c r="E54" s="37"/>
      <c r="F54" s="37"/>
      <c r="G54" s="37"/>
      <c r="H54" s="37"/>
      <c r="I54" s="37"/>
      <c r="J54" s="37"/>
    </row>
    <row r="55" spans="1:10" x14ac:dyDescent="0.35">
      <c r="A55" s="37"/>
      <c r="B55" s="37"/>
      <c r="C55" s="37">
        <v>1</v>
      </c>
      <c r="D55" s="37"/>
      <c r="E55" s="37"/>
      <c r="F55" s="37"/>
      <c r="G55" s="37"/>
      <c r="H55" s="37"/>
      <c r="I55" s="37"/>
      <c r="J55" s="37"/>
    </row>
    <row r="56" spans="1:10" x14ac:dyDescent="0.35">
      <c r="A56" s="37"/>
      <c r="B56" s="37"/>
      <c r="C56" s="37">
        <v>2</v>
      </c>
      <c r="D56" s="37"/>
      <c r="E56" s="37"/>
      <c r="F56" s="37"/>
      <c r="G56" s="37"/>
      <c r="H56" s="37"/>
      <c r="I56" s="37"/>
      <c r="J56" s="37"/>
    </row>
    <row r="57" spans="1:10" x14ac:dyDescent="0.35">
      <c r="A57" s="37">
        <v>9</v>
      </c>
      <c r="B57" s="37" t="s">
        <v>81</v>
      </c>
      <c r="C57" s="37"/>
      <c r="D57" s="37"/>
      <c r="E57" s="37"/>
      <c r="F57" s="37"/>
      <c r="G57" s="37"/>
      <c r="H57" s="37"/>
      <c r="I57" s="37"/>
      <c r="J57" s="37"/>
    </row>
    <row r="58" spans="1:10" x14ac:dyDescent="0.35">
      <c r="A58" s="37"/>
      <c r="B58" s="37"/>
      <c r="C58" s="37">
        <v>1</v>
      </c>
      <c r="D58" s="37"/>
      <c r="E58" s="37"/>
      <c r="F58" s="37"/>
      <c r="G58" s="37"/>
      <c r="H58" s="37"/>
      <c r="I58" s="37"/>
      <c r="J58" s="37"/>
    </row>
    <row r="59" spans="1:10" x14ac:dyDescent="0.35">
      <c r="A59" s="37"/>
      <c r="B59" s="37"/>
      <c r="C59" s="37">
        <v>2</v>
      </c>
      <c r="D59" s="37"/>
      <c r="E59" s="37"/>
      <c r="F59" s="37"/>
      <c r="G59" s="37"/>
      <c r="H59" s="37"/>
      <c r="I59" s="37"/>
      <c r="J59" s="37"/>
    </row>
    <row r="60" spans="1:10" x14ac:dyDescent="0.35">
      <c r="A60" s="37">
        <v>10</v>
      </c>
      <c r="B60" s="37" t="s">
        <v>82</v>
      </c>
      <c r="C60" s="37"/>
      <c r="D60" s="37"/>
      <c r="E60" s="37"/>
      <c r="F60" s="37"/>
      <c r="G60" s="37"/>
      <c r="H60" s="37"/>
      <c r="I60" s="37"/>
      <c r="J60" s="37"/>
    </row>
    <row r="61" spans="1:10" x14ac:dyDescent="0.35">
      <c r="A61" s="37"/>
      <c r="B61" s="37"/>
      <c r="C61" s="37">
        <v>1</v>
      </c>
      <c r="D61" s="37"/>
      <c r="E61" s="37"/>
      <c r="F61" s="37"/>
      <c r="G61" s="37"/>
      <c r="H61" s="37"/>
      <c r="I61" s="37"/>
      <c r="J61" s="37"/>
    </row>
    <row r="62" spans="1:10" x14ac:dyDescent="0.35">
      <c r="A62" s="37"/>
      <c r="B62" s="37"/>
      <c r="C62" s="37">
        <v>2</v>
      </c>
      <c r="D62" s="37"/>
      <c r="E62" s="37"/>
      <c r="F62" s="37"/>
      <c r="G62" s="37"/>
      <c r="H62" s="37"/>
      <c r="I62" s="37"/>
      <c r="J62" s="37"/>
    </row>
    <row r="63" spans="1:10" x14ac:dyDescent="0.35">
      <c r="A63" s="37"/>
      <c r="B63" s="37"/>
      <c r="C63" s="37">
        <v>3</v>
      </c>
      <c r="D63" s="37"/>
      <c r="E63" s="37"/>
      <c r="F63" s="37"/>
      <c r="G63" s="37"/>
      <c r="H63" s="37"/>
      <c r="I63" s="37"/>
      <c r="J63" s="37"/>
    </row>
    <row r="64" spans="1:10" x14ac:dyDescent="0.35">
      <c r="A64" s="37"/>
      <c r="B64" s="37"/>
      <c r="C64" s="37">
        <v>4</v>
      </c>
      <c r="D64" s="37"/>
      <c r="E64" s="37"/>
      <c r="F64" s="37"/>
      <c r="G64" s="37"/>
      <c r="H64" s="37"/>
      <c r="I64" s="37"/>
      <c r="J64" s="37"/>
    </row>
    <row r="65" spans="1:10" x14ac:dyDescent="0.35">
      <c r="A65" s="37"/>
      <c r="B65" s="37"/>
      <c r="C65" s="37">
        <v>5</v>
      </c>
      <c r="D65" s="37"/>
      <c r="E65" s="37"/>
      <c r="F65" s="37"/>
      <c r="G65" s="37"/>
      <c r="H65" s="37"/>
      <c r="I65" s="37"/>
      <c r="J65" s="37"/>
    </row>
    <row r="66" spans="1:10" x14ac:dyDescent="0.35">
      <c r="A66" s="37"/>
      <c r="B66" s="37"/>
      <c r="C66" s="37">
        <v>6</v>
      </c>
      <c r="D66" s="37"/>
      <c r="E66" s="37"/>
      <c r="F66" s="37"/>
      <c r="G66" s="37"/>
      <c r="H66" s="37"/>
      <c r="I66" s="37"/>
      <c r="J66" s="37"/>
    </row>
    <row r="67" spans="1:10" x14ac:dyDescent="0.35">
      <c r="A67" s="37"/>
      <c r="B67" s="37"/>
      <c r="C67" s="37">
        <v>7</v>
      </c>
      <c r="D67" s="37"/>
      <c r="E67" s="37"/>
      <c r="F67" s="37"/>
      <c r="G67" s="37"/>
      <c r="H67" s="37"/>
      <c r="I67" s="37"/>
      <c r="J67" s="37"/>
    </row>
    <row r="68" spans="1:10" x14ac:dyDescent="0.35">
      <c r="A68" s="37"/>
      <c r="B68" s="37"/>
      <c r="C68" s="37">
        <v>8</v>
      </c>
      <c r="D68" s="37"/>
      <c r="E68" s="37"/>
      <c r="F68" s="37"/>
      <c r="G68" s="37"/>
      <c r="H68" s="37"/>
      <c r="I68" s="37"/>
      <c r="J68" s="37"/>
    </row>
    <row r="69" spans="1:10" x14ac:dyDescent="0.35">
      <c r="A69" s="37"/>
      <c r="B69" s="37"/>
      <c r="C69" s="37">
        <v>9</v>
      </c>
      <c r="D69" s="37"/>
      <c r="E69" s="37"/>
      <c r="F69" s="37"/>
      <c r="G69" s="37"/>
      <c r="H69" s="37"/>
      <c r="I69" s="37"/>
      <c r="J69" s="37"/>
    </row>
    <row r="70" spans="1:10" x14ac:dyDescent="0.35">
      <c r="A70" s="37"/>
      <c r="B70" s="37"/>
      <c r="C70" s="37">
        <v>10</v>
      </c>
      <c r="D70" s="37"/>
      <c r="E70" s="37"/>
      <c r="F70" s="37"/>
      <c r="G70" s="37"/>
      <c r="H70" s="37"/>
      <c r="I70" s="37"/>
      <c r="J70" s="37"/>
    </row>
    <row r="71" spans="1:10" x14ac:dyDescent="0.35">
      <c r="A71" s="37"/>
      <c r="B71" s="37"/>
      <c r="C71" s="37">
        <v>11</v>
      </c>
      <c r="D71" s="37"/>
      <c r="E71" s="37"/>
      <c r="F71" s="37"/>
      <c r="G71" s="37"/>
      <c r="H71" s="37"/>
      <c r="I71" s="37"/>
      <c r="J71" s="37"/>
    </row>
    <row r="72" spans="1:10" x14ac:dyDescent="0.35">
      <c r="A72" s="37"/>
      <c r="B72" s="37"/>
      <c r="C72" s="37">
        <v>12</v>
      </c>
      <c r="D72" s="37"/>
      <c r="E72" s="37"/>
      <c r="F72" s="37"/>
      <c r="G72" s="37"/>
      <c r="H72" s="37"/>
      <c r="I72" s="37"/>
      <c r="J72" s="37"/>
    </row>
    <row r="73" spans="1:10" x14ac:dyDescent="0.35">
      <c r="A73" s="37">
        <v>11</v>
      </c>
      <c r="B73" s="37" t="s">
        <v>83</v>
      </c>
      <c r="C73" s="37"/>
      <c r="D73" s="37"/>
      <c r="E73" s="37"/>
      <c r="F73" s="37"/>
      <c r="G73" s="37"/>
      <c r="H73" s="37"/>
      <c r="I73" s="37"/>
      <c r="J73" s="37"/>
    </row>
    <row r="74" spans="1:10" x14ac:dyDescent="0.35">
      <c r="A74" s="37"/>
      <c r="B74" s="37"/>
      <c r="C74" s="37">
        <v>1</v>
      </c>
      <c r="D74" s="37"/>
      <c r="E74" s="37"/>
      <c r="F74" s="37"/>
      <c r="G74" s="37"/>
      <c r="H74" s="37"/>
      <c r="I74" s="37"/>
      <c r="J74" s="37"/>
    </row>
    <row r="75" spans="1:10" x14ac:dyDescent="0.35">
      <c r="A75" s="37"/>
      <c r="B75" s="37"/>
      <c r="C75" s="37">
        <v>2</v>
      </c>
      <c r="D75" s="37"/>
      <c r="E75" s="37"/>
      <c r="F75" s="37"/>
      <c r="G75" s="37"/>
      <c r="H75" s="37"/>
      <c r="I75" s="37"/>
      <c r="J75" s="37"/>
    </row>
    <row r="76" spans="1:10" x14ac:dyDescent="0.35">
      <c r="A76" s="37"/>
      <c r="B76" s="37"/>
      <c r="C76" s="37">
        <v>3</v>
      </c>
      <c r="D76" s="37"/>
      <c r="E76" s="37"/>
      <c r="F76" s="37"/>
      <c r="G76" s="37"/>
      <c r="H76" s="37"/>
      <c r="I76" s="37"/>
      <c r="J76" s="37"/>
    </row>
    <row r="77" spans="1:10" x14ac:dyDescent="0.35">
      <c r="A77" s="37">
        <v>12</v>
      </c>
      <c r="B77" s="37" t="s">
        <v>84</v>
      </c>
      <c r="C77" s="37"/>
      <c r="D77" s="37"/>
      <c r="E77" s="37"/>
      <c r="F77" s="37"/>
      <c r="G77" s="37"/>
      <c r="H77" s="37"/>
      <c r="I77" s="37"/>
      <c r="J77" s="37"/>
    </row>
    <row r="78" spans="1:10" x14ac:dyDescent="0.35">
      <c r="A78" s="37"/>
      <c r="B78" s="37"/>
      <c r="C78" s="37">
        <v>1</v>
      </c>
      <c r="D78" s="37"/>
      <c r="E78" s="37"/>
      <c r="F78" s="37"/>
      <c r="G78" s="37"/>
      <c r="H78" s="37"/>
      <c r="I78" s="37"/>
      <c r="J78" s="37"/>
    </row>
    <row r="79" spans="1:10" x14ac:dyDescent="0.35">
      <c r="A79" s="37"/>
      <c r="B79" s="37"/>
      <c r="C79" s="37">
        <v>2</v>
      </c>
      <c r="D79" s="37"/>
      <c r="E79" s="37"/>
      <c r="F79" s="37"/>
      <c r="G79" s="37"/>
      <c r="H79" s="37"/>
      <c r="I79" s="37"/>
      <c r="J79" s="37"/>
    </row>
    <row r="80" spans="1:10" x14ac:dyDescent="0.35">
      <c r="A80" s="37"/>
      <c r="B80" s="37"/>
      <c r="C80" s="37">
        <v>3</v>
      </c>
      <c r="D80" s="37"/>
      <c r="E80" s="37"/>
      <c r="F80" s="37"/>
      <c r="G80" s="37"/>
      <c r="H80" s="37"/>
      <c r="I80" s="37"/>
      <c r="J80" s="37"/>
    </row>
    <row r="81" spans="1:10" x14ac:dyDescent="0.35">
      <c r="A81" s="37"/>
      <c r="B81" s="37"/>
      <c r="C81" s="37">
        <v>4</v>
      </c>
      <c r="D81" s="37"/>
      <c r="E81" s="37"/>
      <c r="F81" s="37"/>
      <c r="G81" s="37"/>
      <c r="H81" s="37"/>
      <c r="I81" s="37"/>
      <c r="J81" s="37"/>
    </row>
    <row r="82" spans="1:10" x14ac:dyDescent="0.35">
      <c r="A82" s="37"/>
      <c r="B82" s="37"/>
      <c r="C82" s="37">
        <v>5</v>
      </c>
      <c r="D82" s="37"/>
      <c r="E82" s="37"/>
      <c r="F82" s="37"/>
      <c r="G82" s="37"/>
      <c r="H82" s="37"/>
      <c r="I82" s="37"/>
      <c r="J82" s="37"/>
    </row>
    <row r="83" spans="1:10" x14ac:dyDescent="0.35">
      <c r="A83" s="37"/>
      <c r="B83" s="37"/>
      <c r="C83" s="37">
        <v>6</v>
      </c>
      <c r="D83" s="37"/>
      <c r="E83" s="37"/>
      <c r="F83" s="37"/>
      <c r="G83" s="37"/>
      <c r="H83" s="37"/>
      <c r="I83" s="37"/>
      <c r="J83" s="37"/>
    </row>
    <row r="84" spans="1:10" x14ac:dyDescent="0.35">
      <c r="A84" s="37">
        <v>13</v>
      </c>
      <c r="B84" s="37" t="s">
        <v>85</v>
      </c>
      <c r="C84" s="37"/>
      <c r="D84" s="37"/>
      <c r="E84" s="37"/>
      <c r="F84" s="37"/>
      <c r="G84" s="37"/>
      <c r="H84" s="37"/>
      <c r="I84" s="37"/>
      <c r="J84" s="37"/>
    </row>
    <row r="85" spans="1:10" x14ac:dyDescent="0.35">
      <c r="A85" s="37"/>
      <c r="B85" s="37"/>
      <c r="C85" s="37">
        <v>1</v>
      </c>
      <c r="D85" s="37"/>
      <c r="E85" s="37"/>
      <c r="F85" s="37"/>
      <c r="G85" s="37"/>
      <c r="H85" s="37"/>
      <c r="I85" s="37"/>
      <c r="J85" s="37"/>
    </row>
    <row r="86" spans="1:10" x14ac:dyDescent="0.35">
      <c r="A86" s="37"/>
      <c r="B86" s="37"/>
      <c r="C86" s="37">
        <v>2</v>
      </c>
      <c r="D86" s="37"/>
      <c r="E86" s="37"/>
      <c r="F86" s="37"/>
      <c r="G86" s="37"/>
      <c r="H86" s="37"/>
      <c r="I86" s="37"/>
      <c r="J86" s="37"/>
    </row>
    <row r="87" spans="1:10" x14ac:dyDescent="0.35">
      <c r="A87" s="37"/>
      <c r="B87" s="37"/>
      <c r="C87" s="37">
        <v>3</v>
      </c>
      <c r="D87" s="37"/>
      <c r="E87" s="37"/>
      <c r="F87" s="37"/>
      <c r="G87" s="37"/>
      <c r="H87" s="37"/>
      <c r="I87" s="37"/>
      <c r="J87" s="37"/>
    </row>
    <row r="88" spans="1:10" x14ac:dyDescent="0.35">
      <c r="A88" s="37"/>
      <c r="B88" s="37"/>
      <c r="C88" s="37">
        <v>4</v>
      </c>
      <c r="D88" s="37"/>
      <c r="E88" s="37"/>
      <c r="F88" s="37"/>
      <c r="G88" s="37"/>
      <c r="H88" s="37"/>
      <c r="I88" s="37"/>
      <c r="J88" s="37"/>
    </row>
    <row r="89" spans="1:10" x14ac:dyDescent="0.35">
      <c r="A89" s="37"/>
      <c r="B89" s="37"/>
      <c r="C89" s="37">
        <v>5</v>
      </c>
      <c r="D89" s="37"/>
      <c r="E89" s="37"/>
      <c r="F89" s="37"/>
      <c r="G89" s="37"/>
      <c r="H89" s="37"/>
      <c r="I89" s="37"/>
      <c r="J89" s="37"/>
    </row>
    <row r="90" spans="1:10" x14ac:dyDescent="0.35">
      <c r="A90" s="37"/>
      <c r="B90" s="37"/>
      <c r="C90" s="37">
        <v>6</v>
      </c>
      <c r="D90" s="37"/>
      <c r="E90" s="37"/>
      <c r="F90" s="37"/>
      <c r="G90" s="37"/>
      <c r="H90" s="37"/>
      <c r="I90" s="37"/>
      <c r="J90" s="37"/>
    </row>
    <row r="91" spans="1:10" x14ac:dyDescent="0.35">
      <c r="A91" s="37"/>
      <c r="B91" s="37"/>
      <c r="C91" s="37">
        <v>7</v>
      </c>
      <c r="D91" s="37"/>
      <c r="E91" s="37"/>
      <c r="F91" s="37"/>
      <c r="G91" s="37"/>
      <c r="H91" s="37"/>
      <c r="I91" s="37"/>
      <c r="J91" s="37"/>
    </row>
    <row r="92" spans="1:10" x14ac:dyDescent="0.35">
      <c r="A92" s="37"/>
      <c r="B92" s="37"/>
      <c r="C92" s="37">
        <v>8</v>
      </c>
      <c r="D92" s="37"/>
      <c r="E92" s="37"/>
      <c r="F92" s="37"/>
      <c r="G92" s="37"/>
      <c r="H92" s="37"/>
      <c r="I92" s="37"/>
      <c r="J92" s="37"/>
    </row>
    <row r="93" spans="1:10" x14ac:dyDescent="0.35">
      <c r="A93" s="37"/>
      <c r="B93" s="37"/>
      <c r="C93" s="37">
        <v>9</v>
      </c>
      <c r="D93" s="37"/>
      <c r="E93" s="37"/>
      <c r="F93" s="37"/>
      <c r="G93" s="37"/>
      <c r="H93" s="37"/>
      <c r="I93" s="37"/>
      <c r="J93" s="37"/>
    </row>
    <row r="94" spans="1:10" x14ac:dyDescent="0.35">
      <c r="A94" s="37">
        <v>14</v>
      </c>
      <c r="B94" s="37" t="s">
        <v>86</v>
      </c>
      <c r="C94" s="37"/>
      <c r="D94" s="37"/>
      <c r="E94" s="37"/>
      <c r="F94" s="37"/>
      <c r="G94" s="37"/>
      <c r="H94" s="37"/>
      <c r="I94" s="37"/>
      <c r="J94" s="37"/>
    </row>
    <row r="95" spans="1:10" x14ac:dyDescent="0.35">
      <c r="A95" s="37"/>
      <c r="B95" s="37"/>
      <c r="C95" s="37">
        <v>1</v>
      </c>
      <c r="D95" s="37"/>
      <c r="E95" s="37"/>
      <c r="F95" s="37"/>
      <c r="G95" s="37"/>
      <c r="H95" s="37"/>
      <c r="I95" s="37"/>
      <c r="J95" s="37"/>
    </row>
    <row r="96" spans="1:10" x14ac:dyDescent="0.35">
      <c r="A96" s="37"/>
      <c r="B96" s="37"/>
      <c r="C96" s="37">
        <v>2</v>
      </c>
      <c r="D96" s="37"/>
      <c r="E96" s="37"/>
      <c r="F96" s="37"/>
      <c r="G96" s="37"/>
      <c r="H96" s="37"/>
      <c r="I96" s="37"/>
      <c r="J96" s="37"/>
    </row>
    <row r="97" spans="1:10" x14ac:dyDescent="0.35">
      <c r="A97" s="37"/>
      <c r="B97" s="37"/>
      <c r="C97" s="37">
        <v>4</v>
      </c>
      <c r="D97" s="37"/>
      <c r="E97" s="37"/>
      <c r="F97" s="37"/>
      <c r="G97" s="37"/>
      <c r="H97" s="37"/>
      <c r="I97" s="37"/>
      <c r="J97" s="37"/>
    </row>
    <row r="98" spans="1:10" x14ac:dyDescent="0.35">
      <c r="A98" s="37">
        <v>15</v>
      </c>
      <c r="B98" s="37" t="s">
        <v>87</v>
      </c>
      <c r="C98" s="37"/>
      <c r="D98" s="37"/>
      <c r="E98" s="37"/>
      <c r="F98" s="37"/>
      <c r="G98" s="37"/>
      <c r="H98" s="37"/>
      <c r="I98" s="37"/>
      <c r="J98" s="37"/>
    </row>
    <row r="99" spans="1:10" x14ac:dyDescent="0.35">
      <c r="A99" s="37"/>
      <c r="B99" s="37"/>
      <c r="C99" s="37">
        <v>1</v>
      </c>
      <c r="D99" s="37"/>
      <c r="E99" s="37"/>
      <c r="F99" s="37"/>
      <c r="G99" s="37"/>
      <c r="H99" s="37"/>
      <c r="I99" s="37"/>
      <c r="J99" s="37"/>
    </row>
    <row r="100" spans="1:10" x14ac:dyDescent="0.35">
      <c r="A100" s="37"/>
      <c r="B100" s="37"/>
      <c r="C100" s="37">
        <v>2</v>
      </c>
      <c r="D100" s="37"/>
      <c r="E100" s="37"/>
      <c r="F100" s="37"/>
      <c r="G100" s="37"/>
      <c r="H100" s="37"/>
      <c r="I100" s="37"/>
      <c r="J100" s="37"/>
    </row>
    <row r="101" spans="1:10" x14ac:dyDescent="0.35">
      <c r="A101" s="37"/>
      <c r="B101" s="37"/>
      <c r="C101" s="37">
        <v>3</v>
      </c>
      <c r="D101" s="37"/>
      <c r="E101" s="37"/>
      <c r="F101" s="37"/>
      <c r="G101" s="37"/>
      <c r="H101" s="37"/>
      <c r="I101" s="37"/>
      <c r="J101" s="37"/>
    </row>
    <row r="102" spans="1:10" x14ac:dyDescent="0.35">
      <c r="A102" s="37"/>
      <c r="B102" s="37"/>
      <c r="C102" s="37">
        <v>4</v>
      </c>
      <c r="D102" s="37"/>
      <c r="E102" s="37"/>
      <c r="F102" s="37"/>
      <c r="G102" s="37"/>
      <c r="H102" s="37"/>
      <c r="I102" s="37"/>
      <c r="J102" s="37"/>
    </row>
    <row r="103" spans="1:10" x14ac:dyDescent="0.35">
      <c r="A103" s="37">
        <v>16</v>
      </c>
      <c r="B103" s="37" t="s">
        <v>88</v>
      </c>
      <c r="C103" s="37"/>
      <c r="D103" s="37"/>
      <c r="E103" s="37"/>
      <c r="F103" s="37"/>
      <c r="G103" s="37"/>
      <c r="H103" s="37"/>
      <c r="I103" s="37"/>
      <c r="J103" s="37"/>
    </row>
    <row r="104" spans="1:10" x14ac:dyDescent="0.35">
      <c r="A104" s="37"/>
      <c r="B104" s="37"/>
      <c r="C104" s="37">
        <v>1</v>
      </c>
      <c r="D104" s="37"/>
      <c r="E104" s="37"/>
      <c r="F104" s="37"/>
      <c r="G104" s="37"/>
      <c r="H104" s="37"/>
      <c r="I104" s="37"/>
      <c r="J104" s="37"/>
    </row>
    <row r="105" spans="1:10" x14ac:dyDescent="0.35">
      <c r="A105" s="37"/>
      <c r="B105" s="37"/>
      <c r="C105" s="37">
        <v>2</v>
      </c>
      <c r="D105" s="37"/>
      <c r="E105" s="37"/>
      <c r="F105" s="37"/>
      <c r="G105" s="37"/>
      <c r="H105" s="37"/>
      <c r="I105" s="37"/>
      <c r="J105" s="37"/>
    </row>
    <row r="106" spans="1:10" x14ac:dyDescent="0.35">
      <c r="A106" s="37"/>
      <c r="B106" s="37"/>
      <c r="C106" s="37">
        <v>3</v>
      </c>
      <c r="D106" s="37"/>
      <c r="E106" s="37"/>
      <c r="F106" s="37"/>
      <c r="G106" s="37"/>
      <c r="H106" s="37"/>
      <c r="I106" s="37"/>
      <c r="J106" s="37"/>
    </row>
    <row r="107" spans="1:10" x14ac:dyDescent="0.35">
      <c r="A107" s="37"/>
      <c r="B107" s="37"/>
      <c r="C107" s="37">
        <v>4</v>
      </c>
      <c r="D107" s="37"/>
      <c r="E107" s="37"/>
      <c r="F107" s="37"/>
      <c r="G107" s="37"/>
      <c r="H107" s="37"/>
      <c r="I107" s="37"/>
      <c r="J107" s="37"/>
    </row>
    <row r="108" spans="1:10" x14ac:dyDescent="0.35">
      <c r="A108" s="37"/>
      <c r="B108" s="37"/>
      <c r="C108" s="37">
        <v>5</v>
      </c>
      <c r="D108" s="37"/>
      <c r="E108" s="37"/>
      <c r="F108" s="37"/>
      <c r="G108" s="37"/>
      <c r="H108" s="37"/>
      <c r="I108" s="37"/>
      <c r="J108" s="37"/>
    </row>
    <row r="109" spans="1:10" x14ac:dyDescent="0.35">
      <c r="A109" s="37"/>
      <c r="B109" s="37"/>
      <c r="C109" s="37">
        <v>6</v>
      </c>
      <c r="D109" s="37"/>
      <c r="E109" s="37"/>
      <c r="F109" s="37"/>
      <c r="G109" s="37"/>
      <c r="H109" s="37"/>
      <c r="I109" s="37"/>
      <c r="J109" s="37"/>
    </row>
    <row r="110" spans="1:10" x14ac:dyDescent="0.35">
      <c r="A110" s="37">
        <v>17</v>
      </c>
      <c r="B110" s="37" t="s">
        <v>89</v>
      </c>
      <c r="C110" s="37"/>
      <c r="D110" s="37"/>
      <c r="E110" s="37"/>
      <c r="F110" s="37"/>
      <c r="G110" s="37"/>
      <c r="H110" s="37"/>
      <c r="I110" s="37"/>
      <c r="J110" s="37"/>
    </row>
    <row r="111" spans="1:10" x14ac:dyDescent="0.35">
      <c r="A111" s="37"/>
      <c r="B111" s="37"/>
      <c r="C111" s="37">
        <v>1</v>
      </c>
      <c r="D111" s="37"/>
      <c r="E111" s="37"/>
      <c r="F111" s="37"/>
      <c r="G111" s="37"/>
      <c r="H111" s="37"/>
      <c r="I111" s="37"/>
      <c r="J111" s="37"/>
    </row>
    <row r="112" spans="1:10" x14ac:dyDescent="0.35">
      <c r="A112" s="37"/>
      <c r="B112" s="37"/>
      <c r="C112" s="37">
        <v>2</v>
      </c>
      <c r="D112" s="37"/>
      <c r="E112" s="37"/>
      <c r="F112" s="37"/>
      <c r="G112" s="37"/>
      <c r="H112" s="37"/>
      <c r="I112" s="37"/>
      <c r="J112" s="37"/>
    </row>
    <row r="113" spans="1:10" x14ac:dyDescent="0.35">
      <c r="A113" s="37">
        <v>18</v>
      </c>
      <c r="B113" s="37" t="s">
        <v>90</v>
      </c>
      <c r="C113" s="37"/>
      <c r="D113" s="37"/>
      <c r="E113" s="37"/>
      <c r="F113" s="37"/>
      <c r="G113" s="37"/>
      <c r="H113" s="37"/>
      <c r="I113" s="37"/>
      <c r="J113" s="37"/>
    </row>
    <row r="114" spans="1:10" x14ac:dyDescent="0.35">
      <c r="A114" s="37"/>
      <c r="B114" s="37"/>
      <c r="C114" s="37">
        <v>3</v>
      </c>
      <c r="D114" s="37"/>
      <c r="E114" s="37"/>
      <c r="F114" s="37"/>
      <c r="G114" s="37"/>
      <c r="H114" s="37"/>
      <c r="I114" s="37"/>
      <c r="J114" s="37"/>
    </row>
    <row r="115" spans="1:10" x14ac:dyDescent="0.35">
      <c r="A115" s="37"/>
      <c r="B115" s="37"/>
      <c r="C115" s="37">
        <v>4</v>
      </c>
      <c r="D115" s="37"/>
      <c r="E115" s="37"/>
      <c r="F115" s="37"/>
      <c r="G115" s="37"/>
      <c r="H115" s="37"/>
      <c r="I115" s="37"/>
      <c r="J115" s="37"/>
    </row>
    <row r="116" spans="1:10" x14ac:dyDescent="0.35">
      <c r="A116" s="37">
        <v>19</v>
      </c>
      <c r="B116" s="37" t="s">
        <v>91</v>
      </c>
      <c r="C116" s="37"/>
      <c r="D116" s="37"/>
      <c r="E116" s="37"/>
      <c r="F116" s="37"/>
      <c r="G116" s="37"/>
      <c r="H116" s="37"/>
      <c r="I116" s="37"/>
      <c r="J116" s="37"/>
    </row>
    <row r="117" spans="1:10" x14ac:dyDescent="0.35">
      <c r="A117" s="37"/>
      <c r="B117" s="37"/>
      <c r="C117" s="37">
        <v>1</v>
      </c>
      <c r="D117" s="37"/>
      <c r="E117" s="37"/>
      <c r="F117" s="37"/>
      <c r="G117" s="37"/>
      <c r="H117" s="37"/>
      <c r="I117" s="37"/>
      <c r="J117" s="37"/>
    </row>
    <row r="118" spans="1:10" x14ac:dyDescent="0.35">
      <c r="A118" s="37"/>
      <c r="B118" s="37"/>
      <c r="C118" s="37">
        <v>2</v>
      </c>
      <c r="D118" s="37"/>
      <c r="E118" s="37"/>
      <c r="F118" s="37"/>
      <c r="G118" s="37"/>
      <c r="H118" s="37"/>
      <c r="I118" s="37"/>
      <c r="J118" s="37"/>
    </row>
    <row r="119" spans="1:10" x14ac:dyDescent="0.35">
      <c r="A119" s="37">
        <v>20</v>
      </c>
      <c r="B119" s="37" t="s">
        <v>92</v>
      </c>
      <c r="C119" s="37"/>
      <c r="D119" s="37"/>
      <c r="E119" s="37"/>
      <c r="F119" s="37"/>
      <c r="G119" s="37"/>
      <c r="H119" s="37"/>
      <c r="I119" s="37"/>
      <c r="J119" s="37"/>
    </row>
    <row r="120" spans="1:10" x14ac:dyDescent="0.35">
      <c r="A120" s="37"/>
      <c r="B120" s="37"/>
      <c r="C120" s="37">
        <v>3</v>
      </c>
      <c r="D120" s="37"/>
      <c r="E120" s="37"/>
      <c r="F120" s="37"/>
      <c r="G120" s="37"/>
      <c r="H120" s="37"/>
      <c r="I120" s="37"/>
      <c r="J120" s="37"/>
    </row>
    <row r="121" spans="1:10" x14ac:dyDescent="0.35">
      <c r="A121" s="37"/>
      <c r="B121" s="37"/>
      <c r="C121" s="37">
        <v>4</v>
      </c>
      <c r="D121" s="37"/>
      <c r="E121" s="37"/>
      <c r="F121" s="37"/>
      <c r="G121" s="37"/>
      <c r="H121" s="37"/>
      <c r="I121" s="37"/>
      <c r="J121" s="37"/>
    </row>
    <row r="122" spans="1:10" x14ac:dyDescent="0.35">
      <c r="A122" s="37">
        <v>21</v>
      </c>
      <c r="B122" s="37" t="s">
        <v>93</v>
      </c>
      <c r="C122" s="37"/>
      <c r="D122" s="37"/>
      <c r="E122" s="37"/>
      <c r="F122" s="37"/>
      <c r="G122" s="37"/>
      <c r="H122" s="37"/>
      <c r="I122" s="37"/>
      <c r="J122" s="37"/>
    </row>
    <row r="123" spans="1:10" x14ac:dyDescent="0.35">
      <c r="A123" s="37"/>
      <c r="B123" s="37"/>
      <c r="C123" s="37">
        <v>1</v>
      </c>
      <c r="D123" s="37"/>
      <c r="E123" s="37"/>
      <c r="F123" s="37"/>
      <c r="G123" s="37"/>
      <c r="H123" s="37"/>
      <c r="I123" s="37"/>
      <c r="J123" s="37"/>
    </row>
    <row r="124" spans="1:10" x14ac:dyDescent="0.35">
      <c r="A124" s="37"/>
      <c r="B124" s="37"/>
      <c r="C124" s="37">
        <v>2</v>
      </c>
      <c r="D124" s="37"/>
      <c r="E124" s="37"/>
      <c r="F124" s="37"/>
      <c r="G124" s="37"/>
      <c r="H124" s="37"/>
      <c r="I124" s="37"/>
      <c r="J124" s="37"/>
    </row>
    <row r="125" spans="1:10" x14ac:dyDescent="0.35">
      <c r="A125" s="37">
        <v>22</v>
      </c>
      <c r="B125" s="37" t="s">
        <v>94</v>
      </c>
      <c r="C125" s="37"/>
      <c r="D125" s="37"/>
      <c r="E125" s="37"/>
      <c r="F125" s="37"/>
      <c r="G125" s="37"/>
      <c r="H125" s="37"/>
      <c r="I125" s="37"/>
      <c r="J125" s="37"/>
    </row>
    <row r="126" spans="1:10" x14ac:dyDescent="0.35">
      <c r="A126" s="37"/>
      <c r="B126" s="37"/>
      <c r="C126" s="37">
        <v>3</v>
      </c>
      <c r="D126" s="37"/>
      <c r="E126" s="37"/>
      <c r="F126" s="37"/>
      <c r="G126" s="37"/>
      <c r="H126" s="37"/>
      <c r="I126" s="37"/>
      <c r="J126" s="37"/>
    </row>
    <row r="127" spans="1:10" x14ac:dyDescent="0.35">
      <c r="A127" s="37"/>
      <c r="B127" s="37"/>
      <c r="C127" s="37">
        <v>4</v>
      </c>
      <c r="D127" s="37"/>
      <c r="E127" s="37"/>
      <c r="F127" s="37"/>
      <c r="G127" s="37"/>
      <c r="H127" s="37"/>
      <c r="I127" s="37"/>
      <c r="J127" s="37"/>
    </row>
    <row r="128" spans="1:10" x14ac:dyDescent="0.35">
      <c r="A128" s="37">
        <v>23</v>
      </c>
      <c r="B128" s="37" t="s">
        <v>95</v>
      </c>
      <c r="C128" s="37"/>
      <c r="D128" s="37"/>
      <c r="E128" s="37"/>
      <c r="F128" s="37"/>
      <c r="G128" s="37"/>
      <c r="H128" s="37"/>
      <c r="I128" s="37"/>
      <c r="J128" s="37"/>
    </row>
    <row r="129" spans="1:10" x14ac:dyDescent="0.35">
      <c r="A129" s="37"/>
      <c r="B129" s="37"/>
      <c r="C129" s="37">
        <v>1</v>
      </c>
      <c r="D129" s="37"/>
      <c r="E129" s="37"/>
      <c r="F129" s="37"/>
      <c r="G129" s="37"/>
      <c r="H129" s="37"/>
      <c r="I129" s="37"/>
      <c r="J129" s="37"/>
    </row>
    <row r="130" spans="1:10" x14ac:dyDescent="0.35">
      <c r="A130" s="37"/>
      <c r="B130" s="37"/>
      <c r="C130" s="37">
        <v>2</v>
      </c>
      <c r="D130" s="37"/>
      <c r="E130" s="37"/>
      <c r="F130" s="37"/>
      <c r="G130" s="37"/>
      <c r="H130" s="37"/>
      <c r="I130" s="37"/>
      <c r="J130" s="37"/>
    </row>
    <row r="131" spans="1:10" x14ac:dyDescent="0.35">
      <c r="A131" s="37">
        <v>24</v>
      </c>
      <c r="B131" s="37" t="s">
        <v>96</v>
      </c>
      <c r="C131" s="37"/>
      <c r="D131" s="37"/>
      <c r="E131" s="37"/>
      <c r="F131" s="37"/>
      <c r="G131" s="37"/>
      <c r="H131" s="37"/>
      <c r="I131" s="37"/>
      <c r="J131" s="37"/>
    </row>
    <row r="132" spans="1:10" x14ac:dyDescent="0.35">
      <c r="A132" s="37"/>
      <c r="B132" s="37"/>
      <c r="C132" s="37">
        <v>3</v>
      </c>
      <c r="D132" s="37"/>
      <c r="E132" s="37"/>
      <c r="F132" s="37"/>
      <c r="G132" s="37"/>
      <c r="H132" s="37"/>
      <c r="I132" s="37"/>
      <c r="J132" s="37"/>
    </row>
    <row r="133" spans="1:10" x14ac:dyDescent="0.35">
      <c r="A133" s="37"/>
      <c r="B133" s="37"/>
      <c r="C133" s="37">
        <v>4</v>
      </c>
      <c r="D133" s="37"/>
      <c r="E133" s="37"/>
      <c r="F133" s="37"/>
      <c r="G133" s="37"/>
      <c r="H133" s="37"/>
      <c r="I133" s="37"/>
      <c r="J133" s="37"/>
    </row>
    <row r="134" spans="1:10" x14ac:dyDescent="0.35">
      <c r="A134" s="37">
        <v>25</v>
      </c>
      <c r="B134" s="37" t="s">
        <v>97</v>
      </c>
      <c r="C134" s="37"/>
      <c r="D134" s="37"/>
      <c r="E134" s="37"/>
      <c r="F134" s="37"/>
      <c r="G134" s="37"/>
      <c r="H134" s="37"/>
      <c r="I134" s="37"/>
      <c r="J134" s="37"/>
    </row>
    <row r="135" spans="1:10" x14ac:dyDescent="0.35">
      <c r="A135" s="37"/>
      <c r="B135" s="37"/>
      <c r="C135" s="37">
        <v>1</v>
      </c>
      <c r="D135" s="37"/>
      <c r="E135" s="37"/>
      <c r="F135" s="37"/>
      <c r="G135" s="37"/>
      <c r="H135" s="37"/>
      <c r="I135" s="37"/>
      <c r="J135" s="37"/>
    </row>
    <row r="136" spans="1:10" x14ac:dyDescent="0.35">
      <c r="A136" s="37"/>
      <c r="B136" s="37"/>
      <c r="C136" s="37">
        <v>2</v>
      </c>
      <c r="D136" s="37"/>
      <c r="E136" s="37"/>
      <c r="F136" s="37"/>
      <c r="G136" s="37"/>
      <c r="H136" s="37"/>
      <c r="I136" s="37"/>
      <c r="J136" s="37"/>
    </row>
    <row r="137" spans="1:10" x14ac:dyDescent="0.35">
      <c r="A137" s="37">
        <v>26</v>
      </c>
      <c r="B137" s="37" t="s">
        <v>98</v>
      </c>
      <c r="C137" s="37"/>
      <c r="D137" s="37"/>
      <c r="E137" s="37"/>
      <c r="F137" s="37"/>
      <c r="G137" s="37"/>
      <c r="H137" s="37"/>
      <c r="I137" s="37"/>
      <c r="J137" s="37"/>
    </row>
    <row r="138" spans="1:10" x14ac:dyDescent="0.35">
      <c r="A138" s="37"/>
      <c r="B138" s="37"/>
      <c r="C138" s="37">
        <v>3</v>
      </c>
      <c r="D138" s="37"/>
      <c r="E138" s="37"/>
      <c r="F138" s="37"/>
      <c r="G138" s="37"/>
      <c r="H138" s="37"/>
      <c r="I138" s="37"/>
      <c r="J138" s="37"/>
    </row>
    <row r="139" spans="1:10" x14ac:dyDescent="0.35">
      <c r="A139" s="37"/>
      <c r="B139" s="37"/>
      <c r="C139" s="37">
        <v>4</v>
      </c>
      <c r="D139" s="37"/>
      <c r="E139" s="37"/>
      <c r="F139" s="37"/>
      <c r="G139" s="37"/>
      <c r="H139" s="37"/>
      <c r="I139" s="37"/>
      <c r="J139" s="37"/>
    </row>
    <row r="140" spans="1:10" x14ac:dyDescent="0.35">
      <c r="A140" s="37">
        <v>27</v>
      </c>
      <c r="B140" s="37" t="s">
        <v>99</v>
      </c>
      <c r="C140" s="37"/>
      <c r="D140" s="37"/>
      <c r="E140" s="37"/>
      <c r="F140" s="37"/>
      <c r="G140" s="37"/>
      <c r="H140" s="37"/>
      <c r="I140" s="37"/>
      <c r="J140" s="37"/>
    </row>
    <row r="141" spans="1:10" x14ac:dyDescent="0.35">
      <c r="A141" s="37"/>
      <c r="B141" s="37"/>
      <c r="C141" s="37">
        <v>1</v>
      </c>
      <c r="D141" s="37"/>
      <c r="E141" s="37"/>
      <c r="F141" s="37"/>
      <c r="G141" s="37"/>
      <c r="H141" s="37"/>
      <c r="I141" s="37"/>
      <c r="J141" s="37"/>
    </row>
    <row r="142" spans="1:10" x14ac:dyDescent="0.35">
      <c r="A142" s="37"/>
      <c r="B142" s="37"/>
      <c r="C142" s="37">
        <v>2</v>
      </c>
      <c r="D142" s="37"/>
      <c r="E142" s="37"/>
      <c r="F142" s="37"/>
      <c r="G142" s="37"/>
      <c r="H142" s="37"/>
      <c r="I142" s="37"/>
      <c r="J142" s="37"/>
    </row>
    <row r="143" spans="1:10" x14ac:dyDescent="0.35">
      <c r="A143" s="37">
        <v>28</v>
      </c>
      <c r="B143" s="37" t="s">
        <v>100</v>
      </c>
      <c r="C143" s="37"/>
      <c r="D143" s="37"/>
      <c r="E143" s="37"/>
      <c r="F143" s="37"/>
      <c r="G143" s="37"/>
      <c r="H143" s="37"/>
      <c r="I143" s="37"/>
      <c r="J143" s="37"/>
    </row>
    <row r="144" spans="1:10" x14ac:dyDescent="0.35">
      <c r="A144" s="37"/>
      <c r="B144" s="37"/>
      <c r="C144" s="37">
        <v>3</v>
      </c>
      <c r="D144" s="37"/>
      <c r="E144" s="37"/>
      <c r="F144" s="37"/>
      <c r="G144" s="37"/>
      <c r="H144" s="37"/>
      <c r="I144" s="37"/>
      <c r="J144" s="37"/>
    </row>
    <row r="145" spans="1:10" x14ac:dyDescent="0.35">
      <c r="A145" s="37"/>
      <c r="B145" s="37"/>
      <c r="C145" s="37">
        <v>4</v>
      </c>
      <c r="D145" s="37"/>
      <c r="E145" s="37"/>
      <c r="F145" s="37"/>
      <c r="G145" s="37"/>
      <c r="H145" s="37"/>
      <c r="I145" s="37"/>
      <c r="J145" s="37"/>
    </row>
    <row r="146" spans="1:10" x14ac:dyDescent="0.35">
      <c r="A146" s="37">
        <v>29</v>
      </c>
      <c r="B146" s="37" t="s">
        <v>101</v>
      </c>
      <c r="C146" s="37"/>
      <c r="D146" s="37"/>
      <c r="E146" s="37"/>
      <c r="F146" s="37"/>
      <c r="G146" s="37"/>
      <c r="H146" s="37"/>
      <c r="I146" s="37"/>
      <c r="J146" s="37"/>
    </row>
    <row r="147" spans="1:10" x14ac:dyDescent="0.35">
      <c r="A147" s="37"/>
      <c r="B147" s="37"/>
      <c r="C147" s="37">
        <v>1</v>
      </c>
      <c r="D147" s="37"/>
      <c r="E147" s="37"/>
      <c r="F147" s="37"/>
      <c r="G147" s="37"/>
      <c r="H147" s="37"/>
      <c r="I147" s="37"/>
      <c r="J147" s="37"/>
    </row>
    <row r="148" spans="1:10" x14ac:dyDescent="0.35">
      <c r="A148" s="37"/>
      <c r="B148" s="37"/>
      <c r="C148" s="37">
        <v>2</v>
      </c>
      <c r="D148" s="37"/>
      <c r="E148" s="37"/>
      <c r="F148" s="37"/>
      <c r="G148" s="37"/>
      <c r="H148" s="37"/>
      <c r="I148" s="37"/>
      <c r="J148" s="37"/>
    </row>
    <row r="149" spans="1:10" x14ac:dyDescent="0.35">
      <c r="A149" s="37">
        <v>30</v>
      </c>
      <c r="B149" s="37" t="s">
        <v>102</v>
      </c>
      <c r="C149" s="37"/>
      <c r="D149" s="37"/>
      <c r="E149" s="37"/>
      <c r="F149" s="37"/>
      <c r="G149" s="37"/>
      <c r="H149" s="37"/>
      <c r="I149" s="37"/>
      <c r="J149" s="37"/>
    </row>
    <row r="150" spans="1:10" x14ac:dyDescent="0.35">
      <c r="A150" s="37"/>
      <c r="B150" s="37"/>
      <c r="C150" s="37">
        <v>1</v>
      </c>
      <c r="D150" s="37"/>
      <c r="E150" s="37"/>
      <c r="F150" s="37"/>
      <c r="G150" s="37"/>
      <c r="H150" s="37"/>
      <c r="I150" s="37"/>
      <c r="J150" s="37"/>
    </row>
    <row r="151" spans="1:10" x14ac:dyDescent="0.35">
      <c r="A151" s="37"/>
      <c r="B151" s="37"/>
      <c r="C151" s="37">
        <v>2</v>
      </c>
      <c r="D151" s="37"/>
      <c r="E151" s="37"/>
      <c r="F151" s="37"/>
      <c r="G151" s="37"/>
      <c r="H151" s="37"/>
      <c r="I151" s="37"/>
      <c r="J151" s="37"/>
    </row>
    <row r="152" spans="1:10" x14ac:dyDescent="0.35">
      <c r="A152" s="37">
        <v>31</v>
      </c>
      <c r="B152" s="37" t="s">
        <v>103</v>
      </c>
      <c r="C152" s="37"/>
      <c r="D152" s="37"/>
      <c r="E152" s="37"/>
      <c r="F152" s="37"/>
      <c r="G152" s="37"/>
      <c r="H152" s="37"/>
      <c r="I152" s="37"/>
      <c r="J152" s="37"/>
    </row>
    <row r="153" spans="1:10" x14ac:dyDescent="0.35">
      <c r="A153" s="37"/>
      <c r="B153" s="37"/>
      <c r="C153" s="37">
        <v>1</v>
      </c>
      <c r="D153" s="37"/>
      <c r="E153" s="37"/>
      <c r="F153" s="37"/>
      <c r="G153" s="37"/>
      <c r="H153" s="37"/>
      <c r="I153" s="37"/>
      <c r="J153" s="37"/>
    </row>
    <row r="154" spans="1:10" x14ac:dyDescent="0.35">
      <c r="A154" s="37"/>
      <c r="B154" s="37"/>
      <c r="C154" s="37">
        <v>2</v>
      </c>
      <c r="D154" s="37"/>
      <c r="E154" s="37"/>
      <c r="F154" s="37"/>
      <c r="G154" s="37"/>
      <c r="H154" s="37"/>
      <c r="I154" s="37"/>
      <c r="J154" s="37"/>
    </row>
    <row r="155" spans="1:10" x14ac:dyDescent="0.35">
      <c r="A155" s="37">
        <v>32</v>
      </c>
      <c r="B155" s="37" t="s">
        <v>104</v>
      </c>
      <c r="C155" s="37"/>
      <c r="D155" s="37"/>
      <c r="E155" s="37"/>
      <c r="F155" s="37"/>
      <c r="G155" s="37"/>
      <c r="H155" s="37"/>
      <c r="I155" s="37"/>
      <c r="J155" s="37"/>
    </row>
    <row r="156" spans="1:10" x14ac:dyDescent="0.35">
      <c r="A156" s="37"/>
      <c r="B156" s="37"/>
      <c r="C156" s="37">
        <v>3</v>
      </c>
      <c r="D156" s="37"/>
      <c r="E156" s="37"/>
      <c r="F156" s="37"/>
      <c r="G156" s="37"/>
      <c r="H156" s="37"/>
      <c r="I156" s="37"/>
      <c r="J156" s="37"/>
    </row>
    <row r="157" spans="1:10" x14ac:dyDescent="0.35">
      <c r="A157" s="37"/>
      <c r="B157" s="37"/>
      <c r="C157" s="37">
        <v>4</v>
      </c>
      <c r="D157" s="37"/>
      <c r="E157" s="37"/>
      <c r="F157" s="37"/>
      <c r="G157" s="37"/>
      <c r="H157" s="37"/>
      <c r="I157" s="37"/>
      <c r="J157" s="37"/>
    </row>
    <row r="158" spans="1:10" x14ac:dyDescent="0.35">
      <c r="A158" s="37">
        <v>33</v>
      </c>
      <c r="B158" s="37" t="s">
        <v>105</v>
      </c>
      <c r="C158" s="37"/>
      <c r="D158" s="37"/>
      <c r="E158" s="37"/>
      <c r="F158" s="37"/>
      <c r="G158" s="37"/>
      <c r="H158" s="37"/>
      <c r="I158" s="37"/>
      <c r="J158" s="37"/>
    </row>
    <row r="159" spans="1:10" x14ac:dyDescent="0.35">
      <c r="A159" s="37"/>
      <c r="B159" s="37"/>
      <c r="C159" s="37">
        <v>1</v>
      </c>
      <c r="D159" s="37"/>
      <c r="E159" s="37"/>
      <c r="F159" s="37"/>
      <c r="G159" s="37"/>
      <c r="H159" s="37"/>
      <c r="I159" s="37"/>
      <c r="J159" s="37"/>
    </row>
    <row r="160" spans="1:10" x14ac:dyDescent="0.35">
      <c r="A160" s="37"/>
      <c r="B160" s="37"/>
      <c r="C160" s="37">
        <v>2</v>
      </c>
      <c r="D160" s="37"/>
      <c r="E160" s="37"/>
      <c r="F160" s="37"/>
      <c r="G160" s="37"/>
      <c r="H160" s="37"/>
      <c r="I160" s="37"/>
      <c r="J160" s="37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73"/>
  <sheetViews>
    <sheetView topLeftCell="A31" zoomScale="115" zoomScaleNormal="115" workbookViewId="0">
      <selection activeCell="D41" sqref="D41"/>
    </sheetView>
  </sheetViews>
  <sheetFormatPr defaultRowHeight="14.5" x14ac:dyDescent="0.35"/>
  <cols>
    <col min="8" max="8" width="16.453125" customWidth="1"/>
  </cols>
  <sheetData>
    <row r="1" spans="1:34" x14ac:dyDescent="0.35">
      <c r="A1" s="35" t="s">
        <v>33</v>
      </c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</row>
    <row r="2" spans="1:34" x14ac:dyDescent="0.35">
      <c r="A2" s="49" t="s">
        <v>34</v>
      </c>
      <c r="B2" s="49">
        <v>0.5</v>
      </c>
      <c r="C2" s="49">
        <v>0</v>
      </c>
      <c r="D2" s="49">
        <v>0</v>
      </c>
      <c r="E2" s="49">
        <v>0.7</v>
      </c>
      <c r="F2" s="49">
        <v>0</v>
      </c>
      <c r="G2" s="49">
        <v>1</v>
      </c>
      <c r="H2" s="49">
        <v>0.5</v>
      </c>
      <c r="I2" s="49">
        <v>1</v>
      </c>
      <c r="J2" s="49">
        <v>0.6</v>
      </c>
      <c r="K2" s="49">
        <v>0.3</v>
      </c>
      <c r="L2" s="49">
        <v>0</v>
      </c>
      <c r="M2" s="49">
        <v>0.2</v>
      </c>
      <c r="N2" s="49">
        <v>0.5</v>
      </c>
      <c r="O2" s="49">
        <v>0</v>
      </c>
      <c r="P2" s="49">
        <v>0</v>
      </c>
      <c r="Q2" s="49">
        <v>0</v>
      </c>
      <c r="R2" s="49">
        <v>1</v>
      </c>
      <c r="S2" s="49">
        <v>1</v>
      </c>
      <c r="T2" s="49">
        <v>1</v>
      </c>
      <c r="U2" s="49">
        <v>1</v>
      </c>
      <c r="V2" s="49">
        <v>1</v>
      </c>
      <c r="W2" s="49">
        <v>0</v>
      </c>
      <c r="X2" s="49">
        <v>1</v>
      </c>
      <c r="Y2" s="49">
        <v>1</v>
      </c>
      <c r="Z2" s="49">
        <v>1</v>
      </c>
      <c r="AA2" s="49">
        <v>0</v>
      </c>
      <c r="AB2" s="49">
        <v>1</v>
      </c>
      <c r="AC2" s="49">
        <v>1</v>
      </c>
      <c r="AD2" s="49">
        <v>1</v>
      </c>
      <c r="AE2" s="49">
        <v>1</v>
      </c>
      <c r="AF2" s="49">
        <v>0</v>
      </c>
      <c r="AG2" s="49">
        <v>1</v>
      </c>
      <c r="AH2" s="48">
        <v>1</v>
      </c>
    </row>
    <row r="3" spans="1:34" x14ac:dyDescent="0.35">
      <c r="A3" s="49" t="s">
        <v>35</v>
      </c>
      <c r="B3" s="49">
        <v>0.3</v>
      </c>
      <c r="C3" s="49">
        <v>0.2</v>
      </c>
      <c r="D3" s="49">
        <v>0.3</v>
      </c>
      <c r="E3" s="49">
        <v>0</v>
      </c>
      <c r="F3" s="49">
        <v>0</v>
      </c>
      <c r="G3" s="49">
        <v>0</v>
      </c>
      <c r="H3" s="49">
        <v>0.5</v>
      </c>
      <c r="I3" s="49">
        <v>0</v>
      </c>
      <c r="J3" s="49">
        <v>0.4</v>
      </c>
      <c r="K3" s="49">
        <v>0</v>
      </c>
      <c r="L3" s="49">
        <v>0</v>
      </c>
      <c r="M3" s="49">
        <v>0.2</v>
      </c>
      <c r="N3" s="49">
        <v>0.5</v>
      </c>
      <c r="O3" s="49">
        <v>0</v>
      </c>
      <c r="P3" s="49">
        <v>0</v>
      </c>
      <c r="Q3" s="49">
        <v>0</v>
      </c>
      <c r="R3" s="49">
        <v>1</v>
      </c>
      <c r="S3" s="49">
        <v>0</v>
      </c>
      <c r="T3" s="49">
        <v>1</v>
      </c>
      <c r="U3" s="49">
        <v>1</v>
      </c>
      <c r="V3" s="49">
        <v>1</v>
      </c>
      <c r="W3" s="49">
        <v>0</v>
      </c>
      <c r="X3" s="49">
        <v>1</v>
      </c>
      <c r="Y3" s="49">
        <v>1</v>
      </c>
      <c r="Z3" s="49">
        <v>1</v>
      </c>
      <c r="AA3" s="49">
        <v>0</v>
      </c>
      <c r="AB3" s="49">
        <v>1</v>
      </c>
      <c r="AC3" s="49">
        <v>1</v>
      </c>
      <c r="AD3" s="49">
        <v>1</v>
      </c>
      <c r="AE3" s="49">
        <v>1</v>
      </c>
      <c r="AF3" s="49">
        <v>1</v>
      </c>
      <c r="AG3" s="49">
        <v>1</v>
      </c>
      <c r="AH3" s="48">
        <v>0.5</v>
      </c>
    </row>
    <row r="4" spans="1:34" x14ac:dyDescent="0.35">
      <c r="A4" s="49" t="s">
        <v>35</v>
      </c>
      <c r="B4" s="49">
        <v>0.7</v>
      </c>
      <c r="C4" s="49">
        <v>0.2</v>
      </c>
      <c r="D4" s="49">
        <v>0.2</v>
      </c>
      <c r="E4" s="49">
        <v>0.7</v>
      </c>
      <c r="F4" s="49">
        <v>1</v>
      </c>
      <c r="G4" s="49">
        <v>0.9</v>
      </c>
      <c r="H4" s="49">
        <v>1</v>
      </c>
      <c r="I4" s="49">
        <v>0.848101265822784</v>
      </c>
      <c r="J4" s="49">
        <v>0.4</v>
      </c>
      <c r="K4" s="49">
        <v>0.5</v>
      </c>
      <c r="L4" s="49">
        <v>0.5</v>
      </c>
      <c r="M4" s="49">
        <v>0.26216216216216198</v>
      </c>
      <c r="N4" s="49">
        <v>0.5</v>
      </c>
      <c r="O4" s="49">
        <v>1</v>
      </c>
      <c r="P4" s="49">
        <v>5.0632911392405E-2</v>
      </c>
      <c r="Q4" s="49">
        <v>0.5</v>
      </c>
      <c r="R4" s="49">
        <v>1</v>
      </c>
      <c r="S4" s="49">
        <v>1</v>
      </c>
      <c r="T4" s="49">
        <v>1</v>
      </c>
      <c r="U4" s="49">
        <v>1</v>
      </c>
      <c r="V4" s="49">
        <v>1</v>
      </c>
      <c r="W4" s="49">
        <v>1</v>
      </c>
      <c r="X4" s="49">
        <v>1</v>
      </c>
      <c r="Y4" s="49">
        <v>1</v>
      </c>
      <c r="Z4" s="49">
        <v>1</v>
      </c>
      <c r="AA4" s="49">
        <v>1</v>
      </c>
      <c r="AB4" s="49">
        <v>1</v>
      </c>
      <c r="AC4" s="49">
        <v>1</v>
      </c>
      <c r="AD4" s="49">
        <v>1</v>
      </c>
      <c r="AE4" s="49">
        <v>1</v>
      </c>
      <c r="AF4" s="49">
        <v>1</v>
      </c>
      <c r="AG4" s="49">
        <v>1</v>
      </c>
      <c r="AH4" s="48">
        <v>1</v>
      </c>
    </row>
    <row r="5" spans="1:34" x14ac:dyDescent="0.35">
      <c r="A5" s="49" t="s">
        <v>35</v>
      </c>
      <c r="B5" s="49">
        <v>0.5</v>
      </c>
      <c r="C5" s="49">
        <v>0</v>
      </c>
      <c r="D5" s="49">
        <v>0</v>
      </c>
      <c r="E5" s="49">
        <v>1</v>
      </c>
      <c r="F5" s="49">
        <v>0.3</v>
      </c>
      <c r="G5" s="49">
        <v>1</v>
      </c>
      <c r="H5" s="49">
        <v>0.5</v>
      </c>
      <c r="I5" s="49">
        <v>1</v>
      </c>
      <c r="J5" s="49">
        <v>0.6</v>
      </c>
      <c r="K5" s="49">
        <v>1</v>
      </c>
      <c r="L5" s="49">
        <v>0</v>
      </c>
      <c r="M5" s="49">
        <v>0</v>
      </c>
      <c r="N5" s="49">
        <v>1</v>
      </c>
      <c r="O5" s="49">
        <v>0</v>
      </c>
      <c r="P5" s="49">
        <v>0</v>
      </c>
      <c r="Q5" s="49">
        <v>0</v>
      </c>
      <c r="R5" s="49">
        <v>1</v>
      </c>
      <c r="S5" s="49">
        <v>1</v>
      </c>
      <c r="T5" s="49">
        <v>1</v>
      </c>
      <c r="U5" s="49">
        <v>1</v>
      </c>
      <c r="V5" s="49">
        <v>1</v>
      </c>
      <c r="W5" s="49">
        <v>0</v>
      </c>
      <c r="X5" s="49">
        <v>1</v>
      </c>
      <c r="Y5" s="49">
        <v>1</v>
      </c>
      <c r="Z5" s="49">
        <v>0</v>
      </c>
      <c r="AA5" s="49">
        <v>1</v>
      </c>
      <c r="AB5" s="49">
        <v>1</v>
      </c>
      <c r="AC5" s="49">
        <v>1</v>
      </c>
      <c r="AD5" s="49">
        <v>1</v>
      </c>
      <c r="AE5" s="49">
        <v>1</v>
      </c>
      <c r="AF5" s="49">
        <v>0</v>
      </c>
      <c r="AG5" s="49">
        <v>1</v>
      </c>
      <c r="AH5" s="48">
        <v>1</v>
      </c>
    </row>
    <row r="6" spans="1:34" x14ac:dyDescent="0.35">
      <c r="A6" s="49" t="s">
        <v>34</v>
      </c>
      <c r="B6" s="49">
        <v>0.7</v>
      </c>
      <c r="C6" s="49">
        <v>0.2</v>
      </c>
      <c r="D6" s="49">
        <v>0.3</v>
      </c>
      <c r="E6" s="49">
        <v>0.7</v>
      </c>
      <c r="F6" s="49">
        <v>0</v>
      </c>
      <c r="G6" s="49">
        <v>1</v>
      </c>
      <c r="H6" s="49">
        <v>0.5</v>
      </c>
      <c r="I6" s="49">
        <v>1</v>
      </c>
      <c r="J6" s="49">
        <v>0.2</v>
      </c>
      <c r="K6" s="49">
        <v>0</v>
      </c>
      <c r="L6" s="49">
        <v>0</v>
      </c>
      <c r="M6" s="49">
        <v>0</v>
      </c>
      <c r="N6" s="49">
        <v>1</v>
      </c>
      <c r="O6" s="49">
        <v>0</v>
      </c>
      <c r="P6" s="49">
        <v>0</v>
      </c>
      <c r="Q6" s="49">
        <v>0</v>
      </c>
      <c r="R6" s="49">
        <v>1</v>
      </c>
      <c r="S6" s="49">
        <v>0</v>
      </c>
      <c r="T6" s="49">
        <v>1</v>
      </c>
      <c r="U6" s="49">
        <v>1</v>
      </c>
      <c r="V6" s="49">
        <v>1</v>
      </c>
      <c r="W6" s="49">
        <v>0</v>
      </c>
      <c r="X6" s="49">
        <v>1</v>
      </c>
      <c r="Y6" s="49">
        <v>1</v>
      </c>
      <c r="Z6" s="49">
        <v>1</v>
      </c>
      <c r="AA6" s="49">
        <v>0</v>
      </c>
      <c r="AB6" s="49">
        <v>1</v>
      </c>
      <c r="AC6" s="49">
        <v>1</v>
      </c>
      <c r="AD6" s="49">
        <v>1</v>
      </c>
      <c r="AE6" s="49">
        <v>1</v>
      </c>
      <c r="AF6" s="49">
        <v>1</v>
      </c>
      <c r="AG6" s="49">
        <v>1</v>
      </c>
      <c r="AH6" s="48">
        <v>1</v>
      </c>
    </row>
    <row r="7" spans="1:34" x14ac:dyDescent="0.35">
      <c r="A7" s="49" t="s">
        <v>35</v>
      </c>
      <c r="B7" s="49">
        <v>0.7</v>
      </c>
      <c r="C7" s="49">
        <v>0.2</v>
      </c>
      <c r="D7" s="49">
        <v>0.3</v>
      </c>
      <c r="E7" s="49">
        <v>0.7</v>
      </c>
      <c r="F7" s="49">
        <v>0</v>
      </c>
      <c r="G7" s="49">
        <v>1</v>
      </c>
      <c r="H7" s="49">
        <v>0.5</v>
      </c>
      <c r="I7" s="49">
        <v>1</v>
      </c>
      <c r="J7" s="49">
        <v>0.2</v>
      </c>
      <c r="K7" s="49">
        <v>0</v>
      </c>
      <c r="L7" s="49">
        <v>0</v>
      </c>
      <c r="M7" s="49">
        <v>0.2</v>
      </c>
      <c r="N7" s="49">
        <v>0.2</v>
      </c>
      <c r="O7" s="49">
        <v>0</v>
      </c>
      <c r="P7" s="49">
        <v>0</v>
      </c>
      <c r="Q7" s="49">
        <v>0</v>
      </c>
      <c r="R7" s="49">
        <v>0</v>
      </c>
      <c r="S7" s="49">
        <v>0</v>
      </c>
      <c r="T7" s="49">
        <v>1</v>
      </c>
      <c r="U7" s="49">
        <v>1</v>
      </c>
      <c r="V7" s="49">
        <v>1</v>
      </c>
      <c r="W7" s="49">
        <v>0</v>
      </c>
      <c r="X7" s="49">
        <v>1</v>
      </c>
      <c r="Y7" s="49">
        <v>1</v>
      </c>
      <c r="Z7" s="49">
        <v>0</v>
      </c>
      <c r="AA7" s="49">
        <v>0</v>
      </c>
      <c r="AB7" s="49">
        <v>1</v>
      </c>
      <c r="AC7" s="49">
        <v>1</v>
      </c>
      <c r="AD7" s="49">
        <v>1</v>
      </c>
      <c r="AE7" s="49">
        <v>1</v>
      </c>
      <c r="AF7" s="49">
        <v>1</v>
      </c>
      <c r="AG7" s="49">
        <v>1</v>
      </c>
      <c r="AH7" s="48">
        <v>0.5</v>
      </c>
    </row>
    <row r="8" spans="1:34" x14ac:dyDescent="0.35">
      <c r="A8" s="49" t="s">
        <v>35</v>
      </c>
      <c r="B8" s="49">
        <v>0.7</v>
      </c>
      <c r="C8" s="49">
        <v>0</v>
      </c>
      <c r="D8" s="49">
        <v>0</v>
      </c>
      <c r="E8" s="49">
        <v>1</v>
      </c>
      <c r="F8" s="49">
        <v>0.3</v>
      </c>
      <c r="G8" s="49">
        <v>1</v>
      </c>
      <c r="H8" s="49">
        <v>0.5</v>
      </c>
      <c r="I8" s="49">
        <v>1</v>
      </c>
      <c r="J8" s="49">
        <v>0.8</v>
      </c>
      <c r="K8" s="49">
        <v>0</v>
      </c>
      <c r="L8" s="49">
        <v>0</v>
      </c>
      <c r="M8" s="49">
        <v>1</v>
      </c>
      <c r="N8" s="49">
        <v>0.5</v>
      </c>
      <c r="O8" s="49">
        <v>0</v>
      </c>
      <c r="P8" s="49">
        <v>0</v>
      </c>
      <c r="Q8" s="49">
        <v>0</v>
      </c>
      <c r="R8" s="49">
        <v>1</v>
      </c>
      <c r="S8" s="49">
        <v>1</v>
      </c>
      <c r="T8" s="49">
        <v>1</v>
      </c>
      <c r="U8" s="49">
        <v>1</v>
      </c>
      <c r="V8" s="49">
        <v>1</v>
      </c>
      <c r="W8" s="49">
        <v>0</v>
      </c>
      <c r="X8" s="49">
        <v>1</v>
      </c>
      <c r="Y8" s="49">
        <v>1</v>
      </c>
      <c r="Z8" s="49">
        <v>1</v>
      </c>
      <c r="AA8" s="49">
        <v>1</v>
      </c>
      <c r="AB8" s="49">
        <v>1</v>
      </c>
      <c r="AC8" s="49">
        <v>1</v>
      </c>
      <c r="AD8" s="49">
        <v>1</v>
      </c>
      <c r="AE8" s="49">
        <v>1</v>
      </c>
      <c r="AF8" s="49">
        <v>0</v>
      </c>
      <c r="AG8" s="49">
        <v>1</v>
      </c>
      <c r="AH8" s="48">
        <v>0.5</v>
      </c>
    </row>
    <row r="9" spans="1:34" x14ac:dyDescent="0.35">
      <c r="A9" s="49" t="s">
        <v>35</v>
      </c>
      <c r="B9" s="49">
        <v>0.9</v>
      </c>
      <c r="C9" s="49">
        <v>0</v>
      </c>
      <c r="D9" s="49">
        <v>1</v>
      </c>
      <c r="E9" s="49">
        <v>1</v>
      </c>
      <c r="F9" s="49">
        <v>0.3</v>
      </c>
      <c r="G9" s="49">
        <v>1</v>
      </c>
      <c r="H9" s="49">
        <v>0.5</v>
      </c>
      <c r="I9" s="49">
        <v>1</v>
      </c>
      <c r="J9" s="49">
        <v>0.4</v>
      </c>
      <c r="K9" s="49">
        <v>0</v>
      </c>
      <c r="L9" s="49">
        <v>0</v>
      </c>
      <c r="M9" s="49">
        <v>0.2</v>
      </c>
      <c r="N9" s="49">
        <v>0.5</v>
      </c>
      <c r="O9" s="49">
        <v>0</v>
      </c>
      <c r="P9" s="49">
        <v>0</v>
      </c>
      <c r="Q9" s="49">
        <v>0</v>
      </c>
      <c r="R9" s="49">
        <v>1</v>
      </c>
      <c r="S9" s="49">
        <v>0</v>
      </c>
      <c r="T9" s="49">
        <v>1</v>
      </c>
      <c r="U9" s="49">
        <v>1</v>
      </c>
      <c r="V9" s="49">
        <v>1</v>
      </c>
      <c r="W9" s="49">
        <v>0</v>
      </c>
      <c r="X9" s="49">
        <v>1</v>
      </c>
      <c r="Y9" s="49">
        <v>1</v>
      </c>
      <c r="Z9" s="49">
        <v>1</v>
      </c>
      <c r="AA9" s="49">
        <v>0</v>
      </c>
      <c r="AB9" s="49">
        <v>1</v>
      </c>
      <c r="AC9" s="49">
        <v>1</v>
      </c>
      <c r="AD9" s="49">
        <v>1</v>
      </c>
      <c r="AE9" s="49">
        <v>1</v>
      </c>
      <c r="AF9" s="49">
        <v>1</v>
      </c>
      <c r="AG9" s="49">
        <v>1</v>
      </c>
      <c r="AH9" s="48">
        <v>0.5</v>
      </c>
    </row>
    <row r="10" spans="1:34" x14ac:dyDescent="0.35">
      <c r="A10" s="49" t="s">
        <v>35</v>
      </c>
      <c r="B10" s="49">
        <v>0.2</v>
      </c>
      <c r="C10" s="49">
        <v>0.1</v>
      </c>
      <c r="D10" s="49">
        <v>0.2</v>
      </c>
      <c r="E10" s="49">
        <v>0.5</v>
      </c>
      <c r="F10" s="49">
        <v>0.1</v>
      </c>
      <c r="G10" s="49">
        <v>0.9</v>
      </c>
      <c r="H10" s="49">
        <v>0.55416666666666603</v>
      </c>
      <c r="I10" s="49">
        <v>0.848101265822784</v>
      </c>
      <c r="J10" s="49">
        <v>0.42278481012658198</v>
      </c>
      <c r="K10" s="49">
        <v>0.13055555555555501</v>
      </c>
      <c r="L10" s="49">
        <v>0.05</v>
      </c>
      <c r="M10" s="49">
        <v>0.26216216216216198</v>
      </c>
      <c r="N10" s="49">
        <v>0.515625</v>
      </c>
      <c r="O10" s="49">
        <v>7.4999999999999997E-2</v>
      </c>
      <c r="P10" s="49">
        <v>5.0632911392405E-2</v>
      </c>
      <c r="Q10" s="49">
        <v>9.9999999999999895E-2</v>
      </c>
      <c r="R10" s="49">
        <v>0.938271604938271</v>
      </c>
      <c r="S10" s="49">
        <v>0.38271604938271597</v>
      </c>
      <c r="T10" s="49">
        <v>0.96296296296296302</v>
      </c>
      <c r="U10" s="49">
        <v>1</v>
      </c>
      <c r="V10" s="49">
        <v>1</v>
      </c>
      <c r="W10" s="49">
        <v>0.12345679012345601</v>
      </c>
      <c r="X10" s="49">
        <v>0.96296296296296302</v>
      </c>
      <c r="Y10" s="49">
        <v>0.95061728395061695</v>
      </c>
      <c r="Z10" s="49">
        <v>0.75308641975308599</v>
      </c>
      <c r="AA10" s="49">
        <v>0.35802469135802401</v>
      </c>
      <c r="AB10" s="49">
        <v>0.98765432098765404</v>
      </c>
      <c r="AC10" s="49">
        <v>1</v>
      </c>
      <c r="AD10" s="49">
        <v>0.97530864197530798</v>
      </c>
      <c r="AE10" s="49">
        <v>1</v>
      </c>
      <c r="AF10" s="49">
        <v>0.46249999999999902</v>
      </c>
      <c r="AG10" s="49">
        <v>1</v>
      </c>
      <c r="AH10" s="48">
        <v>0.89610389610389596</v>
      </c>
    </row>
    <row r="11" spans="1:34" x14ac:dyDescent="0.35">
      <c r="A11" s="49" t="s">
        <v>34</v>
      </c>
      <c r="B11" s="49">
        <v>0.3</v>
      </c>
      <c r="C11" s="49">
        <v>0.1</v>
      </c>
      <c r="D11" s="49">
        <v>0.2</v>
      </c>
      <c r="E11" s="49">
        <v>0.5</v>
      </c>
      <c r="F11" s="49">
        <v>0.1</v>
      </c>
      <c r="G11" s="49">
        <v>0.9</v>
      </c>
      <c r="H11" s="49">
        <v>0.55416666666666603</v>
      </c>
      <c r="I11" s="49">
        <v>0.848101265822784</v>
      </c>
      <c r="J11" s="49">
        <v>0.42278481012658198</v>
      </c>
      <c r="K11" s="49">
        <v>0.13055555555555501</v>
      </c>
      <c r="L11" s="49">
        <v>0.05</v>
      </c>
      <c r="M11" s="49">
        <v>0.26216216216216198</v>
      </c>
      <c r="N11" s="49">
        <v>0.515625</v>
      </c>
      <c r="O11" s="49">
        <v>7.4999999999999997E-2</v>
      </c>
      <c r="P11" s="49">
        <v>5.0632911392405E-2</v>
      </c>
      <c r="Q11" s="49">
        <v>9.9999999999999895E-2</v>
      </c>
      <c r="R11" s="49">
        <v>0.938271604938271</v>
      </c>
      <c r="S11" s="49">
        <v>0.38271604938271597</v>
      </c>
      <c r="T11" s="49">
        <v>0.96296296296296302</v>
      </c>
      <c r="U11" s="49">
        <v>1</v>
      </c>
      <c r="V11" s="49">
        <v>1</v>
      </c>
      <c r="W11" s="49">
        <v>0.12345679012345601</v>
      </c>
      <c r="X11" s="49">
        <v>0.96296296296296302</v>
      </c>
      <c r="Y11" s="49">
        <v>0.95061728395061695</v>
      </c>
      <c r="Z11" s="49">
        <v>0.75308641975308599</v>
      </c>
      <c r="AA11" s="49">
        <v>0.35802469135802401</v>
      </c>
      <c r="AB11" s="49">
        <v>0.98765432098765404</v>
      </c>
      <c r="AC11" s="49">
        <v>1</v>
      </c>
      <c r="AD11" s="49">
        <v>0.97530864197530798</v>
      </c>
      <c r="AE11" s="49">
        <v>1</v>
      </c>
      <c r="AF11" s="49">
        <v>0.46249999999999902</v>
      </c>
      <c r="AG11" s="49">
        <v>1</v>
      </c>
      <c r="AH11" s="48">
        <v>0.89610389610389596</v>
      </c>
    </row>
    <row r="12" spans="1:34" x14ac:dyDescent="0.35">
      <c r="A12" s="49" t="s">
        <v>34</v>
      </c>
      <c r="B12" s="49">
        <v>1</v>
      </c>
      <c r="C12" s="49">
        <v>0</v>
      </c>
      <c r="D12" s="49">
        <v>0</v>
      </c>
      <c r="E12" s="49">
        <v>0</v>
      </c>
      <c r="F12" s="49">
        <v>0</v>
      </c>
      <c r="G12" s="49">
        <v>1</v>
      </c>
      <c r="H12" s="49">
        <v>0.5</v>
      </c>
      <c r="I12" s="49">
        <v>1</v>
      </c>
      <c r="J12" s="49">
        <v>0.6</v>
      </c>
      <c r="K12" s="49">
        <v>0</v>
      </c>
      <c r="L12" s="49">
        <v>0</v>
      </c>
      <c r="M12" s="49">
        <v>0.2</v>
      </c>
      <c r="N12" s="49">
        <v>0.5</v>
      </c>
      <c r="O12" s="49">
        <v>0</v>
      </c>
      <c r="P12" s="49">
        <v>0</v>
      </c>
      <c r="Q12" s="49">
        <v>0</v>
      </c>
      <c r="R12" s="49">
        <v>1</v>
      </c>
      <c r="S12" s="49">
        <v>0</v>
      </c>
      <c r="T12" s="49">
        <v>1</v>
      </c>
      <c r="U12" s="49">
        <v>1</v>
      </c>
      <c r="V12" s="49">
        <v>1</v>
      </c>
      <c r="W12" s="49">
        <v>0</v>
      </c>
      <c r="X12" s="49">
        <v>1</v>
      </c>
      <c r="Y12" s="49">
        <v>1</v>
      </c>
      <c r="Z12" s="49">
        <v>1</v>
      </c>
      <c r="AA12" s="49">
        <v>0</v>
      </c>
      <c r="AB12" s="49">
        <v>1</v>
      </c>
      <c r="AC12" s="49">
        <v>1</v>
      </c>
      <c r="AD12" s="49">
        <v>1</v>
      </c>
      <c r="AE12" s="49">
        <v>1</v>
      </c>
      <c r="AF12" s="49">
        <v>0</v>
      </c>
      <c r="AG12" s="49">
        <v>1</v>
      </c>
      <c r="AH12" s="48">
        <v>1</v>
      </c>
    </row>
    <row r="13" spans="1:34" x14ac:dyDescent="0.35">
      <c r="A13" s="49" t="s">
        <v>35</v>
      </c>
      <c r="B13" s="49">
        <v>0.5</v>
      </c>
      <c r="C13" s="49">
        <v>0</v>
      </c>
      <c r="D13" s="49">
        <v>0</v>
      </c>
      <c r="E13" s="49">
        <v>0</v>
      </c>
      <c r="F13" s="49">
        <v>0</v>
      </c>
      <c r="G13" s="49">
        <v>1</v>
      </c>
      <c r="H13" s="49">
        <v>0.5</v>
      </c>
      <c r="I13" s="49">
        <v>1</v>
      </c>
      <c r="J13" s="49">
        <v>0.6</v>
      </c>
      <c r="K13" s="49">
        <v>0</v>
      </c>
      <c r="L13" s="49">
        <v>0</v>
      </c>
      <c r="M13" s="49">
        <v>0.2</v>
      </c>
      <c r="N13" s="49">
        <v>0.5</v>
      </c>
      <c r="O13" s="49">
        <v>0</v>
      </c>
      <c r="P13" s="49">
        <v>0</v>
      </c>
      <c r="Q13" s="49">
        <v>0</v>
      </c>
      <c r="R13" s="49">
        <v>1</v>
      </c>
      <c r="S13" s="49">
        <v>0</v>
      </c>
      <c r="T13" s="49">
        <v>1</v>
      </c>
      <c r="U13" s="49">
        <v>1</v>
      </c>
      <c r="V13" s="49">
        <v>1</v>
      </c>
      <c r="W13" s="49">
        <v>0</v>
      </c>
      <c r="X13" s="49">
        <v>1</v>
      </c>
      <c r="Y13" s="49">
        <v>1</v>
      </c>
      <c r="Z13" s="49">
        <v>1</v>
      </c>
      <c r="AA13" s="49">
        <v>0</v>
      </c>
      <c r="AB13" s="49">
        <v>1</v>
      </c>
      <c r="AC13" s="49">
        <v>1</v>
      </c>
      <c r="AD13" s="49">
        <v>1</v>
      </c>
      <c r="AE13" s="49">
        <v>1</v>
      </c>
      <c r="AF13" s="49">
        <v>0</v>
      </c>
      <c r="AG13" s="49">
        <v>1</v>
      </c>
      <c r="AH13" s="48">
        <v>1</v>
      </c>
    </row>
    <row r="14" spans="1:34" x14ac:dyDescent="0.35">
      <c r="A14" s="56" t="s">
        <v>35</v>
      </c>
      <c r="B14" s="56">
        <v>0.5</v>
      </c>
      <c r="C14" s="56">
        <v>0</v>
      </c>
      <c r="D14" s="56">
        <v>0</v>
      </c>
      <c r="E14" s="56">
        <v>0</v>
      </c>
      <c r="F14" s="56">
        <v>0</v>
      </c>
      <c r="G14" s="56">
        <v>1</v>
      </c>
      <c r="H14" s="56">
        <v>0.5</v>
      </c>
      <c r="I14" s="56">
        <v>1</v>
      </c>
      <c r="J14" s="56">
        <v>0.6</v>
      </c>
      <c r="K14" s="56">
        <v>0</v>
      </c>
      <c r="L14" s="56">
        <v>0</v>
      </c>
      <c r="M14" s="56">
        <v>0</v>
      </c>
      <c r="N14" s="56">
        <v>0.5</v>
      </c>
      <c r="O14" s="56">
        <v>0</v>
      </c>
      <c r="P14" s="56">
        <v>0</v>
      </c>
      <c r="Q14" s="56">
        <v>0</v>
      </c>
      <c r="R14" s="56">
        <v>1</v>
      </c>
      <c r="S14" s="56">
        <v>0</v>
      </c>
      <c r="T14" s="56">
        <v>1</v>
      </c>
      <c r="U14" s="56">
        <v>1</v>
      </c>
      <c r="V14" s="56">
        <v>1</v>
      </c>
      <c r="W14" s="56">
        <v>0</v>
      </c>
      <c r="X14" s="56">
        <v>1</v>
      </c>
      <c r="Y14" s="56">
        <v>1</v>
      </c>
      <c r="Z14" s="56">
        <v>1</v>
      </c>
      <c r="AA14" s="56">
        <v>0</v>
      </c>
      <c r="AB14" s="56">
        <v>1</v>
      </c>
      <c r="AC14" s="56">
        <v>1</v>
      </c>
      <c r="AD14" s="56">
        <v>1</v>
      </c>
      <c r="AE14" s="56">
        <v>1</v>
      </c>
      <c r="AF14" s="56">
        <v>0</v>
      </c>
      <c r="AG14" s="56">
        <v>1</v>
      </c>
      <c r="AH14" s="56">
        <v>1</v>
      </c>
    </row>
    <row r="15" spans="1:34" x14ac:dyDescent="0.35">
      <c r="A15" s="56" t="s">
        <v>35</v>
      </c>
      <c r="B15" s="56">
        <v>0</v>
      </c>
      <c r="C15" s="56">
        <v>0.1</v>
      </c>
      <c r="D15" s="56">
        <v>0.2</v>
      </c>
      <c r="E15" s="56">
        <v>0.5</v>
      </c>
      <c r="F15" s="56">
        <v>0.1</v>
      </c>
      <c r="G15" s="56">
        <v>0.9</v>
      </c>
      <c r="H15" s="56">
        <v>0.55416666666666603</v>
      </c>
      <c r="I15" s="56">
        <v>0.848101265822784</v>
      </c>
      <c r="J15" s="56">
        <v>0.42278481012658198</v>
      </c>
      <c r="K15" s="56">
        <v>0.13055555555555501</v>
      </c>
      <c r="L15" s="56">
        <v>0.05</v>
      </c>
      <c r="M15" s="56">
        <v>0.26216216216216198</v>
      </c>
      <c r="N15" s="56">
        <v>0.515625</v>
      </c>
      <c r="O15" s="56">
        <v>7.4999999999999997E-2</v>
      </c>
      <c r="P15" s="56">
        <v>5.0632911392405E-2</v>
      </c>
      <c r="Q15" s="56">
        <v>9.9999999999999895E-2</v>
      </c>
      <c r="R15" s="56">
        <v>0.938271604938271</v>
      </c>
      <c r="S15" s="56">
        <v>0.38271604938271597</v>
      </c>
      <c r="T15" s="56">
        <v>0.96296296296296302</v>
      </c>
      <c r="U15" s="56">
        <v>1</v>
      </c>
      <c r="V15" s="56">
        <v>1</v>
      </c>
      <c r="W15" s="56">
        <v>0.12345679012345601</v>
      </c>
      <c r="X15" s="56">
        <v>0.96296296296296302</v>
      </c>
      <c r="Y15" s="56">
        <v>0.95061728395061695</v>
      </c>
      <c r="Z15" s="56">
        <v>0.75308641975308599</v>
      </c>
      <c r="AA15" s="56">
        <v>0.35802469135802401</v>
      </c>
      <c r="AB15" s="56">
        <v>0.98765432098765404</v>
      </c>
      <c r="AC15" s="56">
        <v>1</v>
      </c>
      <c r="AD15" s="56">
        <v>0.97530864197530798</v>
      </c>
      <c r="AE15" s="56">
        <v>1</v>
      </c>
      <c r="AF15" s="56">
        <v>0.46249999999999902</v>
      </c>
      <c r="AG15" s="56">
        <v>1</v>
      </c>
      <c r="AH15" s="56">
        <v>0.89610389610389596</v>
      </c>
    </row>
    <row r="16" spans="1:34" x14ac:dyDescent="0.35">
      <c r="A16" s="56" t="s">
        <v>35</v>
      </c>
      <c r="B16" s="56">
        <v>0</v>
      </c>
      <c r="C16" s="56">
        <v>0</v>
      </c>
      <c r="D16" s="56">
        <v>0</v>
      </c>
      <c r="E16" s="56">
        <v>0.7</v>
      </c>
      <c r="F16" s="56">
        <v>0.3</v>
      </c>
      <c r="G16" s="56">
        <v>1</v>
      </c>
      <c r="H16" s="56">
        <v>0.5</v>
      </c>
      <c r="I16" s="56">
        <v>1</v>
      </c>
      <c r="J16" s="56">
        <v>0.4</v>
      </c>
      <c r="K16" s="56">
        <v>0</v>
      </c>
      <c r="L16" s="56">
        <v>0</v>
      </c>
      <c r="M16" s="56">
        <v>0</v>
      </c>
      <c r="N16" s="56">
        <v>0.5</v>
      </c>
      <c r="O16" s="56">
        <v>0</v>
      </c>
      <c r="P16" s="56">
        <v>0</v>
      </c>
      <c r="Q16" s="56">
        <v>0</v>
      </c>
      <c r="R16" s="56">
        <v>1</v>
      </c>
      <c r="S16" s="56">
        <v>1</v>
      </c>
      <c r="T16" s="56">
        <v>1</v>
      </c>
      <c r="U16" s="56">
        <v>1</v>
      </c>
      <c r="V16" s="56">
        <v>1</v>
      </c>
      <c r="W16" s="56">
        <v>0</v>
      </c>
      <c r="X16" s="56">
        <v>1</v>
      </c>
      <c r="Y16" s="56">
        <v>1</v>
      </c>
      <c r="Z16" s="56">
        <v>1</v>
      </c>
      <c r="AA16" s="56">
        <v>1</v>
      </c>
      <c r="AB16" s="56">
        <v>1</v>
      </c>
      <c r="AC16" s="56">
        <v>1</v>
      </c>
      <c r="AD16" s="56">
        <v>1</v>
      </c>
      <c r="AE16" s="56">
        <v>1</v>
      </c>
      <c r="AF16" s="56">
        <v>0</v>
      </c>
      <c r="AG16" s="56">
        <v>1</v>
      </c>
      <c r="AH16" s="56">
        <v>1</v>
      </c>
    </row>
    <row r="17" spans="1:34" x14ac:dyDescent="0.35">
      <c r="A17" s="56" t="s">
        <v>35</v>
      </c>
      <c r="B17" s="56">
        <v>0</v>
      </c>
      <c r="C17" s="56">
        <v>0.1</v>
      </c>
      <c r="D17" s="56">
        <v>0.2</v>
      </c>
      <c r="E17" s="56">
        <v>0.5</v>
      </c>
      <c r="F17" s="56">
        <v>0.1</v>
      </c>
      <c r="G17" s="56">
        <v>0.9</v>
      </c>
      <c r="H17" s="56">
        <v>0.55416666666666603</v>
      </c>
      <c r="I17" s="56">
        <v>0.848101265822784</v>
      </c>
      <c r="J17" s="56">
        <v>0.42278481012658198</v>
      </c>
      <c r="K17" s="56">
        <v>0.13055555555555501</v>
      </c>
      <c r="L17" s="56">
        <v>0.05</v>
      </c>
      <c r="M17" s="56">
        <v>0.26216216216216198</v>
      </c>
      <c r="N17" s="56">
        <v>0.515625</v>
      </c>
      <c r="O17" s="56">
        <v>7.4999999999999997E-2</v>
      </c>
      <c r="P17" s="56">
        <v>5.0632911392405E-2</v>
      </c>
      <c r="Q17" s="56">
        <v>9.9999999999999895E-2</v>
      </c>
      <c r="R17" s="56">
        <v>0.938271604938271</v>
      </c>
      <c r="S17" s="56">
        <v>0.38271604938271597</v>
      </c>
      <c r="T17" s="56">
        <v>0.96296296296296302</v>
      </c>
      <c r="U17" s="56">
        <v>1</v>
      </c>
      <c r="V17" s="56">
        <v>1</v>
      </c>
      <c r="W17" s="56">
        <v>0.12345679012345601</v>
      </c>
      <c r="X17" s="56">
        <v>0.96296296296296302</v>
      </c>
      <c r="Y17" s="56">
        <v>0.95061728395061695</v>
      </c>
      <c r="Z17" s="56">
        <v>0.75308641975308599</v>
      </c>
      <c r="AA17" s="56">
        <v>0.35802469135802401</v>
      </c>
      <c r="AB17" s="56">
        <v>0.98765432098765404</v>
      </c>
      <c r="AC17" s="56">
        <v>1</v>
      </c>
      <c r="AD17" s="56">
        <v>0.97530864197530798</v>
      </c>
      <c r="AE17" s="56">
        <v>1</v>
      </c>
      <c r="AF17" s="56">
        <v>0.46249999999999902</v>
      </c>
      <c r="AG17" s="56">
        <v>1</v>
      </c>
      <c r="AH17" s="56">
        <v>0.89610389610389596</v>
      </c>
    </row>
    <row r="18" spans="1:34" x14ac:dyDescent="0.35">
      <c r="A18" s="56" t="s">
        <v>35</v>
      </c>
      <c r="B18" s="56">
        <v>0</v>
      </c>
      <c r="C18" s="56">
        <v>0.1</v>
      </c>
      <c r="D18" s="56">
        <v>0.2</v>
      </c>
      <c r="E18" s="56">
        <v>0.5</v>
      </c>
      <c r="F18" s="56">
        <v>0.1</v>
      </c>
      <c r="G18" s="56">
        <v>0.9</v>
      </c>
      <c r="H18" s="56">
        <v>0.55416666666666603</v>
      </c>
      <c r="I18" s="56">
        <v>0.848101265822784</v>
      </c>
      <c r="J18" s="56">
        <v>0.42278481012658198</v>
      </c>
      <c r="K18" s="56">
        <v>0.13055555555555501</v>
      </c>
      <c r="L18" s="56">
        <v>0.05</v>
      </c>
      <c r="M18" s="56">
        <v>0.26216216216216198</v>
      </c>
      <c r="N18" s="56">
        <v>0.515625</v>
      </c>
      <c r="O18" s="56">
        <v>7.4999999999999997E-2</v>
      </c>
      <c r="P18" s="56">
        <v>5.0632911392405E-2</v>
      </c>
      <c r="Q18" s="56">
        <v>9.9999999999999895E-2</v>
      </c>
      <c r="R18" s="56">
        <v>0.938271604938271</v>
      </c>
      <c r="S18" s="56">
        <v>0.38271604938271597</v>
      </c>
      <c r="T18" s="56">
        <v>0.96296296296296302</v>
      </c>
      <c r="U18" s="56">
        <v>1</v>
      </c>
      <c r="V18" s="56">
        <v>1</v>
      </c>
      <c r="W18" s="56">
        <v>0.12345679012345601</v>
      </c>
      <c r="X18" s="56">
        <v>0.96296296296296302</v>
      </c>
      <c r="Y18" s="56">
        <v>0.95061728395061695</v>
      </c>
      <c r="Z18" s="56">
        <v>0.75308641975308599</v>
      </c>
      <c r="AA18" s="56">
        <v>0.35802469135802401</v>
      </c>
      <c r="AB18" s="56">
        <v>0.98765432098765404</v>
      </c>
      <c r="AC18" s="56">
        <v>1</v>
      </c>
      <c r="AD18" s="56">
        <v>0.97530864197530798</v>
      </c>
      <c r="AE18" s="56">
        <v>1</v>
      </c>
      <c r="AF18" s="56">
        <v>0.46249999999999902</v>
      </c>
      <c r="AG18" s="56">
        <v>1</v>
      </c>
      <c r="AH18" s="56">
        <v>0.89610389610389596</v>
      </c>
    </row>
    <row r="19" spans="1:34" x14ac:dyDescent="0.35">
      <c r="A19" s="56" t="s">
        <v>35</v>
      </c>
      <c r="B19" s="56">
        <v>0</v>
      </c>
      <c r="C19" s="56">
        <v>0.1</v>
      </c>
      <c r="D19" s="56">
        <v>0.2</v>
      </c>
      <c r="E19" s="56">
        <v>0.5</v>
      </c>
      <c r="F19" s="56">
        <v>0.1</v>
      </c>
      <c r="G19" s="56">
        <v>0.9</v>
      </c>
      <c r="H19" s="56">
        <v>0.55416666666666603</v>
      </c>
      <c r="I19" s="56">
        <v>0.848101265822784</v>
      </c>
      <c r="J19" s="56">
        <v>0.42278481012658198</v>
      </c>
      <c r="K19" s="56">
        <v>0.13055555555555501</v>
      </c>
      <c r="L19" s="56">
        <v>0.05</v>
      </c>
      <c r="M19" s="56">
        <v>0.26216216216216198</v>
      </c>
      <c r="N19" s="56">
        <v>0.515625</v>
      </c>
      <c r="O19" s="56">
        <v>7.4999999999999997E-2</v>
      </c>
      <c r="P19" s="56">
        <v>5.0632911392405E-2</v>
      </c>
      <c r="Q19" s="56">
        <v>9.9999999999999895E-2</v>
      </c>
      <c r="R19" s="56">
        <v>0.938271604938271</v>
      </c>
      <c r="S19" s="56">
        <v>0.38271604938271597</v>
      </c>
      <c r="T19" s="56">
        <v>0.96296296296296302</v>
      </c>
      <c r="U19" s="56">
        <v>1</v>
      </c>
      <c r="V19" s="56">
        <v>1</v>
      </c>
      <c r="W19" s="56">
        <v>0.12345679012345601</v>
      </c>
      <c r="X19" s="56">
        <v>0.96296296296296302</v>
      </c>
      <c r="Y19" s="56">
        <v>0.95061728395061695</v>
      </c>
      <c r="Z19" s="56">
        <v>0.75308641975308599</v>
      </c>
      <c r="AA19" s="56">
        <v>0.35802469135802401</v>
      </c>
      <c r="AB19" s="56">
        <v>0.98765432098765404</v>
      </c>
      <c r="AC19" s="56">
        <v>1</v>
      </c>
      <c r="AD19" s="56">
        <v>0.97530864197530798</v>
      </c>
      <c r="AE19" s="56">
        <v>1</v>
      </c>
      <c r="AF19" s="56">
        <v>0.46249999999999902</v>
      </c>
      <c r="AG19" s="56">
        <v>1</v>
      </c>
      <c r="AH19" s="56">
        <v>0.89610389610389596</v>
      </c>
    </row>
    <row r="20" spans="1:34" x14ac:dyDescent="0.35">
      <c r="A20" s="56" t="s">
        <v>35</v>
      </c>
      <c r="B20" s="56">
        <v>0.2</v>
      </c>
      <c r="C20" s="56">
        <v>0</v>
      </c>
      <c r="D20" s="56">
        <v>0</v>
      </c>
      <c r="E20" s="56">
        <v>0.7</v>
      </c>
      <c r="F20" s="56">
        <v>0</v>
      </c>
      <c r="G20" s="56">
        <v>1</v>
      </c>
      <c r="H20" s="56">
        <v>0.5</v>
      </c>
      <c r="I20" s="56">
        <v>1</v>
      </c>
      <c r="J20" s="56">
        <v>0.6</v>
      </c>
      <c r="K20" s="56">
        <v>0</v>
      </c>
      <c r="L20" s="56">
        <v>0</v>
      </c>
      <c r="M20" s="56">
        <v>0</v>
      </c>
      <c r="N20" s="56">
        <v>0.5</v>
      </c>
      <c r="O20" s="56">
        <v>0</v>
      </c>
      <c r="P20" s="56">
        <v>0</v>
      </c>
      <c r="Q20" s="56">
        <v>0</v>
      </c>
      <c r="R20" s="56">
        <v>1</v>
      </c>
      <c r="S20" s="56">
        <v>0</v>
      </c>
      <c r="T20" s="56">
        <v>1</v>
      </c>
      <c r="U20" s="56">
        <v>1</v>
      </c>
      <c r="V20" s="56">
        <v>1</v>
      </c>
      <c r="W20" s="56">
        <v>0</v>
      </c>
      <c r="X20" s="56">
        <v>1</v>
      </c>
      <c r="Y20" s="56">
        <v>1</v>
      </c>
      <c r="Z20" s="56">
        <v>0</v>
      </c>
      <c r="AA20" s="56">
        <v>0</v>
      </c>
      <c r="AB20" s="56">
        <v>1</v>
      </c>
      <c r="AC20" s="56">
        <v>1</v>
      </c>
      <c r="AD20" s="56">
        <v>1</v>
      </c>
      <c r="AE20" s="56">
        <v>1</v>
      </c>
      <c r="AF20" s="56">
        <v>0</v>
      </c>
      <c r="AG20" s="56">
        <v>1</v>
      </c>
      <c r="AH20" s="56">
        <v>1</v>
      </c>
    </row>
    <row r="21" spans="1:34" x14ac:dyDescent="0.35">
      <c r="A21" s="56" t="s">
        <v>34</v>
      </c>
      <c r="B21" s="56">
        <v>0.3</v>
      </c>
      <c r="C21" s="56">
        <v>0</v>
      </c>
      <c r="D21" s="56">
        <v>0</v>
      </c>
      <c r="E21" s="56">
        <v>0.7</v>
      </c>
      <c r="F21" s="56">
        <v>0</v>
      </c>
      <c r="G21" s="56">
        <v>1</v>
      </c>
      <c r="H21" s="56">
        <v>0.5</v>
      </c>
      <c r="I21" s="56">
        <v>1</v>
      </c>
      <c r="J21" s="56">
        <v>0.6</v>
      </c>
      <c r="K21" s="56">
        <v>0</v>
      </c>
      <c r="L21" s="56">
        <v>0</v>
      </c>
      <c r="M21" s="56">
        <v>0.2</v>
      </c>
      <c r="N21" s="56">
        <v>0.5</v>
      </c>
      <c r="O21" s="56">
        <v>0</v>
      </c>
      <c r="P21" s="56">
        <v>0</v>
      </c>
      <c r="Q21" s="56">
        <v>0</v>
      </c>
      <c r="R21" s="56">
        <v>1</v>
      </c>
      <c r="S21" s="56">
        <v>1</v>
      </c>
      <c r="T21" s="56">
        <v>1</v>
      </c>
      <c r="U21" s="56">
        <v>1</v>
      </c>
      <c r="V21" s="56">
        <v>1</v>
      </c>
      <c r="W21" s="56">
        <v>0</v>
      </c>
      <c r="X21" s="56">
        <v>1</v>
      </c>
      <c r="Y21" s="56">
        <v>1</v>
      </c>
      <c r="Z21" s="56">
        <v>1</v>
      </c>
      <c r="AA21" s="56">
        <v>1</v>
      </c>
      <c r="AB21" s="56">
        <v>1</v>
      </c>
      <c r="AC21" s="56">
        <v>1</v>
      </c>
      <c r="AD21" s="56">
        <v>1</v>
      </c>
      <c r="AE21" s="56">
        <v>1</v>
      </c>
      <c r="AF21" s="56">
        <v>0</v>
      </c>
      <c r="AG21" s="56">
        <v>1</v>
      </c>
      <c r="AH21" s="56">
        <v>1</v>
      </c>
    </row>
    <row r="23" spans="1:34" x14ac:dyDescent="0.35">
      <c r="A23" s="37" t="s">
        <v>42</v>
      </c>
      <c r="B23" s="53" t="s">
        <v>55</v>
      </c>
      <c r="C23" s="54"/>
      <c r="D23" s="37" t="s">
        <v>34</v>
      </c>
      <c r="E23" s="37" t="s">
        <v>35</v>
      </c>
      <c r="F23" s="37" t="s">
        <v>112</v>
      </c>
      <c r="G23" s="37" t="s">
        <v>67</v>
      </c>
      <c r="H23" s="37" t="s">
        <v>68</v>
      </c>
    </row>
    <row r="24" spans="1:34" x14ac:dyDescent="0.35">
      <c r="A24" s="37"/>
      <c r="B24" s="37" t="s">
        <v>71</v>
      </c>
      <c r="C24" s="37" t="s">
        <v>72</v>
      </c>
      <c r="D24" s="37">
        <v>4</v>
      </c>
      <c r="E24" s="37">
        <v>8</v>
      </c>
      <c r="F24" s="37">
        <v>12</v>
      </c>
      <c r="G24" s="37"/>
      <c r="H24" s="37"/>
    </row>
    <row r="25" spans="1:34" x14ac:dyDescent="0.35">
      <c r="A25" s="55">
        <v>1</v>
      </c>
      <c r="B25" s="55" t="s">
        <v>75</v>
      </c>
      <c r="C25" s="37"/>
      <c r="D25" s="37"/>
      <c r="E25" s="37"/>
      <c r="F25" s="37"/>
      <c r="G25" s="37"/>
      <c r="H25" s="37"/>
    </row>
    <row r="26" spans="1:34" x14ac:dyDescent="0.35">
      <c r="A26" s="55"/>
      <c r="B26" s="55"/>
      <c r="C26" s="37" t="s">
        <v>106</v>
      </c>
      <c r="D26" s="37">
        <f>COUNTIFS(B2:B13,"&lt;=0,25",A2:A13,"YES")</f>
        <v>0</v>
      </c>
      <c r="E26" s="37">
        <f>COUNTIFS(B2:B13,"&lt;=0,25",A2:A13,"NO")</f>
        <v>1</v>
      </c>
      <c r="F26" s="37">
        <f>SUM(D26:E26)</f>
        <v>1</v>
      </c>
      <c r="G26" s="37">
        <v>0</v>
      </c>
      <c r="H26" s="37">
        <f>F28-((F26/12)*G26)-((F27/12)*G27)</f>
        <v>2.8333333333333335</v>
      </c>
    </row>
    <row r="27" spans="1:34" x14ac:dyDescent="0.35">
      <c r="A27" s="55"/>
      <c r="B27" s="55"/>
      <c r="C27" s="37" t="s">
        <v>107</v>
      </c>
      <c r="D27" s="37">
        <v>1</v>
      </c>
      <c r="E27" s="37">
        <v>1</v>
      </c>
      <c r="F27" s="37">
        <f t="shared" ref="F27:F31" si="0">SUM(D27:E27)</f>
        <v>2</v>
      </c>
      <c r="G27" s="37">
        <f>((-D27/F27)*IMLOG2(D27/F27)+(-E27/F27)*IMLOG2(E27/F27))</f>
        <v>1</v>
      </c>
      <c r="H27" s="37"/>
    </row>
    <row r="28" spans="1:34" x14ac:dyDescent="0.35">
      <c r="A28" s="55"/>
      <c r="B28" s="55"/>
      <c r="C28" s="37"/>
      <c r="D28" s="57">
        <f>SUM(D26:D27)</f>
        <v>1</v>
      </c>
      <c r="E28" s="57">
        <f>SUM(E26:E27)</f>
        <v>2</v>
      </c>
      <c r="F28" s="57">
        <f t="shared" si="0"/>
        <v>3</v>
      </c>
      <c r="G28" s="37"/>
      <c r="H28" s="37"/>
    </row>
    <row r="29" spans="1:34" x14ac:dyDescent="0.35">
      <c r="A29" s="55"/>
      <c r="B29" s="55"/>
      <c r="C29" s="37" t="s">
        <v>108</v>
      </c>
      <c r="D29" s="37">
        <v>1</v>
      </c>
      <c r="E29" s="37">
        <v>2</v>
      </c>
      <c r="F29" s="37">
        <f t="shared" si="0"/>
        <v>3</v>
      </c>
      <c r="G29" s="37">
        <f>((-D29/F29)*IMLOG2(D29/F29)+(-E29/F29)*IMLOG2(E29/F29))</f>
        <v>0.91829583405449056</v>
      </c>
      <c r="H29" s="37">
        <f>F31-((F29/12)*G29)-((F30/12)*G30)</f>
        <v>2.7704260414863775</v>
      </c>
    </row>
    <row r="30" spans="1:34" x14ac:dyDescent="0.35">
      <c r="A30" s="55"/>
      <c r="B30" s="55"/>
      <c r="C30" s="37" t="s">
        <v>109</v>
      </c>
      <c r="D30" s="37">
        <v>0</v>
      </c>
      <c r="E30" s="37">
        <v>0</v>
      </c>
      <c r="F30" s="37">
        <f t="shared" si="0"/>
        <v>0</v>
      </c>
      <c r="G30" s="37">
        <v>0</v>
      </c>
      <c r="H30" s="37"/>
    </row>
    <row r="31" spans="1:34" x14ac:dyDescent="0.35">
      <c r="A31" s="55"/>
      <c r="B31" s="55"/>
      <c r="C31" s="55"/>
      <c r="D31" s="58">
        <f>SUM(D29:D30)</f>
        <v>1</v>
      </c>
      <c r="E31" s="58">
        <f>SUM(E29:E30)</f>
        <v>2</v>
      </c>
      <c r="F31" s="58">
        <f t="shared" si="0"/>
        <v>3</v>
      </c>
      <c r="G31" s="37"/>
      <c r="H31" s="37"/>
    </row>
    <row r="32" spans="1:34" x14ac:dyDescent="0.35">
      <c r="A32" s="55"/>
      <c r="B32" s="55"/>
      <c r="C32" s="55" t="s">
        <v>110</v>
      </c>
      <c r="D32" s="55">
        <v>1</v>
      </c>
      <c r="E32" s="55">
        <v>3</v>
      </c>
      <c r="F32" s="55">
        <f t="shared" ref="F32:F34" si="1">SUM(D32:E32)</f>
        <v>4</v>
      </c>
      <c r="G32" s="37">
        <f t="shared" ref="G32:G33" si="2">((-D32/F32)*IMLOG2(D32/F32)+(-E32/F32)*IMLOG2(E32/F32))</f>
        <v>0.81127812445913294</v>
      </c>
      <c r="H32" s="37">
        <f t="shared" ref="H32" si="3">F34-((F32/12)*G32)-((F33/12)*G33)</f>
        <v>5.5629072918469555</v>
      </c>
    </row>
    <row r="33" spans="1:8" x14ac:dyDescent="0.35">
      <c r="A33" s="55"/>
      <c r="B33" s="55"/>
      <c r="C33" s="55" t="s">
        <v>111</v>
      </c>
      <c r="D33" s="55">
        <v>1</v>
      </c>
      <c r="E33" s="55">
        <v>1</v>
      </c>
      <c r="F33" s="55">
        <f t="shared" si="1"/>
        <v>2</v>
      </c>
      <c r="G33" s="37">
        <f t="shared" si="2"/>
        <v>1</v>
      </c>
      <c r="H33" s="55"/>
    </row>
    <row r="34" spans="1:8" x14ac:dyDescent="0.35">
      <c r="A34" s="55"/>
      <c r="B34" s="55"/>
      <c r="C34" s="37"/>
      <c r="D34" s="57">
        <f>SUM(D32:D33)</f>
        <v>2</v>
      </c>
      <c r="E34" s="57">
        <f>SUM(E32:E33)</f>
        <v>4</v>
      </c>
      <c r="F34" s="58">
        <f t="shared" si="1"/>
        <v>6</v>
      </c>
      <c r="G34" s="37"/>
      <c r="H34" s="37"/>
    </row>
    <row r="35" spans="1:8" x14ac:dyDescent="0.35">
      <c r="A35" s="55">
        <v>2</v>
      </c>
      <c r="B35" s="55" t="s">
        <v>73</v>
      </c>
      <c r="C35" s="37"/>
      <c r="D35" s="37"/>
      <c r="E35" s="37"/>
      <c r="F35" s="37"/>
      <c r="G35" s="37"/>
      <c r="H35" s="37"/>
    </row>
    <row r="36" spans="1:8" x14ac:dyDescent="0.35">
      <c r="A36" s="55"/>
      <c r="B36" s="55"/>
      <c r="C36" s="37">
        <v>0</v>
      </c>
      <c r="D36" s="37">
        <f>COUNTIFS($C$2:$C$13,C36,$A$2:$A$13,$D$23)</f>
        <v>2</v>
      </c>
      <c r="E36" s="37">
        <f>COUNTIFS($C$2:$C$13,C36,$A$2:$A$13,$E$23)</f>
        <v>4</v>
      </c>
      <c r="F36" s="37">
        <f>SUM(D36:E36)</f>
        <v>6</v>
      </c>
      <c r="G36" s="37">
        <f>((-D36/F36)*IMLOG2(D36/F36)+(-E36/F36)*IMLOG2(E36/F36))</f>
        <v>0.91829583405449056</v>
      </c>
      <c r="H36" s="37">
        <f>F39-((F36/12)*G36)-((F37/12)*G37)-((F38/12)*G38)</f>
        <v>11.103759374819711</v>
      </c>
    </row>
    <row r="37" spans="1:8" x14ac:dyDescent="0.35">
      <c r="A37" s="55"/>
      <c r="B37" s="55"/>
      <c r="C37" s="37">
        <v>0.1</v>
      </c>
      <c r="D37" s="37">
        <f t="shared" ref="D37:D38" si="4">COUNTIFS($C$2:$C$13,C37,$A$2:$A$13,$D$23)</f>
        <v>1</v>
      </c>
      <c r="E37" s="37">
        <f t="shared" ref="E37:E38" si="5">COUNTIFS($C$2:$C$13,C37,$A$2:$A$13,$E$23)</f>
        <v>1</v>
      </c>
      <c r="F37" s="37">
        <f>SUM(D37:E37)</f>
        <v>2</v>
      </c>
      <c r="G37" s="37">
        <f t="shared" ref="G37:G38" si="6">((-D37/F37)*IMLOG2(D37/F37)+(-E37/F37)*IMLOG2(E37/F37))</f>
        <v>1</v>
      </c>
      <c r="H37" s="37"/>
    </row>
    <row r="38" spans="1:8" x14ac:dyDescent="0.35">
      <c r="A38" s="55"/>
      <c r="B38" s="55"/>
      <c r="C38" s="37">
        <v>0.2</v>
      </c>
      <c r="D38" s="37">
        <f t="shared" si="4"/>
        <v>1</v>
      </c>
      <c r="E38" s="37">
        <f t="shared" si="5"/>
        <v>3</v>
      </c>
      <c r="F38" s="37">
        <f>SUM(D38:E38)</f>
        <v>4</v>
      </c>
      <c r="G38" s="37">
        <f t="shared" si="6"/>
        <v>0.81127812445913294</v>
      </c>
      <c r="H38" s="37"/>
    </row>
    <row r="39" spans="1:8" x14ac:dyDescent="0.35">
      <c r="A39" s="55"/>
      <c r="B39" s="55"/>
      <c r="C39" s="37"/>
      <c r="D39" s="57">
        <v>4</v>
      </c>
      <c r="E39" s="57">
        <v>8</v>
      </c>
      <c r="F39" s="57">
        <v>12</v>
      </c>
      <c r="G39" s="37"/>
      <c r="H39" s="37"/>
    </row>
    <row r="40" spans="1:8" x14ac:dyDescent="0.35">
      <c r="A40" s="55">
        <v>3</v>
      </c>
      <c r="B40" s="55" t="s">
        <v>74</v>
      </c>
      <c r="C40" s="37"/>
      <c r="D40" s="37"/>
      <c r="E40" s="37"/>
      <c r="F40" s="37"/>
      <c r="G40" s="37"/>
      <c r="H40" s="37"/>
    </row>
    <row r="41" spans="1:8" x14ac:dyDescent="0.35">
      <c r="A41" s="55"/>
      <c r="B41" s="55"/>
      <c r="C41" s="37" t="s">
        <v>106</v>
      </c>
      <c r="D41" s="37">
        <v>3</v>
      </c>
      <c r="E41" s="37">
        <v>5</v>
      </c>
      <c r="F41" s="37">
        <v>8</v>
      </c>
      <c r="G41" s="37">
        <f>((-D41/F41)*IMLOG2(D41/F41)+(-E41/F41)*IMLOG2(E41/F41))</f>
        <v>0.95443400292496372</v>
      </c>
      <c r="H41" s="37">
        <f>F43-((F41/12)*G41)-((F42/12)*G42)</f>
        <v>11.093284623230314</v>
      </c>
    </row>
    <row r="42" spans="1:8" x14ac:dyDescent="0.35">
      <c r="A42" s="55"/>
      <c r="B42" s="55"/>
      <c r="C42" s="37" t="s">
        <v>107</v>
      </c>
      <c r="D42" s="37">
        <v>1</v>
      </c>
      <c r="E42" s="37">
        <v>3</v>
      </c>
      <c r="F42" s="37">
        <v>4</v>
      </c>
      <c r="G42" s="37">
        <f>((-D42/F42)*IMLOG2(D42/F42)+(-E42/F42)*IMLOG2(E42/F42))</f>
        <v>0.81127812445913294</v>
      </c>
      <c r="H42" s="37"/>
    </row>
    <row r="43" spans="1:8" x14ac:dyDescent="0.35">
      <c r="A43" s="55"/>
      <c r="B43" s="55"/>
      <c r="C43" s="37"/>
      <c r="D43" s="57">
        <v>4</v>
      </c>
      <c r="E43" s="57">
        <v>8</v>
      </c>
      <c r="F43" s="57">
        <v>12</v>
      </c>
      <c r="G43" s="37"/>
      <c r="H43" s="37"/>
    </row>
    <row r="44" spans="1:8" x14ac:dyDescent="0.35">
      <c r="A44" s="55">
        <v>4</v>
      </c>
      <c r="B44" s="55" t="s">
        <v>76</v>
      </c>
      <c r="C44" s="37"/>
      <c r="D44" s="37"/>
      <c r="E44" s="37"/>
      <c r="F44" s="37"/>
      <c r="G44" s="37"/>
      <c r="H44" s="37"/>
    </row>
    <row r="45" spans="1:8" x14ac:dyDescent="0.35">
      <c r="A45" s="55"/>
      <c r="B45" s="55"/>
      <c r="C45" s="37" t="s">
        <v>106</v>
      </c>
      <c r="D45" s="37">
        <v>1</v>
      </c>
      <c r="E45" s="37">
        <v>2</v>
      </c>
      <c r="F45" s="37">
        <v>3</v>
      </c>
      <c r="G45" s="37">
        <f>((-D45/F45)*IMLOG2(D45/F45)+(-E45/F45)*IMLOG2(E45/F45))</f>
        <v>0.91829583405449056</v>
      </c>
      <c r="H45" s="37">
        <f>F47-((F45/12)*G45)-((F46/12)*G46)</f>
        <v>4.6037593748197105</v>
      </c>
    </row>
    <row r="46" spans="1:8" x14ac:dyDescent="0.35">
      <c r="A46" s="55"/>
      <c r="B46" s="55"/>
      <c r="C46" s="37" t="s">
        <v>107</v>
      </c>
      <c r="D46" s="37">
        <v>1</v>
      </c>
      <c r="E46" s="37">
        <v>1</v>
      </c>
      <c r="F46" s="37">
        <v>2</v>
      </c>
      <c r="G46" s="37">
        <f>((-D46/F46)*IMLOG2(D46/F46)+(-E46/F46)*IMLOG2(E46/F46))</f>
        <v>1</v>
      </c>
      <c r="H46" s="37"/>
    </row>
    <row r="47" spans="1:8" x14ac:dyDescent="0.35">
      <c r="A47" s="55"/>
      <c r="B47" s="55"/>
      <c r="C47" s="37"/>
      <c r="D47" s="57">
        <v>2</v>
      </c>
      <c r="E47" s="57">
        <v>3</v>
      </c>
      <c r="F47" s="57">
        <v>5</v>
      </c>
      <c r="G47" s="37"/>
      <c r="H47" s="37"/>
    </row>
    <row r="48" spans="1:8" x14ac:dyDescent="0.35">
      <c r="A48" s="55"/>
      <c r="B48" s="55"/>
      <c r="C48" s="55" t="s">
        <v>110</v>
      </c>
      <c r="D48" s="37">
        <v>2</v>
      </c>
      <c r="E48" s="37">
        <v>2</v>
      </c>
      <c r="F48" s="37">
        <v>4</v>
      </c>
      <c r="G48" s="37">
        <f>((-D48/F48)*IMLOG2(D48/F48)+(-E48/F48)*IMLOG2(E48/F48))</f>
        <v>1</v>
      </c>
      <c r="H48" s="37">
        <f>F50-((F48/12)*G48)-((F49/12)*G49)</f>
        <v>6.666666666666667</v>
      </c>
    </row>
    <row r="49" spans="1:8" x14ac:dyDescent="0.35">
      <c r="A49" s="55"/>
      <c r="B49" s="55"/>
      <c r="C49" s="55" t="s">
        <v>111</v>
      </c>
      <c r="D49" s="37">
        <v>0</v>
      </c>
      <c r="E49" s="37">
        <v>3</v>
      </c>
      <c r="F49" s="37">
        <v>3</v>
      </c>
      <c r="G49" s="37">
        <v>0</v>
      </c>
      <c r="H49" s="37"/>
    </row>
    <row r="50" spans="1:8" x14ac:dyDescent="0.35">
      <c r="A50" s="55"/>
      <c r="B50" s="55"/>
      <c r="C50" s="37"/>
      <c r="D50" s="57">
        <v>2</v>
      </c>
      <c r="E50" s="57">
        <v>5</v>
      </c>
      <c r="F50" s="57">
        <v>7</v>
      </c>
      <c r="G50" s="37"/>
      <c r="H50" s="37"/>
    </row>
    <row r="51" spans="1:8" x14ac:dyDescent="0.35">
      <c r="A51" s="55">
        <v>5</v>
      </c>
      <c r="B51" s="55" t="s">
        <v>77</v>
      </c>
      <c r="C51" s="37"/>
      <c r="D51" s="37"/>
      <c r="E51" s="37"/>
      <c r="F51" s="37"/>
      <c r="G51" s="37"/>
      <c r="H51" s="37"/>
    </row>
    <row r="52" spans="1:8" x14ac:dyDescent="0.35">
      <c r="A52" s="55"/>
      <c r="B52" s="55"/>
      <c r="C52" s="37" t="s">
        <v>106</v>
      </c>
      <c r="D52" s="37">
        <v>4</v>
      </c>
      <c r="E52" s="37">
        <v>4</v>
      </c>
      <c r="F52" s="37">
        <v>8</v>
      </c>
      <c r="G52" s="37">
        <f>((-D52/F52)*IMLOG2(D52/F52)+(-E52/F52)*IMLOG2(E52/F52))</f>
        <v>1</v>
      </c>
      <c r="H52" s="37">
        <f>F54-((F52/12)*G52)-((F53/12)*G53)</f>
        <v>11.333333333333334</v>
      </c>
    </row>
    <row r="53" spans="1:8" x14ac:dyDescent="0.35">
      <c r="A53" s="55"/>
      <c r="B53" s="55"/>
      <c r="C53" s="37" t="s">
        <v>107</v>
      </c>
      <c r="D53" s="37">
        <v>0</v>
      </c>
      <c r="E53" s="37">
        <v>4</v>
      </c>
      <c r="F53" s="37">
        <v>4</v>
      </c>
      <c r="G53" s="37">
        <v>0</v>
      </c>
      <c r="H53" s="37"/>
    </row>
    <row r="54" spans="1:8" x14ac:dyDescent="0.35">
      <c r="A54" s="55"/>
      <c r="B54" s="55"/>
      <c r="C54" s="37"/>
      <c r="D54" s="57">
        <v>4</v>
      </c>
      <c r="E54" s="57">
        <v>8</v>
      </c>
      <c r="F54" s="57">
        <v>12</v>
      </c>
      <c r="G54" s="37"/>
      <c r="H54" s="37"/>
    </row>
    <row r="55" spans="1:8" x14ac:dyDescent="0.35">
      <c r="A55" s="37">
        <v>6</v>
      </c>
      <c r="B55" s="37" t="s">
        <v>78</v>
      </c>
      <c r="C55" s="37"/>
      <c r="D55" s="37"/>
      <c r="E55" s="37"/>
      <c r="F55" s="37"/>
      <c r="G55" s="37"/>
      <c r="H55" s="37"/>
    </row>
    <row r="56" spans="1:8" x14ac:dyDescent="0.35">
      <c r="A56" s="37"/>
      <c r="B56" s="37"/>
      <c r="C56" s="55" t="s">
        <v>110</v>
      </c>
      <c r="D56" s="37">
        <v>0</v>
      </c>
      <c r="E56" s="37">
        <v>0</v>
      </c>
      <c r="F56" s="37">
        <v>0</v>
      </c>
      <c r="G56" s="37">
        <v>0</v>
      </c>
      <c r="H56" s="37">
        <f>F58-((F56/12)*G56)-((F57/12)*G57)</f>
        <v>11.08170416594551</v>
      </c>
    </row>
    <row r="57" spans="1:8" x14ac:dyDescent="0.35">
      <c r="A57" s="37"/>
      <c r="B57" s="37"/>
      <c r="C57" s="55" t="s">
        <v>111</v>
      </c>
      <c r="D57" s="37">
        <v>4</v>
      </c>
      <c r="E57" s="37">
        <v>8</v>
      </c>
      <c r="F57" s="37">
        <v>12</v>
      </c>
      <c r="G57" s="37">
        <f>((-D57/F57)*IMLOG2(D57/F57)+(-E57/F57)*IMLOG2(E57/F57))</f>
        <v>0.91829583405449056</v>
      </c>
      <c r="H57" s="37"/>
    </row>
    <row r="58" spans="1:8" x14ac:dyDescent="0.35">
      <c r="A58" s="37"/>
      <c r="B58" s="37"/>
      <c r="C58" s="37"/>
      <c r="D58" s="57">
        <v>4</v>
      </c>
      <c r="E58" s="57">
        <v>8</v>
      </c>
      <c r="F58" s="57">
        <v>12</v>
      </c>
      <c r="G58" s="37"/>
      <c r="H58" s="37"/>
    </row>
    <row r="59" spans="1:8" x14ac:dyDescent="0.35">
      <c r="A59" s="37">
        <v>7</v>
      </c>
      <c r="B59" s="37" t="s">
        <v>79</v>
      </c>
      <c r="C59" s="37"/>
      <c r="D59" s="37"/>
      <c r="E59" s="37"/>
      <c r="F59" s="37"/>
      <c r="G59" s="37"/>
      <c r="H59" s="37"/>
    </row>
    <row r="60" spans="1:8" x14ac:dyDescent="0.35">
      <c r="A60" s="37"/>
      <c r="B60" s="37"/>
      <c r="C60" s="37" t="s">
        <v>108</v>
      </c>
      <c r="D60" s="37">
        <v>3</v>
      </c>
      <c r="E60" s="37">
        <v>6</v>
      </c>
      <c r="F60" s="37">
        <v>9</v>
      </c>
      <c r="G60" s="37">
        <f>((-D60/F60)*IMLOG2(D60/F60)+(-E60/F60)*IMLOG2(E60/F60))</f>
        <v>0.91829583405449056</v>
      </c>
      <c r="H60" s="37">
        <f>F62-((F60/12)*G60)-((F61/12)*G61)</f>
        <v>11.08170416594551</v>
      </c>
    </row>
    <row r="61" spans="1:8" x14ac:dyDescent="0.35">
      <c r="A61" s="37"/>
      <c r="B61" s="37"/>
      <c r="C61" s="37" t="s">
        <v>109</v>
      </c>
      <c r="D61" s="37">
        <v>1</v>
      </c>
      <c r="E61" s="37">
        <v>2</v>
      </c>
      <c r="F61" s="37">
        <v>3</v>
      </c>
      <c r="G61" s="37">
        <f>((-D61/F61)*IMLOG2(D61/F61)+(-E61/F61)*IMLOG2(E61/F61))</f>
        <v>0.91829583405449056</v>
      </c>
      <c r="H61" s="37"/>
    </row>
    <row r="62" spans="1:8" x14ac:dyDescent="0.35">
      <c r="A62" s="37"/>
      <c r="B62" s="37"/>
      <c r="C62" s="55"/>
      <c r="D62" s="57">
        <v>4</v>
      </c>
      <c r="E62" s="57">
        <v>8</v>
      </c>
      <c r="F62" s="57">
        <v>12</v>
      </c>
      <c r="G62" s="37"/>
      <c r="H62" s="37"/>
    </row>
    <row r="63" spans="1:8" x14ac:dyDescent="0.35">
      <c r="A63" s="37">
        <v>8</v>
      </c>
      <c r="B63" s="37" t="s">
        <v>80</v>
      </c>
      <c r="C63" s="37"/>
      <c r="D63" s="37"/>
      <c r="E63" s="37"/>
      <c r="F63" s="37"/>
      <c r="G63" s="37"/>
      <c r="H63" s="37"/>
    </row>
    <row r="64" spans="1:8" x14ac:dyDescent="0.35">
      <c r="A64" s="37"/>
      <c r="B64" s="37"/>
      <c r="C64" s="55" t="s">
        <v>110</v>
      </c>
      <c r="D64" s="37">
        <v>0</v>
      </c>
      <c r="E64" s="37">
        <v>1</v>
      </c>
      <c r="F64" s="37">
        <v>1</v>
      </c>
      <c r="G64" s="37">
        <v>0</v>
      </c>
      <c r="H64" s="37">
        <f>F66-((F64/12)*G64)-((F65/12)*G65)</f>
        <v>11.133144720782745</v>
      </c>
    </row>
    <row r="65" spans="1:8" x14ac:dyDescent="0.35">
      <c r="A65" s="37"/>
      <c r="B65" s="37"/>
      <c r="C65" s="55" t="s">
        <v>111</v>
      </c>
      <c r="D65" s="37">
        <v>4</v>
      </c>
      <c r="E65" s="37">
        <v>7</v>
      </c>
      <c r="F65" s="37">
        <v>11</v>
      </c>
      <c r="G65" s="37">
        <f>((-D65/F65)*IMLOG2(D65/F65)+(-E65/F65)*IMLOG2(E65/F65))</f>
        <v>0.9456603046006411</v>
      </c>
      <c r="H65" s="37"/>
    </row>
    <row r="66" spans="1:8" x14ac:dyDescent="0.35">
      <c r="A66" s="37"/>
      <c r="B66" s="37"/>
      <c r="C66" s="37"/>
      <c r="D66" s="57">
        <v>4</v>
      </c>
      <c r="E66" s="57">
        <v>8</v>
      </c>
      <c r="F66" s="57">
        <v>12</v>
      </c>
      <c r="G66" s="37"/>
      <c r="H66" s="37"/>
    </row>
    <row r="67" spans="1:8" x14ac:dyDescent="0.35">
      <c r="A67" s="37">
        <v>9</v>
      </c>
      <c r="B67" s="37" t="s">
        <v>81</v>
      </c>
      <c r="C67" s="37"/>
      <c r="D67" s="37"/>
      <c r="E67" s="37"/>
      <c r="F67" s="37"/>
      <c r="G67" s="37"/>
      <c r="H67" s="37"/>
    </row>
    <row r="68" spans="1:8" x14ac:dyDescent="0.35">
      <c r="A68" s="37"/>
      <c r="B68" s="37"/>
      <c r="C68" s="37" t="s">
        <v>108</v>
      </c>
      <c r="D68" s="37">
        <v>2</v>
      </c>
      <c r="E68" s="37">
        <v>5</v>
      </c>
      <c r="F68" s="37">
        <v>7</v>
      </c>
      <c r="G68" s="37">
        <f>((-D68/F68)*IMLOG2(D68/F68)+(-E68/F68)*IMLOG2(E68/F68))</f>
        <v>0.86312056856663</v>
      </c>
      <c r="H68" s="37">
        <f>F70-((F68/12)*G68)-((F69/12)*G69)</f>
        <v>11.091950253980022</v>
      </c>
    </row>
    <row r="69" spans="1:8" x14ac:dyDescent="0.35">
      <c r="A69" s="37"/>
      <c r="B69" s="37"/>
      <c r="C69" s="37" t="s">
        <v>109</v>
      </c>
      <c r="D69" s="37">
        <v>2</v>
      </c>
      <c r="E69" s="37">
        <v>3</v>
      </c>
      <c r="F69" s="37">
        <v>5</v>
      </c>
      <c r="G69" s="37">
        <f>((-D69/F69)*IMLOG2(D69/F69)+(-E69/F69)*IMLOG2(E69/F69))</f>
        <v>0.97095059445466747</v>
      </c>
      <c r="H69" s="37"/>
    </row>
    <row r="70" spans="1:8" x14ac:dyDescent="0.35">
      <c r="A70" s="37"/>
      <c r="B70" s="37"/>
      <c r="C70" s="55"/>
      <c r="D70" s="57">
        <v>4</v>
      </c>
      <c r="E70" s="57">
        <v>8</v>
      </c>
      <c r="F70" s="57">
        <v>12</v>
      </c>
      <c r="G70" s="37"/>
      <c r="H70" s="37"/>
    </row>
    <row r="71" spans="1:8" x14ac:dyDescent="0.35">
      <c r="A71" s="37">
        <v>10</v>
      </c>
      <c r="B71" s="37" t="s">
        <v>82</v>
      </c>
      <c r="C71" s="37"/>
      <c r="D71" s="37"/>
      <c r="E71" s="37"/>
      <c r="F71" s="37"/>
      <c r="G71" s="37"/>
      <c r="H71" s="37"/>
    </row>
    <row r="72" spans="1:8" x14ac:dyDescent="0.35">
      <c r="A72" s="37"/>
      <c r="B72" s="37"/>
      <c r="C72" s="37" t="s">
        <v>106</v>
      </c>
      <c r="D72" s="37">
        <v>3</v>
      </c>
      <c r="E72" s="37">
        <v>6</v>
      </c>
      <c r="F72" s="37">
        <v>9</v>
      </c>
      <c r="G72" s="37">
        <f>((-D72/F72)*IMLOG2(D72/F72)+(-E72/F72)*IMLOG2(E72/F72))</f>
        <v>0.91829583405449056</v>
      </c>
      <c r="H72" s="37">
        <f>F74-((F72/12)*G72)-((F73/12)*G73)</f>
        <v>11.08170416594551</v>
      </c>
    </row>
    <row r="73" spans="1:8" x14ac:dyDescent="0.35">
      <c r="A73" s="37"/>
      <c r="B73" s="37"/>
      <c r="C73" s="37" t="s">
        <v>107</v>
      </c>
      <c r="D73" s="37">
        <v>1</v>
      </c>
      <c r="E73" s="37">
        <v>2</v>
      </c>
      <c r="F73" s="37">
        <v>3</v>
      </c>
      <c r="G73" s="37">
        <f>((-D73/F73)*IMLOG2(D73/F73)+(-E73/F73)*IMLOG2(E73/F73))</f>
        <v>0.91829583405449056</v>
      </c>
      <c r="H73" s="37"/>
    </row>
    <row r="74" spans="1:8" x14ac:dyDescent="0.35">
      <c r="A74" s="37"/>
      <c r="B74" s="37"/>
      <c r="C74" s="37"/>
      <c r="D74" s="57">
        <v>4</v>
      </c>
      <c r="E74" s="57">
        <v>8</v>
      </c>
      <c r="F74" s="57">
        <v>12</v>
      </c>
      <c r="G74" s="37"/>
      <c r="H74" s="37"/>
    </row>
    <row r="75" spans="1:8" x14ac:dyDescent="0.35">
      <c r="A75" s="37">
        <v>11</v>
      </c>
      <c r="B75" s="37" t="s">
        <v>83</v>
      </c>
      <c r="C75" s="37"/>
      <c r="D75" s="37"/>
      <c r="E75" s="37"/>
      <c r="F75" s="37"/>
      <c r="G75" s="37"/>
      <c r="H75" s="37"/>
    </row>
    <row r="76" spans="1:8" x14ac:dyDescent="0.35">
      <c r="A76" s="37"/>
      <c r="B76" s="37"/>
      <c r="C76" s="37" t="s">
        <v>106</v>
      </c>
      <c r="D76" s="37">
        <v>4</v>
      </c>
      <c r="E76" s="37">
        <v>7</v>
      </c>
      <c r="F76" s="37">
        <v>11</v>
      </c>
      <c r="G76" s="37">
        <f>((-D76/F76)*IMLOG2(D76/F76)+(-E76/F76)*IMLOG2(E76/F76))</f>
        <v>0.9456603046006411</v>
      </c>
      <c r="H76" s="37">
        <f>F78-((F76/12)*G76)-((F77/12)*G77)</f>
        <v>11.133144720782745</v>
      </c>
    </row>
    <row r="77" spans="1:8" x14ac:dyDescent="0.35">
      <c r="A77" s="37"/>
      <c r="B77" s="37"/>
      <c r="C77" s="37" t="s">
        <v>107</v>
      </c>
      <c r="D77" s="37">
        <v>0</v>
      </c>
      <c r="E77" s="37">
        <v>1</v>
      </c>
      <c r="F77" s="37">
        <v>1</v>
      </c>
      <c r="G77" s="37">
        <v>0</v>
      </c>
      <c r="H77" s="37"/>
    </row>
    <row r="78" spans="1:8" x14ac:dyDescent="0.35">
      <c r="A78" s="37"/>
      <c r="B78" s="37"/>
      <c r="C78" s="37"/>
      <c r="D78" s="57">
        <v>4</v>
      </c>
      <c r="E78" s="57">
        <v>8</v>
      </c>
      <c r="F78" s="57">
        <v>12</v>
      </c>
      <c r="G78" s="37"/>
      <c r="H78" s="37"/>
    </row>
    <row r="79" spans="1:8" x14ac:dyDescent="0.35">
      <c r="A79" s="37">
        <v>12</v>
      </c>
      <c r="B79" s="37" t="s">
        <v>84</v>
      </c>
      <c r="C79" s="37"/>
      <c r="D79" s="37"/>
      <c r="E79" s="37"/>
      <c r="F79" s="37"/>
      <c r="G79" s="37"/>
      <c r="H79" s="37"/>
    </row>
    <row r="80" spans="1:8" x14ac:dyDescent="0.35">
      <c r="A80" s="37"/>
      <c r="B80" s="37"/>
      <c r="C80" s="37" t="s">
        <v>106</v>
      </c>
      <c r="D80" s="37">
        <v>3</v>
      </c>
      <c r="E80" s="37">
        <v>5</v>
      </c>
      <c r="F80" s="37">
        <v>8</v>
      </c>
      <c r="G80" s="37">
        <f>((-D80/F80)*IMLOG2(D80/F80)+(-E80/F80)*IMLOG2(E80/F80))</f>
        <v>0.95443400292496372</v>
      </c>
      <c r="H80" s="37">
        <f>F82-((F80/12)*G80)-((F81/12)*G81)</f>
        <v>11.093284623230314</v>
      </c>
    </row>
    <row r="81" spans="1:8" x14ac:dyDescent="0.35">
      <c r="A81" s="37"/>
      <c r="B81" s="37"/>
      <c r="C81" s="37" t="s">
        <v>107</v>
      </c>
      <c r="D81" s="37">
        <v>1</v>
      </c>
      <c r="E81" s="37">
        <v>3</v>
      </c>
      <c r="F81" s="37">
        <v>4</v>
      </c>
      <c r="G81" s="37">
        <f>((-D81/F81)*IMLOG2(D81/F81)+(-E81/F81)*IMLOG2(E81/F81))</f>
        <v>0.81127812445913294</v>
      </c>
      <c r="H81" s="37"/>
    </row>
    <row r="82" spans="1:8" x14ac:dyDescent="0.35">
      <c r="A82" s="37"/>
      <c r="B82" s="37"/>
      <c r="C82" s="37"/>
      <c r="D82" s="57">
        <v>4</v>
      </c>
      <c r="E82" s="57">
        <v>8</v>
      </c>
      <c r="F82" s="57">
        <v>12</v>
      </c>
      <c r="G82" s="37"/>
      <c r="H82" s="37"/>
    </row>
    <row r="83" spans="1:8" x14ac:dyDescent="0.35">
      <c r="A83" s="37">
        <v>13</v>
      </c>
      <c r="B83" s="37" t="s">
        <v>85</v>
      </c>
      <c r="C83" s="37"/>
      <c r="D83" s="37"/>
      <c r="E83" s="37"/>
      <c r="F83" s="37"/>
      <c r="G83" s="37"/>
      <c r="H83" s="37"/>
    </row>
    <row r="84" spans="1:8" x14ac:dyDescent="0.35">
      <c r="A84" s="37"/>
      <c r="B84" s="37"/>
      <c r="C84" s="37" t="s">
        <v>108</v>
      </c>
      <c r="D84" s="37">
        <v>3</v>
      </c>
      <c r="E84" s="37">
        <v>7</v>
      </c>
      <c r="F84" s="37">
        <v>10</v>
      </c>
      <c r="G84" s="37">
        <f>((-D84/F84)*IMLOG2(D84/F84)+(-E84/F84)*IMLOG2(E84/F84))</f>
        <v>0.88129089923069359</v>
      </c>
      <c r="H84" s="37">
        <f>F86-((F84/12)*G84)-((F85/12)*G85)</f>
        <v>11.098924250641089</v>
      </c>
    </row>
    <row r="85" spans="1:8" x14ac:dyDescent="0.35">
      <c r="A85" s="37"/>
      <c r="B85" s="37"/>
      <c r="C85" s="37" t="s">
        <v>109</v>
      </c>
      <c r="D85" s="37">
        <v>1</v>
      </c>
      <c r="E85" s="37">
        <v>1</v>
      </c>
      <c r="F85" s="37">
        <v>2</v>
      </c>
      <c r="G85" s="37">
        <f>((-D85/F85)*IMLOG2(D85/F85)+(-E85/F85)*IMLOG2(E85/F85))</f>
        <v>1</v>
      </c>
      <c r="H85" s="37"/>
    </row>
    <row r="86" spans="1:8" x14ac:dyDescent="0.35">
      <c r="A86" s="37"/>
      <c r="B86" s="37"/>
      <c r="C86" s="55"/>
      <c r="D86" s="57">
        <v>4</v>
      </c>
      <c r="E86" s="57">
        <v>8</v>
      </c>
      <c r="F86" s="57">
        <v>12</v>
      </c>
      <c r="G86" s="37"/>
      <c r="H86" s="37"/>
    </row>
    <row r="87" spans="1:8" x14ac:dyDescent="0.35">
      <c r="A87" s="37">
        <v>14</v>
      </c>
      <c r="B87" s="37" t="s">
        <v>86</v>
      </c>
      <c r="C87" s="37"/>
      <c r="D87" s="37"/>
      <c r="E87" s="37"/>
      <c r="F87" s="37"/>
      <c r="G87" s="37"/>
      <c r="H87" s="37"/>
    </row>
    <row r="88" spans="1:8" x14ac:dyDescent="0.35">
      <c r="A88" s="37"/>
      <c r="B88" s="37"/>
      <c r="C88" s="37" t="s">
        <v>106</v>
      </c>
      <c r="D88" s="37">
        <v>4</v>
      </c>
      <c r="E88" s="37">
        <v>7</v>
      </c>
      <c r="F88" s="37">
        <v>11</v>
      </c>
      <c r="G88" s="37">
        <f>((-D88/F88)*IMLOG2(D88/F88)+(-E88/F88)*IMLOG2(E88/F88))</f>
        <v>0.9456603046006411</v>
      </c>
      <c r="H88" s="37">
        <f>F90-((F88/12)*G88)-((F89/12)*G89)</f>
        <v>11.133144720782745</v>
      </c>
    </row>
    <row r="89" spans="1:8" x14ac:dyDescent="0.35">
      <c r="A89" s="37"/>
      <c r="B89" s="37"/>
      <c r="C89" s="37" t="s">
        <v>107</v>
      </c>
      <c r="D89" s="37">
        <v>0</v>
      </c>
      <c r="E89" s="37">
        <v>1</v>
      </c>
      <c r="F89" s="37">
        <v>1</v>
      </c>
      <c r="G89" s="37">
        <v>0</v>
      </c>
      <c r="H89" s="37"/>
    </row>
    <row r="90" spans="1:8" x14ac:dyDescent="0.35">
      <c r="A90" s="37"/>
      <c r="B90" s="37"/>
      <c r="C90" s="37"/>
      <c r="D90" s="57">
        <v>4</v>
      </c>
      <c r="E90" s="57">
        <v>8</v>
      </c>
      <c r="F90" s="57">
        <v>12</v>
      </c>
      <c r="G90" s="37"/>
      <c r="H90" s="37"/>
    </row>
    <row r="91" spans="1:8" x14ac:dyDescent="0.35">
      <c r="A91" s="37">
        <v>15</v>
      </c>
      <c r="B91" s="37" t="s">
        <v>87</v>
      </c>
      <c r="C91" s="37"/>
      <c r="D91" s="37"/>
      <c r="E91" s="37"/>
      <c r="F91" s="37"/>
      <c r="G91" s="37"/>
      <c r="H91" s="37"/>
    </row>
    <row r="92" spans="1:8" x14ac:dyDescent="0.35">
      <c r="A92" s="37"/>
      <c r="B92" s="37"/>
      <c r="C92" s="37" t="s">
        <v>106</v>
      </c>
      <c r="D92" s="37">
        <v>4</v>
      </c>
      <c r="E92" s="37">
        <v>8</v>
      </c>
      <c r="F92" s="37">
        <v>12</v>
      </c>
      <c r="G92" s="37">
        <f>((-D92/F92)*IMLOG2(D92/F92)+(-E92/F92)*IMLOG2(E92/F92))</f>
        <v>0.91829583405449056</v>
      </c>
      <c r="H92" s="37">
        <f>F94-((F92/12)*G92)-((F93/12)*G93)</f>
        <v>11.08170416594551</v>
      </c>
    </row>
    <row r="93" spans="1:8" x14ac:dyDescent="0.35">
      <c r="A93" s="37"/>
      <c r="B93" s="37"/>
      <c r="C93" s="37" t="s">
        <v>107</v>
      </c>
      <c r="D93" s="37">
        <v>0</v>
      </c>
      <c r="E93" s="37">
        <v>0</v>
      </c>
      <c r="F93" s="37">
        <v>0</v>
      </c>
      <c r="G93" s="37">
        <v>0</v>
      </c>
      <c r="H93" s="37"/>
    </row>
    <row r="94" spans="1:8" x14ac:dyDescent="0.35">
      <c r="A94" s="37"/>
      <c r="B94" s="37"/>
      <c r="C94" s="37"/>
      <c r="D94" s="57">
        <v>4</v>
      </c>
      <c r="E94" s="57">
        <v>8</v>
      </c>
      <c r="F94" s="57">
        <v>12</v>
      </c>
      <c r="G94" s="37"/>
      <c r="H94" s="37"/>
    </row>
    <row r="95" spans="1:8" x14ac:dyDescent="0.35">
      <c r="A95" s="37">
        <v>16</v>
      </c>
      <c r="B95" s="37" t="s">
        <v>88</v>
      </c>
      <c r="C95" s="37"/>
      <c r="D95" s="37"/>
      <c r="E95" s="37"/>
      <c r="F95" s="37"/>
      <c r="G95" s="37"/>
      <c r="H95" s="37"/>
    </row>
    <row r="96" spans="1:8" x14ac:dyDescent="0.35">
      <c r="A96" s="37"/>
      <c r="B96" s="37"/>
      <c r="C96" s="37" t="s">
        <v>106</v>
      </c>
      <c r="D96" s="37">
        <v>4</v>
      </c>
      <c r="E96" s="37">
        <v>7</v>
      </c>
      <c r="F96" s="37">
        <v>11</v>
      </c>
      <c r="G96" s="37">
        <f>((-D96/F96)*IMLOG2(D96/F96)+(-E96/F96)*IMLOG2(E96/F96))</f>
        <v>0.9456603046006411</v>
      </c>
      <c r="H96" s="37">
        <f>F98-((F96/12)*G96)-((F97/12)*G97)</f>
        <v>11.133144720782745</v>
      </c>
    </row>
    <row r="97" spans="1:8" x14ac:dyDescent="0.35">
      <c r="A97" s="37"/>
      <c r="B97" s="37"/>
      <c r="C97" s="37" t="s">
        <v>107</v>
      </c>
      <c r="D97" s="37">
        <v>0</v>
      </c>
      <c r="E97" s="37">
        <v>1</v>
      </c>
      <c r="F97" s="37">
        <v>1</v>
      </c>
      <c r="G97" s="37">
        <v>0</v>
      </c>
      <c r="H97" s="37"/>
    </row>
    <row r="98" spans="1:8" x14ac:dyDescent="0.35">
      <c r="A98" s="37"/>
      <c r="B98" s="37"/>
      <c r="C98" s="37"/>
      <c r="D98" s="57">
        <v>4</v>
      </c>
      <c r="E98" s="57">
        <v>8</v>
      </c>
      <c r="F98" s="57">
        <v>12</v>
      </c>
      <c r="G98" s="37"/>
      <c r="H98" s="37"/>
    </row>
    <row r="99" spans="1:8" x14ac:dyDescent="0.35">
      <c r="A99" s="37">
        <v>17</v>
      </c>
      <c r="B99" s="37" t="s">
        <v>89</v>
      </c>
      <c r="C99" s="37"/>
      <c r="D99" s="37"/>
      <c r="E99" s="37"/>
      <c r="F99" s="37"/>
      <c r="G99" s="37"/>
      <c r="H99" s="37"/>
    </row>
    <row r="100" spans="1:8" x14ac:dyDescent="0.35">
      <c r="A100" s="37"/>
      <c r="B100" s="37"/>
      <c r="C100" s="55" t="s">
        <v>110</v>
      </c>
      <c r="D100" s="37">
        <v>0</v>
      </c>
      <c r="E100" s="37">
        <v>1</v>
      </c>
      <c r="F100" s="37">
        <v>1</v>
      </c>
      <c r="G100" s="37">
        <v>0</v>
      </c>
      <c r="H100" s="37">
        <f>F102-((F100/12)*G100)-((F101/12)*G101)</f>
        <v>11.133144720782745</v>
      </c>
    </row>
    <row r="101" spans="1:8" x14ac:dyDescent="0.35">
      <c r="A101" s="37"/>
      <c r="B101" s="37"/>
      <c r="C101" s="55" t="s">
        <v>111</v>
      </c>
      <c r="D101" s="37">
        <v>4</v>
      </c>
      <c r="E101" s="37">
        <v>7</v>
      </c>
      <c r="F101" s="37">
        <v>11</v>
      </c>
      <c r="G101" s="37">
        <f>((-D101/F101)*IMLOG2(D101/F101)+(-E101/F101)*IMLOG2(E101/F101))</f>
        <v>0.9456603046006411</v>
      </c>
      <c r="H101" s="37"/>
    </row>
    <row r="102" spans="1:8" x14ac:dyDescent="0.35">
      <c r="A102" s="37"/>
      <c r="B102" s="37"/>
      <c r="C102" s="55"/>
      <c r="D102" s="57">
        <v>4</v>
      </c>
      <c r="E102" s="57">
        <v>8</v>
      </c>
      <c r="F102" s="57">
        <v>12</v>
      </c>
      <c r="G102" s="37"/>
      <c r="H102" s="37"/>
    </row>
    <row r="103" spans="1:8" x14ac:dyDescent="0.35">
      <c r="A103" s="37">
        <v>18</v>
      </c>
      <c r="B103" s="37" t="s">
        <v>90</v>
      </c>
      <c r="C103" s="37"/>
      <c r="D103" s="37"/>
      <c r="E103" s="37"/>
      <c r="F103" s="37"/>
      <c r="G103" s="37"/>
      <c r="H103" s="37"/>
    </row>
    <row r="104" spans="1:8" x14ac:dyDescent="0.35">
      <c r="A104" s="37"/>
      <c r="B104" s="37"/>
      <c r="C104" s="37" t="s">
        <v>106</v>
      </c>
      <c r="D104" s="37">
        <v>2</v>
      </c>
      <c r="E104" s="37">
        <v>4</v>
      </c>
      <c r="F104" s="37">
        <v>6</v>
      </c>
      <c r="G104" s="37">
        <f>((-D104/F104)*IMLOG2(D104/F104)+(-E104/F104)*IMLOG2(E104/F104))</f>
        <v>0.91829583405449056</v>
      </c>
      <c r="H104" s="37">
        <f>F106-((F104/12)*G104)-((F105/12)*G105)</f>
        <v>5.540852082972755</v>
      </c>
    </row>
    <row r="105" spans="1:8" x14ac:dyDescent="0.35">
      <c r="A105" s="37"/>
      <c r="B105" s="37"/>
      <c r="C105" s="37" t="s">
        <v>107</v>
      </c>
      <c r="D105" s="37">
        <v>0</v>
      </c>
      <c r="E105" s="37">
        <v>0</v>
      </c>
      <c r="F105" s="37">
        <v>0</v>
      </c>
      <c r="G105" s="37">
        <v>0</v>
      </c>
      <c r="H105" s="37"/>
    </row>
    <row r="106" spans="1:8" x14ac:dyDescent="0.35">
      <c r="A106" s="37"/>
      <c r="B106" s="37"/>
      <c r="C106" s="37"/>
      <c r="D106" s="57">
        <v>2</v>
      </c>
      <c r="E106" s="57">
        <v>4</v>
      </c>
      <c r="F106" s="57">
        <v>6</v>
      </c>
      <c r="G106" s="37"/>
      <c r="H106" s="37"/>
    </row>
    <row r="107" spans="1:8" x14ac:dyDescent="0.35">
      <c r="A107" s="37"/>
      <c r="B107" s="37"/>
      <c r="C107" s="37" t="s">
        <v>108</v>
      </c>
      <c r="D107" s="37">
        <v>2</v>
      </c>
      <c r="E107" s="37">
        <v>0</v>
      </c>
      <c r="F107" s="37">
        <v>2</v>
      </c>
      <c r="G107" s="37">
        <v>0</v>
      </c>
      <c r="H107" s="37">
        <v>0</v>
      </c>
    </row>
    <row r="108" spans="1:8" x14ac:dyDescent="0.35">
      <c r="A108" s="37"/>
      <c r="B108" s="37"/>
      <c r="C108" s="37" t="s">
        <v>109</v>
      </c>
      <c r="D108" s="37">
        <v>0</v>
      </c>
      <c r="E108" s="37">
        <v>0</v>
      </c>
      <c r="F108" s="37">
        <v>0</v>
      </c>
      <c r="G108" s="37">
        <v>0</v>
      </c>
      <c r="H108" s="37"/>
    </row>
    <row r="109" spans="1:8" x14ac:dyDescent="0.35">
      <c r="A109" s="37"/>
      <c r="B109" s="37"/>
      <c r="C109" s="55"/>
      <c r="D109" s="57">
        <v>2</v>
      </c>
      <c r="E109" s="57">
        <v>0</v>
      </c>
      <c r="F109" s="57">
        <v>2</v>
      </c>
      <c r="G109" s="37"/>
      <c r="H109" s="37"/>
    </row>
    <row r="110" spans="1:8" x14ac:dyDescent="0.35">
      <c r="A110" s="37"/>
      <c r="B110" s="37"/>
      <c r="C110" s="55" t="s">
        <v>110</v>
      </c>
      <c r="D110" s="37">
        <v>0</v>
      </c>
      <c r="E110" s="37">
        <v>0</v>
      </c>
      <c r="F110" s="37">
        <v>0</v>
      </c>
      <c r="G110" s="37">
        <v>0</v>
      </c>
      <c r="H110" s="37">
        <f>F112-((F110/12)*G110)-((F111/12)*G111)</f>
        <v>3.7295739585136225</v>
      </c>
    </row>
    <row r="111" spans="1:8" x14ac:dyDescent="0.35">
      <c r="A111" s="37"/>
      <c r="B111" s="37"/>
      <c r="C111" s="55" t="s">
        <v>111</v>
      </c>
      <c r="D111" s="37">
        <v>1</v>
      </c>
      <c r="E111" s="37">
        <v>3</v>
      </c>
      <c r="F111" s="37">
        <v>4</v>
      </c>
      <c r="G111" s="37">
        <f>((-D111/F111)*IMLOG2(D111/F111)+(-E111/F111)*IMLOG2(E111/F111))</f>
        <v>0.81127812445913294</v>
      </c>
      <c r="H111" s="37"/>
    </row>
    <row r="112" spans="1:8" x14ac:dyDescent="0.35">
      <c r="A112" s="37"/>
      <c r="B112" s="37"/>
      <c r="C112" s="55"/>
      <c r="D112" s="57">
        <v>1</v>
      </c>
      <c r="E112" s="57">
        <v>3</v>
      </c>
      <c r="F112" s="57">
        <v>4</v>
      </c>
      <c r="G112" s="37"/>
      <c r="H112" s="37"/>
    </row>
    <row r="113" spans="1:8" x14ac:dyDescent="0.35">
      <c r="A113" s="37">
        <v>19</v>
      </c>
      <c r="B113" s="37" t="s">
        <v>91</v>
      </c>
      <c r="C113" s="37"/>
      <c r="D113" s="37"/>
      <c r="E113" s="37"/>
      <c r="F113" s="37"/>
      <c r="G113" s="37"/>
      <c r="H113" s="37"/>
    </row>
    <row r="114" spans="1:8" x14ac:dyDescent="0.35">
      <c r="A114" s="37"/>
      <c r="B114" s="37"/>
      <c r="C114" s="55" t="s">
        <v>110</v>
      </c>
      <c r="D114" s="37">
        <v>0</v>
      </c>
      <c r="E114" s="37">
        <v>0</v>
      </c>
      <c r="F114" s="37">
        <v>0</v>
      </c>
      <c r="G114" s="37">
        <v>0</v>
      </c>
      <c r="H114" s="37">
        <f>F116-((F114/12)*G114)-((F115/12)*G115)</f>
        <v>11.08170416594551</v>
      </c>
    </row>
    <row r="115" spans="1:8" x14ac:dyDescent="0.35">
      <c r="A115" s="37"/>
      <c r="B115" s="37"/>
      <c r="C115" s="55" t="s">
        <v>111</v>
      </c>
      <c r="D115" s="37">
        <v>4</v>
      </c>
      <c r="E115" s="37">
        <v>8</v>
      </c>
      <c r="F115" s="37">
        <v>12</v>
      </c>
      <c r="G115" s="37">
        <f>((-D115/F115)*IMLOG2(D115/F115)+(-E115/F115)*IMLOG2(E115/F115))</f>
        <v>0.91829583405449056</v>
      </c>
      <c r="H115" s="37"/>
    </row>
    <row r="116" spans="1:8" x14ac:dyDescent="0.35">
      <c r="A116" s="37"/>
      <c r="B116" s="37"/>
      <c r="C116" s="55"/>
      <c r="D116" s="57">
        <v>4</v>
      </c>
      <c r="E116" s="57">
        <v>8</v>
      </c>
      <c r="F116" s="57">
        <v>12</v>
      </c>
      <c r="G116" s="37"/>
      <c r="H116" s="37"/>
    </row>
    <row r="117" spans="1:8" x14ac:dyDescent="0.35">
      <c r="A117" s="37">
        <v>20</v>
      </c>
      <c r="B117" s="37" t="s">
        <v>92</v>
      </c>
      <c r="C117" s="37"/>
      <c r="D117" s="37"/>
      <c r="E117" s="37"/>
      <c r="F117" s="37"/>
      <c r="G117" s="37"/>
      <c r="H117" s="37"/>
    </row>
    <row r="118" spans="1:8" x14ac:dyDescent="0.35">
      <c r="A118" s="37"/>
      <c r="B118" s="37"/>
      <c r="C118" s="55" t="s">
        <v>110</v>
      </c>
      <c r="D118" s="37">
        <v>0</v>
      </c>
      <c r="E118" s="37">
        <v>0</v>
      </c>
      <c r="F118" s="37">
        <v>0</v>
      </c>
      <c r="G118" s="37">
        <v>0</v>
      </c>
      <c r="H118" s="37">
        <f>F120-((F118/12)*G118)-((F119/12)*G119)</f>
        <v>11.08170416594551</v>
      </c>
    </row>
    <row r="119" spans="1:8" x14ac:dyDescent="0.35">
      <c r="A119" s="37"/>
      <c r="B119" s="37"/>
      <c r="C119" s="55" t="s">
        <v>111</v>
      </c>
      <c r="D119" s="37">
        <v>4</v>
      </c>
      <c r="E119" s="37">
        <v>8</v>
      </c>
      <c r="F119" s="37">
        <v>12</v>
      </c>
      <c r="G119" s="37">
        <f>((-D119/F119)*IMLOG2(D119/F119)+(-E119/F119)*IMLOG2(E119/F119))</f>
        <v>0.91829583405449056</v>
      </c>
      <c r="H119" s="37"/>
    </row>
    <row r="120" spans="1:8" x14ac:dyDescent="0.35">
      <c r="A120" s="37"/>
      <c r="B120" s="37"/>
      <c r="C120" s="55"/>
      <c r="D120" s="57">
        <v>4</v>
      </c>
      <c r="E120" s="57">
        <v>8</v>
      </c>
      <c r="F120" s="57">
        <v>12</v>
      </c>
      <c r="G120" s="37"/>
      <c r="H120" s="37"/>
    </row>
    <row r="121" spans="1:8" x14ac:dyDescent="0.35">
      <c r="A121" s="37">
        <v>21</v>
      </c>
      <c r="B121" s="37" t="s">
        <v>93</v>
      </c>
      <c r="C121" s="37"/>
      <c r="D121" s="37"/>
      <c r="E121" s="37"/>
      <c r="F121" s="37"/>
      <c r="G121" s="37"/>
      <c r="H121" s="37"/>
    </row>
    <row r="122" spans="1:8" x14ac:dyDescent="0.35">
      <c r="A122" s="37"/>
      <c r="B122" s="37"/>
      <c r="C122" s="55" t="s">
        <v>110</v>
      </c>
      <c r="D122" s="37">
        <v>0</v>
      </c>
      <c r="E122" s="37">
        <v>0</v>
      </c>
      <c r="F122" s="37">
        <v>0</v>
      </c>
      <c r="G122" s="37">
        <v>0</v>
      </c>
      <c r="H122" s="37">
        <f>F124-((F122/12)*G122)-((F123/12)*G123)</f>
        <v>11.08170416594551</v>
      </c>
    </row>
    <row r="123" spans="1:8" x14ac:dyDescent="0.35">
      <c r="A123" s="37"/>
      <c r="B123" s="37"/>
      <c r="C123" s="55" t="s">
        <v>111</v>
      </c>
      <c r="D123" s="37">
        <v>4</v>
      </c>
      <c r="E123" s="37">
        <v>8</v>
      </c>
      <c r="F123" s="37">
        <v>12</v>
      </c>
      <c r="G123" s="37">
        <f>((-D123/F123)*IMLOG2(D123/F123)+(-E123/F123)*IMLOG2(E123/F123))</f>
        <v>0.91829583405449056</v>
      </c>
      <c r="H123" s="37"/>
    </row>
    <row r="124" spans="1:8" x14ac:dyDescent="0.35">
      <c r="A124" s="37"/>
      <c r="B124" s="37"/>
      <c r="C124" s="55"/>
      <c r="D124" s="57">
        <v>4</v>
      </c>
      <c r="E124" s="57">
        <v>8</v>
      </c>
      <c r="F124" s="57">
        <v>12</v>
      </c>
      <c r="G124" s="37"/>
      <c r="H124" s="37"/>
    </row>
    <row r="125" spans="1:8" x14ac:dyDescent="0.35">
      <c r="A125" s="37">
        <v>22</v>
      </c>
      <c r="B125" s="37" t="s">
        <v>94</v>
      </c>
      <c r="C125" s="37"/>
      <c r="D125" s="37"/>
      <c r="E125" s="37"/>
      <c r="F125" s="37"/>
      <c r="G125" s="37"/>
      <c r="H125" s="37"/>
    </row>
    <row r="126" spans="1:8" x14ac:dyDescent="0.35">
      <c r="A126" s="37"/>
      <c r="B126" s="37"/>
      <c r="C126" s="37" t="s">
        <v>106</v>
      </c>
      <c r="D126" s="37">
        <v>4</v>
      </c>
      <c r="E126" s="37">
        <v>7</v>
      </c>
      <c r="F126" s="37">
        <v>11</v>
      </c>
      <c r="G126" s="37">
        <f>((-D126/F126)*IMLOG2(D126/F126)+(-E126/F126)*IMLOG2(E126/F126))</f>
        <v>0.9456603046006411</v>
      </c>
      <c r="H126" s="37">
        <f>F128-((F126/12)*G126)-((F127/12)*G127)</f>
        <v>11.133144720782745</v>
      </c>
    </row>
    <row r="127" spans="1:8" x14ac:dyDescent="0.35">
      <c r="A127" s="37"/>
      <c r="B127" s="37"/>
      <c r="C127" s="37" t="s">
        <v>107</v>
      </c>
      <c r="D127" s="37">
        <v>0</v>
      </c>
      <c r="E127" s="37">
        <v>1</v>
      </c>
      <c r="F127" s="37">
        <v>1</v>
      </c>
      <c r="G127" s="37">
        <v>0</v>
      </c>
      <c r="H127" s="37"/>
    </row>
    <row r="128" spans="1:8" x14ac:dyDescent="0.35">
      <c r="A128" s="37"/>
      <c r="B128" s="37"/>
      <c r="C128" s="37"/>
      <c r="D128" s="57">
        <v>4</v>
      </c>
      <c r="E128" s="57">
        <v>8</v>
      </c>
      <c r="F128" s="57">
        <v>12</v>
      </c>
      <c r="G128" s="37"/>
      <c r="H128" s="37"/>
    </row>
    <row r="129" spans="1:8" x14ac:dyDescent="0.35">
      <c r="A129" s="37">
        <v>23</v>
      </c>
      <c r="B129" s="37" t="s">
        <v>95</v>
      </c>
      <c r="C129" s="37"/>
      <c r="D129" s="37"/>
      <c r="E129" s="37"/>
      <c r="F129" s="37"/>
      <c r="G129" s="37"/>
      <c r="H129" s="37"/>
    </row>
    <row r="130" spans="1:8" x14ac:dyDescent="0.35">
      <c r="A130" s="37"/>
      <c r="B130" s="37"/>
      <c r="C130" s="55" t="s">
        <v>110</v>
      </c>
      <c r="D130" s="37">
        <v>0</v>
      </c>
      <c r="E130" s="37">
        <v>0</v>
      </c>
      <c r="F130" s="37">
        <v>0</v>
      </c>
      <c r="G130" s="37">
        <v>0</v>
      </c>
      <c r="H130" s="37">
        <f>F132-((F130/12)*G130)-((F131/12)*G131)</f>
        <v>11.08170416594551</v>
      </c>
    </row>
    <row r="131" spans="1:8" x14ac:dyDescent="0.35">
      <c r="A131" s="37"/>
      <c r="B131" s="37"/>
      <c r="C131" s="55" t="s">
        <v>111</v>
      </c>
      <c r="D131" s="37">
        <v>4</v>
      </c>
      <c r="E131" s="37">
        <v>8</v>
      </c>
      <c r="F131" s="37">
        <v>12</v>
      </c>
      <c r="G131" s="37">
        <f>((-D131/F131)*IMLOG2(D131/F131)+(-E131/F131)*IMLOG2(E131/F131))</f>
        <v>0.91829583405449056</v>
      </c>
      <c r="H131" s="37"/>
    </row>
    <row r="132" spans="1:8" x14ac:dyDescent="0.35">
      <c r="A132" s="37"/>
      <c r="B132" s="37"/>
      <c r="C132" s="55"/>
      <c r="D132" s="57">
        <v>4</v>
      </c>
      <c r="E132" s="57">
        <v>8</v>
      </c>
      <c r="F132" s="57">
        <v>12</v>
      </c>
      <c r="G132" s="37"/>
      <c r="H132" s="37"/>
    </row>
    <row r="133" spans="1:8" x14ac:dyDescent="0.35">
      <c r="A133" s="37">
        <v>24</v>
      </c>
      <c r="B133" s="37" t="s">
        <v>96</v>
      </c>
      <c r="C133" s="37"/>
      <c r="D133" s="37"/>
      <c r="E133" s="37"/>
      <c r="F133" s="37"/>
      <c r="G133" s="37"/>
      <c r="H133" s="37"/>
    </row>
    <row r="134" spans="1:8" x14ac:dyDescent="0.35">
      <c r="A134" s="37"/>
      <c r="B134" s="37"/>
      <c r="C134" s="55" t="s">
        <v>110</v>
      </c>
      <c r="D134" s="37">
        <v>0</v>
      </c>
      <c r="E134" s="37">
        <v>0</v>
      </c>
      <c r="F134" s="37">
        <v>0</v>
      </c>
      <c r="G134" s="37">
        <v>0</v>
      </c>
      <c r="H134" s="37">
        <f>F136-((F134/12)*G134)-((F135/12)*G135)</f>
        <v>11.08170416594551</v>
      </c>
    </row>
    <row r="135" spans="1:8" x14ac:dyDescent="0.35">
      <c r="A135" s="37"/>
      <c r="B135" s="37"/>
      <c r="C135" s="55" t="s">
        <v>111</v>
      </c>
      <c r="D135" s="37">
        <v>4</v>
      </c>
      <c r="E135" s="37">
        <v>8</v>
      </c>
      <c r="F135" s="37">
        <v>12</v>
      </c>
      <c r="G135" s="37">
        <f>((-D135/F135)*IMLOG2(D135/F135)+(-E135/F135)*IMLOG2(E135/F135))</f>
        <v>0.91829583405449056</v>
      </c>
      <c r="H135" s="37"/>
    </row>
    <row r="136" spans="1:8" x14ac:dyDescent="0.35">
      <c r="A136" s="37"/>
      <c r="B136" s="37"/>
      <c r="C136" s="55"/>
      <c r="D136" s="57">
        <v>4</v>
      </c>
      <c r="E136" s="57">
        <v>8</v>
      </c>
      <c r="F136" s="57">
        <v>12</v>
      </c>
      <c r="G136" s="37"/>
      <c r="H136" s="37"/>
    </row>
    <row r="137" spans="1:8" x14ac:dyDescent="0.35">
      <c r="A137" s="37">
        <v>25</v>
      </c>
      <c r="B137" s="37" t="s">
        <v>97</v>
      </c>
      <c r="C137" s="37"/>
      <c r="D137" s="37"/>
      <c r="E137" s="37"/>
      <c r="F137" s="37"/>
      <c r="G137" s="37"/>
      <c r="H137" s="37"/>
    </row>
    <row r="138" spans="1:8" x14ac:dyDescent="0.35">
      <c r="A138" s="37"/>
      <c r="B138" s="37"/>
      <c r="C138" s="55" t="s">
        <v>110</v>
      </c>
      <c r="D138" s="37">
        <v>0</v>
      </c>
      <c r="E138" s="37">
        <v>2</v>
      </c>
      <c r="F138" s="37">
        <v>2</v>
      </c>
      <c r="G138" s="37">
        <v>0</v>
      </c>
      <c r="H138" s="37">
        <f>F140-((F138/12)*G138)-((F139/12)*G139)</f>
        <v>11.19087450462111</v>
      </c>
    </row>
    <row r="139" spans="1:8" x14ac:dyDescent="0.35">
      <c r="A139" s="37"/>
      <c r="B139" s="37"/>
      <c r="C139" s="55" t="s">
        <v>111</v>
      </c>
      <c r="D139" s="37">
        <v>4</v>
      </c>
      <c r="E139" s="37">
        <v>6</v>
      </c>
      <c r="F139" s="37">
        <v>10</v>
      </c>
      <c r="G139" s="37">
        <f>((-D139/F139)*IMLOG2(D139/F139)+(-E139/F139)*IMLOG2(E139/F139))</f>
        <v>0.97095059445466747</v>
      </c>
      <c r="H139" s="37"/>
    </row>
    <row r="140" spans="1:8" x14ac:dyDescent="0.35">
      <c r="A140" s="37"/>
      <c r="B140" s="37"/>
      <c r="C140" s="55"/>
      <c r="D140" s="57">
        <v>4</v>
      </c>
      <c r="E140" s="57">
        <v>8</v>
      </c>
      <c r="F140" s="57">
        <v>12</v>
      </c>
      <c r="G140" s="37"/>
      <c r="H140" s="37"/>
    </row>
    <row r="141" spans="1:8" x14ac:dyDescent="0.35">
      <c r="A141" s="37">
        <v>26</v>
      </c>
      <c r="B141" s="37" t="s">
        <v>98</v>
      </c>
      <c r="C141" s="37"/>
      <c r="D141" s="37"/>
      <c r="E141" s="37"/>
      <c r="F141" s="37"/>
      <c r="G141" s="37"/>
      <c r="H141" s="37"/>
    </row>
    <row r="142" spans="1:8" x14ac:dyDescent="0.35">
      <c r="A142" s="37"/>
      <c r="B142" s="37"/>
      <c r="C142" s="37" t="s">
        <v>108</v>
      </c>
      <c r="D142" s="37">
        <v>4</v>
      </c>
      <c r="E142" s="37">
        <v>6</v>
      </c>
      <c r="F142" s="37">
        <v>10</v>
      </c>
      <c r="G142" s="37">
        <f>((-D142/F142)*IMLOG2(D142/F142)+(-E142/F142)*IMLOG2(E142/F142))</f>
        <v>0.97095059445466747</v>
      </c>
      <c r="H142" s="37">
        <f>F144-((F142/12)*G142)-((F143/12)*G143)</f>
        <v>11.19087450462111</v>
      </c>
    </row>
    <row r="143" spans="1:8" x14ac:dyDescent="0.35">
      <c r="A143" s="37"/>
      <c r="B143" s="37"/>
      <c r="C143" s="37" t="s">
        <v>109</v>
      </c>
      <c r="D143" s="37">
        <v>0</v>
      </c>
      <c r="E143" s="37">
        <v>2</v>
      </c>
      <c r="F143" s="37">
        <v>2</v>
      </c>
      <c r="G143" s="37">
        <v>0</v>
      </c>
      <c r="H143" s="37"/>
    </row>
    <row r="144" spans="1:8" x14ac:dyDescent="0.35">
      <c r="A144" s="37"/>
      <c r="B144" s="37"/>
      <c r="C144" s="55"/>
      <c r="D144" s="57">
        <v>4</v>
      </c>
      <c r="E144" s="57">
        <v>8</v>
      </c>
      <c r="F144" s="57">
        <v>12</v>
      </c>
      <c r="G144" s="37"/>
      <c r="H144" s="37"/>
    </row>
    <row r="145" spans="1:8" x14ac:dyDescent="0.35">
      <c r="A145" s="37">
        <v>27</v>
      </c>
      <c r="B145" s="37" t="s">
        <v>99</v>
      </c>
      <c r="C145" s="37"/>
      <c r="D145" s="37"/>
      <c r="E145" s="37"/>
      <c r="F145" s="37"/>
      <c r="G145" s="37"/>
      <c r="H145" s="37"/>
    </row>
    <row r="146" spans="1:8" x14ac:dyDescent="0.35">
      <c r="A146" s="37"/>
      <c r="B146" s="37"/>
      <c r="C146" s="55">
        <v>0</v>
      </c>
      <c r="D146" s="37">
        <v>0</v>
      </c>
      <c r="E146" s="37">
        <v>0</v>
      </c>
      <c r="F146" s="37">
        <v>0</v>
      </c>
      <c r="G146" s="37">
        <v>0</v>
      </c>
      <c r="H146" s="37">
        <f>F148-((F146/12)*G146)-((F147/12)*G147)</f>
        <v>11.08170416594551</v>
      </c>
    </row>
    <row r="147" spans="1:8" x14ac:dyDescent="0.35">
      <c r="A147" s="37"/>
      <c r="B147" s="37"/>
      <c r="C147" s="55">
        <v>0.1</v>
      </c>
      <c r="D147" s="37">
        <v>4</v>
      </c>
      <c r="E147" s="37">
        <v>8</v>
      </c>
      <c r="F147" s="37">
        <v>12</v>
      </c>
      <c r="G147" s="37">
        <f>((-D147/F147)*IMLOG2(D147/F147)+(-E147/F147)*IMLOG2(E147/F147))</f>
        <v>0.91829583405449056</v>
      </c>
      <c r="H147" s="37"/>
    </row>
    <row r="148" spans="1:8" x14ac:dyDescent="0.35">
      <c r="A148" s="37"/>
      <c r="B148" s="37"/>
      <c r="C148" s="55"/>
      <c r="D148" s="57">
        <v>4</v>
      </c>
      <c r="E148" s="57">
        <v>8</v>
      </c>
      <c r="F148" s="57">
        <v>12</v>
      </c>
      <c r="G148" s="37"/>
      <c r="H148" s="37"/>
    </row>
    <row r="149" spans="1:8" x14ac:dyDescent="0.35">
      <c r="A149" s="37">
        <v>28</v>
      </c>
      <c r="B149" s="37" t="s">
        <v>100</v>
      </c>
      <c r="C149" s="37"/>
      <c r="D149" s="37"/>
      <c r="E149" s="37"/>
      <c r="F149" s="37"/>
      <c r="G149" s="37"/>
      <c r="H149" s="37"/>
    </row>
    <row r="150" spans="1:8" x14ac:dyDescent="0.35">
      <c r="A150" s="37"/>
      <c r="B150" s="37"/>
      <c r="C150" s="55">
        <v>0</v>
      </c>
      <c r="D150" s="37">
        <v>0</v>
      </c>
      <c r="E150" s="37">
        <v>0</v>
      </c>
      <c r="F150" s="37">
        <v>0</v>
      </c>
      <c r="G150" s="37">
        <v>0</v>
      </c>
      <c r="H150" s="37">
        <f>F152-((F150/12)*G150)-((F151/12)*G151)</f>
        <v>11.08170416594551</v>
      </c>
    </row>
    <row r="151" spans="1:8" x14ac:dyDescent="0.35">
      <c r="A151" s="37"/>
      <c r="B151" s="37"/>
      <c r="C151" s="55">
        <v>0.1</v>
      </c>
      <c r="D151" s="37">
        <v>4</v>
      </c>
      <c r="E151" s="37">
        <v>8</v>
      </c>
      <c r="F151" s="37">
        <v>12</v>
      </c>
      <c r="G151" s="37">
        <f>((-D151/F151)*IMLOG2(D151/F151)+(-E151/F151)*IMLOG2(E151/F151))</f>
        <v>0.91829583405449056</v>
      </c>
      <c r="H151" s="37"/>
    </row>
    <row r="152" spans="1:8" x14ac:dyDescent="0.35">
      <c r="A152" s="37"/>
      <c r="B152" s="37"/>
      <c r="C152" s="55"/>
      <c r="D152" s="57">
        <v>4</v>
      </c>
      <c r="E152" s="57">
        <v>8</v>
      </c>
      <c r="F152" s="57">
        <v>12</v>
      </c>
      <c r="G152" s="37"/>
      <c r="H152" s="37"/>
    </row>
    <row r="153" spans="1:8" x14ac:dyDescent="0.35">
      <c r="A153" s="37">
        <v>29</v>
      </c>
      <c r="B153" s="37" t="s">
        <v>101</v>
      </c>
      <c r="C153" s="37"/>
      <c r="D153" s="37"/>
      <c r="E153" s="37"/>
      <c r="F153" s="37"/>
      <c r="G153" s="37"/>
      <c r="H153" s="37"/>
    </row>
    <row r="154" spans="1:8" x14ac:dyDescent="0.35">
      <c r="A154" s="37"/>
      <c r="B154" s="37"/>
      <c r="C154" s="55">
        <v>0</v>
      </c>
      <c r="D154" s="37">
        <v>0</v>
      </c>
      <c r="E154" s="37">
        <v>0</v>
      </c>
      <c r="F154" s="37">
        <v>0</v>
      </c>
      <c r="G154" s="37">
        <v>0</v>
      </c>
      <c r="H154" s="37">
        <f>F156-((F154/12)*G154)-((F155/12)*G155)</f>
        <v>11.08170416594551</v>
      </c>
    </row>
    <row r="155" spans="1:8" x14ac:dyDescent="0.35">
      <c r="A155" s="37"/>
      <c r="B155" s="37"/>
      <c r="C155" s="55">
        <v>0.1</v>
      </c>
      <c r="D155" s="37">
        <v>4</v>
      </c>
      <c r="E155" s="37">
        <v>8</v>
      </c>
      <c r="F155" s="37">
        <v>12</v>
      </c>
      <c r="G155" s="37">
        <f>((-D155/F155)*IMLOG2(D155/F155)+(-E155/F155)*IMLOG2(E155/F155))</f>
        <v>0.91829583405449056</v>
      </c>
      <c r="H155" s="37"/>
    </row>
    <row r="156" spans="1:8" x14ac:dyDescent="0.35">
      <c r="A156" s="37"/>
      <c r="B156" s="37"/>
      <c r="C156" s="55"/>
      <c r="D156" s="57">
        <v>4</v>
      </c>
      <c r="E156" s="57">
        <v>8</v>
      </c>
      <c r="F156" s="57">
        <v>12</v>
      </c>
      <c r="G156" s="37"/>
      <c r="H156" s="37"/>
    </row>
    <row r="157" spans="1:8" x14ac:dyDescent="0.35">
      <c r="A157" s="37">
        <v>30</v>
      </c>
      <c r="B157" s="37" t="s">
        <v>102</v>
      </c>
      <c r="C157" s="37"/>
      <c r="D157" s="37"/>
      <c r="E157" s="37"/>
      <c r="F157" s="37"/>
      <c r="G157" s="37"/>
      <c r="H157" s="37"/>
    </row>
    <row r="158" spans="1:8" x14ac:dyDescent="0.35">
      <c r="A158" s="37"/>
      <c r="B158" s="37"/>
      <c r="C158" s="55">
        <v>0</v>
      </c>
      <c r="D158" s="37">
        <v>0</v>
      </c>
      <c r="E158" s="37">
        <v>0</v>
      </c>
      <c r="F158" s="37">
        <v>0</v>
      </c>
      <c r="G158" s="37">
        <v>0</v>
      </c>
      <c r="H158" s="37">
        <f>F160-((F158/12)*G158)-((F159/12)*G159)</f>
        <v>11.08170416594551</v>
      </c>
    </row>
    <row r="159" spans="1:8" x14ac:dyDescent="0.35">
      <c r="A159" s="37"/>
      <c r="B159" s="37"/>
      <c r="C159" s="55">
        <v>0.1</v>
      </c>
      <c r="D159" s="37">
        <v>4</v>
      </c>
      <c r="E159" s="37">
        <v>8</v>
      </c>
      <c r="F159" s="37">
        <v>12</v>
      </c>
      <c r="G159" s="37">
        <f>((-D159/F159)*IMLOG2(D159/F159)+(-E159/F159)*IMLOG2(E159/F159))</f>
        <v>0.91829583405449056</v>
      </c>
      <c r="H159" s="37"/>
    </row>
    <row r="160" spans="1:8" x14ac:dyDescent="0.35">
      <c r="A160" s="37"/>
      <c r="B160" s="37"/>
      <c r="C160" s="55"/>
      <c r="D160" s="57">
        <v>4</v>
      </c>
      <c r="E160" s="57">
        <v>8</v>
      </c>
      <c r="F160" s="57">
        <v>12</v>
      </c>
      <c r="G160" s="37"/>
      <c r="H160" s="37"/>
    </row>
    <row r="161" spans="1:8" x14ac:dyDescent="0.35">
      <c r="A161" s="37">
        <v>31</v>
      </c>
      <c r="B161" s="37" t="s">
        <v>103</v>
      </c>
      <c r="C161" s="37"/>
      <c r="D161" s="37"/>
      <c r="E161" s="37"/>
      <c r="F161" s="37"/>
      <c r="G161" s="37"/>
      <c r="H161" s="37"/>
    </row>
    <row r="162" spans="1:8" ht="15.75" customHeight="1" x14ac:dyDescent="0.35">
      <c r="A162" s="37"/>
      <c r="B162" s="37"/>
      <c r="C162" s="37">
        <v>0</v>
      </c>
      <c r="D162" s="37">
        <v>1</v>
      </c>
      <c r="E162" s="37">
        <v>1</v>
      </c>
      <c r="F162" s="37">
        <v>2</v>
      </c>
      <c r="G162" s="37">
        <f>((-D162/F162)*IMLOG2(D162/F162)+(-E162/F162)*IMLOG2(E162/F162))</f>
        <v>1</v>
      </c>
      <c r="H162" s="37">
        <f>F165-((F162/12)*G162)-((F164/12)*G164)</f>
        <v>11.5</v>
      </c>
    </row>
    <row r="163" spans="1:8" x14ac:dyDescent="0.35">
      <c r="A163" s="37"/>
      <c r="B163" s="37"/>
      <c r="C163" s="37">
        <v>0.5</v>
      </c>
      <c r="D163" s="37">
        <v>1</v>
      </c>
      <c r="E163" s="37">
        <v>5</v>
      </c>
      <c r="F163" s="37">
        <v>6</v>
      </c>
      <c r="G163" s="37">
        <f t="shared" ref="G163:G164" si="7">((-D163/F163)*IMLOG2(D163/F163)+(-E163/F163)*IMLOG2(E163/F163))</f>
        <v>0.650022421648355</v>
      </c>
      <c r="H163" s="37"/>
    </row>
    <row r="164" spans="1:8" x14ac:dyDescent="0.35">
      <c r="A164" s="37"/>
      <c r="B164" s="37"/>
      <c r="C164" s="37">
        <v>1</v>
      </c>
      <c r="D164" s="37">
        <v>2</v>
      </c>
      <c r="E164" s="37">
        <v>2</v>
      </c>
      <c r="F164" s="37">
        <v>4</v>
      </c>
      <c r="G164" s="37">
        <f t="shared" si="7"/>
        <v>1</v>
      </c>
      <c r="H164" s="37"/>
    </row>
    <row r="165" spans="1:8" x14ac:dyDescent="0.35">
      <c r="A165" s="37"/>
      <c r="B165" s="37"/>
      <c r="C165" s="37"/>
      <c r="D165" s="57">
        <v>4</v>
      </c>
      <c r="E165" s="57">
        <v>8</v>
      </c>
      <c r="F165" s="57">
        <v>12</v>
      </c>
      <c r="G165" s="37"/>
      <c r="H165" s="37"/>
    </row>
    <row r="166" spans="1:8" x14ac:dyDescent="0.35">
      <c r="A166" s="37">
        <v>32</v>
      </c>
      <c r="B166" s="37" t="s">
        <v>104</v>
      </c>
      <c r="C166" s="37"/>
      <c r="D166" s="37"/>
      <c r="E166" s="37"/>
      <c r="F166" s="37"/>
      <c r="G166" s="37"/>
      <c r="H166" s="37"/>
    </row>
    <row r="167" spans="1:8" x14ac:dyDescent="0.35">
      <c r="A167" s="37"/>
      <c r="B167" s="37"/>
      <c r="C167" s="55" t="s">
        <v>110</v>
      </c>
      <c r="D167" s="37">
        <v>0</v>
      </c>
      <c r="E167" s="37">
        <v>0</v>
      </c>
      <c r="F167" s="37">
        <v>0</v>
      </c>
      <c r="G167" s="37">
        <v>0</v>
      </c>
      <c r="H167" s="37">
        <f>F169-((F167/12)*G167)-((F168/12)*G168)</f>
        <v>11.08170416594551</v>
      </c>
    </row>
    <row r="168" spans="1:8" x14ac:dyDescent="0.35">
      <c r="A168" s="37"/>
      <c r="B168" s="37"/>
      <c r="C168" s="55" t="s">
        <v>111</v>
      </c>
      <c r="D168" s="37">
        <v>4</v>
      </c>
      <c r="E168" s="37">
        <v>8</v>
      </c>
      <c r="F168" s="37">
        <v>12</v>
      </c>
      <c r="G168" s="37">
        <f>((-D168/F168)*IMLOG2(D168/F168)+(-E168/F168)*IMLOG2(E168/F168))</f>
        <v>0.91829583405449056</v>
      </c>
      <c r="H168" s="37"/>
    </row>
    <row r="169" spans="1:8" x14ac:dyDescent="0.35">
      <c r="A169" s="37"/>
      <c r="B169" s="37"/>
      <c r="C169" s="55"/>
      <c r="D169" s="57">
        <v>4</v>
      </c>
      <c r="E169" s="57">
        <v>8</v>
      </c>
      <c r="F169" s="57">
        <v>12</v>
      </c>
      <c r="G169" s="37"/>
      <c r="H169" s="37"/>
    </row>
    <row r="170" spans="1:8" x14ac:dyDescent="0.35">
      <c r="A170" s="37">
        <v>33</v>
      </c>
      <c r="B170" s="37" t="s">
        <v>105</v>
      </c>
      <c r="C170" s="37"/>
      <c r="D170" s="37"/>
      <c r="E170" s="37"/>
      <c r="F170" s="37"/>
      <c r="G170" s="37"/>
      <c r="H170" s="37"/>
    </row>
    <row r="171" spans="1:8" x14ac:dyDescent="0.35">
      <c r="A171" s="37"/>
      <c r="B171" s="37"/>
      <c r="C171" s="37" t="s">
        <v>108</v>
      </c>
      <c r="D171" s="37">
        <v>0</v>
      </c>
      <c r="E171" s="37">
        <v>4</v>
      </c>
      <c r="F171" s="37">
        <v>4</v>
      </c>
      <c r="G171" s="37">
        <v>0</v>
      </c>
      <c r="H171" s="37">
        <f>F173-((F171/12)*G171)-((F172/12)*G172)</f>
        <v>11.333333333333334</v>
      </c>
    </row>
    <row r="172" spans="1:8" x14ac:dyDescent="0.35">
      <c r="A172" s="37"/>
      <c r="B172" s="37"/>
      <c r="C172" s="37" t="s">
        <v>109</v>
      </c>
      <c r="D172" s="37">
        <v>4</v>
      </c>
      <c r="E172" s="37">
        <v>4</v>
      </c>
      <c r="F172" s="37">
        <v>8</v>
      </c>
      <c r="G172" s="37">
        <f t="shared" ref="G172" si="8">((-D172/F172)*IMLOG2(D172/F172)+(-E172/F172)*IMLOG2(E172/F172))</f>
        <v>1</v>
      </c>
      <c r="H172" s="37"/>
    </row>
    <row r="173" spans="1:8" x14ac:dyDescent="0.35">
      <c r="A173" s="37"/>
      <c r="B173" s="37"/>
      <c r="C173" s="55"/>
      <c r="D173" s="57">
        <v>4</v>
      </c>
      <c r="E173" s="57">
        <v>8</v>
      </c>
      <c r="F173" s="57">
        <v>12</v>
      </c>
      <c r="G173" s="37"/>
      <c r="H173" s="37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62"/>
  <sheetViews>
    <sheetView topLeftCell="A15" zoomScale="90" zoomScaleNormal="90" workbookViewId="0">
      <selection activeCell="O26" sqref="O26"/>
    </sheetView>
  </sheetViews>
  <sheetFormatPr defaultRowHeight="14.5" x14ac:dyDescent="0.35"/>
  <cols>
    <col min="8" max="8" width="16.453125" customWidth="1"/>
  </cols>
  <sheetData>
    <row r="1" spans="1:34" x14ac:dyDescent="0.35">
      <c r="A1" s="35" t="s">
        <v>33</v>
      </c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</row>
    <row r="2" spans="1:34" x14ac:dyDescent="0.35">
      <c r="A2" s="49" t="s">
        <v>34</v>
      </c>
      <c r="B2" s="49">
        <v>0.5</v>
      </c>
      <c r="C2" s="49">
        <v>0</v>
      </c>
      <c r="D2" s="49">
        <v>0</v>
      </c>
      <c r="E2" s="49">
        <v>0.7</v>
      </c>
      <c r="F2" s="49">
        <v>0</v>
      </c>
      <c r="G2" s="49">
        <v>1</v>
      </c>
      <c r="H2" s="49">
        <v>0.5</v>
      </c>
      <c r="I2" s="49">
        <v>1</v>
      </c>
      <c r="J2" s="49">
        <v>0.6</v>
      </c>
      <c r="K2" s="49">
        <v>0.3</v>
      </c>
      <c r="L2" s="49">
        <v>0</v>
      </c>
      <c r="M2" s="49">
        <v>0.2</v>
      </c>
      <c r="N2" s="49">
        <v>0.5</v>
      </c>
      <c r="O2" s="49">
        <v>0</v>
      </c>
      <c r="P2" s="49">
        <v>0</v>
      </c>
      <c r="Q2" s="49">
        <v>0</v>
      </c>
      <c r="R2" s="49">
        <v>1</v>
      </c>
      <c r="S2" s="49">
        <v>1</v>
      </c>
      <c r="T2" s="49">
        <v>1</v>
      </c>
      <c r="U2" s="49">
        <v>1</v>
      </c>
      <c r="V2" s="49">
        <v>1</v>
      </c>
      <c r="W2" s="49">
        <v>0</v>
      </c>
      <c r="X2" s="49">
        <v>1</v>
      </c>
      <c r="Y2" s="49">
        <v>1</v>
      </c>
      <c r="Z2" s="49">
        <v>1</v>
      </c>
      <c r="AA2" s="49">
        <v>0</v>
      </c>
      <c r="AB2" s="49">
        <v>1</v>
      </c>
      <c r="AC2" s="49">
        <v>1</v>
      </c>
      <c r="AD2" s="49">
        <v>1</v>
      </c>
      <c r="AE2" s="49">
        <v>1</v>
      </c>
      <c r="AF2" s="49">
        <v>0</v>
      </c>
      <c r="AG2" s="49">
        <v>1</v>
      </c>
      <c r="AH2" s="48">
        <v>1</v>
      </c>
    </row>
    <row r="3" spans="1:34" x14ac:dyDescent="0.35">
      <c r="A3" s="49" t="s">
        <v>35</v>
      </c>
      <c r="B3" s="49">
        <v>0.3</v>
      </c>
      <c r="C3" s="49">
        <v>0.2</v>
      </c>
      <c r="D3" s="49">
        <v>0.3</v>
      </c>
      <c r="E3" s="49">
        <v>0</v>
      </c>
      <c r="F3" s="49">
        <v>0</v>
      </c>
      <c r="G3" s="49">
        <v>0</v>
      </c>
      <c r="H3" s="49">
        <v>0.5</v>
      </c>
      <c r="I3" s="49">
        <v>0</v>
      </c>
      <c r="J3" s="49">
        <v>0.4</v>
      </c>
      <c r="K3" s="49">
        <v>0</v>
      </c>
      <c r="L3" s="49">
        <v>0</v>
      </c>
      <c r="M3" s="49">
        <v>0.2</v>
      </c>
      <c r="N3" s="49">
        <v>0.5</v>
      </c>
      <c r="O3" s="49">
        <v>0</v>
      </c>
      <c r="P3" s="49">
        <v>0</v>
      </c>
      <c r="Q3" s="49">
        <v>0</v>
      </c>
      <c r="R3" s="49">
        <v>1</v>
      </c>
      <c r="S3" s="49">
        <v>0</v>
      </c>
      <c r="T3" s="49">
        <v>1</v>
      </c>
      <c r="U3" s="49">
        <v>1</v>
      </c>
      <c r="V3" s="49">
        <v>1</v>
      </c>
      <c r="W3" s="49">
        <v>0</v>
      </c>
      <c r="X3" s="49">
        <v>1</v>
      </c>
      <c r="Y3" s="49">
        <v>1</v>
      </c>
      <c r="Z3" s="49">
        <v>1</v>
      </c>
      <c r="AA3" s="49">
        <v>0</v>
      </c>
      <c r="AB3" s="49">
        <v>1</v>
      </c>
      <c r="AC3" s="49">
        <v>1</v>
      </c>
      <c r="AD3" s="49">
        <v>1</v>
      </c>
      <c r="AE3" s="49">
        <v>1</v>
      </c>
      <c r="AF3" s="49">
        <v>1</v>
      </c>
      <c r="AG3" s="49">
        <v>1</v>
      </c>
      <c r="AH3" s="48">
        <v>0.5</v>
      </c>
    </row>
    <row r="4" spans="1:34" x14ac:dyDescent="0.35">
      <c r="A4" s="49" t="s">
        <v>35</v>
      </c>
      <c r="B4" s="49">
        <v>0.7</v>
      </c>
      <c r="C4" s="49">
        <v>0.2</v>
      </c>
      <c r="D4" s="49">
        <v>0.2</v>
      </c>
      <c r="E4" s="49">
        <v>0.7</v>
      </c>
      <c r="F4" s="49">
        <v>1</v>
      </c>
      <c r="G4" s="49">
        <v>0.9</v>
      </c>
      <c r="H4" s="49">
        <v>1</v>
      </c>
      <c r="I4" s="49">
        <v>0.848101265822784</v>
      </c>
      <c r="J4" s="49">
        <v>0.4</v>
      </c>
      <c r="K4" s="49">
        <v>0.5</v>
      </c>
      <c r="L4" s="49">
        <v>0.5</v>
      </c>
      <c r="M4" s="49">
        <v>0.26216216216216198</v>
      </c>
      <c r="N4" s="49">
        <v>0.5</v>
      </c>
      <c r="O4" s="49">
        <v>1</v>
      </c>
      <c r="P4" s="49">
        <v>5.0632911392405E-2</v>
      </c>
      <c r="Q4" s="49">
        <v>0.5</v>
      </c>
      <c r="R4" s="49">
        <v>1</v>
      </c>
      <c r="S4" s="49">
        <v>1</v>
      </c>
      <c r="T4" s="49">
        <v>1</v>
      </c>
      <c r="U4" s="49">
        <v>1</v>
      </c>
      <c r="V4" s="49">
        <v>1</v>
      </c>
      <c r="W4" s="49">
        <v>1</v>
      </c>
      <c r="X4" s="49">
        <v>1</v>
      </c>
      <c r="Y4" s="49">
        <v>1</v>
      </c>
      <c r="Z4" s="49">
        <v>1</v>
      </c>
      <c r="AA4" s="49">
        <v>1</v>
      </c>
      <c r="AB4" s="49">
        <v>1</v>
      </c>
      <c r="AC4" s="49">
        <v>1</v>
      </c>
      <c r="AD4" s="49">
        <v>1</v>
      </c>
      <c r="AE4" s="49">
        <v>1</v>
      </c>
      <c r="AF4" s="49">
        <v>1</v>
      </c>
      <c r="AG4" s="49">
        <v>1</v>
      </c>
      <c r="AH4" s="48">
        <v>1</v>
      </c>
    </row>
    <row r="5" spans="1:34" x14ac:dyDescent="0.35">
      <c r="A5" s="49" t="s">
        <v>35</v>
      </c>
      <c r="B5" s="49">
        <v>0.5</v>
      </c>
      <c r="C5" s="49">
        <v>0</v>
      </c>
      <c r="D5" s="49">
        <v>0</v>
      </c>
      <c r="E5" s="49">
        <v>1</v>
      </c>
      <c r="F5" s="49">
        <v>0.3</v>
      </c>
      <c r="G5" s="49">
        <v>1</v>
      </c>
      <c r="H5" s="49">
        <v>0.5</v>
      </c>
      <c r="I5" s="49">
        <v>1</v>
      </c>
      <c r="J5" s="49">
        <v>0.6</v>
      </c>
      <c r="K5" s="49">
        <v>1</v>
      </c>
      <c r="L5" s="49">
        <v>0</v>
      </c>
      <c r="M5" s="49">
        <v>0</v>
      </c>
      <c r="N5" s="49">
        <v>1</v>
      </c>
      <c r="O5" s="49">
        <v>0</v>
      </c>
      <c r="P5" s="49">
        <v>0</v>
      </c>
      <c r="Q5" s="49">
        <v>0</v>
      </c>
      <c r="R5" s="49">
        <v>1</v>
      </c>
      <c r="S5" s="49">
        <v>1</v>
      </c>
      <c r="T5" s="49">
        <v>1</v>
      </c>
      <c r="U5" s="49">
        <v>1</v>
      </c>
      <c r="V5" s="49">
        <v>1</v>
      </c>
      <c r="W5" s="49">
        <v>0</v>
      </c>
      <c r="X5" s="49">
        <v>1</v>
      </c>
      <c r="Y5" s="49">
        <v>1</v>
      </c>
      <c r="Z5" s="49">
        <v>0</v>
      </c>
      <c r="AA5" s="49">
        <v>1</v>
      </c>
      <c r="AB5" s="49">
        <v>1</v>
      </c>
      <c r="AC5" s="49">
        <v>1</v>
      </c>
      <c r="AD5" s="49">
        <v>1</v>
      </c>
      <c r="AE5" s="49">
        <v>1</v>
      </c>
      <c r="AF5" s="49">
        <v>0</v>
      </c>
      <c r="AG5" s="49">
        <v>1</v>
      </c>
      <c r="AH5" s="48">
        <v>1</v>
      </c>
    </row>
    <row r="6" spans="1:34" x14ac:dyDescent="0.35">
      <c r="A6" s="49" t="s">
        <v>34</v>
      </c>
      <c r="B6" s="49">
        <v>0.7</v>
      </c>
      <c r="C6" s="49">
        <v>0.2</v>
      </c>
      <c r="D6" s="49">
        <v>0.3</v>
      </c>
      <c r="E6" s="49">
        <v>0.7</v>
      </c>
      <c r="F6" s="49">
        <v>0</v>
      </c>
      <c r="G6" s="49">
        <v>1</v>
      </c>
      <c r="H6" s="49">
        <v>0.5</v>
      </c>
      <c r="I6" s="49">
        <v>1</v>
      </c>
      <c r="J6" s="49">
        <v>0.2</v>
      </c>
      <c r="K6" s="49">
        <v>0</v>
      </c>
      <c r="L6" s="49">
        <v>0</v>
      </c>
      <c r="M6" s="49">
        <v>0</v>
      </c>
      <c r="N6" s="49">
        <v>1</v>
      </c>
      <c r="O6" s="49">
        <v>0</v>
      </c>
      <c r="P6" s="49">
        <v>0</v>
      </c>
      <c r="Q6" s="49">
        <v>0</v>
      </c>
      <c r="R6" s="49">
        <v>1</v>
      </c>
      <c r="S6" s="49">
        <v>0</v>
      </c>
      <c r="T6" s="49">
        <v>1</v>
      </c>
      <c r="U6" s="49">
        <v>1</v>
      </c>
      <c r="V6" s="49">
        <v>1</v>
      </c>
      <c r="W6" s="49">
        <v>0</v>
      </c>
      <c r="X6" s="49">
        <v>1</v>
      </c>
      <c r="Y6" s="49">
        <v>1</v>
      </c>
      <c r="Z6" s="49">
        <v>1</v>
      </c>
      <c r="AA6" s="49">
        <v>0</v>
      </c>
      <c r="AB6" s="49">
        <v>1</v>
      </c>
      <c r="AC6" s="49">
        <v>1</v>
      </c>
      <c r="AD6" s="49">
        <v>1</v>
      </c>
      <c r="AE6" s="49">
        <v>1</v>
      </c>
      <c r="AF6" s="49">
        <v>1</v>
      </c>
      <c r="AG6" s="49">
        <v>1</v>
      </c>
      <c r="AH6" s="48">
        <v>1</v>
      </c>
    </row>
    <row r="7" spans="1:34" x14ac:dyDescent="0.35">
      <c r="A7" s="49" t="s">
        <v>35</v>
      </c>
      <c r="B7" s="49">
        <v>0.7</v>
      </c>
      <c r="C7" s="49">
        <v>0.2</v>
      </c>
      <c r="D7" s="49">
        <v>0.3</v>
      </c>
      <c r="E7" s="49">
        <v>0.7</v>
      </c>
      <c r="F7" s="49">
        <v>0</v>
      </c>
      <c r="G7" s="49">
        <v>1</v>
      </c>
      <c r="H7" s="49">
        <v>0.5</v>
      </c>
      <c r="I7" s="49">
        <v>1</v>
      </c>
      <c r="J7" s="49">
        <v>0.2</v>
      </c>
      <c r="K7" s="49">
        <v>0</v>
      </c>
      <c r="L7" s="49">
        <v>0</v>
      </c>
      <c r="M7" s="49">
        <v>0.2</v>
      </c>
      <c r="N7" s="49">
        <v>0.2</v>
      </c>
      <c r="O7" s="49">
        <v>0</v>
      </c>
      <c r="P7" s="49">
        <v>0</v>
      </c>
      <c r="Q7" s="49">
        <v>0</v>
      </c>
      <c r="R7" s="49">
        <v>0</v>
      </c>
      <c r="S7" s="49">
        <v>0</v>
      </c>
      <c r="T7" s="49">
        <v>1</v>
      </c>
      <c r="U7" s="49">
        <v>1</v>
      </c>
      <c r="V7" s="49">
        <v>1</v>
      </c>
      <c r="W7" s="49">
        <v>0</v>
      </c>
      <c r="X7" s="49">
        <v>1</v>
      </c>
      <c r="Y7" s="49">
        <v>1</v>
      </c>
      <c r="Z7" s="49">
        <v>0</v>
      </c>
      <c r="AA7" s="49">
        <v>0</v>
      </c>
      <c r="AB7" s="49">
        <v>1</v>
      </c>
      <c r="AC7" s="49">
        <v>1</v>
      </c>
      <c r="AD7" s="49">
        <v>1</v>
      </c>
      <c r="AE7" s="49">
        <v>1</v>
      </c>
      <c r="AF7" s="49">
        <v>1</v>
      </c>
      <c r="AG7" s="49">
        <v>1</v>
      </c>
      <c r="AH7" s="48">
        <v>0.5</v>
      </c>
    </row>
    <row r="8" spans="1:34" x14ac:dyDescent="0.35">
      <c r="A8" s="49" t="s">
        <v>35</v>
      </c>
      <c r="B8" s="49">
        <v>0.7</v>
      </c>
      <c r="C8" s="49">
        <v>0</v>
      </c>
      <c r="D8" s="49">
        <v>0</v>
      </c>
      <c r="E8" s="49">
        <v>1</v>
      </c>
      <c r="F8" s="49">
        <v>0.3</v>
      </c>
      <c r="G8" s="49">
        <v>1</v>
      </c>
      <c r="H8" s="49">
        <v>0.5</v>
      </c>
      <c r="I8" s="49">
        <v>1</v>
      </c>
      <c r="J8" s="49">
        <v>0.8</v>
      </c>
      <c r="K8" s="49">
        <v>0</v>
      </c>
      <c r="L8" s="49">
        <v>0</v>
      </c>
      <c r="M8" s="49">
        <v>1</v>
      </c>
      <c r="N8" s="49">
        <v>0.5</v>
      </c>
      <c r="O8" s="49">
        <v>0</v>
      </c>
      <c r="P8" s="49">
        <v>0</v>
      </c>
      <c r="Q8" s="49">
        <v>0</v>
      </c>
      <c r="R8" s="49">
        <v>1</v>
      </c>
      <c r="S8" s="49">
        <v>1</v>
      </c>
      <c r="T8" s="49">
        <v>1</v>
      </c>
      <c r="U8" s="49">
        <v>1</v>
      </c>
      <c r="V8" s="49">
        <v>1</v>
      </c>
      <c r="W8" s="49">
        <v>0</v>
      </c>
      <c r="X8" s="49">
        <v>1</v>
      </c>
      <c r="Y8" s="49">
        <v>1</v>
      </c>
      <c r="Z8" s="49">
        <v>1</v>
      </c>
      <c r="AA8" s="49">
        <v>1</v>
      </c>
      <c r="AB8" s="49">
        <v>1</v>
      </c>
      <c r="AC8" s="49">
        <v>1</v>
      </c>
      <c r="AD8" s="49">
        <v>1</v>
      </c>
      <c r="AE8" s="49">
        <v>1</v>
      </c>
      <c r="AF8" s="49">
        <v>0</v>
      </c>
      <c r="AG8" s="49">
        <v>1</v>
      </c>
      <c r="AH8" s="48">
        <v>0.5</v>
      </c>
    </row>
    <row r="9" spans="1:34" x14ac:dyDescent="0.35">
      <c r="A9" s="49" t="s">
        <v>35</v>
      </c>
      <c r="B9" s="49">
        <v>0.9</v>
      </c>
      <c r="C9" s="49">
        <v>0</v>
      </c>
      <c r="D9" s="49">
        <v>1</v>
      </c>
      <c r="E9" s="49">
        <v>1</v>
      </c>
      <c r="F9" s="49">
        <v>0.3</v>
      </c>
      <c r="G9" s="49">
        <v>1</v>
      </c>
      <c r="H9" s="49">
        <v>0.5</v>
      </c>
      <c r="I9" s="49">
        <v>1</v>
      </c>
      <c r="J9" s="49">
        <v>0.4</v>
      </c>
      <c r="K9" s="49">
        <v>0</v>
      </c>
      <c r="L9" s="49">
        <v>0</v>
      </c>
      <c r="M9" s="49">
        <v>0.2</v>
      </c>
      <c r="N9" s="49">
        <v>0.5</v>
      </c>
      <c r="O9" s="49">
        <v>0</v>
      </c>
      <c r="P9" s="49">
        <v>0</v>
      </c>
      <c r="Q9" s="49">
        <v>0</v>
      </c>
      <c r="R9" s="49">
        <v>1</v>
      </c>
      <c r="S9" s="49">
        <v>0</v>
      </c>
      <c r="T9" s="49">
        <v>1</v>
      </c>
      <c r="U9" s="49">
        <v>1</v>
      </c>
      <c r="V9" s="49">
        <v>1</v>
      </c>
      <c r="W9" s="49">
        <v>0</v>
      </c>
      <c r="X9" s="49">
        <v>1</v>
      </c>
      <c r="Y9" s="49">
        <v>1</v>
      </c>
      <c r="Z9" s="49">
        <v>1</v>
      </c>
      <c r="AA9" s="49">
        <v>0</v>
      </c>
      <c r="AB9" s="49">
        <v>1</v>
      </c>
      <c r="AC9" s="49">
        <v>1</v>
      </c>
      <c r="AD9" s="49">
        <v>1</v>
      </c>
      <c r="AE9" s="49">
        <v>1</v>
      </c>
      <c r="AF9" s="49">
        <v>1</v>
      </c>
      <c r="AG9" s="49">
        <v>1</v>
      </c>
      <c r="AH9" s="48">
        <v>0.5</v>
      </c>
    </row>
    <row r="10" spans="1:34" x14ac:dyDescent="0.35">
      <c r="A10" s="49" t="s">
        <v>35</v>
      </c>
      <c r="B10" s="49">
        <v>0.2</v>
      </c>
      <c r="C10" s="49">
        <v>0.1</v>
      </c>
      <c r="D10" s="49">
        <v>0.2</v>
      </c>
      <c r="E10" s="49">
        <v>0.5</v>
      </c>
      <c r="F10" s="49">
        <v>0.1</v>
      </c>
      <c r="G10" s="49">
        <v>0.9</v>
      </c>
      <c r="H10" s="49">
        <v>0.55416666666666603</v>
      </c>
      <c r="I10" s="49">
        <v>0.848101265822784</v>
      </c>
      <c r="J10" s="49">
        <v>0.42278481012658198</v>
      </c>
      <c r="K10" s="49">
        <v>0.13055555555555501</v>
      </c>
      <c r="L10" s="49">
        <v>0.05</v>
      </c>
      <c r="M10" s="49">
        <v>0.26216216216216198</v>
      </c>
      <c r="N10" s="49">
        <v>0.515625</v>
      </c>
      <c r="O10" s="49">
        <v>7.4999999999999997E-2</v>
      </c>
      <c r="P10" s="49">
        <v>5.0632911392405E-2</v>
      </c>
      <c r="Q10" s="49">
        <v>9.9999999999999895E-2</v>
      </c>
      <c r="R10" s="49">
        <v>0.938271604938271</v>
      </c>
      <c r="S10" s="49">
        <v>0.38271604938271597</v>
      </c>
      <c r="T10" s="49">
        <v>0.96296296296296302</v>
      </c>
      <c r="U10" s="49">
        <v>1</v>
      </c>
      <c r="V10" s="49">
        <v>1</v>
      </c>
      <c r="W10" s="49">
        <v>0.12345679012345601</v>
      </c>
      <c r="X10" s="49">
        <v>0.96296296296296302</v>
      </c>
      <c r="Y10" s="49">
        <v>0.95061728395061695</v>
      </c>
      <c r="Z10" s="49">
        <v>0.75308641975308599</v>
      </c>
      <c r="AA10" s="49">
        <v>0.35802469135802401</v>
      </c>
      <c r="AB10" s="49">
        <v>0.98765432098765404</v>
      </c>
      <c r="AC10" s="49">
        <v>1</v>
      </c>
      <c r="AD10" s="49">
        <v>0.97530864197530798</v>
      </c>
      <c r="AE10" s="49">
        <v>1</v>
      </c>
      <c r="AF10" s="49">
        <v>0.46249999999999902</v>
      </c>
      <c r="AG10" s="49">
        <v>1</v>
      </c>
      <c r="AH10" s="48">
        <v>0.89610389610389596</v>
      </c>
    </row>
    <row r="11" spans="1:34" x14ac:dyDescent="0.35">
      <c r="A11" s="49" t="s">
        <v>34</v>
      </c>
      <c r="B11" s="49">
        <v>0.3</v>
      </c>
      <c r="C11" s="49">
        <v>0.1</v>
      </c>
      <c r="D11" s="49">
        <v>0.2</v>
      </c>
      <c r="E11" s="49">
        <v>0.5</v>
      </c>
      <c r="F11" s="49">
        <v>0.1</v>
      </c>
      <c r="G11" s="49">
        <v>0.9</v>
      </c>
      <c r="H11" s="49">
        <v>0.55416666666666603</v>
      </c>
      <c r="I11" s="49">
        <v>0.848101265822784</v>
      </c>
      <c r="J11" s="49">
        <v>0.42278481012658198</v>
      </c>
      <c r="K11" s="49">
        <v>0.13055555555555501</v>
      </c>
      <c r="L11" s="49">
        <v>0.05</v>
      </c>
      <c r="M11" s="49">
        <v>0.26216216216216198</v>
      </c>
      <c r="N11" s="49">
        <v>0.515625</v>
      </c>
      <c r="O11" s="49">
        <v>7.4999999999999997E-2</v>
      </c>
      <c r="P11" s="49">
        <v>5.0632911392405E-2</v>
      </c>
      <c r="Q11" s="49">
        <v>9.9999999999999895E-2</v>
      </c>
      <c r="R11" s="49">
        <v>0.938271604938271</v>
      </c>
      <c r="S11" s="49">
        <v>0.38271604938271597</v>
      </c>
      <c r="T11" s="49">
        <v>0.96296296296296302</v>
      </c>
      <c r="U11" s="49">
        <v>1</v>
      </c>
      <c r="V11" s="49">
        <v>1</v>
      </c>
      <c r="W11" s="49">
        <v>0.12345679012345601</v>
      </c>
      <c r="X11" s="49">
        <v>0.96296296296296302</v>
      </c>
      <c r="Y11" s="49">
        <v>0.95061728395061695</v>
      </c>
      <c r="Z11" s="49">
        <v>0.75308641975308599</v>
      </c>
      <c r="AA11" s="49">
        <v>0.35802469135802401</v>
      </c>
      <c r="AB11" s="49">
        <v>0.98765432098765404</v>
      </c>
      <c r="AC11" s="49">
        <v>1</v>
      </c>
      <c r="AD11" s="49">
        <v>0.97530864197530798</v>
      </c>
      <c r="AE11" s="49">
        <v>1</v>
      </c>
      <c r="AF11" s="49">
        <v>0.46249999999999902</v>
      </c>
      <c r="AG11" s="49">
        <v>1</v>
      </c>
      <c r="AH11" s="48">
        <v>0.89610389610389596</v>
      </c>
    </row>
    <row r="12" spans="1:34" x14ac:dyDescent="0.35">
      <c r="A12" s="49" t="s">
        <v>34</v>
      </c>
      <c r="B12" s="49">
        <v>1</v>
      </c>
      <c r="C12" s="49">
        <v>0</v>
      </c>
      <c r="D12" s="49">
        <v>0</v>
      </c>
      <c r="E12" s="49">
        <v>0</v>
      </c>
      <c r="F12" s="49">
        <v>0</v>
      </c>
      <c r="G12" s="49">
        <v>1</v>
      </c>
      <c r="H12" s="49">
        <v>0.5</v>
      </c>
      <c r="I12" s="49">
        <v>1</v>
      </c>
      <c r="J12" s="49">
        <v>0.6</v>
      </c>
      <c r="K12" s="49">
        <v>0</v>
      </c>
      <c r="L12" s="49">
        <v>0</v>
      </c>
      <c r="M12" s="49">
        <v>0.2</v>
      </c>
      <c r="N12" s="49">
        <v>0.5</v>
      </c>
      <c r="O12" s="49">
        <v>0</v>
      </c>
      <c r="P12" s="49">
        <v>0</v>
      </c>
      <c r="Q12" s="49">
        <v>0</v>
      </c>
      <c r="R12" s="49">
        <v>1</v>
      </c>
      <c r="S12" s="49">
        <v>0</v>
      </c>
      <c r="T12" s="49">
        <v>1</v>
      </c>
      <c r="U12" s="49">
        <v>1</v>
      </c>
      <c r="V12" s="49">
        <v>1</v>
      </c>
      <c r="W12" s="49">
        <v>0</v>
      </c>
      <c r="X12" s="49">
        <v>1</v>
      </c>
      <c r="Y12" s="49">
        <v>1</v>
      </c>
      <c r="Z12" s="49">
        <v>1</v>
      </c>
      <c r="AA12" s="49">
        <v>0</v>
      </c>
      <c r="AB12" s="49">
        <v>1</v>
      </c>
      <c r="AC12" s="49">
        <v>1</v>
      </c>
      <c r="AD12" s="49">
        <v>1</v>
      </c>
      <c r="AE12" s="49">
        <v>1</v>
      </c>
      <c r="AF12" s="49">
        <v>0</v>
      </c>
      <c r="AG12" s="49">
        <v>1</v>
      </c>
      <c r="AH12" s="48">
        <v>1</v>
      </c>
    </row>
    <row r="13" spans="1:34" x14ac:dyDescent="0.35">
      <c r="A13" s="49" t="s">
        <v>35</v>
      </c>
      <c r="B13" s="49">
        <v>0.5</v>
      </c>
      <c r="C13" s="49">
        <v>0</v>
      </c>
      <c r="D13" s="49">
        <v>0</v>
      </c>
      <c r="E13" s="49">
        <v>0</v>
      </c>
      <c r="F13" s="49">
        <v>0</v>
      </c>
      <c r="G13" s="49">
        <v>1</v>
      </c>
      <c r="H13" s="49">
        <v>0.5</v>
      </c>
      <c r="I13" s="49">
        <v>1</v>
      </c>
      <c r="J13" s="49">
        <v>0.6</v>
      </c>
      <c r="K13" s="49">
        <v>0</v>
      </c>
      <c r="L13" s="49">
        <v>0</v>
      </c>
      <c r="M13" s="49">
        <v>0.2</v>
      </c>
      <c r="N13" s="49">
        <v>0.5</v>
      </c>
      <c r="O13" s="49">
        <v>0</v>
      </c>
      <c r="P13" s="49">
        <v>0</v>
      </c>
      <c r="Q13" s="49">
        <v>0</v>
      </c>
      <c r="R13" s="49">
        <v>1</v>
      </c>
      <c r="S13" s="49">
        <v>0</v>
      </c>
      <c r="T13" s="49">
        <v>1</v>
      </c>
      <c r="U13" s="49">
        <v>1</v>
      </c>
      <c r="V13" s="49">
        <v>1</v>
      </c>
      <c r="W13" s="49">
        <v>0</v>
      </c>
      <c r="X13" s="49">
        <v>1</v>
      </c>
      <c r="Y13" s="49">
        <v>1</v>
      </c>
      <c r="Z13" s="49">
        <v>1</v>
      </c>
      <c r="AA13" s="49">
        <v>0</v>
      </c>
      <c r="AB13" s="49">
        <v>1</v>
      </c>
      <c r="AC13" s="49">
        <v>1</v>
      </c>
      <c r="AD13" s="49">
        <v>1</v>
      </c>
      <c r="AE13" s="49">
        <v>1</v>
      </c>
      <c r="AF13" s="49">
        <v>0</v>
      </c>
      <c r="AG13" s="49">
        <v>1</v>
      </c>
      <c r="AH13" s="48">
        <v>1</v>
      </c>
    </row>
    <row r="14" spans="1:34" x14ac:dyDescent="0.35">
      <c r="A14" s="56" t="s">
        <v>37</v>
      </c>
      <c r="B14" s="56">
        <v>0.5</v>
      </c>
      <c r="C14" s="56">
        <v>0</v>
      </c>
      <c r="D14" s="56">
        <v>0</v>
      </c>
      <c r="E14" s="56">
        <v>0</v>
      </c>
      <c r="F14" s="56">
        <v>0</v>
      </c>
      <c r="G14" s="56">
        <v>1</v>
      </c>
      <c r="H14" s="56">
        <v>0.5</v>
      </c>
      <c r="I14" s="56">
        <v>1</v>
      </c>
      <c r="J14" s="56">
        <v>0.6</v>
      </c>
      <c r="K14" s="56">
        <v>0</v>
      </c>
      <c r="L14" s="56">
        <v>0</v>
      </c>
      <c r="M14" s="56">
        <v>0</v>
      </c>
      <c r="N14" s="56">
        <v>0.5</v>
      </c>
      <c r="O14" s="56">
        <v>0</v>
      </c>
      <c r="P14" s="56">
        <v>0</v>
      </c>
      <c r="Q14" s="56">
        <v>0</v>
      </c>
      <c r="R14" s="56">
        <v>1</v>
      </c>
      <c r="S14" s="56">
        <v>0</v>
      </c>
      <c r="T14" s="56">
        <v>1</v>
      </c>
      <c r="U14" s="56">
        <v>1</v>
      </c>
      <c r="V14" s="56">
        <v>1</v>
      </c>
      <c r="W14" s="56">
        <v>0</v>
      </c>
      <c r="X14" s="56">
        <v>1</v>
      </c>
      <c r="Y14" s="56">
        <v>1</v>
      </c>
      <c r="Z14" s="56">
        <v>1</v>
      </c>
      <c r="AA14" s="56">
        <v>0</v>
      </c>
      <c r="AB14" s="56">
        <v>1</v>
      </c>
      <c r="AC14" s="56">
        <v>1</v>
      </c>
      <c r="AD14" s="56">
        <v>1</v>
      </c>
      <c r="AE14" s="56">
        <v>1</v>
      </c>
      <c r="AF14" s="56">
        <v>0</v>
      </c>
      <c r="AG14" s="56">
        <v>1</v>
      </c>
      <c r="AH14" s="56">
        <v>1</v>
      </c>
    </row>
    <row r="15" spans="1:34" x14ac:dyDescent="0.35">
      <c r="A15" s="56" t="s">
        <v>37</v>
      </c>
      <c r="B15" s="56">
        <v>0</v>
      </c>
      <c r="C15" s="56">
        <v>0.1</v>
      </c>
      <c r="D15" s="56">
        <v>0.2</v>
      </c>
      <c r="E15" s="56">
        <v>0.5</v>
      </c>
      <c r="F15" s="56">
        <v>0.1</v>
      </c>
      <c r="G15" s="56">
        <v>0.9</v>
      </c>
      <c r="H15" s="56">
        <v>0.55416666666666603</v>
      </c>
      <c r="I15" s="56">
        <v>0.848101265822784</v>
      </c>
      <c r="J15" s="56">
        <v>0.42278481012658198</v>
      </c>
      <c r="K15" s="56">
        <v>0.13055555555555501</v>
      </c>
      <c r="L15" s="56">
        <v>0.05</v>
      </c>
      <c r="M15" s="56">
        <v>0.26216216216216198</v>
      </c>
      <c r="N15" s="56">
        <v>0.515625</v>
      </c>
      <c r="O15" s="56">
        <v>7.4999999999999997E-2</v>
      </c>
      <c r="P15" s="56">
        <v>5.0632911392405E-2</v>
      </c>
      <c r="Q15" s="56">
        <v>9.9999999999999895E-2</v>
      </c>
      <c r="R15" s="56">
        <v>0.938271604938271</v>
      </c>
      <c r="S15" s="56">
        <v>0.38271604938271597</v>
      </c>
      <c r="T15" s="56">
        <v>0.96296296296296302</v>
      </c>
      <c r="U15" s="56">
        <v>1</v>
      </c>
      <c r="V15" s="56">
        <v>1</v>
      </c>
      <c r="W15" s="56">
        <v>0.12345679012345601</v>
      </c>
      <c r="X15" s="56">
        <v>0.96296296296296302</v>
      </c>
      <c r="Y15" s="56">
        <v>0.95061728395061695</v>
      </c>
      <c r="Z15" s="56">
        <v>0.75308641975308599</v>
      </c>
      <c r="AA15" s="56">
        <v>0.35802469135802401</v>
      </c>
      <c r="AB15" s="56">
        <v>0.98765432098765404</v>
      </c>
      <c r="AC15" s="56">
        <v>1</v>
      </c>
      <c r="AD15" s="56">
        <v>0.97530864197530798</v>
      </c>
      <c r="AE15" s="56">
        <v>1</v>
      </c>
      <c r="AF15" s="56">
        <v>0.46249999999999902</v>
      </c>
      <c r="AG15" s="56">
        <v>1</v>
      </c>
      <c r="AH15" s="56">
        <v>0.89610389610389596</v>
      </c>
    </row>
    <row r="16" spans="1:34" x14ac:dyDescent="0.35">
      <c r="A16" s="56" t="s">
        <v>37</v>
      </c>
      <c r="B16" s="56">
        <v>0</v>
      </c>
      <c r="C16" s="56">
        <v>0</v>
      </c>
      <c r="D16" s="56">
        <v>0</v>
      </c>
      <c r="E16" s="56">
        <v>0.7</v>
      </c>
      <c r="F16" s="56">
        <v>0.3</v>
      </c>
      <c r="G16" s="56">
        <v>1</v>
      </c>
      <c r="H16" s="56">
        <v>0.5</v>
      </c>
      <c r="I16" s="56">
        <v>1</v>
      </c>
      <c r="J16" s="56">
        <v>0.4</v>
      </c>
      <c r="K16" s="56">
        <v>0</v>
      </c>
      <c r="L16" s="56">
        <v>0</v>
      </c>
      <c r="M16" s="56">
        <v>0</v>
      </c>
      <c r="N16" s="56">
        <v>0.5</v>
      </c>
      <c r="O16" s="56">
        <v>0</v>
      </c>
      <c r="P16" s="56">
        <v>0</v>
      </c>
      <c r="Q16" s="56">
        <v>0</v>
      </c>
      <c r="R16" s="56">
        <v>1</v>
      </c>
      <c r="S16" s="56">
        <v>1</v>
      </c>
      <c r="T16" s="56">
        <v>1</v>
      </c>
      <c r="U16" s="56">
        <v>1</v>
      </c>
      <c r="V16" s="56">
        <v>1</v>
      </c>
      <c r="W16" s="56">
        <v>0</v>
      </c>
      <c r="X16" s="56">
        <v>1</v>
      </c>
      <c r="Y16" s="56">
        <v>1</v>
      </c>
      <c r="Z16" s="56">
        <v>1</v>
      </c>
      <c r="AA16" s="56">
        <v>1</v>
      </c>
      <c r="AB16" s="56">
        <v>1</v>
      </c>
      <c r="AC16" s="56">
        <v>1</v>
      </c>
      <c r="AD16" s="56">
        <v>1</v>
      </c>
      <c r="AE16" s="56">
        <v>1</v>
      </c>
      <c r="AF16" s="56">
        <v>0</v>
      </c>
      <c r="AG16" s="56">
        <v>1</v>
      </c>
      <c r="AH16" s="56">
        <v>1</v>
      </c>
    </row>
    <row r="17" spans="1:34" x14ac:dyDescent="0.35">
      <c r="A17" s="56" t="s">
        <v>37</v>
      </c>
      <c r="B17" s="56">
        <v>0</v>
      </c>
      <c r="C17" s="56">
        <v>0.1</v>
      </c>
      <c r="D17" s="56">
        <v>0.2</v>
      </c>
      <c r="E17" s="56">
        <v>0.5</v>
      </c>
      <c r="F17" s="56">
        <v>0.1</v>
      </c>
      <c r="G17" s="56">
        <v>0.9</v>
      </c>
      <c r="H17" s="56">
        <v>0.55416666666666603</v>
      </c>
      <c r="I17" s="56">
        <v>0.848101265822784</v>
      </c>
      <c r="J17" s="56">
        <v>0.42278481012658198</v>
      </c>
      <c r="K17" s="56">
        <v>0.13055555555555501</v>
      </c>
      <c r="L17" s="56">
        <v>0.05</v>
      </c>
      <c r="M17" s="56">
        <v>0.26216216216216198</v>
      </c>
      <c r="N17" s="56">
        <v>0.515625</v>
      </c>
      <c r="O17" s="56">
        <v>7.4999999999999997E-2</v>
      </c>
      <c r="P17" s="56">
        <v>5.0632911392405E-2</v>
      </c>
      <c r="Q17" s="56">
        <v>9.9999999999999895E-2</v>
      </c>
      <c r="R17" s="56">
        <v>0.938271604938271</v>
      </c>
      <c r="S17" s="56">
        <v>0.38271604938271597</v>
      </c>
      <c r="T17" s="56">
        <v>0.96296296296296302</v>
      </c>
      <c r="U17" s="56">
        <v>1</v>
      </c>
      <c r="V17" s="56">
        <v>1</v>
      </c>
      <c r="W17" s="56">
        <v>0.12345679012345601</v>
      </c>
      <c r="X17" s="56">
        <v>0.96296296296296302</v>
      </c>
      <c r="Y17" s="56">
        <v>0.95061728395061695</v>
      </c>
      <c r="Z17" s="56">
        <v>0.75308641975308599</v>
      </c>
      <c r="AA17" s="56">
        <v>0.35802469135802401</v>
      </c>
      <c r="AB17" s="56">
        <v>0.98765432098765404</v>
      </c>
      <c r="AC17" s="56">
        <v>1</v>
      </c>
      <c r="AD17" s="56">
        <v>0.97530864197530798</v>
      </c>
      <c r="AE17" s="56">
        <v>1</v>
      </c>
      <c r="AF17" s="56">
        <v>0.46249999999999902</v>
      </c>
      <c r="AG17" s="56">
        <v>1</v>
      </c>
      <c r="AH17" s="56">
        <v>0.89610389610389596</v>
      </c>
    </row>
    <row r="18" spans="1:34" x14ac:dyDescent="0.35">
      <c r="A18" s="56" t="s">
        <v>37</v>
      </c>
      <c r="B18" s="56">
        <v>0</v>
      </c>
      <c r="C18" s="56">
        <v>0.1</v>
      </c>
      <c r="D18" s="56">
        <v>0.2</v>
      </c>
      <c r="E18" s="56">
        <v>0.5</v>
      </c>
      <c r="F18" s="56">
        <v>0.1</v>
      </c>
      <c r="G18" s="56">
        <v>0.9</v>
      </c>
      <c r="H18" s="56">
        <v>0.55416666666666603</v>
      </c>
      <c r="I18" s="56">
        <v>0.848101265822784</v>
      </c>
      <c r="J18" s="56">
        <v>0.42278481012658198</v>
      </c>
      <c r="K18" s="56">
        <v>0.13055555555555501</v>
      </c>
      <c r="L18" s="56">
        <v>0.05</v>
      </c>
      <c r="M18" s="56">
        <v>0.26216216216216198</v>
      </c>
      <c r="N18" s="56">
        <v>0.515625</v>
      </c>
      <c r="O18" s="56">
        <v>7.4999999999999997E-2</v>
      </c>
      <c r="P18" s="56">
        <v>5.0632911392405E-2</v>
      </c>
      <c r="Q18" s="56">
        <v>9.9999999999999895E-2</v>
      </c>
      <c r="R18" s="56">
        <v>0.938271604938271</v>
      </c>
      <c r="S18" s="56">
        <v>0.38271604938271597</v>
      </c>
      <c r="T18" s="56">
        <v>0.96296296296296302</v>
      </c>
      <c r="U18" s="56">
        <v>1</v>
      </c>
      <c r="V18" s="56">
        <v>1</v>
      </c>
      <c r="W18" s="56">
        <v>0.12345679012345601</v>
      </c>
      <c r="X18" s="56">
        <v>0.96296296296296302</v>
      </c>
      <c r="Y18" s="56">
        <v>0.95061728395061695</v>
      </c>
      <c r="Z18" s="56">
        <v>0.75308641975308599</v>
      </c>
      <c r="AA18" s="56">
        <v>0.35802469135802401</v>
      </c>
      <c r="AB18" s="56">
        <v>0.98765432098765404</v>
      </c>
      <c r="AC18" s="56">
        <v>1</v>
      </c>
      <c r="AD18" s="56">
        <v>0.97530864197530798</v>
      </c>
      <c r="AE18" s="56">
        <v>1</v>
      </c>
      <c r="AF18" s="56">
        <v>0.46249999999999902</v>
      </c>
      <c r="AG18" s="56">
        <v>1</v>
      </c>
      <c r="AH18" s="56">
        <v>0.89610389610389596</v>
      </c>
    </row>
    <row r="19" spans="1:34" x14ac:dyDescent="0.35">
      <c r="A19" s="56" t="s">
        <v>37</v>
      </c>
      <c r="B19" s="56">
        <v>0</v>
      </c>
      <c r="C19" s="56">
        <v>0.1</v>
      </c>
      <c r="D19" s="56">
        <v>0.2</v>
      </c>
      <c r="E19" s="56">
        <v>0.5</v>
      </c>
      <c r="F19" s="56">
        <v>0.1</v>
      </c>
      <c r="G19" s="56">
        <v>0.9</v>
      </c>
      <c r="H19" s="56">
        <v>0.55416666666666603</v>
      </c>
      <c r="I19" s="56">
        <v>0.848101265822784</v>
      </c>
      <c r="J19" s="56">
        <v>0.42278481012658198</v>
      </c>
      <c r="K19" s="56">
        <v>0.13055555555555501</v>
      </c>
      <c r="L19" s="56">
        <v>0.05</v>
      </c>
      <c r="M19" s="56">
        <v>0.26216216216216198</v>
      </c>
      <c r="N19" s="56">
        <v>0.515625</v>
      </c>
      <c r="O19" s="56">
        <v>7.4999999999999997E-2</v>
      </c>
      <c r="P19" s="56">
        <v>5.0632911392405E-2</v>
      </c>
      <c r="Q19" s="56">
        <v>9.9999999999999895E-2</v>
      </c>
      <c r="R19" s="56">
        <v>0.938271604938271</v>
      </c>
      <c r="S19" s="56">
        <v>0.38271604938271597</v>
      </c>
      <c r="T19" s="56">
        <v>0.96296296296296302</v>
      </c>
      <c r="U19" s="56">
        <v>1</v>
      </c>
      <c r="V19" s="56">
        <v>1</v>
      </c>
      <c r="W19" s="56">
        <v>0.12345679012345601</v>
      </c>
      <c r="X19" s="56">
        <v>0.96296296296296302</v>
      </c>
      <c r="Y19" s="56">
        <v>0.95061728395061695</v>
      </c>
      <c r="Z19" s="56">
        <v>0.75308641975308599</v>
      </c>
      <c r="AA19" s="56">
        <v>0.35802469135802401</v>
      </c>
      <c r="AB19" s="56">
        <v>0.98765432098765404</v>
      </c>
      <c r="AC19" s="56">
        <v>1</v>
      </c>
      <c r="AD19" s="56">
        <v>0.97530864197530798</v>
      </c>
      <c r="AE19" s="56">
        <v>1</v>
      </c>
      <c r="AF19" s="56">
        <v>0.46249999999999902</v>
      </c>
      <c r="AG19" s="56">
        <v>1</v>
      </c>
      <c r="AH19" s="56">
        <v>0.89610389610389596</v>
      </c>
    </row>
    <row r="20" spans="1:34" x14ac:dyDescent="0.35">
      <c r="A20" s="56" t="s">
        <v>37</v>
      </c>
      <c r="B20" s="56">
        <v>0.2</v>
      </c>
      <c r="C20" s="56">
        <v>0</v>
      </c>
      <c r="D20" s="56">
        <v>0</v>
      </c>
      <c r="E20" s="56">
        <v>0.7</v>
      </c>
      <c r="F20" s="56">
        <v>0</v>
      </c>
      <c r="G20" s="56">
        <v>1</v>
      </c>
      <c r="H20" s="56">
        <v>0.5</v>
      </c>
      <c r="I20" s="56">
        <v>1</v>
      </c>
      <c r="J20" s="56">
        <v>0.6</v>
      </c>
      <c r="K20" s="56">
        <v>0</v>
      </c>
      <c r="L20" s="56">
        <v>0</v>
      </c>
      <c r="M20" s="56">
        <v>0</v>
      </c>
      <c r="N20" s="56">
        <v>0.5</v>
      </c>
      <c r="O20" s="56">
        <v>0</v>
      </c>
      <c r="P20" s="56">
        <v>0</v>
      </c>
      <c r="Q20" s="56">
        <v>0</v>
      </c>
      <c r="R20" s="56">
        <v>1</v>
      </c>
      <c r="S20" s="56">
        <v>0</v>
      </c>
      <c r="T20" s="56">
        <v>1</v>
      </c>
      <c r="U20" s="56">
        <v>1</v>
      </c>
      <c r="V20" s="56">
        <v>1</v>
      </c>
      <c r="W20" s="56">
        <v>0</v>
      </c>
      <c r="X20" s="56">
        <v>1</v>
      </c>
      <c r="Y20" s="56">
        <v>1</v>
      </c>
      <c r="Z20" s="56">
        <v>0</v>
      </c>
      <c r="AA20" s="56">
        <v>0</v>
      </c>
      <c r="AB20" s="56">
        <v>1</v>
      </c>
      <c r="AC20" s="56">
        <v>1</v>
      </c>
      <c r="AD20" s="56">
        <v>1</v>
      </c>
      <c r="AE20" s="56">
        <v>1</v>
      </c>
      <c r="AF20" s="56">
        <v>0</v>
      </c>
      <c r="AG20" s="56">
        <v>1</v>
      </c>
      <c r="AH20" s="56">
        <v>1</v>
      </c>
    </row>
    <row r="21" spans="1:34" x14ac:dyDescent="0.35">
      <c r="A21" s="56" t="s">
        <v>37</v>
      </c>
      <c r="B21" s="56">
        <v>0.3</v>
      </c>
      <c r="C21" s="56">
        <v>0</v>
      </c>
      <c r="D21" s="56">
        <v>0</v>
      </c>
      <c r="E21" s="56">
        <v>0.7</v>
      </c>
      <c r="F21" s="56">
        <v>0</v>
      </c>
      <c r="G21" s="56">
        <v>1</v>
      </c>
      <c r="H21" s="56">
        <v>0.5</v>
      </c>
      <c r="I21" s="56">
        <v>1</v>
      </c>
      <c r="J21" s="56">
        <v>0.6</v>
      </c>
      <c r="K21" s="56">
        <v>0</v>
      </c>
      <c r="L21" s="56">
        <v>0</v>
      </c>
      <c r="M21" s="56">
        <v>0.2</v>
      </c>
      <c r="N21" s="56">
        <v>0.5</v>
      </c>
      <c r="O21" s="56">
        <v>0</v>
      </c>
      <c r="P21" s="56">
        <v>0</v>
      </c>
      <c r="Q21" s="56">
        <v>0</v>
      </c>
      <c r="R21" s="56">
        <v>1</v>
      </c>
      <c r="S21" s="56">
        <v>1</v>
      </c>
      <c r="T21" s="56">
        <v>1</v>
      </c>
      <c r="U21" s="56">
        <v>1</v>
      </c>
      <c r="V21" s="56">
        <v>1</v>
      </c>
      <c r="W21" s="56">
        <v>0</v>
      </c>
      <c r="X21" s="56">
        <v>1</v>
      </c>
      <c r="Y21" s="56">
        <v>1</v>
      </c>
      <c r="Z21" s="56">
        <v>1</v>
      </c>
      <c r="AA21" s="56">
        <v>1</v>
      </c>
      <c r="AB21" s="56">
        <v>1</v>
      </c>
      <c r="AC21" s="56">
        <v>1</v>
      </c>
      <c r="AD21" s="56">
        <v>1</v>
      </c>
      <c r="AE21" s="56">
        <v>1</v>
      </c>
      <c r="AF21" s="56">
        <v>0</v>
      </c>
      <c r="AG21" s="56">
        <v>1</v>
      </c>
      <c r="AH21" s="56">
        <v>1</v>
      </c>
    </row>
    <row r="23" spans="1:34" x14ac:dyDescent="0.35">
      <c r="A23" s="37" t="s">
        <v>42</v>
      </c>
      <c r="B23" s="53" t="s">
        <v>55</v>
      </c>
      <c r="C23" s="54"/>
      <c r="D23" s="37" t="s">
        <v>34</v>
      </c>
      <c r="E23" s="37" t="s">
        <v>35</v>
      </c>
      <c r="F23" s="37" t="s">
        <v>112</v>
      </c>
      <c r="G23" s="37" t="s">
        <v>67</v>
      </c>
      <c r="H23" s="37" t="s">
        <v>68</v>
      </c>
    </row>
    <row r="24" spans="1:34" x14ac:dyDescent="0.35">
      <c r="A24" s="37"/>
      <c r="B24" s="37" t="s">
        <v>71</v>
      </c>
      <c r="C24" s="37" t="s">
        <v>72</v>
      </c>
      <c r="D24" s="37">
        <v>4</v>
      </c>
      <c r="E24" s="37">
        <v>8</v>
      </c>
      <c r="F24" s="37">
        <v>12</v>
      </c>
      <c r="G24" s="37"/>
      <c r="H24" s="37"/>
    </row>
    <row r="25" spans="1:34" x14ac:dyDescent="0.35">
      <c r="A25" s="55">
        <v>1</v>
      </c>
      <c r="B25" s="55" t="s">
        <v>75</v>
      </c>
      <c r="C25" s="37"/>
      <c r="D25" s="37"/>
      <c r="E25" s="37"/>
      <c r="F25" s="37"/>
      <c r="G25" s="37"/>
      <c r="H25" s="37"/>
      <c r="N25" s="60" t="s">
        <v>114</v>
      </c>
      <c r="O25" s="60" t="s">
        <v>113</v>
      </c>
      <c r="Q25" s="78" t="s">
        <v>115</v>
      </c>
      <c r="R25" s="78"/>
      <c r="S25" s="78"/>
      <c r="T25" s="78"/>
      <c r="U25" s="78"/>
    </row>
    <row r="26" spans="1:34" x14ac:dyDescent="0.35">
      <c r="A26" s="55"/>
      <c r="B26" s="55"/>
      <c r="C26" s="37" t="s">
        <v>108</v>
      </c>
      <c r="D26" s="37">
        <v>0</v>
      </c>
      <c r="E26" s="37">
        <v>9</v>
      </c>
      <c r="F26" s="37">
        <f t="shared" ref="F26:F28" si="0">SUM(D26:E26)</f>
        <v>9</v>
      </c>
      <c r="G26" s="37">
        <v>0</v>
      </c>
      <c r="H26" s="37">
        <f>F28-((F26/12)*G26)-((F27/12)*G27)</f>
        <v>10</v>
      </c>
      <c r="M26" s="59"/>
      <c r="N26" s="61" t="s">
        <v>35</v>
      </c>
      <c r="O26" s="62" t="s">
        <v>35</v>
      </c>
      <c r="Q26" s="63"/>
      <c r="R26" s="63"/>
      <c r="S26" s="63"/>
      <c r="T26" s="63"/>
      <c r="U26" s="63"/>
    </row>
    <row r="27" spans="1:34" x14ac:dyDescent="0.35">
      <c r="A27" s="55"/>
      <c r="B27" s="55"/>
      <c r="C27" s="37" t="s">
        <v>109</v>
      </c>
      <c r="D27" s="37">
        <v>1</v>
      </c>
      <c r="E27" s="37">
        <v>0</v>
      </c>
      <c r="F27" s="37">
        <f t="shared" si="0"/>
        <v>1</v>
      </c>
      <c r="G27" s="37">
        <v>0</v>
      </c>
      <c r="H27" s="37"/>
      <c r="N27" s="61" t="s">
        <v>35</v>
      </c>
      <c r="O27" s="62" t="s">
        <v>35</v>
      </c>
      <c r="Q27" s="77" t="s">
        <v>116</v>
      </c>
      <c r="R27" s="77"/>
      <c r="S27" s="77" t="s">
        <v>117</v>
      </c>
      <c r="T27" s="77"/>
      <c r="U27" s="79" t="s">
        <v>118</v>
      </c>
    </row>
    <row r="28" spans="1:34" x14ac:dyDescent="0.35">
      <c r="A28" s="55"/>
      <c r="B28" s="55"/>
      <c r="C28" s="55"/>
      <c r="D28" s="58">
        <f>SUM(D26:D27)</f>
        <v>1</v>
      </c>
      <c r="E28" s="58">
        <f>SUM(E26:E27)</f>
        <v>9</v>
      </c>
      <c r="F28" s="58">
        <f t="shared" si="0"/>
        <v>10</v>
      </c>
      <c r="G28" s="37"/>
      <c r="H28" s="37"/>
      <c r="N28" s="61" t="s">
        <v>35</v>
      </c>
      <c r="O28" s="62" t="s">
        <v>35</v>
      </c>
      <c r="Q28" s="77"/>
      <c r="R28" s="77"/>
      <c r="S28" s="64" t="s">
        <v>34</v>
      </c>
      <c r="T28" s="64" t="s">
        <v>35</v>
      </c>
      <c r="U28" s="79"/>
    </row>
    <row r="29" spans="1:34" x14ac:dyDescent="0.35">
      <c r="A29" s="55">
        <v>2</v>
      </c>
      <c r="B29" s="55" t="s">
        <v>73</v>
      </c>
      <c r="C29" s="37"/>
      <c r="D29" s="37"/>
      <c r="E29" s="37"/>
      <c r="F29" s="37"/>
      <c r="G29" s="37"/>
      <c r="H29" s="37"/>
      <c r="N29" s="61" t="s">
        <v>35</v>
      </c>
      <c r="O29" s="62" t="s">
        <v>35</v>
      </c>
      <c r="Q29" s="77" t="s">
        <v>113</v>
      </c>
      <c r="R29" s="64" t="s">
        <v>34</v>
      </c>
      <c r="S29" s="64">
        <v>0</v>
      </c>
      <c r="T29" s="64">
        <v>0</v>
      </c>
      <c r="U29" s="65">
        <v>0</v>
      </c>
    </row>
    <row r="30" spans="1:34" x14ac:dyDescent="0.35">
      <c r="A30" s="55"/>
      <c r="B30" s="55"/>
      <c r="C30" s="37">
        <v>0.1</v>
      </c>
      <c r="D30" s="37">
        <v>0</v>
      </c>
      <c r="E30" s="37">
        <v>6</v>
      </c>
      <c r="F30" s="37">
        <f>SUM(D30:E30)</f>
        <v>6</v>
      </c>
      <c r="G30" s="37">
        <v>0</v>
      </c>
      <c r="H30" s="37">
        <f>F32-((F30/12)*G30)-((F31/12)*G31)</f>
        <v>9.7295739585136225</v>
      </c>
      <c r="N30" s="61" t="s">
        <v>35</v>
      </c>
      <c r="O30" s="62" t="s">
        <v>35</v>
      </c>
      <c r="Q30" s="77"/>
      <c r="R30" s="64" t="s">
        <v>35</v>
      </c>
      <c r="S30" s="64">
        <v>1</v>
      </c>
      <c r="T30" s="64">
        <v>7</v>
      </c>
      <c r="U30" s="65">
        <f>T30/(S30+T30)</f>
        <v>0.875</v>
      </c>
    </row>
    <row r="31" spans="1:34" x14ac:dyDescent="0.35">
      <c r="A31" s="55"/>
      <c r="B31" s="55"/>
      <c r="C31" s="37">
        <v>0.2</v>
      </c>
      <c r="D31" s="37">
        <f>COUNTIFS($C$2:$C$13,C31,$A$2:$A$13,$D$23)</f>
        <v>1</v>
      </c>
      <c r="E31" s="37">
        <v>3</v>
      </c>
      <c r="F31" s="37">
        <f>SUM(D31:E31)</f>
        <v>4</v>
      </c>
      <c r="G31" s="37">
        <f>((-D31/F31)*IMLOG2(D31/F31)+(-E31/F31)*IMLOG2(E31/F31))</f>
        <v>0.81127812445913294</v>
      </c>
      <c r="H31" s="37"/>
      <c r="N31" s="61" t="s">
        <v>35</v>
      </c>
      <c r="O31" s="62" t="s">
        <v>35</v>
      </c>
      <c r="Q31" s="77" t="s">
        <v>119</v>
      </c>
      <c r="R31" s="77"/>
      <c r="S31" s="65">
        <f>S29/(S29+S30)</f>
        <v>0</v>
      </c>
      <c r="T31" s="65">
        <f>T30/(T29+T30)</f>
        <v>1</v>
      </c>
      <c r="U31" s="65"/>
    </row>
    <row r="32" spans="1:34" x14ac:dyDescent="0.35">
      <c r="A32" s="55"/>
      <c r="B32" s="55"/>
      <c r="C32" s="37"/>
      <c r="D32" s="57">
        <v>1</v>
      </c>
      <c r="E32" s="57">
        <v>9</v>
      </c>
      <c r="F32" s="57">
        <v>10</v>
      </c>
      <c r="G32" s="37"/>
      <c r="H32" s="37"/>
      <c r="N32" s="61" t="s">
        <v>35</v>
      </c>
      <c r="O32" s="62" t="s">
        <v>35</v>
      </c>
      <c r="Q32" s="63"/>
      <c r="R32" s="63"/>
      <c r="S32" s="63"/>
      <c r="T32" s="63"/>
      <c r="U32" s="63"/>
    </row>
    <row r="33" spans="1:21" x14ac:dyDescent="0.35">
      <c r="A33" s="55">
        <v>3</v>
      </c>
      <c r="B33" s="55" t="s">
        <v>74</v>
      </c>
      <c r="C33" s="37"/>
      <c r="D33" s="37"/>
      <c r="E33" s="37"/>
      <c r="F33" s="37"/>
      <c r="G33" s="37"/>
      <c r="H33" s="37"/>
      <c r="N33" s="61" t="s">
        <v>34</v>
      </c>
      <c r="O33" s="62" t="s">
        <v>35</v>
      </c>
      <c r="Q33" s="77" t="s">
        <v>120</v>
      </c>
      <c r="R33" s="77"/>
      <c r="S33" s="77"/>
      <c r="T33" s="77"/>
      <c r="U33" s="65">
        <f>(S29+T30)/(S29+T29+S30+T30)</f>
        <v>0.875</v>
      </c>
    </row>
    <row r="34" spans="1:21" x14ac:dyDescent="0.35">
      <c r="A34" s="55"/>
      <c r="B34" s="55"/>
      <c r="C34" s="37" t="s">
        <v>106</v>
      </c>
      <c r="D34" s="37">
        <v>1</v>
      </c>
      <c r="E34" s="37">
        <v>3</v>
      </c>
      <c r="F34" s="37">
        <v>4</v>
      </c>
      <c r="G34" s="37">
        <f>((-D34/F34)*IMLOG2(D34/F34)+(-E34/F34)*IMLOG2(E34/F34))</f>
        <v>0.81127812445913294</v>
      </c>
      <c r="H34" s="37">
        <f>F36-((F34/12)*G34)-((F35/12)*G35)</f>
        <v>8.7295739585136225</v>
      </c>
    </row>
    <row r="35" spans="1:21" x14ac:dyDescent="0.35">
      <c r="A35" s="55"/>
      <c r="B35" s="55"/>
      <c r="C35" s="37" t="s">
        <v>107</v>
      </c>
      <c r="D35" s="37">
        <v>0</v>
      </c>
      <c r="E35" s="37">
        <v>6</v>
      </c>
      <c r="F35" s="37">
        <v>6</v>
      </c>
      <c r="G35" s="37">
        <v>0</v>
      </c>
      <c r="H35" s="37"/>
    </row>
    <row r="36" spans="1:21" x14ac:dyDescent="0.35">
      <c r="A36" s="55"/>
      <c r="B36" s="55"/>
      <c r="C36" s="37"/>
      <c r="D36" s="57">
        <v>1</v>
      </c>
      <c r="E36" s="57">
        <v>9</v>
      </c>
      <c r="F36" s="57">
        <v>9</v>
      </c>
      <c r="G36" s="37"/>
      <c r="H36" s="37"/>
    </row>
    <row r="37" spans="1:21" x14ac:dyDescent="0.35">
      <c r="A37" s="55">
        <v>4</v>
      </c>
      <c r="B37" s="55" t="s">
        <v>76</v>
      </c>
      <c r="C37" s="37"/>
      <c r="D37" s="37"/>
      <c r="E37" s="37"/>
      <c r="F37" s="37"/>
      <c r="G37" s="37"/>
      <c r="H37" s="37"/>
    </row>
    <row r="38" spans="1:21" x14ac:dyDescent="0.35">
      <c r="A38" s="55"/>
      <c r="B38" s="55"/>
      <c r="C38" s="55" t="s">
        <v>110</v>
      </c>
      <c r="D38" s="37">
        <v>1</v>
      </c>
      <c r="E38" s="37">
        <v>9</v>
      </c>
      <c r="F38" s="37">
        <v>10</v>
      </c>
      <c r="G38" s="37">
        <f>((-D38/F38)*IMLOG2(D38/F38)+(-E38/F38)*IMLOG2(E38/F38))</f>
        <v>0.468995593589281</v>
      </c>
      <c r="H38" s="37">
        <f>F40-((F38/12)*G38)-((F39/12)*G39)</f>
        <v>9.6091703386755984</v>
      </c>
    </row>
    <row r="39" spans="1:21" x14ac:dyDescent="0.35">
      <c r="A39" s="55"/>
      <c r="B39" s="55"/>
      <c r="C39" s="55" t="s">
        <v>111</v>
      </c>
      <c r="D39" s="37">
        <v>0</v>
      </c>
      <c r="E39" s="37">
        <v>0</v>
      </c>
      <c r="F39" s="37">
        <v>0</v>
      </c>
      <c r="G39" s="37">
        <v>0</v>
      </c>
      <c r="H39" s="37"/>
    </row>
    <row r="40" spans="1:21" x14ac:dyDescent="0.35">
      <c r="A40" s="55"/>
      <c r="B40" s="55"/>
      <c r="C40" s="37"/>
      <c r="D40" s="57">
        <v>2</v>
      </c>
      <c r="E40" s="57">
        <v>5</v>
      </c>
      <c r="F40" s="57">
        <v>10</v>
      </c>
      <c r="G40" s="37"/>
      <c r="H40" s="37"/>
    </row>
    <row r="41" spans="1:21" x14ac:dyDescent="0.35">
      <c r="A41" s="55">
        <v>5</v>
      </c>
      <c r="B41" s="55" t="s">
        <v>77</v>
      </c>
      <c r="C41" s="37"/>
      <c r="D41" s="37"/>
      <c r="E41" s="37"/>
      <c r="F41" s="37"/>
      <c r="G41" s="37"/>
      <c r="H41" s="37"/>
    </row>
    <row r="42" spans="1:21" x14ac:dyDescent="0.35">
      <c r="A42" s="55"/>
      <c r="B42" s="55"/>
      <c r="C42" s="37" t="s">
        <v>106</v>
      </c>
      <c r="D42" s="37">
        <v>0</v>
      </c>
      <c r="E42" s="37">
        <v>8</v>
      </c>
      <c r="F42" s="37">
        <v>8</v>
      </c>
      <c r="G42" s="37">
        <v>0</v>
      </c>
      <c r="H42" s="37">
        <f>F44-((F42/12)*G42)-((F43/12)*G43)</f>
        <v>9.8333333333333339</v>
      </c>
    </row>
    <row r="43" spans="1:21" x14ac:dyDescent="0.35">
      <c r="A43" s="55"/>
      <c r="B43" s="55"/>
      <c r="C43" s="37" t="s">
        <v>107</v>
      </c>
      <c r="D43" s="37">
        <v>1</v>
      </c>
      <c r="E43" s="37">
        <v>1</v>
      </c>
      <c r="F43" s="37">
        <v>2</v>
      </c>
      <c r="G43" s="37">
        <f>((-D43/F43)*IMLOG2(D43/F43)+(-E43/F43)*IMLOG2(E43/F43))</f>
        <v>1</v>
      </c>
      <c r="H43" s="37"/>
    </row>
    <row r="44" spans="1:21" x14ac:dyDescent="0.35">
      <c r="A44" s="55"/>
      <c r="B44" s="55"/>
      <c r="C44" s="37"/>
      <c r="D44" s="57">
        <v>1</v>
      </c>
      <c r="E44" s="57">
        <v>9</v>
      </c>
      <c r="F44" s="57">
        <v>10</v>
      </c>
      <c r="G44" s="37"/>
      <c r="H44" s="37"/>
    </row>
    <row r="45" spans="1:21" x14ac:dyDescent="0.35">
      <c r="A45" s="37">
        <v>6</v>
      </c>
      <c r="B45" s="37" t="s">
        <v>78</v>
      </c>
      <c r="C45" s="37"/>
      <c r="D45" s="37"/>
      <c r="E45" s="37"/>
      <c r="F45" s="37"/>
      <c r="G45" s="37"/>
      <c r="H45" s="37"/>
    </row>
    <row r="46" spans="1:21" x14ac:dyDescent="0.35">
      <c r="A46" s="37"/>
      <c r="B46" s="37"/>
      <c r="C46" s="55" t="s">
        <v>110</v>
      </c>
      <c r="D46" s="37">
        <v>0</v>
      </c>
      <c r="E46" s="37">
        <v>0</v>
      </c>
      <c r="F46" s="37">
        <v>0</v>
      </c>
      <c r="G46" s="37">
        <v>0</v>
      </c>
      <c r="H46" s="37">
        <f>F48-((F46/12)*G46)-((F47/12)*G47)</f>
        <v>9.6091703386755984</v>
      </c>
    </row>
    <row r="47" spans="1:21" x14ac:dyDescent="0.35">
      <c r="A47" s="37"/>
      <c r="B47" s="37"/>
      <c r="C47" s="55" t="s">
        <v>111</v>
      </c>
      <c r="D47" s="37">
        <v>1</v>
      </c>
      <c r="E47" s="37">
        <v>9</v>
      </c>
      <c r="F47" s="37">
        <v>10</v>
      </c>
      <c r="G47" s="37">
        <f>((-D47/F47)*IMLOG2(D47/F47)+(-E47/F47)*IMLOG2(E47/F47))</f>
        <v>0.468995593589281</v>
      </c>
      <c r="H47" s="37"/>
    </row>
    <row r="48" spans="1:21" x14ac:dyDescent="0.35">
      <c r="A48" s="37"/>
      <c r="B48" s="37"/>
      <c r="C48" s="37"/>
      <c r="D48" s="57">
        <v>1</v>
      </c>
      <c r="E48" s="57">
        <v>9</v>
      </c>
      <c r="F48" s="57">
        <v>10</v>
      </c>
      <c r="G48" s="37"/>
      <c r="H48" s="37"/>
    </row>
    <row r="49" spans="1:8" x14ac:dyDescent="0.35">
      <c r="A49" s="37">
        <v>7</v>
      </c>
      <c r="B49" s="37" t="s">
        <v>79</v>
      </c>
      <c r="C49" s="37"/>
      <c r="D49" s="37"/>
      <c r="E49" s="37"/>
      <c r="F49" s="37"/>
      <c r="G49" s="37"/>
      <c r="H49" s="37"/>
    </row>
    <row r="50" spans="1:8" x14ac:dyDescent="0.35">
      <c r="A50" s="37"/>
      <c r="B50" s="37"/>
      <c r="C50" s="37" t="s">
        <v>108</v>
      </c>
      <c r="D50" s="37">
        <v>0</v>
      </c>
      <c r="E50" s="37">
        <v>0</v>
      </c>
      <c r="F50" s="37">
        <v>0</v>
      </c>
      <c r="G50" s="37">
        <v>0</v>
      </c>
      <c r="H50" s="37">
        <f>F52-((F50/12)*G50)-((F51/12)*G51)</f>
        <v>9.6091703386755984</v>
      </c>
    </row>
    <row r="51" spans="1:8" x14ac:dyDescent="0.35">
      <c r="A51" s="37"/>
      <c r="B51" s="37"/>
      <c r="C51" s="37" t="s">
        <v>109</v>
      </c>
      <c r="D51" s="37">
        <v>1</v>
      </c>
      <c r="E51" s="37">
        <v>9</v>
      </c>
      <c r="F51" s="37">
        <v>10</v>
      </c>
      <c r="G51" s="37">
        <f>((-D51/F51)*IMLOG2(D51/F51)+(-E51/F51)*IMLOG2(E51/F51))</f>
        <v>0.468995593589281</v>
      </c>
      <c r="H51" s="37"/>
    </row>
    <row r="52" spans="1:8" x14ac:dyDescent="0.35">
      <c r="A52" s="37"/>
      <c r="B52" s="37"/>
      <c r="C52" s="55"/>
      <c r="D52" s="57">
        <v>1</v>
      </c>
      <c r="E52" s="57">
        <v>9</v>
      </c>
      <c r="F52" s="57">
        <v>10</v>
      </c>
      <c r="G52" s="37"/>
      <c r="H52" s="37"/>
    </row>
    <row r="53" spans="1:8" x14ac:dyDescent="0.35">
      <c r="A53" s="37">
        <v>8</v>
      </c>
      <c r="B53" s="37" t="s">
        <v>80</v>
      </c>
      <c r="C53" s="37"/>
      <c r="D53" s="37"/>
      <c r="E53" s="37"/>
      <c r="F53" s="37"/>
      <c r="G53" s="37"/>
      <c r="H53" s="37"/>
    </row>
    <row r="54" spans="1:8" x14ac:dyDescent="0.35">
      <c r="A54" s="37"/>
      <c r="B54" s="37"/>
      <c r="C54" s="55" t="s">
        <v>110</v>
      </c>
      <c r="D54" s="37">
        <v>0</v>
      </c>
      <c r="E54" s="37">
        <v>0</v>
      </c>
      <c r="F54" s="37">
        <v>0</v>
      </c>
      <c r="G54" s="37">
        <v>0</v>
      </c>
      <c r="H54" s="37">
        <f>F56-((F54/12)*G54)-((F55/12)*G55)</f>
        <v>9.6091703386755984</v>
      </c>
    </row>
    <row r="55" spans="1:8" x14ac:dyDescent="0.35">
      <c r="A55" s="37"/>
      <c r="B55" s="37"/>
      <c r="C55" s="55" t="s">
        <v>111</v>
      </c>
      <c r="D55" s="37">
        <v>1</v>
      </c>
      <c r="E55" s="37">
        <v>9</v>
      </c>
      <c r="F55" s="37">
        <v>10</v>
      </c>
      <c r="G55" s="37">
        <f>((-D55/F55)*IMLOG2(D55/F55)+(-E55/F55)*IMLOG2(E55/F55))</f>
        <v>0.468995593589281</v>
      </c>
      <c r="H55" s="37"/>
    </row>
    <row r="56" spans="1:8" x14ac:dyDescent="0.35">
      <c r="A56" s="37"/>
      <c r="B56" s="37"/>
      <c r="C56" s="37"/>
      <c r="D56" s="57">
        <v>1</v>
      </c>
      <c r="E56" s="57">
        <v>9</v>
      </c>
      <c r="F56" s="57">
        <v>10</v>
      </c>
      <c r="G56" s="37"/>
      <c r="H56" s="37"/>
    </row>
    <row r="57" spans="1:8" x14ac:dyDescent="0.35">
      <c r="A57" s="37">
        <v>9</v>
      </c>
      <c r="B57" s="37" t="s">
        <v>81</v>
      </c>
      <c r="C57" s="37"/>
      <c r="D57" s="37"/>
      <c r="E57" s="37"/>
      <c r="F57" s="37"/>
      <c r="G57" s="37"/>
      <c r="H57" s="37"/>
    </row>
    <row r="58" spans="1:8" x14ac:dyDescent="0.35">
      <c r="A58" s="37"/>
      <c r="B58" s="37"/>
      <c r="C58" s="37" t="s">
        <v>108</v>
      </c>
      <c r="D58" s="37">
        <v>1</v>
      </c>
      <c r="E58" s="37">
        <v>7</v>
      </c>
      <c r="F58" s="37">
        <v>8</v>
      </c>
      <c r="G58" s="37">
        <f>((-D58/F58)*IMLOG2(D58/F58)+(-E58/F58)*IMLOG2(E58/F58))</f>
        <v>0.54356444319959651</v>
      </c>
      <c r="H58" s="37">
        <f>F60-((F58/12)*G58)-((F59/12)*G59)</f>
        <v>9.6376237045336026</v>
      </c>
    </row>
    <row r="59" spans="1:8" x14ac:dyDescent="0.35">
      <c r="A59" s="37"/>
      <c r="B59" s="37"/>
      <c r="C59" s="37" t="s">
        <v>109</v>
      </c>
      <c r="D59" s="37">
        <v>0</v>
      </c>
      <c r="E59" s="37">
        <v>2</v>
      </c>
      <c r="F59" s="37">
        <v>2</v>
      </c>
      <c r="G59" s="37">
        <v>0</v>
      </c>
      <c r="H59" s="37"/>
    </row>
    <row r="60" spans="1:8" x14ac:dyDescent="0.35">
      <c r="A60" s="37"/>
      <c r="B60" s="37"/>
      <c r="C60" s="55"/>
      <c r="D60" s="57">
        <v>1</v>
      </c>
      <c r="E60" s="57">
        <v>9</v>
      </c>
      <c r="F60" s="57">
        <v>10</v>
      </c>
      <c r="G60" s="37"/>
      <c r="H60" s="37"/>
    </row>
    <row r="61" spans="1:8" x14ac:dyDescent="0.35">
      <c r="A61" s="37">
        <v>10</v>
      </c>
      <c r="B61" s="37" t="s">
        <v>82</v>
      </c>
      <c r="C61" s="37"/>
      <c r="D61" s="37"/>
      <c r="E61" s="37"/>
      <c r="F61" s="37"/>
      <c r="G61" s="37"/>
      <c r="H61" s="37"/>
    </row>
    <row r="62" spans="1:8" x14ac:dyDescent="0.35">
      <c r="A62" s="37"/>
      <c r="B62" s="37"/>
      <c r="C62" s="37" t="s">
        <v>106</v>
      </c>
      <c r="D62" s="37">
        <v>1</v>
      </c>
      <c r="E62" s="37">
        <v>9</v>
      </c>
      <c r="F62" s="37">
        <v>10</v>
      </c>
      <c r="G62" s="37">
        <f>((-D62/F62)*IMLOG2(D62/F62)+(-E62/F62)*IMLOG2(E62/F62))</f>
        <v>0.468995593589281</v>
      </c>
      <c r="H62" s="37">
        <f>F64-((F62/12)*G62)-((F63/12)*G63)</f>
        <v>9.6091703386755984</v>
      </c>
    </row>
    <row r="63" spans="1:8" x14ac:dyDescent="0.35">
      <c r="A63" s="37"/>
      <c r="B63" s="37"/>
      <c r="C63" s="37" t="s">
        <v>107</v>
      </c>
      <c r="D63" s="37">
        <v>0</v>
      </c>
      <c r="E63" s="37">
        <v>0</v>
      </c>
      <c r="F63" s="37">
        <v>0</v>
      </c>
      <c r="G63" s="37">
        <v>0</v>
      </c>
      <c r="H63" s="37"/>
    </row>
    <row r="64" spans="1:8" x14ac:dyDescent="0.35">
      <c r="A64" s="37"/>
      <c r="B64" s="37"/>
      <c r="C64" s="37"/>
      <c r="D64" s="57">
        <v>1</v>
      </c>
      <c r="E64" s="57">
        <v>9</v>
      </c>
      <c r="F64" s="57">
        <v>10</v>
      </c>
      <c r="G64" s="37"/>
      <c r="H64" s="37"/>
    </row>
    <row r="65" spans="1:8" x14ac:dyDescent="0.35">
      <c r="A65" s="37">
        <v>11</v>
      </c>
      <c r="B65" s="37" t="s">
        <v>83</v>
      </c>
      <c r="C65" s="37"/>
      <c r="D65" s="37"/>
      <c r="E65" s="37"/>
      <c r="F65" s="37"/>
      <c r="G65" s="37"/>
      <c r="H65" s="37"/>
    </row>
    <row r="66" spans="1:8" x14ac:dyDescent="0.35">
      <c r="A66" s="37"/>
      <c r="B66" s="37"/>
      <c r="C66" s="37" t="s">
        <v>106</v>
      </c>
      <c r="D66" s="37">
        <v>1</v>
      </c>
      <c r="E66" s="37">
        <v>9</v>
      </c>
      <c r="F66" s="37">
        <v>10</v>
      </c>
      <c r="G66" s="37">
        <f>((-D66/F66)*IMLOG2(D66/F66)+(-E66/F66)*IMLOG2(E66/F66))</f>
        <v>0.468995593589281</v>
      </c>
      <c r="H66" s="37">
        <f>F68-((F66/12)*G66)-((F67/12)*G67)</f>
        <v>9.6091703386755984</v>
      </c>
    </row>
    <row r="67" spans="1:8" x14ac:dyDescent="0.35">
      <c r="A67" s="37"/>
      <c r="B67" s="37"/>
      <c r="C67" s="37" t="s">
        <v>107</v>
      </c>
      <c r="D67" s="37">
        <v>0</v>
      </c>
      <c r="E67" s="37">
        <v>0</v>
      </c>
      <c r="F67" s="37">
        <v>0</v>
      </c>
      <c r="G67" s="37">
        <v>0</v>
      </c>
      <c r="H67" s="37"/>
    </row>
    <row r="68" spans="1:8" x14ac:dyDescent="0.35">
      <c r="A68" s="37"/>
      <c r="B68" s="37"/>
      <c r="C68" s="37"/>
      <c r="D68" s="57">
        <v>1</v>
      </c>
      <c r="E68" s="57">
        <v>9</v>
      </c>
      <c r="F68" s="57">
        <v>10</v>
      </c>
      <c r="G68" s="37"/>
      <c r="H68" s="37"/>
    </row>
    <row r="69" spans="1:8" x14ac:dyDescent="0.35">
      <c r="A69" s="37">
        <v>12</v>
      </c>
      <c r="B69" s="37" t="s">
        <v>84</v>
      </c>
      <c r="C69" s="37"/>
      <c r="D69" s="37"/>
      <c r="E69" s="37"/>
      <c r="F69" s="37"/>
      <c r="G69" s="37"/>
      <c r="H69" s="37"/>
    </row>
    <row r="70" spans="1:8" x14ac:dyDescent="0.35">
      <c r="A70" s="37"/>
      <c r="B70" s="37"/>
      <c r="C70" s="37" t="s">
        <v>106</v>
      </c>
      <c r="D70" s="37">
        <v>1</v>
      </c>
      <c r="E70" s="37">
        <v>3</v>
      </c>
      <c r="F70" s="37">
        <v>4</v>
      </c>
      <c r="G70" s="37">
        <f>((-D70/F70)*IMLOG2(D70/F70)+(-E70/F70)*IMLOG2(E70/F70))</f>
        <v>0.81127812445913294</v>
      </c>
      <c r="H70" s="37">
        <f>F72-((F70/12)*G70)-((F71/12)*G71)</f>
        <v>9.7295739585136225</v>
      </c>
    </row>
    <row r="71" spans="1:8" x14ac:dyDescent="0.35">
      <c r="A71" s="37"/>
      <c r="B71" s="37"/>
      <c r="C71" s="37" t="s">
        <v>107</v>
      </c>
      <c r="D71" s="37">
        <v>0</v>
      </c>
      <c r="E71" s="37">
        <v>6</v>
      </c>
      <c r="F71" s="37">
        <v>6</v>
      </c>
      <c r="G71" s="37">
        <v>0</v>
      </c>
      <c r="H71" s="37"/>
    </row>
    <row r="72" spans="1:8" x14ac:dyDescent="0.35">
      <c r="A72" s="37"/>
      <c r="B72" s="37"/>
      <c r="C72" s="37"/>
      <c r="D72" s="57">
        <v>1</v>
      </c>
      <c r="E72" s="57">
        <v>9</v>
      </c>
      <c r="F72" s="57">
        <v>10</v>
      </c>
      <c r="G72" s="37"/>
      <c r="H72" s="37"/>
    </row>
    <row r="73" spans="1:8" x14ac:dyDescent="0.35">
      <c r="A73" s="37">
        <v>13</v>
      </c>
      <c r="B73" s="37" t="s">
        <v>85</v>
      </c>
      <c r="C73" s="37"/>
      <c r="D73" s="37"/>
      <c r="E73" s="37"/>
      <c r="F73" s="37"/>
      <c r="G73" s="37"/>
      <c r="H73" s="37"/>
    </row>
    <row r="74" spans="1:8" x14ac:dyDescent="0.35">
      <c r="A74" s="37"/>
      <c r="B74" s="37"/>
      <c r="C74" s="37" t="s">
        <v>108</v>
      </c>
      <c r="D74" s="37">
        <v>1</v>
      </c>
      <c r="E74" s="37">
        <v>8</v>
      </c>
      <c r="F74" s="37">
        <v>9</v>
      </c>
      <c r="G74" s="37">
        <f>((-D74/F74)*IMLOG2(D74/F74)+(-E74/F74)*IMLOG2(E74/F74))</f>
        <v>0.50325833477564508</v>
      </c>
      <c r="H74" s="37">
        <f>F76-((F74/12)*G74)-((F75/12)*G75)</f>
        <v>9.6225562489182668</v>
      </c>
    </row>
    <row r="75" spans="1:8" x14ac:dyDescent="0.35">
      <c r="A75" s="37"/>
      <c r="B75" s="37"/>
      <c r="C75" s="37" t="s">
        <v>109</v>
      </c>
      <c r="D75" s="37">
        <v>0</v>
      </c>
      <c r="E75" s="37">
        <v>1</v>
      </c>
      <c r="F75" s="37">
        <v>1</v>
      </c>
      <c r="G75" s="37">
        <v>0</v>
      </c>
      <c r="H75" s="37"/>
    </row>
    <row r="76" spans="1:8" x14ac:dyDescent="0.35">
      <c r="A76" s="37"/>
      <c r="B76" s="37"/>
      <c r="C76" s="55"/>
      <c r="D76" s="57">
        <v>1</v>
      </c>
      <c r="E76" s="57">
        <v>9</v>
      </c>
      <c r="F76" s="57">
        <v>10</v>
      </c>
      <c r="G76" s="37"/>
      <c r="H76" s="37"/>
    </row>
    <row r="77" spans="1:8" x14ac:dyDescent="0.35">
      <c r="A77" s="37">
        <v>14</v>
      </c>
      <c r="B77" s="37" t="s">
        <v>86</v>
      </c>
      <c r="C77" s="37"/>
      <c r="D77" s="37"/>
      <c r="E77" s="37"/>
      <c r="F77" s="37"/>
      <c r="G77" s="37"/>
      <c r="H77" s="37"/>
    </row>
    <row r="78" spans="1:8" x14ac:dyDescent="0.35">
      <c r="A78" s="37"/>
      <c r="B78" s="37"/>
      <c r="C78" s="37" t="s">
        <v>106</v>
      </c>
      <c r="D78" s="37">
        <v>1</v>
      </c>
      <c r="E78" s="37">
        <v>7</v>
      </c>
      <c r="F78" s="37">
        <v>8</v>
      </c>
      <c r="G78" s="37">
        <f>((-D78/F78)*IMLOG2(D78/F78)+(-E78/F78)*IMLOG2(E78/F78))</f>
        <v>0.54356444319959651</v>
      </c>
      <c r="H78" s="37">
        <f>F80-((F78/12)*G78)-((F79/12)*G79)</f>
        <v>9.6376237045336026</v>
      </c>
    </row>
    <row r="79" spans="1:8" x14ac:dyDescent="0.35">
      <c r="A79" s="37"/>
      <c r="B79" s="37"/>
      <c r="C79" s="37" t="s">
        <v>107</v>
      </c>
      <c r="D79" s="37">
        <v>0</v>
      </c>
      <c r="E79" s="37">
        <v>2</v>
      </c>
      <c r="F79" s="37">
        <v>2</v>
      </c>
      <c r="G79" s="37">
        <v>0</v>
      </c>
      <c r="H79" s="37"/>
    </row>
    <row r="80" spans="1:8" x14ac:dyDescent="0.35">
      <c r="A80" s="37"/>
      <c r="B80" s="37"/>
      <c r="C80" s="37"/>
      <c r="D80" s="57">
        <v>1</v>
      </c>
      <c r="E80" s="57">
        <v>9</v>
      </c>
      <c r="F80" s="57">
        <v>10</v>
      </c>
      <c r="G80" s="37"/>
      <c r="H80" s="37"/>
    </row>
    <row r="81" spans="1:8" x14ac:dyDescent="0.35">
      <c r="A81" s="37">
        <v>15</v>
      </c>
      <c r="B81" s="37" t="s">
        <v>87</v>
      </c>
      <c r="C81" s="37"/>
      <c r="D81" s="37"/>
      <c r="E81" s="37"/>
      <c r="F81" s="37"/>
      <c r="G81" s="37"/>
      <c r="H81" s="37"/>
    </row>
    <row r="82" spans="1:8" x14ac:dyDescent="0.35">
      <c r="A82" s="37"/>
      <c r="B82" s="37"/>
      <c r="C82" s="37" t="s">
        <v>106</v>
      </c>
      <c r="D82" s="37">
        <v>1</v>
      </c>
      <c r="E82" s="37">
        <v>9</v>
      </c>
      <c r="F82" s="37">
        <v>10</v>
      </c>
      <c r="G82" s="37">
        <f>((-D82/F82)*IMLOG2(D82/F82)+(-E82/F82)*IMLOG2(E82/F82))</f>
        <v>0.468995593589281</v>
      </c>
      <c r="H82" s="37">
        <f>F84-((F82/12)*G82)-((F83/12)*G83)</f>
        <v>9.6091703386755984</v>
      </c>
    </row>
    <row r="83" spans="1:8" x14ac:dyDescent="0.35">
      <c r="A83" s="37"/>
      <c r="B83" s="37"/>
      <c r="C83" s="37" t="s">
        <v>107</v>
      </c>
      <c r="D83" s="37">
        <v>0</v>
      </c>
      <c r="E83" s="37">
        <v>0</v>
      </c>
      <c r="F83" s="37">
        <v>0</v>
      </c>
      <c r="G83" s="37">
        <v>0</v>
      </c>
      <c r="H83" s="37"/>
    </row>
    <row r="84" spans="1:8" x14ac:dyDescent="0.35">
      <c r="A84" s="37"/>
      <c r="B84" s="37"/>
      <c r="C84" s="37"/>
      <c r="D84" s="57">
        <v>1</v>
      </c>
      <c r="E84" s="57">
        <v>9</v>
      </c>
      <c r="F84" s="57">
        <v>10</v>
      </c>
      <c r="G84" s="37"/>
      <c r="H84" s="37"/>
    </row>
    <row r="85" spans="1:8" x14ac:dyDescent="0.35">
      <c r="A85" s="37">
        <v>16</v>
      </c>
      <c r="B85" s="37" t="s">
        <v>88</v>
      </c>
      <c r="C85" s="37"/>
      <c r="D85" s="37"/>
      <c r="E85" s="37"/>
      <c r="F85" s="37"/>
      <c r="G85" s="37"/>
      <c r="H85" s="37"/>
    </row>
    <row r="86" spans="1:8" x14ac:dyDescent="0.35">
      <c r="A86" s="37"/>
      <c r="B86" s="37"/>
      <c r="C86" s="37" t="s">
        <v>106</v>
      </c>
      <c r="D86" s="37">
        <v>1</v>
      </c>
      <c r="E86" s="37">
        <v>9</v>
      </c>
      <c r="F86" s="37">
        <v>10</v>
      </c>
      <c r="G86" s="37">
        <f>((-D86/F86)*IMLOG2(D86/F86)+(-E86/F86)*IMLOG2(E86/F86))</f>
        <v>0.468995593589281</v>
      </c>
      <c r="H86" s="37">
        <f>F88-((F86/12)*G86)-((F87/12)*G87)</f>
        <v>9.6091703386755984</v>
      </c>
    </row>
    <row r="87" spans="1:8" x14ac:dyDescent="0.35">
      <c r="A87" s="37"/>
      <c r="B87" s="37"/>
      <c r="C87" s="37" t="s">
        <v>107</v>
      </c>
      <c r="D87" s="37">
        <v>0</v>
      </c>
      <c r="E87" s="37">
        <v>0</v>
      </c>
      <c r="F87" s="37">
        <v>0</v>
      </c>
      <c r="G87" s="37">
        <v>0</v>
      </c>
      <c r="H87" s="37"/>
    </row>
    <row r="88" spans="1:8" x14ac:dyDescent="0.35">
      <c r="A88" s="37"/>
      <c r="B88" s="37"/>
      <c r="C88" s="37"/>
      <c r="D88" s="57">
        <v>1</v>
      </c>
      <c r="E88" s="57">
        <v>9</v>
      </c>
      <c r="F88" s="57">
        <v>10</v>
      </c>
      <c r="G88" s="37"/>
      <c r="H88" s="37"/>
    </row>
    <row r="89" spans="1:8" x14ac:dyDescent="0.35">
      <c r="A89" s="37">
        <v>17</v>
      </c>
      <c r="B89" s="37" t="s">
        <v>89</v>
      </c>
      <c r="C89" s="37"/>
      <c r="D89" s="37"/>
      <c r="E89" s="37"/>
      <c r="F89" s="37"/>
      <c r="G89" s="37"/>
      <c r="H89" s="37"/>
    </row>
    <row r="90" spans="1:8" x14ac:dyDescent="0.35">
      <c r="A90" s="37"/>
      <c r="B90" s="37"/>
      <c r="C90" s="55" t="s">
        <v>110</v>
      </c>
      <c r="D90" s="37">
        <v>0</v>
      </c>
      <c r="E90" s="37">
        <v>0</v>
      </c>
      <c r="F90" s="37">
        <v>0</v>
      </c>
      <c r="G90" s="37">
        <v>0</v>
      </c>
      <c r="H90" s="37">
        <f>F92-((F90/12)*G90)-((F91/12)*G91)</f>
        <v>9.6091703386755984</v>
      </c>
    </row>
    <row r="91" spans="1:8" x14ac:dyDescent="0.35">
      <c r="A91" s="37"/>
      <c r="B91" s="37"/>
      <c r="C91" s="55" t="s">
        <v>111</v>
      </c>
      <c r="D91" s="37">
        <v>1</v>
      </c>
      <c r="E91" s="37">
        <v>9</v>
      </c>
      <c r="F91" s="37">
        <v>10</v>
      </c>
      <c r="G91" s="37">
        <f>((-D91/F91)*IMLOG2(D91/F91)+(-E91/F91)*IMLOG2(E91/F91))</f>
        <v>0.468995593589281</v>
      </c>
      <c r="H91" s="37"/>
    </row>
    <row r="92" spans="1:8" x14ac:dyDescent="0.35">
      <c r="A92" s="37"/>
      <c r="B92" s="37"/>
      <c r="C92" s="55"/>
      <c r="D92" s="57">
        <v>1</v>
      </c>
      <c r="E92" s="57">
        <v>9</v>
      </c>
      <c r="F92" s="57">
        <v>10</v>
      </c>
      <c r="G92" s="37"/>
      <c r="H92" s="37"/>
    </row>
    <row r="93" spans="1:8" x14ac:dyDescent="0.35">
      <c r="A93" s="37">
        <v>18</v>
      </c>
      <c r="B93" s="37" t="s">
        <v>90</v>
      </c>
      <c r="C93" s="37"/>
      <c r="D93" s="37"/>
      <c r="E93" s="37"/>
      <c r="F93" s="37"/>
      <c r="G93" s="37"/>
      <c r="H93" s="37"/>
    </row>
    <row r="94" spans="1:8" x14ac:dyDescent="0.35">
      <c r="A94" s="37"/>
      <c r="B94" s="37"/>
      <c r="C94" s="37" t="s">
        <v>108</v>
      </c>
      <c r="D94" s="37">
        <v>1</v>
      </c>
      <c r="E94" s="37">
        <v>8</v>
      </c>
      <c r="F94" s="37">
        <v>9</v>
      </c>
      <c r="G94" s="37">
        <f t="shared" ref="G94" si="1">((-D94/F94)*IMLOG2(D94/F94)+(-E94/F94)*IMLOG2(E94/F94))</f>
        <v>0.50325833477564508</v>
      </c>
      <c r="H94" s="37">
        <f t="shared" ref="H94" si="2">F96-((F94/12)*G94)-((F95/12)*G95)</f>
        <v>9.6225562489182668</v>
      </c>
    </row>
    <row r="95" spans="1:8" x14ac:dyDescent="0.35">
      <c r="A95" s="37"/>
      <c r="B95" s="37"/>
      <c r="C95" s="37" t="s">
        <v>109</v>
      </c>
      <c r="D95" s="37">
        <v>0</v>
      </c>
      <c r="E95" s="37">
        <v>1</v>
      </c>
      <c r="F95" s="37">
        <v>1</v>
      </c>
      <c r="G95" s="37">
        <v>0</v>
      </c>
      <c r="H95" s="37"/>
    </row>
    <row r="96" spans="1:8" x14ac:dyDescent="0.35">
      <c r="A96" s="37"/>
      <c r="B96" s="37"/>
      <c r="C96" s="55"/>
      <c r="D96" s="57">
        <v>1</v>
      </c>
      <c r="E96" s="57">
        <v>9</v>
      </c>
      <c r="F96" s="57">
        <v>10</v>
      </c>
      <c r="G96" s="37"/>
      <c r="H96" s="37"/>
    </row>
    <row r="97" spans="1:8" x14ac:dyDescent="0.35">
      <c r="A97" s="37">
        <v>19</v>
      </c>
      <c r="B97" s="37" t="s">
        <v>91</v>
      </c>
      <c r="C97" s="37"/>
      <c r="D97" s="37"/>
      <c r="E97" s="37"/>
      <c r="F97" s="37"/>
      <c r="G97" s="37"/>
      <c r="H97" s="37"/>
    </row>
    <row r="98" spans="1:8" x14ac:dyDescent="0.35">
      <c r="A98" s="37"/>
      <c r="B98" s="37"/>
      <c r="C98" s="55" t="s">
        <v>110</v>
      </c>
      <c r="D98" s="37">
        <v>0</v>
      </c>
      <c r="E98" s="37">
        <v>0</v>
      </c>
      <c r="F98" s="37">
        <v>0</v>
      </c>
      <c r="G98" s="37">
        <v>0</v>
      </c>
      <c r="H98" s="37">
        <f>F100-((F98/12)*G98)-((F99/12)*G99)</f>
        <v>9.6091703386755984</v>
      </c>
    </row>
    <row r="99" spans="1:8" x14ac:dyDescent="0.35">
      <c r="A99" s="37"/>
      <c r="B99" s="37"/>
      <c r="C99" s="55" t="s">
        <v>111</v>
      </c>
      <c r="D99" s="37">
        <v>1</v>
      </c>
      <c r="E99" s="37">
        <v>9</v>
      </c>
      <c r="F99" s="37">
        <v>10</v>
      </c>
      <c r="G99" s="37">
        <f>((-D99/F99)*IMLOG2(D99/F99)+(-E99/F99)*IMLOG2(E99/F99))</f>
        <v>0.468995593589281</v>
      </c>
      <c r="H99" s="37"/>
    </row>
    <row r="100" spans="1:8" x14ac:dyDescent="0.35">
      <c r="A100" s="37"/>
      <c r="B100" s="37"/>
      <c r="C100" s="55"/>
      <c r="D100" s="57">
        <v>1</v>
      </c>
      <c r="E100" s="57">
        <v>9</v>
      </c>
      <c r="F100" s="57">
        <v>10</v>
      </c>
      <c r="G100" s="37"/>
      <c r="H100" s="37"/>
    </row>
    <row r="101" spans="1:8" x14ac:dyDescent="0.35">
      <c r="A101" s="37">
        <v>20</v>
      </c>
      <c r="B101" s="37" t="s">
        <v>92</v>
      </c>
      <c r="C101" s="37"/>
      <c r="D101" s="37"/>
      <c r="E101" s="37"/>
      <c r="F101" s="37"/>
      <c r="G101" s="37"/>
      <c r="H101" s="37"/>
    </row>
    <row r="102" spans="1:8" x14ac:dyDescent="0.35">
      <c r="A102" s="37"/>
      <c r="B102" s="37"/>
      <c r="C102" s="55" t="s">
        <v>110</v>
      </c>
      <c r="D102" s="37">
        <v>0</v>
      </c>
      <c r="E102" s="37">
        <v>0</v>
      </c>
      <c r="F102" s="37">
        <v>0</v>
      </c>
      <c r="G102" s="37">
        <v>0</v>
      </c>
      <c r="H102" s="37">
        <f>F104-((F102/12)*G102)-((F103/12)*G103)</f>
        <v>9.6091703386755984</v>
      </c>
    </row>
    <row r="103" spans="1:8" x14ac:dyDescent="0.35">
      <c r="A103" s="37"/>
      <c r="B103" s="37"/>
      <c r="C103" s="55" t="s">
        <v>111</v>
      </c>
      <c r="D103" s="37">
        <v>1</v>
      </c>
      <c r="E103" s="37">
        <v>9</v>
      </c>
      <c r="F103" s="37">
        <v>10</v>
      </c>
      <c r="G103" s="37">
        <f>((-D103/F103)*IMLOG2(D103/F103)+(-E103/F103)*IMLOG2(E103/F103))</f>
        <v>0.468995593589281</v>
      </c>
      <c r="H103" s="37"/>
    </row>
    <row r="104" spans="1:8" x14ac:dyDescent="0.35">
      <c r="A104" s="37"/>
      <c r="B104" s="37"/>
      <c r="C104" s="55"/>
      <c r="D104" s="57">
        <v>1</v>
      </c>
      <c r="E104" s="57">
        <v>9</v>
      </c>
      <c r="F104" s="57">
        <v>10</v>
      </c>
      <c r="G104" s="37"/>
      <c r="H104" s="37"/>
    </row>
    <row r="105" spans="1:8" x14ac:dyDescent="0.35">
      <c r="A105" s="37">
        <v>21</v>
      </c>
      <c r="B105" s="37" t="s">
        <v>93</v>
      </c>
      <c r="C105" s="37"/>
      <c r="D105" s="37"/>
      <c r="E105" s="37"/>
      <c r="F105" s="37"/>
      <c r="G105" s="37"/>
      <c r="H105" s="37"/>
    </row>
    <row r="106" spans="1:8" x14ac:dyDescent="0.35">
      <c r="A106" s="37"/>
      <c r="B106" s="37"/>
      <c r="C106" s="55" t="s">
        <v>110</v>
      </c>
      <c r="D106" s="37">
        <v>0</v>
      </c>
      <c r="E106" s="37">
        <v>0</v>
      </c>
      <c r="F106" s="37">
        <v>0</v>
      </c>
      <c r="G106" s="37">
        <v>0</v>
      </c>
      <c r="H106" s="37">
        <f>F108-((F106/12)*G106)-((F107/12)*G107)</f>
        <v>9.6091703386755984</v>
      </c>
    </row>
    <row r="107" spans="1:8" x14ac:dyDescent="0.35">
      <c r="A107" s="37"/>
      <c r="B107" s="37"/>
      <c r="C107" s="55" t="s">
        <v>111</v>
      </c>
      <c r="D107" s="37">
        <v>1</v>
      </c>
      <c r="E107" s="37">
        <v>9</v>
      </c>
      <c r="F107" s="37">
        <v>10</v>
      </c>
      <c r="G107" s="37">
        <f>((-D107/F107)*IMLOG2(D107/F107)+(-E107/F107)*IMLOG2(E107/F107))</f>
        <v>0.468995593589281</v>
      </c>
      <c r="H107" s="37"/>
    </row>
    <row r="108" spans="1:8" x14ac:dyDescent="0.35">
      <c r="A108" s="37"/>
      <c r="B108" s="37"/>
      <c r="C108" s="55"/>
      <c r="D108" s="57">
        <v>1</v>
      </c>
      <c r="E108" s="57">
        <v>9</v>
      </c>
      <c r="F108" s="57">
        <v>10</v>
      </c>
      <c r="G108" s="37"/>
      <c r="H108" s="37"/>
    </row>
    <row r="109" spans="1:8" x14ac:dyDescent="0.35">
      <c r="A109" s="37">
        <v>22</v>
      </c>
      <c r="B109" s="37" t="s">
        <v>94</v>
      </c>
      <c r="C109" s="37"/>
      <c r="D109" s="37"/>
      <c r="E109" s="37"/>
      <c r="F109" s="37"/>
      <c r="G109" s="37"/>
      <c r="H109" s="37"/>
    </row>
    <row r="110" spans="1:8" x14ac:dyDescent="0.35">
      <c r="A110" s="37"/>
      <c r="B110" s="37"/>
      <c r="C110" s="37" t="s">
        <v>106</v>
      </c>
      <c r="D110" s="37">
        <v>1</v>
      </c>
      <c r="E110" s="37">
        <v>9</v>
      </c>
      <c r="F110" s="37">
        <v>10</v>
      </c>
      <c r="G110" s="37">
        <f>((-D110/F110)*IMLOG2(D110/F110)+(-E110/F110)*IMLOG2(E110/F110))</f>
        <v>0.468995593589281</v>
      </c>
      <c r="H110" s="37">
        <f>F112-((F110/12)*G110)-((F111/12)*G111)</f>
        <v>9.6091703386755984</v>
      </c>
    </row>
    <row r="111" spans="1:8" x14ac:dyDescent="0.35">
      <c r="A111" s="37"/>
      <c r="B111" s="37"/>
      <c r="C111" s="37" t="s">
        <v>107</v>
      </c>
      <c r="D111" s="37">
        <v>0</v>
      </c>
      <c r="E111" s="37">
        <v>0</v>
      </c>
      <c r="F111" s="37">
        <v>0</v>
      </c>
      <c r="G111" s="37">
        <v>0</v>
      </c>
      <c r="H111" s="37"/>
    </row>
    <row r="112" spans="1:8" x14ac:dyDescent="0.35">
      <c r="A112" s="37"/>
      <c r="B112" s="37"/>
      <c r="C112" s="37"/>
      <c r="D112" s="57">
        <v>1</v>
      </c>
      <c r="E112" s="57">
        <v>9</v>
      </c>
      <c r="F112" s="57">
        <v>10</v>
      </c>
      <c r="G112" s="37"/>
      <c r="H112" s="37"/>
    </row>
    <row r="113" spans="1:8" x14ac:dyDescent="0.35">
      <c r="A113" s="37">
        <v>23</v>
      </c>
      <c r="B113" s="37" t="s">
        <v>95</v>
      </c>
      <c r="C113" s="37"/>
      <c r="D113" s="37"/>
      <c r="E113" s="37"/>
      <c r="F113" s="37"/>
      <c r="G113" s="37"/>
      <c r="H113" s="37"/>
    </row>
    <row r="114" spans="1:8" x14ac:dyDescent="0.35">
      <c r="A114" s="37"/>
      <c r="B114" s="37"/>
      <c r="C114" s="55" t="s">
        <v>110</v>
      </c>
      <c r="D114" s="37">
        <v>0</v>
      </c>
      <c r="E114" s="37">
        <v>0</v>
      </c>
      <c r="F114" s="37">
        <v>0</v>
      </c>
      <c r="G114" s="37">
        <v>0</v>
      </c>
      <c r="H114" s="37">
        <f>F116-((F114/12)*G114)-((F115/12)*G115)</f>
        <v>9.6091703386755984</v>
      </c>
    </row>
    <row r="115" spans="1:8" x14ac:dyDescent="0.35">
      <c r="A115" s="37"/>
      <c r="B115" s="37"/>
      <c r="C115" s="55" t="s">
        <v>111</v>
      </c>
      <c r="D115" s="37">
        <v>1</v>
      </c>
      <c r="E115" s="37">
        <v>9</v>
      </c>
      <c r="F115" s="37">
        <v>10</v>
      </c>
      <c r="G115" s="37">
        <f>((-D115/F115)*IMLOG2(D115/F115)+(-E115/F115)*IMLOG2(E115/F115))</f>
        <v>0.468995593589281</v>
      </c>
      <c r="H115" s="37"/>
    </row>
    <row r="116" spans="1:8" x14ac:dyDescent="0.35">
      <c r="A116" s="37"/>
      <c r="B116" s="37"/>
      <c r="C116" s="55"/>
      <c r="D116" s="57">
        <v>1</v>
      </c>
      <c r="E116" s="57">
        <v>9</v>
      </c>
      <c r="F116" s="57">
        <v>10</v>
      </c>
      <c r="G116" s="37"/>
      <c r="H116" s="37"/>
    </row>
    <row r="117" spans="1:8" x14ac:dyDescent="0.35">
      <c r="A117" s="37">
        <v>24</v>
      </c>
      <c r="B117" s="37" t="s">
        <v>96</v>
      </c>
      <c r="C117" s="37"/>
      <c r="D117" s="37"/>
      <c r="E117" s="37"/>
      <c r="F117" s="37"/>
      <c r="G117" s="37"/>
      <c r="H117" s="37"/>
    </row>
    <row r="118" spans="1:8" x14ac:dyDescent="0.35">
      <c r="A118" s="37"/>
      <c r="B118" s="37"/>
      <c r="C118" s="55" t="s">
        <v>110</v>
      </c>
      <c r="D118" s="37">
        <v>0</v>
      </c>
      <c r="E118" s="37">
        <v>0</v>
      </c>
      <c r="F118" s="37">
        <v>0</v>
      </c>
      <c r="G118" s="37">
        <v>0</v>
      </c>
      <c r="H118" s="37">
        <f>F120-((F118/12)*G118)-((F119/12)*G119)</f>
        <v>9.6091703386755984</v>
      </c>
    </row>
    <row r="119" spans="1:8" x14ac:dyDescent="0.35">
      <c r="A119" s="37"/>
      <c r="B119" s="37"/>
      <c r="C119" s="55" t="s">
        <v>111</v>
      </c>
      <c r="D119" s="37">
        <v>1</v>
      </c>
      <c r="E119" s="37">
        <v>9</v>
      </c>
      <c r="F119" s="37">
        <v>10</v>
      </c>
      <c r="G119" s="37">
        <f>((-D119/F119)*IMLOG2(D119/F119)+(-E119/F119)*IMLOG2(E119/F119))</f>
        <v>0.468995593589281</v>
      </c>
      <c r="H119" s="37"/>
    </row>
    <row r="120" spans="1:8" x14ac:dyDescent="0.35">
      <c r="A120" s="37"/>
      <c r="B120" s="37"/>
      <c r="C120" s="55"/>
      <c r="D120" s="57">
        <v>1</v>
      </c>
      <c r="E120" s="57">
        <v>9</v>
      </c>
      <c r="F120" s="57">
        <v>10</v>
      </c>
      <c r="G120" s="37"/>
      <c r="H120" s="37"/>
    </row>
    <row r="121" spans="1:8" x14ac:dyDescent="0.35">
      <c r="A121" s="37">
        <v>25</v>
      </c>
      <c r="B121" s="37" t="s">
        <v>97</v>
      </c>
      <c r="C121" s="37"/>
      <c r="D121" s="37"/>
      <c r="E121" s="37"/>
      <c r="F121" s="37"/>
      <c r="G121" s="37"/>
      <c r="H121" s="37"/>
    </row>
    <row r="122" spans="1:8" x14ac:dyDescent="0.35">
      <c r="A122" s="37"/>
      <c r="B122" s="37"/>
      <c r="C122" s="55" t="s">
        <v>110</v>
      </c>
      <c r="D122" s="37">
        <v>0</v>
      </c>
      <c r="E122" s="37">
        <v>0</v>
      </c>
      <c r="F122" s="37">
        <v>0</v>
      </c>
      <c r="G122" s="37">
        <v>0</v>
      </c>
      <c r="H122" s="37">
        <f>F124-((F122/12)*G122)-((F123/12)*G123)</f>
        <v>9.6091703386755984</v>
      </c>
    </row>
    <row r="123" spans="1:8" x14ac:dyDescent="0.35">
      <c r="A123" s="37"/>
      <c r="B123" s="37"/>
      <c r="C123" s="55" t="s">
        <v>111</v>
      </c>
      <c r="D123" s="37">
        <v>1</v>
      </c>
      <c r="E123" s="37">
        <v>9</v>
      </c>
      <c r="F123" s="37">
        <v>10</v>
      </c>
      <c r="G123" s="37">
        <f>((-D123/F123)*IMLOG2(D123/F123)+(-E123/F123)*IMLOG2(E123/F123))</f>
        <v>0.468995593589281</v>
      </c>
      <c r="H123" s="37"/>
    </row>
    <row r="124" spans="1:8" x14ac:dyDescent="0.35">
      <c r="A124" s="37"/>
      <c r="B124" s="37"/>
      <c r="C124" s="55"/>
      <c r="D124" s="57">
        <v>1</v>
      </c>
      <c r="E124" s="57">
        <v>9</v>
      </c>
      <c r="F124" s="57">
        <v>10</v>
      </c>
      <c r="G124" s="37"/>
      <c r="H124" s="37"/>
    </row>
    <row r="125" spans="1:8" x14ac:dyDescent="0.35">
      <c r="A125" s="37">
        <v>26</v>
      </c>
      <c r="B125" s="37" t="s">
        <v>98</v>
      </c>
      <c r="C125" s="37"/>
      <c r="D125" s="37"/>
      <c r="E125" s="37"/>
      <c r="F125" s="37"/>
      <c r="G125" s="37"/>
      <c r="H125" s="37"/>
    </row>
    <row r="126" spans="1:8" x14ac:dyDescent="0.35">
      <c r="A126" s="37"/>
      <c r="B126" s="37"/>
      <c r="C126" s="37" t="s">
        <v>108</v>
      </c>
      <c r="D126" s="37">
        <v>1</v>
      </c>
      <c r="E126" s="37">
        <v>8</v>
      </c>
      <c r="F126" s="37">
        <v>9</v>
      </c>
      <c r="G126" s="37">
        <f>((-D126/F126)*IMLOG2(D126/F126)+(-E126/F126)*IMLOG2(E126/F126))</f>
        <v>0.50325833477564508</v>
      </c>
      <c r="H126" s="37">
        <f>F128-((F126/12)*G126)-((F127/12)*G127)</f>
        <v>9.6225562489182668</v>
      </c>
    </row>
    <row r="127" spans="1:8" x14ac:dyDescent="0.35">
      <c r="A127" s="37"/>
      <c r="B127" s="37"/>
      <c r="C127" s="37" t="s">
        <v>109</v>
      </c>
      <c r="D127" s="37">
        <v>0</v>
      </c>
      <c r="E127" s="37">
        <v>1</v>
      </c>
      <c r="F127" s="37">
        <v>1</v>
      </c>
      <c r="G127" s="37">
        <v>0</v>
      </c>
      <c r="H127" s="37"/>
    </row>
    <row r="128" spans="1:8" x14ac:dyDescent="0.35">
      <c r="A128" s="37"/>
      <c r="B128" s="37"/>
      <c r="C128" s="55"/>
      <c r="D128" s="57">
        <v>1</v>
      </c>
      <c r="E128" s="57">
        <v>9</v>
      </c>
      <c r="F128" s="57">
        <v>10</v>
      </c>
      <c r="G128" s="37"/>
      <c r="H128" s="37"/>
    </row>
    <row r="129" spans="1:8" x14ac:dyDescent="0.35">
      <c r="A129" s="37">
        <v>27</v>
      </c>
      <c r="B129" s="37" t="s">
        <v>99</v>
      </c>
      <c r="C129" s="37"/>
      <c r="D129" s="37"/>
      <c r="E129" s="37"/>
      <c r="F129" s="37"/>
      <c r="G129" s="37"/>
      <c r="H129" s="37"/>
    </row>
    <row r="130" spans="1:8" x14ac:dyDescent="0.35">
      <c r="A130" s="37"/>
      <c r="B130" s="37"/>
      <c r="C130" s="55">
        <v>0</v>
      </c>
      <c r="D130" s="37">
        <v>0</v>
      </c>
      <c r="E130" s="37">
        <v>0</v>
      </c>
      <c r="F130" s="37">
        <v>0</v>
      </c>
      <c r="G130" s="37">
        <v>0</v>
      </c>
      <c r="H130" s="37">
        <f>F132-((F130/12)*G130)-((F131/12)*G131)</f>
        <v>9.6091703386755984</v>
      </c>
    </row>
    <row r="131" spans="1:8" x14ac:dyDescent="0.35">
      <c r="A131" s="37"/>
      <c r="B131" s="37"/>
      <c r="C131" s="55">
        <v>0.1</v>
      </c>
      <c r="D131" s="37">
        <v>1</v>
      </c>
      <c r="E131" s="37">
        <v>9</v>
      </c>
      <c r="F131" s="37">
        <v>10</v>
      </c>
      <c r="G131" s="37">
        <f>((-D131/F131)*IMLOG2(D131/F131)+(-E131/F131)*IMLOG2(E131/F131))</f>
        <v>0.468995593589281</v>
      </c>
      <c r="H131" s="37"/>
    </row>
    <row r="132" spans="1:8" x14ac:dyDescent="0.35">
      <c r="A132" s="37"/>
      <c r="B132" s="37"/>
      <c r="C132" s="55"/>
      <c r="D132" s="57">
        <v>1</v>
      </c>
      <c r="E132" s="57">
        <v>9</v>
      </c>
      <c r="F132" s="57">
        <v>10</v>
      </c>
      <c r="G132" s="37"/>
      <c r="H132" s="37"/>
    </row>
    <row r="133" spans="1:8" x14ac:dyDescent="0.35">
      <c r="A133" s="37">
        <v>28</v>
      </c>
      <c r="B133" s="37" t="s">
        <v>100</v>
      </c>
      <c r="C133" s="37"/>
      <c r="D133" s="37"/>
      <c r="E133" s="37"/>
      <c r="F133" s="37"/>
      <c r="G133" s="37"/>
      <c r="H133" s="37"/>
    </row>
    <row r="134" spans="1:8" x14ac:dyDescent="0.35">
      <c r="A134" s="37"/>
      <c r="B134" s="37"/>
      <c r="C134" s="55">
        <v>0</v>
      </c>
      <c r="D134" s="37">
        <v>0</v>
      </c>
      <c r="E134" s="37">
        <v>0</v>
      </c>
      <c r="F134" s="37">
        <v>0</v>
      </c>
      <c r="G134" s="37">
        <v>0</v>
      </c>
      <c r="H134" s="37">
        <f>F136-((F134/12)*G134)-((F135/12)*G135)</f>
        <v>9.6091703386755984</v>
      </c>
    </row>
    <row r="135" spans="1:8" x14ac:dyDescent="0.35">
      <c r="A135" s="37"/>
      <c r="B135" s="37"/>
      <c r="C135" s="55">
        <v>0.1</v>
      </c>
      <c r="D135" s="37">
        <v>1</v>
      </c>
      <c r="E135" s="37">
        <v>9</v>
      </c>
      <c r="F135" s="37">
        <v>10</v>
      </c>
      <c r="G135" s="37">
        <f>((-D135/F135)*IMLOG2(D135/F135)+(-E135/F135)*IMLOG2(E135/F135))</f>
        <v>0.468995593589281</v>
      </c>
      <c r="H135" s="37"/>
    </row>
    <row r="136" spans="1:8" x14ac:dyDescent="0.35">
      <c r="A136" s="37"/>
      <c r="B136" s="37"/>
      <c r="C136" s="55"/>
      <c r="D136" s="57">
        <v>1</v>
      </c>
      <c r="E136" s="57">
        <v>9</v>
      </c>
      <c r="F136" s="57">
        <v>10</v>
      </c>
      <c r="G136" s="37"/>
      <c r="H136" s="37"/>
    </row>
    <row r="137" spans="1:8" x14ac:dyDescent="0.35">
      <c r="A137" s="37">
        <v>29</v>
      </c>
      <c r="B137" s="37" t="s">
        <v>101</v>
      </c>
      <c r="C137" s="37"/>
      <c r="D137" s="37"/>
      <c r="E137" s="37"/>
      <c r="F137" s="37"/>
      <c r="G137" s="37"/>
      <c r="H137" s="37"/>
    </row>
    <row r="138" spans="1:8" x14ac:dyDescent="0.35">
      <c r="A138" s="37"/>
      <c r="B138" s="37"/>
      <c r="C138" s="55">
        <v>0</v>
      </c>
      <c r="D138" s="37">
        <v>0</v>
      </c>
      <c r="E138" s="37">
        <v>0</v>
      </c>
      <c r="F138" s="37">
        <v>0</v>
      </c>
      <c r="G138" s="37">
        <v>0</v>
      </c>
      <c r="H138" s="37">
        <f>F140-((F138/12)*G138)-((F139/12)*G139)</f>
        <v>9.6091703386755984</v>
      </c>
    </row>
    <row r="139" spans="1:8" x14ac:dyDescent="0.35">
      <c r="A139" s="37"/>
      <c r="B139" s="37"/>
      <c r="C139" s="55">
        <v>0.1</v>
      </c>
      <c r="D139" s="37">
        <v>1</v>
      </c>
      <c r="E139" s="37">
        <v>9</v>
      </c>
      <c r="F139" s="37">
        <v>10</v>
      </c>
      <c r="G139" s="37">
        <f>((-D139/F139)*IMLOG2(D139/F139)+(-E139/F139)*IMLOG2(E139/F139))</f>
        <v>0.468995593589281</v>
      </c>
      <c r="H139" s="37"/>
    </row>
    <row r="140" spans="1:8" x14ac:dyDescent="0.35">
      <c r="A140" s="37"/>
      <c r="B140" s="37"/>
      <c r="C140" s="55"/>
      <c r="D140" s="57">
        <v>1</v>
      </c>
      <c r="E140" s="57">
        <v>9</v>
      </c>
      <c r="F140" s="57">
        <v>10</v>
      </c>
      <c r="G140" s="37"/>
      <c r="H140" s="37"/>
    </row>
    <row r="141" spans="1:8" x14ac:dyDescent="0.35">
      <c r="A141" s="37">
        <v>30</v>
      </c>
      <c r="B141" s="37" t="s">
        <v>102</v>
      </c>
      <c r="C141" s="37"/>
      <c r="D141" s="37"/>
      <c r="E141" s="37"/>
      <c r="F141" s="37"/>
      <c r="G141" s="37"/>
      <c r="H141" s="37"/>
    </row>
    <row r="142" spans="1:8" x14ac:dyDescent="0.35">
      <c r="A142" s="37"/>
      <c r="B142" s="37"/>
      <c r="C142" s="55">
        <v>0</v>
      </c>
      <c r="D142" s="37">
        <v>0</v>
      </c>
      <c r="E142" s="37">
        <v>0</v>
      </c>
      <c r="F142" s="37">
        <v>0</v>
      </c>
      <c r="G142" s="37">
        <v>0</v>
      </c>
      <c r="H142" s="37">
        <f>F144-((F142/12)*G142)-((F143/12)*G143)</f>
        <v>9.6091703386755984</v>
      </c>
    </row>
    <row r="143" spans="1:8" x14ac:dyDescent="0.35">
      <c r="A143" s="37"/>
      <c r="B143" s="37"/>
      <c r="C143" s="55">
        <v>0.1</v>
      </c>
      <c r="D143" s="37">
        <v>1</v>
      </c>
      <c r="E143" s="37">
        <v>9</v>
      </c>
      <c r="F143" s="37">
        <v>10</v>
      </c>
      <c r="G143" s="37">
        <f>((-D143/F143)*IMLOG2(D143/F143)+(-E143/F143)*IMLOG2(E143/F143))</f>
        <v>0.468995593589281</v>
      </c>
      <c r="H143" s="37"/>
    </row>
    <row r="144" spans="1:8" x14ac:dyDescent="0.35">
      <c r="A144" s="37"/>
      <c r="B144" s="37"/>
      <c r="C144" s="55"/>
      <c r="D144" s="57">
        <v>1</v>
      </c>
      <c r="E144" s="57">
        <v>9</v>
      </c>
      <c r="F144" s="57">
        <v>10</v>
      </c>
      <c r="G144" s="37"/>
      <c r="H144" s="37"/>
    </row>
    <row r="145" spans="1:8" x14ac:dyDescent="0.35">
      <c r="A145" s="37">
        <v>32</v>
      </c>
      <c r="B145" s="37" t="s">
        <v>104</v>
      </c>
      <c r="C145" s="37"/>
      <c r="D145" s="37"/>
      <c r="E145" s="37"/>
      <c r="F145" s="37"/>
      <c r="G145" s="37"/>
      <c r="H145" s="37"/>
    </row>
    <row r="146" spans="1:8" x14ac:dyDescent="0.35">
      <c r="A146" s="37"/>
      <c r="B146" s="37"/>
      <c r="C146" s="55" t="s">
        <v>110</v>
      </c>
      <c r="D146" s="37">
        <v>0</v>
      </c>
      <c r="E146" s="37">
        <v>0</v>
      </c>
      <c r="F146" s="37">
        <v>0</v>
      </c>
      <c r="G146" s="37">
        <v>0</v>
      </c>
      <c r="H146" s="37">
        <f>F148-((F146/12)*G146)-((F147/12)*G147)</f>
        <v>9.6091703386755984</v>
      </c>
    </row>
    <row r="147" spans="1:8" x14ac:dyDescent="0.35">
      <c r="A147" s="37"/>
      <c r="B147" s="37"/>
      <c r="C147" s="55" t="s">
        <v>111</v>
      </c>
      <c r="D147" s="37">
        <v>1</v>
      </c>
      <c r="E147" s="37">
        <v>9</v>
      </c>
      <c r="F147" s="37">
        <v>10</v>
      </c>
      <c r="G147" s="37">
        <f>((-D147/F147)*IMLOG2(D147/F147)+(-E147/F147)*IMLOG2(E147/F147))</f>
        <v>0.468995593589281</v>
      </c>
      <c r="H147" s="37"/>
    </row>
    <row r="148" spans="1:8" x14ac:dyDescent="0.35">
      <c r="A148" s="37"/>
      <c r="B148" s="37"/>
      <c r="C148" s="55"/>
      <c r="D148" s="57">
        <v>1</v>
      </c>
      <c r="E148" s="57">
        <v>9</v>
      </c>
      <c r="F148" s="57">
        <v>10</v>
      </c>
      <c r="G148" s="37"/>
      <c r="H148" s="37"/>
    </row>
    <row r="149" spans="1:8" x14ac:dyDescent="0.35">
      <c r="A149" s="37">
        <v>33</v>
      </c>
      <c r="B149" s="37" t="s">
        <v>105</v>
      </c>
      <c r="C149" s="37"/>
      <c r="D149" s="37"/>
      <c r="E149" s="37"/>
      <c r="F149" s="37"/>
      <c r="G149" s="37"/>
      <c r="H149" s="37"/>
    </row>
    <row r="150" spans="1:8" x14ac:dyDescent="0.35">
      <c r="A150" s="37"/>
      <c r="B150" s="37"/>
      <c r="C150" s="37" t="s">
        <v>108</v>
      </c>
      <c r="D150" s="37">
        <v>1</v>
      </c>
      <c r="E150" s="37">
        <v>0</v>
      </c>
      <c r="F150" s="37">
        <v>1</v>
      </c>
      <c r="G150" s="37">
        <v>0</v>
      </c>
      <c r="H150" s="37">
        <f>F152-((F150/12)*G150)-((F151/12)*G151)</f>
        <v>10</v>
      </c>
    </row>
    <row r="151" spans="1:8" x14ac:dyDescent="0.35">
      <c r="A151" s="37"/>
      <c r="B151" s="37"/>
      <c r="C151" s="37" t="s">
        <v>109</v>
      </c>
      <c r="D151" s="37">
        <v>0</v>
      </c>
      <c r="E151" s="37">
        <v>9</v>
      </c>
      <c r="F151" s="37">
        <v>9</v>
      </c>
      <c r="G151" s="37">
        <v>0</v>
      </c>
      <c r="H151" s="37"/>
    </row>
    <row r="152" spans="1:8" x14ac:dyDescent="0.35">
      <c r="A152" s="37"/>
      <c r="B152" s="37"/>
      <c r="C152" s="55"/>
      <c r="D152" s="57">
        <v>1</v>
      </c>
      <c r="E152" s="57">
        <v>9</v>
      </c>
      <c r="F152" s="57">
        <v>10</v>
      </c>
      <c r="G152" s="37"/>
      <c r="H152" s="37"/>
    </row>
    <row r="162" ht="15.75" customHeight="1" x14ac:dyDescent="0.35"/>
  </sheetData>
  <mergeCells count="7">
    <mergeCell ref="Q33:T33"/>
    <mergeCell ref="Q25:U25"/>
    <mergeCell ref="Q27:R28"/>
    <mergeCell ref="S27:T27"/>
    <mergeCell ref="U27:U28"/>
    <mergeCell ref="Q29:Q30"/>
    <mergeCell ref="Q31:R3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CLEANING</vt:lpstr>
      <vt:lpstr>NORMALISASI</vt:lpstr>
      <vt:lpstr>DATA TRAINING</vt:lpstr>
      <vt:lpstr>DATA TESTING</vt:lpstr>
      <vt:lpstr>NBC</vt:lpstr>
      <vt:lpstr>C4.5</vt:lpstr>
      <vt:lpstr>Sheet1</vt:lpstr>
      <vt:lpstr>Sheet1 (2)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2023-01-14T01:15:01Z</dcterms:created>
  <dcterms:modified xsi:type="dcterms:W3CDTF">2023-07-11T00:55:01Z</dcterms:modified>
</cp:coreProperties>
</file>