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KNN dan NBC DL Rabu malam\"/>
    </mc:Choice>
  </mc:AlternateContent>
  <xr:revisionPtr revIDLastSave="0" documentId="13_ncr:1_{336F0143-F84C-4E24-9334-8987DA142841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JKN" sheetId="1" r:id="rId1"/>
    <sheet name="Jangkaan hasil" sheetId="2" r:id="rId2"/>
    <sheet name="Cleaning" sheetId="3" r:id="rId3"/>
    <sheet name="Normalisasi" sheetId="4" r:id="rId4"/>
    <sheet name="Data Training" sheetId="7" r:id="rId5"/>
    <sheet name="Data Testing" sheetId="8" r:id="rId6"/>
    <sheet name="NBC" sheetId="10" r:id="rId7"/>
    <sheet name="KNN" sheetId="11" r:id="rId8"/>
    <sheet name="C4.5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4" i="12" l="1"/>
  <c r="G234" i="12"/>
  <c r="F235" i="12"/>
  <c r="F234" i="12"/>
  <c r="F236" i="12"/>
  <c r="E236" i="12"/>
  <c r="D236" i="12"/>
  <c r="E232" i="12"/>
  <c r="D232" i="12"/>
  <c r="G231" i="12"/>
  <c r="F231" i="12"/>
  <c r="F230" i="12"/>
  <c r="F232" i="12" s="1"/>
  <c r="H230" i="12" s="1"/>
  <c r="F227" i="12"/>
  <c r="F226" i="12"/>
  <c r="F228" i="12" s="1"/>
  <c r="E228" i="12"/>
  <c r="D228" i="12"/>
  <c r="E224" i="12"/>
  <c r="D224" i="12"/>
  <c r="F223" i="12"/>
  <c r="G223" i="12" s="1"/>
  <c r="F222" i="12"/>
  <c r="F224" i="12" s="1"/>
  <c r="E220" i="12"/>
  <c r="D220" i="12"/>
  <c r="G219" i="12"/>
  <c r="F219" i="12"/>
  <c r="F218" i="12"/>
  <c r="F220" i="12" s="1"/>
  <c r="H218" i="12" s="1"/>
  <c r="F216" i="12"/>
  <c r="H214" i="12" s="1"/>
  <c r="E216" i="12"/>
  <c r="D216" i="12"/>
  <c r="G215" i="12"/>
  <c r="F215" i="12"/>
  <c r="F214" i="12"/>
  <c r="F212" i="12"/>
  <c r="E212" i="12"/>
  <c r="D212" i="12"/>
  <c r="F211" i="12"/>
  <c r="F210" i="12"/>
  <c r="F207" i="12"/>
  <c r="F206" i="12"/>
  <c r="F208" i="12"/>
  <c r="E208" i="12"/>
  <c r="D208" i="12"/>
  <c r="F203" i="12"/>
  <c r="F202" i="12"/>
  <c r="F204" i="12" s="1"/>
  <c r="E204" i="12"/>
  <c r="D204" i="12"/>
  <c r="F199" i="12"/>
  <c r="F198" i="12"/>
  <c r="F200" i="12" s="1"/>
  <c r="E200" i="12"/>
  <c r="D200" i="12"/>
  <c r="F195" i="12"/>
  <c r="F194" i="12"/>
  <c r="F196" i="12" s="1"/>
  <c r="E196" i="12"/>
  <c r="D196" i="12"/>
  <c r="F191" i="12"/>
  <c r="F192" i="12" s="1"/>
  <c r="F190" i="12"/>
  <c r="E192" i="12"/>
  <c r="D192" i="12"/>
  <c r="F187" i="12"/>
  <c r="F186" i="12"/>
  <c r="F188" i="12" s="1"/>
  <c r="E188" i="12"/>
  <c r="D188" i="12"/>
  <c r="F183" i="12"/>
  <c r="F182" i="12"/>
  <c r="F184" i="12" s="1"/>
  <c r="E184" i="12"/>
  <c r="D184" i="12"/>
  <c r="F179" i="12"/>
  <c r="F178" i="12"/>
  <c r="F180" i="12" s="1"/>
  <c r="E180" i="12"/>
  <c r="D180" i="12"/>
  <c r="G175" i="12"/>
  <c r="F175" i="12"/>
  <c r="F174" i="12"/>
  <c r="F176" i="12"/>
  <c r="E176" i="12"/>
  <c r="D176" i="12"/>
  <c r="F171" i="12"/>
  <c r="F170" i="12"/>
  <c r="F172" i="12" s="1"/>
  <c r="E172" i="12"/>
  <c r="D172" i="12"/>
  <c r="F167" i="12"/>
  <c r="F166" i="12"/>
  <c r="F168" i="12" s="1"/>
  <c r="E168" i="12"/>
  <c r="D168" i="12"/>
  <c r="G163" i="12"/>
  <c r="F163" i="12"/>
  <c r="F162" i="12"/>
  <c r="F164" i="12"/>
  <c r="E164" i="12"/>
  <c r="D164" i="12"/>
  <c r="F159" i="12"/>
  <c r="F158" i="12"/>
  <c r="F160" i="12"/>
  <c r="E160" i="12"/>
  <c r="D160" i="12"/>
  <c r="F155" i="12"/>
  <c r="F154" i="12"/>
  <c r="F156" i="12" s="1"/>
  <c r="E156" i="12"/>
  <c r="D156" i="12"/>
  <c r="F151" i="12"/>
  <c r="F150" i="12"/>
  <c r="F152" i="12" s="1"/>
  <c r="E152" i="12"/>
  <c r="D152" i="12"/>
  <c r="F147" i="12"/>
  <c r="F148" i="12" s="1"/>
  <c r="F146" i="12"/>
  <c r="E148" i="12"/>
  <c r="D148" i="12"/>
  <c r="G143" i="12"/>
  <c r="G142" i="12"/>
  <c r="F143" i="12"/>
  <c r="F142" i="12"/>
  <c r="F144" i="12"/>
  <c r="E144" i="12"/>
  <c r="D144" i="12"/>
  <c r="F139" i="12"/>
  <c r="F138" i="12"/>
  <c r="F140" i="12" s="1"/>
  <c r="E140" i="12"/>
  <c r="D140" i="12"/>
  <c r="F135" i="12"/>
  <c r="F134" i="12"/>
  <c r="F136" i="12"/>
  <c r="E136" i="12"/>
  <c r="D136" i="12"/>
  <c r="F132" i="12"/>
  <c r="E132" i="12"/>
  <c r="D132" i="12"/>
  <c r="F131" i="12"/>
  <c r="F130" i="12"/>
  <c r="G127" i="12"/>
  <c r="F127" i="12"/>
  <c r="F126" i="12"/>
  <c r="F128" i="12" s="1"/>
  <c r="E128" i="12"/>
  <c r="D128" i="12"/>
  <c r="G122" i="12"/>
  <c r="F124" i="12"/>
  <c r="E124" i="12"/>
  <c r="D124" i="12"/>
  <c r="F123" i="12"/>
  <c r="F122" i="12"/>
  <c r="G119" i="12"/>
  <c r="F119" i="12"/>
  <c r="F118" i="12"/>
  <c r="F120" i="12" s="1"/>
  <c r="E120" i="12"/>
  <c r="D120" i="12"/>
  <c r="G115" i="12"/>
  <c r="G110" i="12"/>
  <c r="H110" i="12" s="1"/>
  <c r="G114" i="12"/>
  <c r="E116" i="12"/>
  <c r="D116" i="12"/>
  <c r="F115" i="12"/>
  <c r="F114" i="12"/>
  <c r="F112" i="12"/>
  <c r="E112" i="12"/>
  <c r="D112" i="12"/>
  <c r="G107" i="12"/>
  <c r="H234" i="12" l="1"/>
  <c r="H222" i="12"/>
  <c r="F116" i="12"/>
  <c r="H114" i="12" s="1"/>
  <c r="H106" i="12"/>
  <c r="F110" i="12"/>
  <c r="D111" i="12"/>
  <c r="F107" i="12"/>
  <c r="F106" i="12"/>
  <c r="U113" i="12"/>
  <c r="T111" i="12"/>
  <c r="U110" i="12"/>
  <c r="G227" i="12"/>
  <c r="H226" i="12" s="1"/>
  <c r="G211" i="12"/>
  <c r="H210" i="12" s="1"/>
  <c r="G206" i="12"/>
  <c r="H206" i="12" s="1"/>
  <c r="G203" i="12"/>
  <c r="H202" i="12" s="1"/>
  <c r="G199" i="12"/>
  <c r="H198" i="12" s="1"/>
  <c r="G195" i="12"/>
  <c r="H194" i="12" s="1"/>
  <c r="G190" i="12"/>
  <c r="H190" i="12" s="1"/>
  <c r="G187" i="12"/>
  <c r="H186" i="12"/>
  <c r="G183" i="12"/>
  <c r="H182" i="12" s="1"/>
  <c r="G179" i="12"/>
  <c r="H178" i="12" s="1"/>
  <c r="H174" i="12"/>
  <c r="G171" i="12"/>
  <c r="H170" i="12" s="1"/>
  <c r="G166" i="12"/>
  <c r="H166" i="12" s="1"/>
  <c r="G162" i="12"/>
  <c r="H162" i="12" s="1"/>
  <c r="G158" i="12"/>
  <c r="H158" i="12" s="1"/>
  <c r="G154" i="12"/>
  <c r="H154" i="12" s="1"/>
  <c r="G150" i="12"/>
  <c r="H150" i="12" s="1"/>
  <c r="G146" i="12"/>
  <c r="H146" i="12" s="1"/>
  <c r="H142" i="12"/>
  <c r="H138" i="12"/>
  <c r="G138" i="12"/>
  <c r="G135" i="12"/>
  <c r="H134" i="12" s="1"/>
  <c r="G131" i="12"/>
  <c r="H130" i="12" s="1"/>
  <c r="H126" i="12"/>
  <c r="H122" i="12"/>
  <c r="G118" i="12"/>
  <c r="H118" i="12" s="1"/>
  <c r="E108" i="12"/>
  <c r="HZ10" i="11"/>
  <c r="HZ50" i="11"/>
  <c r="HZ35" i="11"/>
  <c r="HZ14" i="11"/>
  <c r="HZ15" i="11"/>
  <c r="HZ23" i="11"/>
  <c r="HZ16" i="11"/>
  <c r="HZ58" i="11"/>
  <c r="HZ22" i="11"/>
  <c r="HZ28" i="11"/>
  <c r="HZ41" i="11"/>
  <c r="HZ51" i="11"/>
  <c r="HZ2" i="11"/>
  <c r="HZ6" i="11"/>
  <c r="HZ21" i="11"/>
  <c r="HZ48" i="11"/>
  <c r="HZ59" i="11"/>
  <c r="HZ55" i="11"/>
  <c r="HZ9" i="11"/>
  <c r="HZ8" i="11"/>
  <c r="HZ19" i="11"/>
  <c r="HZ54" i="11"/>
  <c r="HZ3" i="11"/>
  <c r="HZ44" i="11"/>
  <c r="HZ61" i="11"/>
  <c r="HZ57" i="11"/>
  <c r="HZ29" i="11"/>
  <c r="HZ11" i="11"/>
  <c r="HZ42" i="11"/>
  <c r="HZ31" i="11"/>
  <c r="HZ24" i="11"/>
  <c r="HZ36" i="11"/>
  <c r="HZ52" i="11"/>
  <c r="HZ25" i="11"/>
  <c r="HZ7" i="11"/>
  <c r="HZ46" i="11"/>
  <c r="HZ53" i="11"/>
  <c r="HZ17" i="11"/>
  <c r="HZ26" i="11"/>
  <c r="HZ13" i="11"/>
  <c r="HZ33" i="11"/>
  <c r="HZ27" i="11"/>
  <c r="HZ5" i="11"/>
  <c r="HZ4" i="11"/>
  <c r="HZ37" i="11"/>
  <c r="HZ49" i="11"/>
  <c r="HZ20" i="11"/>
  <c r="HZ45" i="11"/>
  <c r="HZ18" i="11"/>
  <c r="HZ56" i="11"/>
  <c r="HZ38" i="11"/>
  <c r="HZ60" i="11"/>
  <c r="HZ43" i="11"/>
  <c r="HZ32" i="11"/>
  <c r="HZ39" i="11"/>
  <c r="HZ30" i="11"/>
  <c r="HZ40" i="11"/>
  <c r="HZ34" i="11"/>
  <c r="HZ47" i="11"/>
  <c r="HZ12" i="11"/>
  <c r="HU50" i="11"/>
  <c r="HU32" i="11"/>
  <c r="HU8" i="11"/>
  <c r="HU2" i="11"/>
  <c r="HU3" i="11"/>
  <c r="HU26" i="11"/>
  <c r="HU4" i="11"/>
  <c r="HU59" i="11"/>
  <c r="HU35" i="11"/>
  <c r="HU15" i="11"/>
  <c r="HU18" i="11"/>
  <c r="HU25" i="11"/>
  <c r="HU41" i="11"/>
  <c r="HU52" i="11"/>
  <c r="HU39" i="11"/>
  <c r="HU55" i="11"/>
  <c r="HU58" i="11"/>
  <c r="HU54" i="11"/>
  <c r="HU31" i="11"/>
  <c r="HU36" i="11"/>
  <c r="HU45" i="11"/>
  <c r="HU53" i="11"/>
  <c r="HU34" i="11"/>
  <c r="HU44" i="11"/>
  <c r="HU61" i="11"/>
  <c r="HU56" i="11"/>
  <c r="HU10" i="11"/>
  <c r="HU33" i="11"/>
  <c r="HU30" i="11"/>
  <c r="HU13" i="11"/>
  <c r="HU28" i="11"/>
  <c r="HU29" i="11"/>
  <c r="HU46" i="11"/>
  <c r="HU16" i="11"/>
  <c r="HU40" i="11"/>
  <c r="HU37" i="11"/>
  <c r="HU42" i="11"/>
  <c r="HU5" i="11"/>
  <c r="HU19" i="11"/>
  <c r="HU7" i="11"/>
  <c r="HU11" i="11"/>
  <c r="HU20" i="11"/>
  <c r="HU49" i="11"/>
  <c r="HU47" i="11"/>
  <c r="HU12" i="11"/>
  <c r="HU38" i="11"/>
  <c r="HU48" i="11"/>
  <c r="HU27" i="11"/>
  <c r="HU51" i="11"/>
  <c r="HU57" i="11"/>
  <c r="HU22" i="11"/>
  <c r="HU60" i="11"/>
  <c r="HU21" i="11"/>
  <c r="HU9" i="11"/>
  <c r="HU14" i="11"/>
  <c r="HU23" i="11"/>
  <c r="HU24" i="11"/>
  <c r="HU17" i="11"/>
  <c r="HU43" i="11"/>
  <c r="HU6" i="11"/>
  <c r="HP50" i="11"/>
  <c r="HP32" i="11"/>
  <c r="HP8" i="11"/>
  <c r="HP2" i="11"/>
  <c r="HP3" i="11"/>
  <c r="HP26" i="11"/>
  <c r="HP4" i="11"/>
  <c r="HP59" i="11"/>
  <c r="HP35" i="11"/>
  <c r="HP15" i="11"/>
  <c r="HP18" i="11"/>
  <c r="HP25" i="11"/>
  <c r="HP41" i="11"/>
  <c r="HP52" i="11"/>
  <c r="HP39" i="11"/>
  <c r="HP55" i="11"/>
  <c r="HP58" i="11"/>
  <c r="HP54" i="11"/>
  <c r="HP31" i="11"/>
  <c r="HP36" i="11"/>
  <c r="HP45" i="11"/>
  <c r="HP53" i="11"/>
  <c r="HP34" i="11"/>
  <c r="HP44" i="11"/>
  <c r="HP61" i="11"/>
  <c r="HP56" i="11"/>
  <c r="HP10" i="11"/>
  <c r="HP33" i="11"/>
  <c r="HP30" i="11"/>
  <c r="HP13" i="11"/>
  <c r="HP28" i="11"/>
  <c r="HP29" i="11"/>
  <c r="HP46" i="11"/>
  <c r="HP16" i="11"/>
  <c r="HP40" i="11"/>
  <c r="HP37" i="11"/>
  <c r="HP42" i="11"/>
  <c r="HP5" i="11"/>
  <c r="HP19" i="11"/>
  <c r="HP7" i="11"/>
  <c r="HP11" i="11"/>
  <c r="HP20" i="11"/>
  <c r="HP49" i="11"/>
  <c r="HP47" i="11"/>
  <c r="HP12" i="11"/>
  <c r="HP38" i="11"/>
  <c r="HP48" i="11"/>
  <c r="HP27" i="11"/>
  <c r="HP51" i="11"/>
  <c r="HP57" i="11"/>
  <c r="HP22" i="11"/>
  <c r="HP60" i="11"/>
  <c r="HP21" i="11"/>
  <c r="HP9" i="11"/>
  <c r="HP14" i="11"/>
  <c r="HP23" i="11"/>
  <c r="HP24" i="11"/>
  <c r="HP17" i="11"/>
  <c r="HP43" i="11"/>
  <c r="HP6" i="11"/>
  <c r="HK50" i="11"/>
  <c r="HK32" i="11"/>
  <c r="HK8" i="11"/>
  <c r="HK2" i="11"/>
  <c r="HK3" i="11"/>
  <c r="HK26" i="11"/>
  <c r="HK4" i="11"/>
  <c r="HK59" i="11"/>
  <c r="HK35" i="11"/>
  <c r="HK15" i="11"/>
  <c r="HK18" i="11"/>
  <c r="HK25" i="11"/>
  <c r="HK41" i="11"/>
  <c r="HK52" i="11"/>
  <c r="HK39" i="11"/>
  <c r="HK55" i="11"/>
  <c r="HK58" i="11"/>
  <c r="HK54" i="11"/>
  <c r="HK31" i="11"/>
  <c r="HK36" i="11"/>
  <c r="HK45" i="11"/>
  <c r="HK53" i="11"/>
  <c r="HK34" i="11"/>
  <c r="HK44" i="11"/>
  <c r="HK61" i="11"/>
  <c r="HK56" i="11"/>
  <c r="HK10" i="11"/>
  <c r="HK33" i="11"/>
  <c r="HK30" i="11"/>
  <c r="HK13" i="11"/>
  <c r="HK28" i="11"/>
  <c r="HK29" i="11"/>
  <c r="HK46" i="11"/>
  <c r="HK16" i="11"/>
  <c r="HK40" i="11"/>
  <c r="HK37" i="11"/>
  <c r="HK42" i="11"/>
  <c r="HK5" i="11"/>
  <c r="HK19" i="11"/>
  <c r="HK7" i="11"/>
  <c r="HK11" i="11"/>
  <c r="HK20" i="11"/>
  <c r="HK49" i="11"/>
  <c r="HK47" i="11"/>
  <c r="HK12" i="11"/>
  <c r="HK38" i="11"/>
  <c r="HK48" i="11"/>
  <c r="HK27" i="11"/>
  <c r="HK51" i="11"/>
  <c r="HK57" i="11"/>
  <c r="HK22" i="11"/>
  <c r="HK60" i="11"/>
  <c r="HK21" i="11"/>
  <c r="HK9" i="11"/>
  <c r="HK14" i="11"/>
  <c r="HK23" i="11"/>
  <c r="HK24" i="11"/>
  <c r="HK17" i="11"/>
  <c r="HK43" i="11"/>
  <c r="HK6" i="11"/>
  <c r="HF50" i="11"/>
  <c r="HF32" i="11"/>
  <c r="HF8" i="11"/>
  <c r="HF2" i="11"/>
  <c r="HF3" i="11"/>
  <c r="HF26" i="11"/>
  <c r="HF4" i="11"/>
  <c r="HF59" i="11"/>
  <c r="HF35" i="11"/>
  <c r="HF15" i="11"/>
  <c r="HF18" i="11"/>
  <c r="HF25" i="11"/>
  <c r="HF41" i="11"/>
  <c r="HF52" i="11"/>
  <c r="HF39" i="11"/>
  <c r="HF55" i="11"/>
  <c r="HF58" i="11"/>
  <c r="HF54" i="11"/>
  <c r="HF31" i="11"/>
  <c r="HF36" i="11"/>
  <c r="HF45" i="11"/>
  <c r="HF53" i="11"/>
  <c r="HF34" i="11"/>
  <c r="HF44" i="11"/>
  <c r="HF61" i="11"/>
  <c r="HF56" i="11"/>
  <c r="HF10" i="11"/>
  <c r="HF33" i="11"/>
  <c r="HF30" i="11"/>
  <c r="HF13" i="11"/>
  <c r="HF28" i="11"/>
  <c r="HF29" i="11"/>
  <c r="HF46" i="11"/>
  <c r="HF16" i="11"/>
  <c r="HF40" i="11"/>
  <c r="HF37" i="11"/>
  <c r="HF42" i="11"/>
  <c r="HF5" i="11"/>
  <c r="HF19" i="11"/>
  <c r="HF7" i="11"/>
  <c r="HF11" i="11"/>
  <c r="HF20" i="11"/>
  <c r="HF49" i="11"/>
  <c r="HF47" i="11"/>
  <c r="HF12" i="11"/>
  <c r="HF38" i="11"/>
  <c r="HF48" i="11"/>
  <c r="HF27" i="11"/>
  <c r="HF51" i="11"/>
  <c r="HF57" i="11"/>
  <c r="HF22" i="11"/>
  <c r="HF60" i="11"/>
  <c r="HF21" i="11"/>
  <c r="HF9" i="11"/>
  <c r="HF14" i="11"/>
  <c r="HF23" i="11"/>
  <c r="HF24" i="11"/>
  <c r="HF17" i="11"/>
  <c r="HF43" i="11"/>
  <c r="HF6" i="11"/>
  <c r="HA57" i="11"/>
  <c r="HA50" i="11"/>
  <c r="HA35" i="11"/>
  <c r="HA8" i="11"/>
  <c r="HA9" i="11"/>
  <c r="HA17" i="11"/>
  <c r="HA10" i="11"/>
  <c r="HA61" i="11"/>
  <c r="HA15" i="11"/>
  <c r="HA26" i="11"/>
  <c r="HA31" i="11"/>
  <c r="HA51" i="11"/>
  <c r="HA41" i="11"/>
  <c r="HA38" i="11"/>
  <c r="HA46" i="11"/>
  <c r="HA55" i="11"/>
  <c r="HA2" i="11"/>
  <c r="HA24" i="11"/>
  <c r="HA48" i="11"/>
  <c r="HA42" i="11"/>
  <c r="HA45" i="11"/>
  <c r="HA5" i="11"/>
  <c r="HA28" i="11"/>
  <c r="HA3" i="11"/>
  <c r="HA59" i="11"/>
  <c r="HA54" i="11"/>
  <c r="HA27" i="11"/>
  <c r="HA37" i="11"/>
  <c r="HA14" i="11"/>
  <c r="HA29" i="11"/>
  <c r="HA20" i="11"/>
  <c r="HA4" i="11"/>
  <c r="HA39" i="11"/>
  <c r="HA19" i="11"/>
  <c r="HA56" i="11"/>
  <c r="HA47" i="11"/>
  <c r="HA58" i="11"/>
  <c r="HA11" i="11"/>
  <c r="HA21" i="11"/>
  <c r="HA7" i="11"/>
  <c r="HA33" i="11"/>
  <c r="HA16" i="11"/>
  <c r="HA52" i="11"/>
  <c r="HA44" i="11"/>
  <c r="HA36" i="11"/>
  <c r="HA49" i="11"/>
  <c r="HA43" i="11"/>
  <c r="HA12" i="11"/>
  <c r="HA13" i="11"/>
  <c r="HA22" i="11"/>
  <c r="HA23" i="11"/>
  <c r="HA60" i="11"/>
  <c r="HA32" i="11"/>
  <c r="HA30" i="11"/>
  <c r="HA25" i="11"/>
  <c r="HA18" i="11"/>
  <c r="HA40" i="11"/>
  <c r="HA34" i="11"/>
  <c r="HA53" i="11"/>
  <c r="HA6" i="11"/>
  <c r="GV56" i="11"/>
  <c r="GV49" i="11"/>
  <c r="GV32" i="11"/>
  <c r="GV10" i="11"/>
  <c r="GV11" i="11"/>
  <c r="GV14" i="11"/>
  <c r="GV12" i="11"/>
  <c r="GV61" i="11"/>
  <c r="GV4" i="11"/>
  <c r="GV26" i="11"/>
  <c r="GV37" i="11"/>
  <c r="GV58" i="11"/>
  <c r="GV43" i="11"/>
  <c r="GV33" i="11"/>
  <c r="GV46" i="11"/>
  <c r="GV23" i="11"/>
  <c r="GV3" i="11"/>
  <c r="GV21" i="11"/>
  <c r="GV52" i="11"/>
  <c r="GV48" i="11"/>
  <c r="GV42" i="11"/>
  <c r="GV27" i="11"/>
  <c r="GV28" i="11"/>
  <c r="GV7" i="11"/>
  <c r="GV55" i="11"/>
  <c r="GV53" i="11"/>
  <c r="GV25" i="11"/>
  <c r="GV40" i="11"/>
  <c r="GV9" i="11"/>
  <c r="GV24" i="11"/>
  <c r="GV16" i="11"/>
  <c r="GV2" i="11"/>
  <c r="GV35" i="11"/>
  <c r="GV20" i="11"/>
  <c r="GV57" i="11"/>
  <c r="GV45" i="11"/>
  <c r="GV59" i="11"/>
  <c r="GV13" i="11"/>
  <c r="GV31" i="11"/>
  <c r="GV6" i="11"/>
  <c r="GV30" i="11"/>
  <c r="GV18" i="11"/>
  <c r="GV50" i="11"/>
  <c r="GV41" i="11"/>
  <c r="GV44" i="11"/>
  <c r="GV54" i="11"/>
  <c r="GV36" i="11"/>
  <c r="GV8" i="11"/>
  <c r="GV38" i="11"/>
  <c r="GV15" i="11"/>
  <c r="GV19" i="11"/>
  <c r="GV60" i="11"/>
  <c r="GV39" i="11"/>
  <c r="GV29" i="11"/>
  <c r="GV34" i="11"/>
  <c r="GV17" i="11"/>
  <c r="GV47" i="11"/>
  <c r="GV22" i="11"/>
  <c r="GV51" i="11"/>
  <c r="GV5" i="11"/>
  <c r="GQ54" i="11"/>
  <c r="GQ24" i="11"/>
  <c r="GQ4" i="11"/>
  <c r="GQ6" i="11"/>
  <c r="GQ7" i="11"/>
  <c r="GQ34" i="11"/>
  <c r="GQ8" i="11"/>
  <c r="GQ45" i="11"/>
  <c r="GQ41" i="11"/>
  <c r="GQ12" i="11"/>
  <c r="GQ20" i="11"/>
  <c r="GQ17" i="11"/>
  <c r="GQ48" i="11"/>
  <c r="GQ57" i="11"/>
  <c r="GQ38" i="11"/>
  <c r="GQ46" i="11"/>
  <c r="GQ59" i="11"/>
  <c r="GQ58" i="11"/>
  <c r="GQ31" i="11"/>
  <c r="GQ32" i="11"/>
  <c r="GQ42" i="11"/>
  <c r="GQ47" i="11"/>
  <c r="GQ43" i="11"/>
  <c r="GQ50" i="11"/>
  <c r="GQ61" i="11"/>
  <c r="GQ56" i="11"/>
  <c r="GQ5" i="11"/>
  <c r="GQ35" i="11"/>
  <c r="GQ28" i="11"/>
  <c r="GQ11" i="11"/>
  <c r="GQ37" i="11"/>
  <c r="GQ39" i="11"/>
  <c r="GQ40" i="11"/>
  <c r="GQ23" i="11"/>
  <c r="GQ44" i="11"/>
  <c r="GQ26" i="11"/>
  <c r="GQ22" i="11"/>
  <c r="GQ9" i="11"/>
  <c r="GQ27" i="11"/>
  <c r="GQ14" i="11"/>
  <c r="GQ10" i="11"/>
  <c r="GQ33" i="11"/>
  <c r="GQ51" i="11"/>
  <c r="GQ52" i="11"/>
  <c r="GQ2" i="11"/>
  <c r="GQ19" i="11"/>
  <c r="GQ49" i="11"/>
  <c r="GQ29" i="11"/>
  <c r="GQ53" i="11"/>
  <c r="GQ60" i="11"/>
  <c r="GQ30" i="11"/>
  <c r="GQ55" i="11"/>
  <c r="GQ21" i="11"/>
  <c r="GQ3" i="11"/>
  <c r="GQ16" i="11"/>
  <c r="GQ36" i="11"/>
  <c r="GQ15" i="11"/>
  <c r="GQ18" i="11"/>
  <c r="GQ25" i="11"/>
  <c r="GQ13" i="11"/>
  <c r="GL60" i="11"/>
  <c r="GL24" i="11"/>
  <c r="GL14" i="11"/>
  <c r="GL6" i="11"/>
  <c r="GL7" i="11"/>
  <c r="GL33" i="11"/>
  <c r="GL8" i="11"/>
  <c r="GL52" i="11"/>
  <c r="GL29" i="11"/>
  <c r="GL17" i="11"/>
  <c r="GL27" i="11"/>
  <c r="GL32" i="11"/>
  <c r="GL50" i="11"/>
  <c r="GL59" i="11"/>
  <c r="GL49" i="11"/>
  <c r="GL61" i="11"/>
  <c r="GL35" i="11"/>
  <c r="GL44" i="11"/>
  <c r="GL47" i="11"/>
  <c r="GL48" i="11"/>
  <c r="GL54" i="11"/>
  <c r="GL16" i="11"/>
  <c r="GL42" i="11"/>
  <c r="GL28" i="11"/>
  <c r="GL46" i="11"/>
  <c r="GL5" i="11"/>
  <c r="GL15" i="11"/>
  <c r="GL45" i="11"/>
  <c r="GL2" i="11"/>
  <c r="GL19" i="11"/>
  <c r="GL36" i="11"/>
  <c r="GL20" i="11"/>
  <c r="GL34" i="11"/>
  <c r="GL37" i="11"/>
  <c r="GL51" i="11"/>
  <c r="GL25" i="11"/>
  <c r="GL39" i="11"/>
  <c r="GL9" i="11"/>
  <c r="GL38" i="11"/>
  <c r="GL12" i="11"/>
  <c r="GL18" i="11"/>
  <c r="GL40" i="11"/>
  <c r="GL58" i="11"/>
  <c r="GL55" i="11"/>
  <c r="GL21" i="11"/>
  <c r="GL41" i="11"/>
  <c r="GL57" i="11"/>
  <c r="GL3" i="11"/>
  <c r="GL53" i="11"/>
  <c r="GL10" i="11"/>
  <c r="GL22" i="11"/>
  <c r="GL56" i="11"/>
  <c r="GL26" i="11"/>
  <c r="GL13" i="11"/>
  <c r="GL23" i="11"/>
  <c r="GL43" i="11"/>
  <c r="GL31" i="11"/>
  <c r="GL4" i="11"/>
  <c r="GL30" i="11"/>
  <c r="GL11" i="11"/>
  <c r="GG56" i="11"/>
  <c r="GG11" i="11"/>
  <c r="GG15" i="11"/>
  <c r="GG20" i="11"/>
  <c r="GG21" i="11"/>
  <c r="GG27" i="11"/>
  <c r="GG22" i="11"/>
  <c r="GG49" i="11"/>
  <c r="GG30" i="11"/>
  <c r="GG5" i="11"/>
  <c r="GG26" i="11"/>
  <c r="GG6" i="11"/>
  <c r="GG48" i="11"/>
  <c r="GG52" i="11"/>
  <c r="GG54" i="11"/>
  <c r="GG50" i="11"/>
  <c r="GG59" i="11"/>
  <c r="GG41" i="11"/>
  <c r="GG53" i="11"/>
  <c r="GG45" i="11"/>
  <c r="GG46" i="11"/>
  <c r="GG44" i="11"/>
  <c r="GG38" i="11"/>
  <c r="GG51" i="11"/>
  <c r="GG61" i="11"/>
  <c r="GG60" i="11"/>
  <c r="GG7" i="11"/>
  <c r="GG39" i="11"/>
  <c r="GG19" i="11"/>
  <c r="GG4" i="11"/>
  <c r="GG17" i="11"/>
  <c r="GG36" i="11"/>
  <c r="GG25" i="11"/>
  <c r="GG33" i="11"/>
  <c r="GG55" i="11"/>
  <c r="GG31" i="11"/>
  <c r="GG10" i="11"/>
  <c r="GG23" i="11"/>
  <c r="GG32" i="11"/>
  <c r="GG14" i="11"/>
  <c r="GG8" i="11"/>
  <c r="GG37" i="11"/>
  <c r="GG47" i="11"/>
  <c r="GG42" i="11"/>
  <c r="GG28" i="11"/>
  <c r="GG2" i="11"/>
  <c r="GG40" i="11"/>
  <c r="GG29" i="11"/>
  <c r="GG43" i="11"/>
  <c r="GG58" i="11"/>
  <c r="GG12" i="11"/>
  <c r="GG57" i="11"/>
  <c r="GG35" i="11"/>
  <c r="GG9" i="11"/>
  <c r="GG24" i="11"/>
  <c r="GG34" i="11"/>
  <c r="GG16" i="11"/>
  <c r="GG18" i="11"/>
  <c r="GG3" i="11"/>
  <c r="GG13" i="11"/>
  <c r="GB57" i="11"/>
  <c r="GB30" i="11"/>
  <c r="GB16" i="11"/>
  <c r="GB6" i="11"/>
  <c r="GB7" i="11"/>
  <c r="GB33" i="11"/>
  <c r="GB8" i="11"/>
  <c r="GB60" i="11"/>
  <c r="GB27" i="11"/>
  <c r="GB18" i="11"/>
  <c r="GB22" i="11"/>
  <c r="GB34" i="11"/>
  <c r="GB47" i="11"/>
  <c r="GB44" i="11"/>
  <c r="GB46" i="11"/>
  <c r="GB61" i="11"/>
  <c r="GB36" i="11"/>
  <c r="GB39" i="11"/>
  <c r="GB54" i="11"/>
  <c r="GB55" i="11"/>
  <c r="GB50" i="11"/>
  <c r="GB15" i="11"/>
  <c r="GB41" i="11"/>
  <c r="GB29" i="11"/>
  <c r="GB51" i="11"/>
  <c r="GB25" i="11"/>
  <c r="GB14" i="11"/>
  <c r="GB45" i="11"/>
  <c r="GB4" i="11"/>
  <c r="GB17" i="11"/>
  <c r="GB37" i="11"/>
  <c r="GB23" i="11"/>
  <c r="GB26" i="11"/>
  <c r="GB40" i="11"/>
  <c r="GB53" i="11"/>
  <c r="GB28" i="11"/>
  <c r="GB48" i="11"/>
  <c r="GB9" i="11"/>
  <c r="GB42" i="11"/>
  <c r="GB11" i="11"/>
  <c r="GB19" i="11"/>
  <c r="GB32" i="11"/>
  <c r="GB58" i="11"/>
  <c r="GB49" i="11"/>
  <c r="GB24" i="11"/>
  <c r="GB43" i="11"/>
  <c r="GB52" i="11"/>
  <c r="GB3" i="11"/>
  <c r="GB56" i="11"/>
  <c r="GB2" i="11"/>
  <c r="GB12" i="11"/>
  <c r="GB59" i="11"/>
  <c r="GB21" i="11"/>
  <c r="GB13" i="11"/>
  <c r="GB20" i="11"/>
  <c r="GB35" i="11"/>
  <c r="GB31" i="11"/>
  <c r="GB5" i="11"/>
  <c r="GB38" i="11"/>
  <c r="GB10" i="11"/>
  <c r="FW59" i="11"/>
  <c r="FW55" i="11"/>
  <c r="FW28" i="11"/>
  <c r="FW8" i="11"/>
  <c r="FW9" i="11"/>
  <c r="FW16" i="11"/>
  <c r="FW10" i="11"/>
  <c r="FW60" i="11"/>
  <c r="FW26" i="11"/>
  <c r="FW20" i="11"/>
  <c r="FW31" i="11"/>
  <c r="FW43" i="11"/>
  <c r="FW47" i="11"/>
  <c r="FW57" i="11"/>
  <c r="FW40" i="11"/>
  <c r="FW54" i="11"/>
  <c r="FW19" i="11"/>
  <c r="FW38" i="11"/>
  <c r="FW37" i="11"/>
  <c r="FW33" i="11"/>
  <c r="FW35" i="11"/>
  <c r="FW53" i="11"/>
  <c r="FW34" i="11"/>
  <c r="FW13" i="11"/>
  <c r="FW61" i="11"/>
  <c r="FW21" i="11"/>
  <c r="FW23" i="11"/>
  <c r="FW18" i="11"/>
  <c r="FW6" i="11"/>
  <c r="FW22" i="11"/>
  <c r="FW15" i="11"/>
  <c r="FW2" i="11"/>
  <c r="FW50" i="11"/>
  <c r="FW5" i="11"/>
  <c r="FW56" i="11"/>
  <c r="FW51" i="11"/>
  <c r="FW46" i="11"/>
  <c r="FW11" i="11"/>
  <c r="FW7" i="11"/>
  <c r="FW4" i="11"/>
  <c r="FW24" i="11"/>
  <c r="FW17" i="11"/>
  <c r="FW48" i="11"/>
  <c r="FW45" i="11"/>
  <c r="FW29" i="11"/>
  <c r="FW41" i="11"/>
  <c r="FW44" i="11"/>
  <c r="FW14" i="11"/>
  <c r="FW52" i="11"/>
  <c r="FW36" i="11"/>
  <c r="FW32" i="11"/>
  <c r="FW58" i="11"/>
  <c r="FW39" i="11"/>
  <c r="FW25" i="11"/>
  <c r="FW30" i="11"/>
  <c r="FW12" i="11"/>
  <c r="FW27" i="11"/>
  <c r="FW42" i="11"/>
  <c r="FW49" i="11"/>
  <c r="FW3" i="11"/>
  <c r="FR9" i="11"/>
  <c r="FR52" i="11"/>
  <c r="FR35" i="11"/>
  <c r="FR18" i="11"/>
  <c r="FR19" i="11"/>
  <c r="FR22" i="11"/>
  <c r="FR20" i="11"/>
  <c r="FR59" i="11"/>
  <c r="FR24" i="11"/>
  <c r="FR29" i="11"/>
  <c r="FR43" i="11"/>
  <c r="FR51" i="11"/>
  <c r="FR3" i="11"/>
  <c r="FR6" i="11"/>
  <c r="FR23" i="11"/>
  <c r="FR41" i="11"/>
  <c r="FR57" i="11"/>
  <c r="FR54" i="11"/>
  <c r="FR11" i="11"/>
  <c r="FR8" i="11"/>
  <c r="FR16" i="11"/>
  <c r="FR55" i="11"/>
  <c r="FR5" i="11"/>
  <c r="FR44" i="11"/>
  <c r="FR61" i="11"/>
  <c r="FR58" i="11"/>
  <c r="FR30" i="11"/>
  <c r="FR10" i="11"/>
  <c r="FR39" i="11"/>
  <c r="FR28" i="11"/>
  <c r="FR15" i="11"/>
  <c r="FR33" i="11"/>
  <c r="FR46" i="11"/>
  <c r="FR25" i="11"/>
  <c r="FR7" i="11"/>
  <c r="FR48" i="11"/>
  <c r="FR53" i="11"/>
  <c r="FR21" i="11"/>
  <c r="FR26" i="11"/>
  <c r="FR14" i="11"/>
  <c r="FR31" i="11"/>
  <c r="FR32" i="11"/>
  <c r="FR4" i="11"/>
  <c r="FR2" i="11"/>
  <c r="FR40" i="11"/>
  <c r="FR47" i="11"/>
  <c r="FR12" i="11"/>
  <c r="FR45" i="11"/>
  <c r="FR17" i="11"/>
  <c r="FR56" i="11"/>
  <c r="FR36" i="11"/>
  <c r="FR60" i="11"/>
  <c r="FR50" i="11"/>
  <c r="FR34" i="11"/>
  <c r="FR42" i="11"/>
  <c r="FR27" i="11"/>
  <c r="FR37" i="11"/>
  <c r="FR38" i="11"/>
  <c r="FR49" i="11"/>
  <c r="FR13" i="11"/>
  <c r="FM41" i="11"/>
  <c r="FM43" i="11"/>
  <c r="FM22" i="11"/>
  <c r="FM9" i="11"/>
  <c r="FM10" i="11"/>
  <c r="FM6" i="11"/>
  <c r="FM11" i="11"/>
  <c r="FM59" i="11"/>
  <c r="FM8" i="11"/>
  <c r="FM17" i="11"/>
  <c r="FM49" i="11"/>
  <c r="FM50" i="11"/>
  <c r="FM39" i="11"/>
  <c r="FM53" i="11"/>
  <c r="FM30" i="11"/>
  <c r="FM37" i="11"/>
  <c r="FM58" i="11"/>
  <c r="FM56" i="11"/>
  <c r="FM31" i="11"/>
  <c r="FM24" i="11"/>
  <c r="FM25" i="11"/>
  <c r="FM55" i="11"/>
  <c r="FM23" i="11"/>
  <c r="FM45" i="11"/>
  <c r="FM61" i="11"/>
  <c r="FM54" i="11"/>
  <c r="FM16" i="11"/>
  <c r="FM21" i="11"/>
  <c r="FM36" i="11"/>
  <c r="FM14" i="11"/>
  <c r="FM2" i="11"/>
  <c r="FM13" i="11"/>
  <c r="FM51" i="11"/>
  <c r="FM3" i="11"/>
  <c r="FM44" i="11"/>
  <c r="FM35" i="11"/>
  <c r="FM38" i="11"/>
  <c r="FM12" i="11"/>
  <c r="FM7" i="11"/>
  <c r="FM5" i="11"/>
  <c r="FM18" i="11"/>
  <c r="FM15" i="11"/>
  <c r="FM32" i="11"/>
  <c r="FM40" i="11"/>
  <c r="FM33" i="11"/>
  <c r="FM47" i="11"/>
  <c r="FM29" i="11"/>
  <c r="FM46" i="11"/>
  <c r="FM42" i="11"/>
  <c r="FM57" i="11"/>
  <c r="FM34" i="11"/>
  <c r="FM60" i="11"/>
  <c r="FM52" i="11"/>
  <c r="FM20" i="11"/>
  <c r="FM48" i="11"/>
  <c r="FM19" i="11"/>
  <c r="FM28" i="11"/>
  <c r="FM26" i="11"/>
  <c r="FM27" i="11"/>
  <c r="FM4" i="11"/>
  <c r="FH55" i="11"/>
  <c r="FH33" i="11"/>
  <c r="FH5" i="11"/>
  <c r="FH14" i="11"/>
  <c r="FH15" i="11"/>
  <c r="FH28" i="11"/>
  <c r="FH16" i="11"/>
  <c r="FH57" i="11"/>
  <c r="FH36" i="11"/>
  <c r="FH8" i="11"/>
  <c r="FH11" i="11"/>
  <c r="FH22" i="11"/>
  <c r="FH44" i="11"/>
  <c r="FH54" i="11"/>
  <c r="FH46" i="11"/>
  <c r="FH52" i="11"/>
  <c r="FH58" i="11"/>
  <c r="FH56" i="11"/>
  <c r="FH40" i="11"/>
  <c r="FH39" i="11"/>
  <c r="FH47" i="11"/>
  <c r="FH48" i="11"/>
  <c r="FH41" i="11"/>
  <c r="FH42" i="11"/>
  <c r="FH61" i="11"/>
  <c r="FH60" i="11"/>
  <c r="FH4" i="11"/>
  <c r="FH37" i="11"/>
  <c r="FH26" i="11"/>
  <c r="FH7" i="11"/>
  <c r="FH32" i="11"/>
  <c r="FH38" i="11"/>
  <c r="FH35" i="11"/>
  <c r="FH19" i="11"/>
  <c r="FH49" i="11"/>
  <c r="FH29" i="11"/>
  <c r="FH27" i="11"/>
  <c r="FH17" i="11"/>
  <c r="FH25" i="11"/>
  <c r="FH13" i="11"/>
  <c r="FH6" i="11"/>
  <c r="FH30" i="11"/>
  <c r="FH51" i="11"/>
  <c r="FH45" i="11"/>
  <c r="FH2" i="11"/>
  <c r="FH24" i="11"/>
  <c r="FH43" i="11"/>
  <c r="FH21" i="11"/>
  <c r="FH50" i="11"/>
  <c r="FH59" i="11"/>
  <c r="FH18" i="11"/>
  <c r="FH53" i="11"/>
  <c r="FH20" i="11"/>
  <c r="FH3" i="11"/>
  <c r="FH9" i="11"/>
  <c r="FH31" i="11"/>
  <c r="FH10" i="11"/>
  <c r="FH23" i="11"/>
  <c r="FH34" i="11"/>
  <c r="FH12" i="11"/>
  <c r="FC50" i="11"/>
  <c r="FC32" i="11"/>
  <c r="FC8" i="11"/>
  <c r="FC2" i="11"/>
  <c r="FC3" i="11"/>
  <c r="FC26" i="11"/>
  <c r="FC4" i="11"/>
  <c r="FC59" i="11"/>
  <c r="FC35" i="11"/>
  <c r="FC15" i="11"/>
  <c r="FC18" i="11"/>
  <c r="FC25" i="11"/>
  <c r="FC41" i="11"/>
  <c r="FC52" i="11"/>
  <c r="FC39" i="11"/>
  <c r="FC55" i="11"/>
  <c r="FC58" i="11"/>
  <c r="FC54" i="11"/>
  <c r="FC31" i="11"/>
  <c r="FC36" i="11"/>
  <c r="FC45" i="11"/>
  <c r="FC53" i="11"/>
  <c r="FC34" i="11"/>
  <c r="FC44" i="11"/>
  <c r="FC61" i="11"/>
  <c r="FC56" i="11"/>
  <c r="FC10" i="11"/>
  <c r="FC33" i="11"/>
  <c r="FC30" i="11"/>
  <c r="FC13" i="11"/>
  <c r="FC28" i="11"/>
  <c r="FC29" i="11"/>
  <c r="FC46" i="11"/>
  <c r="FC16" i="11"/>
  <c r="FC40" i="11"/>
  <c r="FC37" i="11"/>
  <c r="FC42" i="11"/>
  <c r="FC5" i="11"/>
  <c r="FC19" i="11"/>
  <c r="FC7" i="11"/>
  <c r="FC11" i="11"/>
  <c r="FC20" i="11"/>
  <c r="FC49" i="11"/>
  <c r="FC47" i="11"/>
  <c r="FC12" i="11"/>
  <c r="FC38" i="11"/>
  <c r="FC48" i="11"/>
  <c r="FC27" i="11"/>
  <c r="FC51" i="11"/>
  <c r="FC57" i="11"/>
  <c r="FC22" i="11"/>
  <c r="FC60" i="11"/>
  <c r="FC21" i="11"/>
  <c r="FC9" i="11"/>
  <c r="FC14" i="11"/>
  <c r="FC23" i="11"/>
  <c r="FC24" i="11"/>
  <c r="FC17" i="11"/>
  <c r="FC43" i="11"/>
  <c r="FC6" i="11"/>
  <c r="EX50" i="11"/>
  <c r="EX32" i="11"/>
  <c r="EX8" i="11"/>
  <c r="EX2" i="11"/>
  <c r="EX3" i="11"/>
  <c r="EX26" i="11"/>
  <c r="EX4" i="11"/>
  <c r="EX59" i="11"/>
  <c r="EX35" i="11"/>
  <c r="EX15" i="11"/>
  <c r="EX18" i="11"/>
  <c r="EX25" i="11"/>
  <c r="EX41" i="11"/>
  <c r="EX52" i="11"/>
  <c r="EX39" i="11"/>
  <c r="EX55" i="11"/>
  <c r="EX58" i="11"/>
  <c r="EX54" i="11"/>
  <c r="EX31" i="11"/>
  <c r="EX36" i="11"/>
  <c r="EX45" i="11"/>
  <c r="EX53" i="11"/>
  <c r="EX34" i="11"/>
  <c r="EX44" i="11"/>
  <c r="EX61" i="11"/>
  <c r="EX56" i="11"/>
  <c r="EX10" i="11"/>
  <c r="EX33" i="11"/>
  <c r="EX30" i="11"/>
  <c r="EX13" i="11"/>
  <c r="EX28" i="11"/>
  <c r="EX29" i="11"/>
  <c r="EX46" i="11"/>
  <c r="EX16" i="11"/>
  <c r="EX40" i="11"/>
  <c r="EX37" i="11"/>
  <c r="EX42" i="11"/>
  <c r="EX5" i="11"/>
  <c r="EX19" i="11"/>
  <c r="EX7" i="11"/>
  <c r="EX11" i="11"/>
  <c r="EX20" i="11"/>
  <c r="EX49" i="11"/>
  <c r="EX47" i="11"/>
  <c r="EX12" i="11"/>
  <c r="EX38" i="11"/>
  <c r="EX48" i="11"/>
  <c r="EX27" i="11"/>
  <c r="EX51" i="11"/>
  <c r="EX57" i="11"/>
  <c r="EX22" i="11"/>
  <c r="EX60" i="11"/>
  <c r="EX21" i="11"/>
  <c r="EX9" i="11"/>
  <c r="EX14" i="11"/>
  <c r="EX23" i="11"/>
  <c r="EX24" i="11"/>
  <c r="EX17" i="11"/>
  <c r="EX43" i="11"/>
  <c r="EX6" i="11"/>
  <c r="ES50" i="11"/>
  <c r="ES32" i="11"/>
  <c r="ES8" i="11"/>
  <c r="ES2" i="11"/>
  <c r="ES3" i="11"/>
  <c r="ES26" i="11"/>
  <c r="ES4" i="11"/>
  <c r="ES59" i="11"/>
  <c r="ES35" i="11"/>
  <c r="ES15" i="11"/>
  <c r="ES18" i="11"/>
  <c r="ES25" i="11"/>
  <c r="ES41" i="11"/>
  <c r="ES52" i="11"/>
  <c r="ES39" i="11"/>
  <c r="ES55" i="11"/>
  <c r="ES58" i="11"/>
  <c r="ES54" i="11"/>
  <c r="ES31" i="11"/>
  <c r="ES36" i="11"/>
  <c r="ES45" i="11"/>
  <c r="ES53" i="11"/>
  <c r="ES34" i="11"/>
  <c r="ES44" i="11"/>
  <c r="ES61" i="11"/>
  <c r="ES56" i="11"/>
  <c r="ES10" i="11"/>
  <c r="ES33" i="11"/>
  <c r="ES30" i="11"/>
  <c r="ES13" i="11"/>
  <c r="ES28" i="11"/>
  <c r="ES29" i="11"/>
  <c r="ES46" i="11"/>
  <c r="ES16" i="11"/>
  <c r="ES40" i="11"/>
  <c r="ES37" i="11"/>
  <c r="ES42" i="11"/>
  <c r="ES5" i="11"/>
  <c r="ES19" i="11"/>
  <c r="ES7" i="11"/>
  <c r="ES11" i="11"/>
  <c r="ES20" i="11"/>
  <c r="ES49" i="11"/>
  <c r="ES47" i="11"/>
  <c r="ES12" i="11"/>
  <c r="ES38" i="11"/>
  <c r="ES48" i="11"/>
  <c r="ES27" i="11"/>
  <c r="ES51" i="11"/>
  <c r="ES57" i="11"/>
  <c r="ES22" i="11"/>
  <c r="ES60" i="11"/>
  <c r="ES21" i="11"/>
  <c r="ES9" i="11"/>
  <c r="ES14" i="11"/>
  <c r="ES23" i="11"/>
  <c r="ES24" i="11"/>
  <c r="ES17" i="11"/>
  <c r="ES43" i="11"/>
  <c r="ES6" i="11"/>
  <c r="EN54" i="11"/>
  <c r="EN27" i="11"/>
  <c r="EN8" i="11"/>
  <c r="EN13" i="11"/>
  <c r="EN14" i="11"/>
  <c r="EN29" i="11"/>
  <c r="EN15" i="11"/>
  <c r="EN56" i="11"/>
  <c r="EN26" i="11"/>
  <c r="EN2" i="11"/>
  <c r="EN19" i="11"/>
  <c r="EN28" i="11"/>
  <c r="EN44" i="11"/>
  <c r="EN51" i="11"/>
  <c r="EN49" i="11"/>
  <c r="EN52" i="11"/>
  <c r="EN60" i="11"/>
  <c r="EN55" i="11"/>
  <c r="EN42" i="11"/>
  <c r="EN41" i="11"/>
  <c r="EN46" i="11"/>
  <c r="EN40" i="11"/>
  <c r="EN37" i="11"/>
  <c r="EN45" i="11"/>
  <c r="EN61" i="11"/>
  <c r="EN58" i="11"/>
  <c r="EN3" i="11"/>
  <c r="EN39" i="11"/>
  <c r="EN20" i="11"/>
  <c r="EN4" i="11"/>
  <c r="EN25" i="11"/>
  <c r="EN38" i="11"/>
  <c r="EN31" i="11"/>
  <c r="EN32" i="11"/>
  <c r="EN53" i="11"/>
  <c r="EN22" i="11"/>
  <c r="EN36" i="11"/>
  <c r="EN16" i="11"/>
  <c r="EN33" i="11"/>
  <c r="EN10" i="11"/>
  <c r="EN6" i="11"/>
  <c r="EN34" i="11"/>
  <c r="EN50" i="11"/>
  <c r="EN47" i="11"/>
  <c r="EN12" i="11"/>
  <c r="EN30" i="11"/>
  <c r="EN48" i="11"/>
  <c r="EN23" i="11"/>
  <c r="EN43" i="11"/>
  <c r="EN57" i="11"/>
  <c r="EN11" i="11"/>
  <c r="EN59" i="11"/>
  <c r="EN21" i="11"/>
  <c r="EN5" i="11"/>
  <c r="EN17" i="11"/>
  <c r="EN35" i="11"/>
  <c r="EN18" i="11"/>
  <c r="EN7" i="11"/>
  <c r="EN24" i="11"/>
  <c r="EN9" i="11"/>
  <c r="EI58" i="11"/>
  <c r="EI29" i="11"/>
  <c r="EI10" i="11"/>
  <c r="EI13" i="11"/>
  <c r="EI14" i="11"/>
  <c r="EI36" i="11"/>
  <c r="EI15" i="11"/>
  <c r="EI55" i="11"/>
  <c r="EI41" i="11"/>
  <c r="EI9" i="11"/>
  <c r="EI18" i="11"/>
  <c r="EI24" i="11"/>
  <c r="EI48" i="11"/>
  <c r="EI57" i="11"/>
  <c r="EI43" i="11"/>
  <c r="EI47" i="11"/>
  <c r="EI60" i="11"/>
  <c r="EI45" i="11"/>
  <c r="EI38" i="11"/>
  <c r="EI37" i="11"/>
  <c r="EI44" i="11"/>
  <c r="EI50" i="11"/>
  <c r="EI42" i="11"/>
  <c r="EI51" i="11"/>
  <c r="EI61" i="11"/>
  <c r="EI59" i="11"/>
  <c r="EI4" i="11"/>
  <c r="EI35" i="11"/>
  <c r="EI25" i="11"/>
  <c r="EI6" i="11"/>
  <c r="EI33" i="11"/>
  <c r="EI40" i="11"/>
  <c r="EI34" i="11"/>
  <c r="EI23" i="11"/>
  <c r="EI49" i="11"/>
  <c r="EI2" i="11"/>
  <c r="EI26" i="11"/>
  <c r="EI16" i="11"/>
  <c r="EI27" i="11"/>
  <c r="EI8" i="11"/>
  <c r="EI11" i="11"/>
  <c r="EI32" i="11"/>
  <c r="EI52" i="11"/>
  <c r="EI53" i="11"/>
  <c r="EI5" i="11"/>
  <c r="EI22" i="11"/>
  <c r="EI46" i="11"/>
  <c r="EI28" i="11"/>
  <c r="EI54" i="11"/>
  <c r="EI56" i="11"/>
  <c r="EI20" i="11"/>
  <c r="EI39" i="11"/>
  <c r="EI19" i="11"/>
  <c r="EI3" i="11"/>
  <c r="EI12" i="11"/>
  <c r="EI31" i="11"/>
  <c r="EI17" i="11"/>
  <c r="EI21" i="11"/>
  <c r="EI30" i="11"/>
  <c r="EI7" i="11"/>
  <c r="ED10" i="11"/>
  <c r="ED47" i="11"/>
  <c r="ED34" i="11"/>
  <c r="ED14" i="11"/>
  <c r="ED15" i="11"/>
  <c r="ED25" i="11"/>
  <c r="ED16" i="11"/>
  <c r="ED58" i="11"/>
  <c r="ED22" i="11"/>
  <c r="ED32" i="11"/>
  <c r="ED42" i="11"/>
  <c r="ED48" i="11"/>
  <c r="ED2" i="11"/>
  <c r="ED7" i="11"/>
  <c r="ED20" i="11"/>
  <c r="ED51" i="11"/>
  <c r="ED59" i="11"/>
  <c r="ED55" i="11"/>
  <c r="ED9" i="11"/>
  <c r="ED8" i="11"/>
  <c r="ED21" i="11"/>
  <c r="ED54" i="11"/>
  <c r="ED3" i="11"/>
  <c r="ED45" i="11"/>
  <c r="ED61" i="11"/>
  <c r="ED57" i="11"/>
  <c r="ED29" i="11"/>
  <c r="ED11" i="11"/>
  <c r="ED43" i="11"/>
  <c r="ED31" i="11"/>
  <c r="ED24" i="11"/>
  <c r="ED36" i="11"/>
  <c r="ED52" i="11"/>
  <c r="ED23" i="11"/>
  <c r="ED5" i="11"/>
  <c r="ED44" i="11"/>
  <c r="ED53" i="11"/>
  <c r="ED17" i="11"/>
  <c r="ED26" i="11"/>
  <c r="ED13" i="11"/>
  <c r="ED35" i="11"/>
  <c r="ED27" i="11"/>
  <c r="ED6" i="11"/>
  <c r="ED4" i="11"/>
  <c r="ED37" i="11"/>
  <c r="ED50" i="11"/>
  <c r="ED18" i="11"/>
  <c r="ED46" i="11"/>
  <c r="ED19" i="11"/>
  <c r="ED56" i="11"/>
  <c r="ED39" i="11"/>
  <c r="ED60" i="11"/>
  <c r="ED41" i="11"/>
  <c r="ED28" i="11"/>
  <c r="ED38" i="11"/>
  <c r="ED30" i="11"/>
  <c r="ED40" i="11"/>
  <c r="ED33" i="11"/>
  <c r="ED49" i="11"/>
  <c r="ED12" i="11"/>
  <c r="DY9" i="11"/>
  <c r="DY50" i="11"/>
  <c r="DY32" i="11"/>
  <c r="DY14" i="11"/>
  <c r="DY15" i="11"/>
  <c r="DY25" i="11"/>
  <c r="DY16" i="11"/>
  <c r="DY58" i="11"/>
  <c r="DY26" i="11"/>
  <c r="DY31" i="11"/>
  <c r="DY40" i="11"/>
  <c r="DY47" i="11"/>
  <c r="DY2" i="11"/>
  <c r="DY7" i="11"/>
  <c r="DY18" i="11"/>
  <c r="DY45" i="11"/>
  <c r="DY59" i="11"/>
  <c r="DY54" i="11"/>
  <c r="DY10" i="11"/>
  <c r="DY8" i="11"/>
  <c r="DY19" i="11"/>
  <c r="DY55" i="11"/>
  <c r="DY6" i="11"/>
  <c r="DY42" i="11"/>
  <c r="DY61" i="11"/>
  <c r="DY57" i="11"/>
  <c r="DY30" i="11"/>
  <c r="DY11" i="11"/>
  <c r="DY44" i="11"/>
  <c r="DY34" i="11"/>
  <c r="DY23" i="11"/>
  <c r="DY35" i="11"/>
  <c r="DY52" i="11"/>
  <c r="DY22" i="11"/>
  <c r="DY4" i="11"/>
  <c r="DY49" i="11"/>
  <c r="DY53" i="11"/>
  <c r="DY17" i="11"/>
  <c r="DY24" i="11"/>
  <c r="DY13" i="11"/>
  <c r="DY33" i="11"/>
  <c r="DY27" i="11"/>
  <c r="DY5" i="11"/>
  <c r="DY3" i="11"/>
  <c r="DY36" i="11"/>
  <c r="DY48" i="11"/>
  <c r="DY20" i="11"/>
  <c r="DY43" i="11"/>
  <c r="DY21" i="11"/>
  <c r="DY56" i="11"/>
  <c r="DY38" i="11"/>
  <c r="DY60" i="11"/>
  <c r="DY46" i="11"/>
  <c r="DY29" i="11"/>
  <c r="DY39" i="11"/>
  <c r="DY28" i="11"/>
  <c r="DY41" i="11"/>
  <c r="DY37" i="11"/>
  <c r="DY51" i="11"/>
  <c r="DY12" i="11"/>
  <c r="DT53" i="11"/>
  <c r="DT52" i="11"/>
  <c r="DT22" i="11"/>
  <c r="DT10" i="11"/>
  <c r="DT11" i="11"/>
  <c r="DT4" i="11"/>
  <c r="DT12" i="11"/>
  <c r="DT61" i="11"/>
  <c r="DT8" i="11"/>
  <c r="DT16" i="11"/>
  <c r="DT28" i="11"/>
  <c r="DT47" i="11"/>
  <c r="DT34" i="11"/>
  <c r="DT50" i="11"/>
  <c r="DT44" i="11"/>
  <c r="DT43" i="11"/>
  <c r="DT57" i="11"/>
  <c r="DT54" i="11"/>
  <c r="DT42" i="11"/>
  <c r="DT33" i="11"/>
  <c r="DT37" i="11"/>
  <c r="DT55" i="11"/>
  <c r="DT26" i="11"/>
  <c r="DT38" i="11"/>
  <c r="DT60" i="11"/>
  <c r="DT58" i="11"/>
  <c r="DT17" i="11"/>
  <c r="DT24" i="11"/>
  <c r="DT32" i="11"/>
  <c r="DT15" i="11"/>
  <c r="DT3" i="11"/>
  <c r="DT19" i="11"/>
  <c r="DT25" i="11"/>
  <c r="DT7" i="11"/>
  <c r="DT48" i="11"/>
  <c r="DT46" i="11"/>
  <c r="DT51" i="11"/>
  <c r="DT13" i="11"/>
  <c r="DT2" i="11"/>
  <c r="DT6" i="11"/>
  <c r="DT14" i="11"/>
  <c r="DT20" i="11"/>
  <c r="DT40" i="11"/>
  <c r="DT35" i="11"/>
  <c r="DT30" i="11"/>
  <c r="DT45" i="11"/>
  <c r="DT29" i="11"/>
  <c r="DT39" i="11"/>
  <c r="DT41" i="11"/>
  <c r="DT56" i="11"/>
  <c r="DT23" i="11"/>
  <c r="DT59" i="11"/>
  <c r="DT36" i="11"/>
  <c r="DT21" i="11"/>
  <c r="DT31" i="11"/>
  <c r="DT9" i="11"/>
  <c r="DT18" i="11"/>
  <c r="DT27" i="11"/>
  <c r="DT49" i="11"/>
  <c r="DT5" i="11"/>
  <c r="DO54" i="11"/>
  <c r="DO23" i="11"/>
  <c r="DO5" i="11"/>
  <c r="DO9" i="11"/>
  <c r="DO10" i="11"/>
  <c r="DO34" i="11"/>
  <c r="DO11" i="11"/>
  <c r="DO55" i="11"/>
  <c r="DO29" i="11"/>
  <c r="DO7" i="11"/>
  <c r="DO19" i="11"/>
  <c r="DO24" i="11"/>
  <c r="DO44" i="11"/>
  <c r="DO53" i="11"/>
  <c r="DO43" i="11"/>
  <c r="DO52" i="11"/>
  <c r="DO60" i="11"/>
  <c r="DO56" i="11"/>
  <c r="DO40" i="11"/>
  <c r="DO41" i="11"/>
  <c r="DO49" i="11"/>
  <c r="DO38" i="11"/>
  <c r="DO37" i="11"/>
  <c r="DO48" i="11"/>
  <c r="DO61" i="11"/>
  <c r="DO57" i="11"/>
  <c r="DO3" i="11"/>
  <c r="DO42" i="11"/>
  <c r="DO22" i="11"/>
  <c r="DO6" i="11"/>
  <c r="DO31" i="11"/>
  <c r="DO39" i="11"/>
  <c r="DO32" i="11"/>
  <c r="DO28" i="11"/>
  <c r="DO46" i="11"/>
  <c r="DO21" i="11"/>
  <c r="DO33" i="11"/>
  <c r="DO12" i="11"/>
  <c r="DO30" i="11"/>
  <c r="DO14" i="11"/>
  <c r="DO8" i="11"/>
  <c r="DO35" i="11"/>
  <c r="DO51" i="11"/>
  <c r="DO50" i="11"/>
  <c r="DO15" i="11"/>
  <c r="DO27" i="11"/>
  <c r="DO45" i="11"/>
  <c r="DO25" i="11"/>
  <c r="DO47" i="11"/>
  <c r="DO58" i="11"/>
  <c r="DO18" i="11"/>
  <c r="DO59" i="11"/>
  <c r="DO17" i="11"/>
  <c r="DO2" i="11"/>
  <c r="DO16" i="11"/>
  <c r="DO36" i="11"/>
  <c r="DO20" i="11"/>
  <c r="DO4" i="11"/>
  <c r="DO26" i="11"/>
  <c r="DO13" i="11"/>
  <c r="DJ54" i="11"/>
  <c r="DJ56" i="11"/>
  <c r="DJ23" i="11"/>
  <c r="DJ4" i="11"/>
  <c r="DJ5" i="11"/>
  <c r="DJ26" i="11"/>
  <c r="DJ6" i="11"/>
  <c r="DJ61" i="11"/>
  <c r="DJ32" i="11"/>
  <c r="DJ29" i="11"/>
  <c r="DJ20" i="11"/>
  <c r="DJ47" i="11"/>
  <c r="DJ42" i="11"/>
  <c r="DJ51" i="11"/>
  <c r="DJ41" i="11"/>
  <c r="DJ33" i="11"/>
  <c r="DJ37" i="11"/>
  <c r="DJ2" i="11"/>
  <c r="DJ52" i="11"/>
  <c r="DJ53" i="11"/>
  <c r="DJ45" i="11"/>
  <c r="DJ46" i="11"/>
  <c r="DJ44" i="11"/>
  <c r="DJ13" i="11"/>
  <c r="DJ34" i="11"/>
  <c r="DJ59" i="11"/>
  <c r="DJ27" i="11"/>
  <c r="DJ35" i="11"/>
  <c r="DJ15" i="11"/>
  <c r="DJ28" i="11"/>
  <c r="DJ18" i="11"/>
  <c r="DJ3" i="11"/>
  <c r="DJ43" i="11"/>
  <c r="DJ16" i="11"/>
  <c r="DJ50" i="11"/>
  <c r="DJ22" i="11"/>
  <c r="DJ58" i="11"/>
  <c r="DJ7" i="11"/>
  <c r="DJ17" i="11"/>
  <c r="DJ9" i="11"/>
  <c r="DJ25" i="11"/>
  <c r="DJ11" i="11"/>
  <c r="DJ55" i="11"/>
  <c r="DJ48" i="11"/>
  <c r="DJ30" i="11"/>
  <c r="DJ49" i="11"/>
  <c r="DJ39" i="11"/>
  <c r="DJ14" i="11"/>
  <c r="DJ57" i="11"/>
  <c r="DJ10" i="11"/>
  <c r="DJ19" i="11"/>
  <c r="DJ31" i="11"/>
  <c r="DJ36" i="11"/>
  <c r="DJ24" i="11"/>
  <c r="DJ21" i="11"/>
  <c r="DJ12" i="11"/>
  <c r="DJ38" i="11"/>
  <c r="DJ40" i="11"/>
  <c r="DJ60" i="11"/>
  <c r="DJ8" i="11"/>
  <c r="DE53" i="11"/>
  <c r="DE49" i="11"/>
  <c r="DE20" i="11"/>
  <c r="DE8" i="11"/>
  <c r="DE9" i="11"/>
  <c r="DE16" i="11"/>
  <c r="DE10" i="11"/>
  <c r="DE61" i="11"/>
  <c r="DE27" i="11"/>
  <c r="DE25" i="11"/>
  <c r="DE14" i="11"/>
  <c r="DE34" i="11"/>
  <c r="DE39" i="11"/>
  <c r="DE36" i="11"/>
  <c r="DE38" i="11"/>
  <c r="DE45" i="11"/>
  <c r="DE55" i="11"/>
  <c r="DE48" i="11"/>
  <c r="DE33" i="11"/>
  <c r="DE31" i="11"/>
  <c r="DE41" i="11"/>
  <c r="DE58" i="11"/>
  <c r="DE30" i="11"/>
  <c r="DE43" i="11"/>
  <c r="DE60" i="11"/>
  <c r="DE59" i="11"/>
  <c r="DE19" i="11"/>
  <c r="DE22" i="11"/>
  <c r="DE40" i="11"/>
  <c r="DE24" i="11"/>
  <c r="DE13" i="11"/>
  <c r="DE26" i="11"/>
  <c r="DE32" i="11"/>
  <c r="DE4" i="11"/>
  <c r="DE50" i="11"/>
  <c r="DE47" i="11"/>
  <c r="DE51" i="11"/>
  <c r="DE11" i="11"/>
  <c r="DE5" i="11"/>
  <c r="DE7" i="11"/>
  <c r="DE21" i="11"/>
  <c r="DE2" i="11"/>
  <c r="DE52" i="11"/>
  <c r="DE42" i="11"/>
  <c r="DE23" i="11"/>
  <c r="DE37" i="11"/>
  <c r="DE29" i="11"/>
  <c r="DE44" i="11"/>
  <c r="DE46" i="11"/>
  <c r="DE56" i="11"/>
  <c r="DE15" i="11"/>
  <c r="DE57" i="11"/>
  <c r="DE17" i="11"/>
  <c r="DE18" i="11"/>
  <c r="DE12" i="11"/>
  <c r="DE3" i="11"/>
  <c r="DE28" i="11"/>
  <c r="DE35" i="11"/>
  <c r="DE54" i="11"/>
  <c r="DE6" i="11"/>
  <c r="CZ57" i="11"/>
  <c r="CZ49" i="11"/>
  <c r="CZ19" i="11"/>
  <c r="CZ4" i="11"/>
  <c r="CZ5" i="11"/>
  <c r="CZ15" i="11"/>
  <c r="CZ6" i="11"/>
  <c r="CZ61" i="11"/>
  <c r="CZ17" i="11"/>
  <c r="CZ24" i="11"/>
  <c r="CZ33" i="11"/>
  <c r="CZ42" i="11"/>
  <c r="CZ38" i="11"/>
  <c r="CZ58" i="11"/>
  <c r="CZ37" i="11"/>
  <c r="CZ44" i="11"/>
  <c r="CZ55" i="11"/>
  <c r="CZ27" i="11"/>
  <c r="CZ34" i="11"/>
  <c r="CZ35" i="11"/>
  <c r="CZ43" i="11"/>
  <c r="CZ31" i="11"/>
  <c r="CZ28" i="11"/>
  <c r="CZ10" i="11"/>
  <c r="CZ60" i="11"/>
  <c r="CZ45" i="11"/>
  <c r="CZ20" i="11"/>
  <c r="CZ29" i="11"/>
  <c r="CZ9" i="11"/>
  <c r="CZ23" i="11"/>
  <c r="CZ14" i="11"/>
  <c r="CZ2" i="11"/>
  <c r="CZ56" i="11"/>
  <c r="CZ12" i="11"/>
  <c r="CZ41" i="11"/>
  <c r="CZ47" i="11"/>
  <c r="CZ54" i="11"/>
  <c r="CZ7" i="11"/>
  <c r="CZ13" i="11"/>
  <c r="CZ8" i="11"/>
  <c r="CZ22" i="11"/>
  <c r="CZ16" i="11"/>
  <c r="CZ52" i="11"/>
  <c r="CZ46" i="11"/>
  <c r="CZ26" i="11"/>
  <c r="CZ51" i="11"/>
  <c r="CZ40" i="11"/>
  <c r="CZ11" i="11"/>
  <c r="CZ50" i="11"/>
  <c r="CZ48" i="11"/>
  <c r="CZ32" i="11"/>
  <c r="CZ59" i="11"/>
  <c r="CZ39" i="11"/>
  <c r="CZ18" i="11"/>
  <c r="CZ30" i="11"/>
  <c r="CZ21" i="11"/>
  <c r="CZ36" i="11"/>
  <c r="CZ25" i="11"/>
  <c r="CZ53" i="11"/>
  <c r="CZ3" i="11"/>
  <c r="CU58" i="11"/>
  <c r="CU56" i="11"/>
  <c r="CU24" i="11"/>
  <c r="CU8" i="11"/>
  <c r="CU9" i="11"/>
  <c r="CU13" i="11"/>
  <c r="CU10" i="11"/>
  <c r="CU61" i="11"/>
  <c r="CU16" i="11"/>
  <c r="CU19" i="11"/>
  <c r="CU35" i="11"/>
  <c r="CU51" i="11"/>
  <c r="CU36" i="11"/>
  <c r="CU55" i="11"/>
  <c r="CU42" i="11"/>
  <c r="CU37" i="11"/>
  <c r="CU53" i="11"/>
  <c r="CU27" i="11"/>
  <c r="CU38" i="11"/>
  <c r="CU34" i="11"/>
  <c r="CU39" i="11"/>
  <c r="CU31" i="11"/>
  <c r="CU25" i="11"/>
  <c r="CU6" i="11"/>
  <c r="CU60" i="11"/>
  <c r="CU50" i="11"/>
  <c r="CU20" i="11"/>
  <c r="CU26" i="11"/>
  <c r="CU5" i="11"/>
  <c r="CU21" i="11"/>
  <c r="CU12" i="11"/>
  <c r="CU2" i="11"/>
  <c r="CU52" i="11"/>
  <c r="CU14" i="11"/>
  <c r="CU48" i="11"/>
  <c r="CU49" i="11"/>
  <c r="CU57" i="11"/>
  <c r="CU11" i="11"/>
  <c r="CU15" i="11"/>
  <c r="CU4" i="11"/>
  <c r="CU23" i="11"/>
  <c r="CU18" i="11"/>
  <c r="CU45" i="11"/>
  <c r="CU40" i="11"/>
  <c r="CU30" i="11"/>
  <c r="CU47" i="11"/>
  <c r="CU41" i="11"/>
  <c r="CU7" i="11"/>
  <c r="CU43" i="11"/>
  <c r="CU44" i="11"/>
  <c r="CU29" i="11"/>
  <c r="CU59" i="11"/>
  <c r="CU46" i="11"/>
  <c r="CU22" i="11"/>
  <c r="CU33" i="11"/>
  <c r="CU17" i="11"/>
  <c r="CU32" i="11"/>
  <c r="CU28" i="11"/>
  <c r="CU54" i="11"/>
  <c r="CU3" i="11"/>
  <c r="CP58" i="11"/>
  <c r="CP32" i="11"/>
  <c r="CP8" i="11"/>
  <c r="CP12" i="11"/>
  <c r="CP13" i="11"/>
  <c r="CP34" i="11"/>
  <c r="CP14" i="11"/>
  <c r="CP60" i="11"/>
  <c r="CP36" i="11"/>
  <c r="CP11" i="11"/>
  <c r="CP23" i="11"/>
  <c r="CP26" i="11"/>
  <c r="CP46" i="11"/>
  <c r="CP57" i="11"/>
  <c r="CP47" i="11"/>
  <c r="CP49" i="11"/>
  <c r="CP56" i="11"/>
  <c r="CP40" i="11"/>
  <c r="CP44" i="11"/>
  <c r="CP43" i="11"/>
  <c r="CP48" i="11"/>
  <c r="CP21" i="11"/>
  <c r="CP41" i="11"/>
  <c r="CP24" i="11"/>
  <c r="CP61" i="11"/>
  <c r="CP54" i="11"/>
  <c r="CP5" i="11"/>
  <c r="CP42" i="11"/>
  <c r="CP2" i="11"/>
  <c r="CP10" i="11"/>
  <c r="CP30" i="11"/>
  <c r="CP16" i="11"/>
  <c r="CP35" i="11"/>
  <c r="CP29" i="11"/>
  <c r="CP51" i="11"/>
  <c r="CP27" i="11"/>
  <c r="CP37" i="11"/>
  <c r="CP15" i="11"/>
  <c r="CP31" i="11"/>
  <c r="CP7" i="11"/>
  <c r="CP9" i="11"/>
  <c r="CP38" i="11"/>
  <c r="CP55" i="11"/>
  <c r="CP50" i="11"/>
  <c r="CP18" i="11"/>
  <c r="CP28" i="11"/>
  <c r="CP45" i="11"/>
  <c r="CP3" i="11"/>
  <c r="CP53" i="11"/>
  <c r="CP52" i="11"/>
  <c r="CP19" i="11"/>
  <c r="CP59" i="11"/>
  <c r="CP25" i="11"/>
  <c r="CP4" i="11"/>
  <c r="CP20" i="11"/>
  <c r="CP39" i="11"/>
  <c r="CP22" i="11"/>
  <c r="CP17" i="11"/>
  <c r="CP33" i="11"/>
  <c r="CP6" i="11"/>
  <c r="CK51" i="11"/>
  <c r="CK48" i="11"/>
  <c r="CK23" i="11"/>
  <c r="CK10" i="11"/>
  <c r="CK11" i="11"/>
  <c r="CK7" i="11"/>
  <c r="CK12" i="11"/>
  <c r="CK61" i="11"/>
  <c r="CK2" i="11"/>
  <c r="CK16" i="11"/>
  <c r="CK28" i="11"/>
  <c r="CK53" i="11"/>
  <c r="CK32" i="11"/>
  <c r="CK29" i="11"/>
  <c r="CK41" i="11"/>
  <c r="CK40" i="11"/>
  <c r="CK55" i="11"/>
  <c r="CK46" i="11"/>
  <c r="CK54" i="11"/>
  <c r="CK47" i="11"/>
  <c r="CK35" i="11"/>
  <c r="CK56" i="11"/>
  <c r="CK24" i="11"/>
  <c r="CK38" i="11"/>
  <c r="CK58" i="11"/>
  <c r="CK59" i="11"/>
  <c r="CK15" i="11"/>
  <c r="CK30" i="11"/>
  <c r="CK31" i="11"/>
  <c r="CK14" i="11"/>
  <c r="CK3" i="11"/>
  <c r="CK22" i="11"/>
  <c r="CK26" i="11"/>
  <c r="CK19" i="11"/>
  <c r="CK52" i="11"/>
  <c r="CK43" i="11"/>
  <c r="CK57" i="11"/>
  <c r="CK13" i="11"/>
  <c r="CK18" i="11"/>
  <c r="CK5" i="11"/>
  <c r="CK17" i="11"/>
  <c r="CK9" i="11"/>
  <c r="CK45" i="11"/>
  <c r="CK33" i="11"/>
  <c r="CK42" i="11"/>
  <c r="CK50" i="11"/>
  <c r="CK27" i="11"/>
  <c r="CK39" i="11"/>
  <c r="CK37" i="11"/>
  <c r="CK44" i="11"/>
  <c r="CK8" i="11"/>
  <c r="CK60" i="11"/>
  <c r="CK34" i="11"/>
  <c r="CK20" i="11"/>
  <c r="CK25" i="11"/>
  <c r="CK6" i="11"/>
  <c r="CK36" i="11"/>
  <c r="CK21" i="11"/>
  <c r="CK49" i="11"/>
  <c r="CK4" i="11"/>
  <c r="CF53" i="11"/>
  <c r="CF51" i="11"/>
  <c r="CF19" i="11"/>
  <c r="CF10" i="11"/>
  <c r="CF11" i="11"/>
  <c r="CF8" i="11"/>
  <c r="CF12" i="11"/>
  <c r="CF60" i="11"/>
  <c r="CF25" i="11"/>
  <c r="CF20" i="11"/>
  <c r="CF24" i="11"/>
  <c r="CF33" i="11"/>
  <c r="CF36" i="11"/>
  <c r="CF52" i="11"/>
  <c r="CF43" i="11"/>
  <c r="CF46" i="11"/>
  <c r="CF56" i="11"/>
  <c r="CF54" i="11"/>
  <c r="CF30" i="11"/>
  <c r="CF28" i="11"/>
  <c r="CF38" i="11"/>
  <c r="CF57" i="11"/>
  <c r="CF29" i="11"/>
  <c r="CF40" i="11"/>
  <c r="CF61" i="11"/>
  <c r="CF55" i="11"/>
  <c r="CF16" i="11"/>
  <c r="CF14" i="11"/>
  <c r="CF34" i="11"/>
  <c r="CF17" i="11"/>
  <c r="CF4" i="11"/>
  <c r="CF21" i="11"/>
  <c r="CF49" i="11"/>
  <c r="CF3" i="11"/>
  <c r="CF47" i="11"/>
  <c r="CF48" i="11"/>
  <c r="CF42" i="11"/>
  <c r="CF13" i="11"/>
  <c r="CF2" i="11"/>
  <c r="CF7" i="11"/>
  <c r="CF15" i="11"/>
  <c r="CF9" i="11"/>
  <c r="CF44" i="11"/>
  <c r="CF39" i="11"/>
  <c r="CF23" i="11"/>
  <c r="CF35" i="11"/>
  <c r="CF31" i="11"/>
  <c r="CF41" i="11"/>
  <c r="CF45" i="11"/>
  <c r="CF59" i="11"/>
  <c r="CF27" i="11"/>
  <c r="CF58" i="11"/>
  <c r="CF32" i="11"/>
  <c r="CF18" i="11"/>
  <c r="CF26" i="11"/>
  <c r="CF5" i="11"/>
  <c r="CF22" i="11"/>
  <c r="CF37" i="11"/>
  <c r="CF50" i="11"/>
  <c r="CF6" i="11"/>
  <c r="CA55" i="11"/>
  <c r="CA36" i="11"/>
  <c r="CA8" i="11"/>
  <c r="CA15" i="11"/>
  <c r="CA16" i="11"/>
  <c r="CA31" i="11"/>
  <c r="CA17" i="11"/>
  <c r="CA56" i="11"/>
  <c r="CA37" i="11"/>
  <c r="CA4" i="11"/>
  <c r="CA12" i="11"/>
  <c r="CA26" i="11"/>
  <c r="CA43" i="11"/>
  <c r="CA52" i="11"/>
  <c r="CA51" i="11"/>
  <c r="CA49" i="11"/>
  <c r="CA58" i="11"/>
  <c r="CA57" i="11"/>
  <c r="CA41" i="11"/>
  <c r="CA40" i="11"/>
  <c r="CA45" i="11"/>
  <c r="CA50" i="11"/>
  <c r="CA39" i="11"/>
  <c r="CA47" i="11"/>
  <c r="CA61" i="11"/>
  <c r="CA59" i="11"/>
  <c r="CA3" i="11"/>
  <c r="CA35" i="11"/>
  <c r="CA19" i="11"/>
  <c r="CA2" i="11"/>
  <c r="CA25" i="11"/>
  <c r="CA38" i="11"/>
  <c r="CA29" i="11"/>
  <c r="CA23" i="11"/>
  <c r="CA53" i="11"/>
  <c r="CA30" i="11"/>
  <c r="CA32" i="11"/>
  <c r="CA18" i="11"/>
  <c r="CA22" i="11"/>
  <c r="CA14" i="11"/>
  <c r="CA5" i="11"/>
  <c r="CA33" i="11"/>
  <c r="CA48" i="11"/>
  <c r="CA44" i="11"/>
  <c r="CA9" i="11"/>
  <c r="CA21" i="11"/>
  <c r="CA42" i="11"/>
  <c r="CA27" i="11"/>
  <c r="CA46" i="11"/>
  <c r="CA60" i="11"/>
  <c r="CA11" i="11"/>
  <c r="CA54" i="11"/>
  <c r="CA20" i="11"/>
  <c r="CA6" i="11"/>
  <c r="CA10" i="11"/>
  <c r="CA28" i="11"/>
  <c r="CA7" i="11"/>
  <c r="CA24" i="11"/>
  <c r="CA34" i="11"/>
  <c r="CA13" i="11"/>
  <c r="BV53" i="11"/>
  <c r="BV4" i="11"/>
  <c r="BV16" i="11"/>
  <c r="BV8" i="11"/>
  <c r="BV9" i="11"/>
  <c r="BV40" i="11"/>
  <c r="BV10" i="11"/>
  <c r="BV2" i="11"/>
  <c r="BV48" i="11"/>
  <c r="BV23" i="11"/>
  <c r="BV27" i="11"/>
  <c r="BV7" i="11"/>
  <c r="BV46" i="11"/>
  <c r="BV55" i="11"/>
  <c r="BV14" i="11"/>
  <c r="BV50" i="11"/>
  <c r="BV59" i="11"/>
  <c r="BV52" i="11"/>
  <c r="BV36" i="11"/>
  <c r="BV38" i="11"/>
  <c r="BV18" i="11"/>
  <c r="BV56" i="11"/>
  <c r="BV47" i="11"/>
  <c r="BV58" i="11"/>
  <c r="BV61" i="11"/>
  <c r="BV54" i="11"/>
  <c r="BV19" i="11"/>
  <c r="BV29" i="11"/>
  <c r="BV33" i="11"/>
  <c r="BV22" i="11"/>
  <c r="BV44" i="11"/>
  <c r="BV42" i="11"/>
  <c r="BV30" i="11"/>
  <c r="BV34" i="11"/>
  <c r="BV32" i="11"/>
  <c r="BV35" i="11"/>
  <c r="BV5" i="11"/>
  <c r="BV11" i="11"/>
  <c r="BV31" i="11"/>
  <c r="BV13" i="11"/>
  <c r="BV20" i="11"/>
  <c r="BV43" i="11"/>
  <c r="BV45" i="11"/>
  <c r="BV49" i="11"/>
  <c r="BV26" i="11"/>
  <c r="BV3" i="11"/>
  <c r="BV51" i="11"/>
  <c r="BV41" i="11"/>
  <c r="BV57" i="11"/>
  <c r="BV60" i="11"/>
  <c r="BV28" i="11"/>
  <c r="BV39" i="11"/>
  <c r="BV24" i="11"/>
  <c r="BV17" i="11"/>
  <c r="BV25" i="11"/>
  <c r="BV37" i="11"/>
  <c r="BV15" i="11"/>
  <c r="BV21" i="11"/>
  <c r="BV6" i="11"/>
  <c r="BV12" i="11"/>
  <c r="BQ50" i="11"/>
  <c r="BQ32" i="11"/>
  <c r="BQ8" i="11"/>
  <c r="BQ2" i="11"/>
  <c r="BQ3" i="11"/>
  <c r="BQ26" i="11"/>
  <c r="BQ4" i="11"/>
  <c r="BQ59" i="11"/>
  <c r="BQ35" i="11"/>
  <c r="BQ15" i="11"/>
  <c r="BQ18" i="11"/>
  <c r="BQ25" i="11"/>
  <c r="BQ41" i="11"/>
  <c r="BQ52" i="11"/>
  <c r="BQ39" i="11"/>
  <c r="BQ55" i="11"/>
  <c r="BQ58" i="11"/>
  <c r="BQ54" i="11"/>
  <c r="BQ31" i="11"/>
  <c r="BQ36" i="11"/>
  <c r="BQ45" i="11"/>
  <c r="BQ53" i="11"/>
  <c r="BQ34" i="11"/>
  <c r="BQ44" i="11"/>
  <c r="BQ61" i="11"/>
  <c r="BQ56" i="11"/>
  <c r="BQ10" i="11"/>
  <c r="BQ33" i="11"/>
  <c r="BQ30" i="11"/>
  <c r="BQ13" i="11"/>
  <c r="BQ28" i="11"/>
  <c r="BQ29" i="11"/>
  <c r="BQ46" i="11"/>
  <c r="BQ16" i="11"/>
  <c r="BQ40" i="11"/>
  <c r="BQ37" i="11"/>
  <c r="BQ42" i="11"/>
  <c r="BQ5" i="11"/>
  <c r="BQ19" i="11"/>
  <c r="BQ7" i="11"/>
  <c r="BQ11" i="11"/>
  <c r="BQ20" i="11"/>
  <c r="BQ49" i="11"/>
  <c r="BQ47" i="11"/>
  <c r="BQ12" i="11"/>
  <c r="BQ38" i="11"/>
  <c r="BQ48" i="11"/>
  <c r="BQ27" i="11"/>
  <c r="BQ51" i="11"/>
  <c r="BQ57" i="11"/>
  <c r="BQ22" i="11"/>
  <c r="BQ60" i="11"/>
  <c r="BQ21" i="11"/>
  <c r="BQ9" i="11"/>
  <c r="BQ14" i="11"/>
  <c r="BQ23" i="11"/>
  <c r="BQ24" i="11"/>
  <c r="BQ17" i="11"/>
  <c r="BQ43" i="11"/>
  <c r="BQ6" i="11"/>
  <c r="BL50" i="11"/>
  <c r="BL32" i="11"/>
  <c r="BL8" i="11"/>
  <c r="BL2" i="11"/>
  <c r="BL3" i="11"/>
  <c r="BL26" i="11"/>
  <c r="BL4" i="11"/>
  <c r="BL59" i="11"/>
  <c r="BL35" i="11"/>
  <c r="BL15" i="11"/>
  <c r="BL18" i="11"/>
  <c r="BL25" i="11"/>
  <c r="BL41" i="11"/>
  <c r="BL52" i="11"/>
  <c r="BL39" i="11"/>
  <c r="BL55" i="11"/>
  <c r="BL58" i="11"/>
  <c r="BL54" i="11"/>
  <c r="BL31" i="11"/>
  <c r="BL36" i="11"/>
  <c r="BL45" i="11"/>
  <c r="BL53" i="11"/>
  <c r="BL34" i="11"/>
  <c r="BL44" i="11"/>
  <c r="BL61" i="11"/>
  <c r="BL56" i="11"/>
  <c r="BL10" i="11"/>
  <c r="BL33" i="11"/>
  <c r="BL30" i="11"/>
  <c r="BL13" i="11"/>
  <c r="BL28" i="11"/>
  <c r="BL29" i="11"/>
  <c r="BL46" i="11"/>
  <c r="BL16" i="11"/>
  <c r="BL40" i="11"/>
  <c r="BL37" i="11"/>
  <c r="BL42" i="11"/>
  <c r="BL5" i="11"/>
  <c r="BL19" i="11"/>
  <c r="BL7" i="11"/>
  <c r="BL11" i="11"/>
  <c r="BL20" i="11"/>
  <c r="BL49" i="11"/>
  <c r="BL47" i="11"/>
  <c r="BL12" i="11"/>
  <c r="BL38" i="11"/>
  <c r="BL48" i="11"/>
  <c r="BL27" i="11"/>
  <c r="BL51" i="11"/>
  <c r="BL57" i="11"/>
  <c r="BL22" i="11"/>
  <c r="BL60" i="11"/>
  <c r="BL21" i="11"/>
  <c r="BL9" i="11"/>
  <c r="BL14" i="11"/>
  <c r="BL23" i="11"/>
  <c r="BL24" i="11"/>
  <c r="BL17" i="11"/>
  <c r="BL43" i="11"/>
  <c r="BL6" i="11"/>
  <c r="BG50" i="11"/>
  <c r="BG32" i="11"/>
  <c r="BG8" i="11"/>
  <c r="BG2" i="11"/>
  <c r="BG3" i="11"/>
  <c r="BG26" i="11"/>
  <c r="BG4" i="11"/>
  <c r="BG59" i="11"/>
  <c r="BG35" i="11"/>
  <c r="BG15" i="11"/>
  <c r="BG18" i="11"/>
  <c r="BG25" i="11"/>
  <c r="BG41" i="11"/>
  <c r="BG52" i="11"/>
  <c r="BG39" i="11"/>
  <c r="BG55" i="11"/>
  <c r="BG58" i="11"/>
  <c r="BG54" i="11"/>
  <c r="BG31" i="11"/>
  <c r="BG36" i="11"/>
  <c r="BG45" i="11"/>
  <c r="BG53" i="11"/>
  <c r="BG34" i="11"/>
  <c r="BG44" i="11"/>
  <c r="BG61" i="11"/>
  <c r="BG56" i="11"/>
  <c r="BG10" i="11"/>
  <c r="BG33" i="11"/>
  <c r="BG30" i="11"/>
  <c r="BG13" i="11"/>
  <c r="BG28" i="11"/>
  <c r="BG29" i="11"/>
  <c r="BG46" i="11"/>
  <c r="BG16" i="11"/>
  <c r="BG40" i="11"/>
  <c r="BG37" i="11"/>
  <c r="BG42" i="11"/>
  <c r="BG5" i="11"/>
  <c r="BG19" i="11"/>
  <c r="BG7" i="11"/>
  <c r="BG11" i="11"/>
  <c r="BG20" i="11"/>
  <c r="BG49" i="11"/>
  <c r="BG47" i="11"/>
  <c r="BG12" i="11"/>
  <c r="BG38" i="11"/>
  <c r="BG48" i="11"/>
  <c r="BG27" i="11"/>
  <c r="BG51" i="11"/>
  <c r="BG57" i="11"/>
  <c r="BG22" i="11"/>
  <c r="BG60" i="11"/>
  <c r="BG21" i="11"/>
  <c r="BG9" i="11"/>
  <c r="BG14" i="11"/>
  <c r="BG23" i="11"/>
  <c r="BG24" i="11"/>
  <c r="BG17" i="11"/>
  <c r="BG43" i="11"/>
  <c r="BG6" i="11"/>
  <c r="BB6" i="11"/>
  <c r="BB50" i="11"/>
  <c r="BB32" i="11"/>
  <c r="BB8" i="11"/>
  <c r="BB2" i="11"/>
  <c r="BB3" i="11"/>
  <c r="BB26" i="11"/>
  <c r="BB4" i="11"/>
  <c r="BB59" i="11"/>
  <c r="BB35" i="11"/>
  <c r="BB15" i="11"/>
  <c r="BB18" i="11"/>
  <c r="BB25" i="11"/>
  <c r="BB41" i="11"/>
  <c r="BB52" i="11"/>
  <c r="BB39" i="11"/>
  <c r="BB55" i="11"/>
  <c r="BB58" i="11"/>
  <c r="BB54" i="11"/>
  <c r="BB31" i="11"/>
  <c r="BB36" i="11"/>
  <c r="BB45" i="11"/>
  <c r="BB53" i="11"/>
  <c r="BB34" i="11"/>
  <c r="BB44" i="11"/>
  <c r="BB61" i="11"/>
  <c r="BB56" i="11"/>
  <c r="BB10" i="11"/>
  <c r="BB33" i="11"/>
  <c r="BB30" i="11"/>
  <c r="BB13" i="11"/>
  <c r="BB28" i="11"/>
  <c r="BB29" i="11"/>
  <c r="BB46" i="11"/>
  <c r="BB16" i="11"/>
  <c r="BB40" i="11"/>
  <c r="BB37" i="11"/>
  <c r="BB42" i="11"/>
  <c r="BB5" i="11"/>
  <c r="BB19" i="11"/>
  <c r="BB7" i="11"/>
  <c r="BB11" i="11"/>
  <c r="BB20" i="11"/>
  <c r="BB49" i="11"/>
  <c r="BB47" i="11"/>
  <c r="BB12" i="11"/>
  <c r="BB38" i="11"/>
  <c r="BB48" i="11"/>
  <c r="BB27" i="11"/>
  <c r="BB51" i="11"/>
  <c r="BB57" i="11"/>
  <c r="BB22" i="11"/>
  <c r="BB60" i="11"/>
  <c r="BB21" i="11"/>
  <c r="BB9" i="11"/>
  <c r="BB14" i="11"/>
  <c r="BB23" i="11"/>
  <c r="BB24" i="11"/>
  <c r="BB17" i="11"/>
  <c r="BB43" i="11"/>
  <c r="AW6" i="11"/>
  <c r="AW50" i="11"/>
  <c r="AW32" i="11"/>
  <c r="AW8" i="11"/>
  <c r="AW2" i="11"/>
  <c r="AW3" i="11"/>
  <c r="AW26" i="11"/>
  <c r="AW4" i="11"/>
  <c r="AW59" i="11"/>
  <c r="AW35" i="11"/>
  <c r="AW15" i="11"/>
  <c r="AW18" i="11"/>
  <c r="AW25" i="11"/>
  <c r="AW41" i="11"/>
  <c r="AW52" i="11"/>
  <c r="AW39" i="11"/>
  <c r="AW55" i="11"/>
  <c r="AW58" i="11"/>
  <c r="AW54" i="11"/>
  <c r="AW31" i="11"/>
  <c r="AW36" i="11"/>
  <c r="AW45" i="11"/>
  <c r="AW53" i="11"/>
  <c r="AW34" i="11"/>
  <c r="AW44" i="11"/>
  <c r="AW61" i="11"/>
  <c r="AW56" i="11"/>
  <c r="AW10" i="11"/>
  <c r="AW33" i="11"/>
  <c r="AW30" i="11"/>
  <c r="AW13" i="11"/>
  <c r="AW28" i="11"/>
  <c r="AW29" i="11"/>
  <c r="AW46" i="11"/>
  <c r="AW16" i="11"/>
  <c r="AW40" i="11"/>
  <c r="AW37" i="11"/>
  <c r="AW42" i="11"/>
  <c r="AW5" i="11"/>
  <c r="AW19" i="11"/>
  <c r="AW7" i="11"/>
  <c r="AW11" i="11"/>
  <c r="AW20" i="11"/>
  <c r="AW49" i="11"/>
  <c r="AW47" i="11"/>
  <c r="AW12" i="11"/>
  <c r="AW38" i="11"/>
  <c r="AW48" i="11"/>
  <c r="AW27" i="11"/>
  <c r="AW51" i="11"/>
  <c r="AW57" i="11"/>
  <c r="AW22" i="11"/>
  <c r="AW60" i="11"/>
  <c r="AW21" i="11"/>
  <c r="AW9" i="11"/>
  <c r="AW14" i="11"/>
  <c r="AW23" i="11"/>
  <c r="AW24" i="11"/>
  <c r="AW17" i="11"/>
  <c r="AW43" i="11"/>
  <c r="AR6" i="11"/>
  <c r="AR50" i="11"/>
  <c r="AR32" i="11"/>
  <c r="AR8" i="11"/>
  <c r="AR2" i="11"/>
  <c r="AR3" i="11"/>
  <c r="AR26" i="11"/>
  <c r="AR4" i="11"/>
  <c r="AR59" i="11"/>
  <c r="AR35" i="11"/>
  <c r="AR15" i="11"/>
  <c r="AR18" i="11"/>
  <c r="AR25" i="11"/>
  <c r="AR41" i="11"/>
  <c r="AR52" i="11"/>
  <c r="AR39" i="11"/>
  <c r="AR55" i="11"/>
  <c r="AR58" i="11"/>
  <c r="AR54" i="11"/>
  <c r="AR31" i="11"/>
  <c r="AR36" i="11"/>
  <c r="AR45" i="11"/>
  <c r="AR53" i="11"/>
  <c r="AR34" i="11"/>
  <c r="AR44" i="11"/>
  <c r="AR61" i="11"/>
  <c r="AR56" i="11"/>
  <c r="AR10" i="11"/>
  <c r="AR33" i="11"/>
  <c r="AR30" i="11"/>
  <c r="AR13" i="11"/>
  <c r="AR28" i="11"/>
  <c r="AR29" i="11"/>
  <c r="AR46" i="11"/>
  <c r="AR16" i="11"/>
  <c r="AR40" i="11"/>
  <c r="AR37" i="11"/>
  <c r="AR42" i="11"/>
  <c r="AR5" i="11"/>
  <c r="AR19" i="11"/>
  <c r="AR7" i="11"/>
  <c r="AR11" i="11"/>
  <c r="AR20" i="11"/>
  <c r="AR49" i="11"/>
  <c r="AR47" i="11"/>
  <c r="AR12" i="11"/>
  <c r="AR38" i="11"/>
  <c r="AR48" i="11"/>
  <c r="AR27" i="11"/>
  <c r="AR51" i="11"/>
  <c r="AR57" i="11"/>
  <c r="AR22" i="11"/>
  <c r="AR60" i="11"/>
  <c r="AR21" i="11"/>
  <c r="AR9" i="11"/>
  <c r="AR14" i="11"/>
  <c r="AR23" i="11"/>
  <c r="AR24" i="11"/>
  <c r="AR17" i="11"/>
  <c r="AR43" i="11"/>
  <c r="AM5" i="11"/>
  <c r="AM48" i="11"/>
  <c r="AM35" i="11"/>
  <c r="AM27" i="11"/>
  <c r="AM23" i="11"/>
  <c r="AM13" i="11"/>
  <c r="AM39" i="11"/>
  <c r="AM36" i="11"/>
  <c r="AM58" i="11"/>
  <c r="AM6" i="11"/>
  <c r="AM28" i="11"/>
  <c r="AM15" i="11"/>
  <c r="AM54" i="11"/>
  <c r="AM42" i="11"/>
  <c r="AM31" i="11"/>
  <c r="AM49" i="11"/>
  <c r="AM37" i="11"/>
  <c r="AM12" i="11"/>
  <c r="AM46" i="11"/>
  <c r="AM3" i="11"/>
  <c r="AM22" i="11"/>
  <c r="AM51" i="11"/>
  <c r="AM43" i="11"/>
  <c r="AM41" i="11"/>
  <c r="AM45" i="11"/>
  <c r="AM52" i="11"/>
  <c r="AM32" i="11"/>
  <c r="AM2" i="11"/>
  <c r="AM50" i="11"/>
  <c r="AM47" i="11"/>
  <c r="AM44" i="11"/>
  <c r="AM40" i="11"/>
  <c r="AM33" i="11"/>
  <c r="AM11" i="11"/>
  <c r="AM53" i="11"/>
  <c r="AM59" i="11"/>
  <c r="AM24" i="11"/>
  <c r="AM34" i="11"/>
  <c r="AM14" i="11"/>
  <c r="AM26" i="11"/>
  <c r="AM18" i="11"/>
  <c r="AM4" i="11"/>
  <c r="AM38" i="11"/>
  <c r="AM16" i="11"/>
  <c r="AM56" i="11"/>
  <c r="AM20" i="11"/>
  <c r="AM60" i="11"/>
  <c r="AM10" i="11"/>
  <c r="AM21" i="11"/>
  <c r="AM7" i="11"/>
  <c r="AM30" i="11"/>
  <c r="AM55" i="11"/>
  <c r="AM8" i="11"/>
  <c r="AM17" i="11"/>
  <c r="AM9" i="11"/>
  <c r="AM61" i="11"/>
  <c r="AM19" i="11"/>
  <c r="AM29" i="11"/>
  <c r="AM25" i="11"/>
  <c r="AM57" i="11"/>
  <c r="AP71" i="11"/>
  <c r="AO69" i="11"/>
  <c r="AP68" i="11"/>
  <c r="AP67" i="11"/>
  <c r="E638" i="10"/>
  <c r="B250" i="10"/>
  <c r="X624" i="10"/>
  <c r="H624" i="10"/>
  <c r="AI622" i="10"/>
  <c r="AI624" i="10" s="1"/>
  <c r="AH622" i="10"/>
  <c r="AH624" i="10" s="1"/>
  <c r="AG622" i="10"/>
  <c r="AG624" i="10" s="1"/>
  <c r="AF622" i="10"/>
  <c r="AF624" i="10" s="1"/>
  <c r="AE622" i="10"/>
  <c r="AE624" i="10" s="1"/>
  <c r="AD622" i="10"/>
  <c r="AD624" i="10" s="1"/>
  <c r="AC622" i="10"/>
  <c r="AC624" i="10" s="1"/>
  <c r="AB622" i="10"/>
  <c r="AB624" i="10" s="1"/>
  <c r="AA622" i="10"/>
  <c r="AA624" i="10" s="1"/>
  <c r="Z622" i="10"/>
  <c r="Z624" i="10" s="1"/>
  <c r="Y622" i="10"/>
  <c r="Y624" i="10" s="1"/>
  <c r="X622" i="10"/>
  <c r="W622" i="10"/>
  <c r="W624" i="10" s="1"/>
  <c r="V622" i="10"/>
  <c r="V624" i="10" s="1"/>
  <c r="U622" i="10"/>
  <c r="U624" i="10" s="1"/>
  <c r="T622" i="10"/>
  <c r="T624" i="10" s="1"/>
  <c r="S622" i="10"/>
  <c r="S624" i="10" s="1"/>
  <c r="R622" i="10"/>
  <c r="R624" i="10" s="1"/>
  <c r="Q622" i="10"/>
  <c r="Q624" i="10" s="1"/>
  <c r="P622" i="10"/>
  <c r="P624" i="10" s="1"/>
  <c r="O622" i="10"/>
  <c r="O624" i="10" s="1"/>
  <c r="N622" i="10"/>
  <c r="N624" i="10" s="1"/>
  <c r="M622" i="10"/>
  <c r="M624" i="10" s="1"/>
  <c r="L622" i="10"/>
  <c r="L624" i="10" s="1"/>
  <c r="K622" i="10"/>
  <c r="K624" i="10" s="1"/>
  <c r="J622" i="10"/>
  <c r="J624" i="10" s="1"/>
  <c r="I622" i="10"/>
  <c r="I624" i="10" s="1"/>
  <c r="H622" i="10"/>
  <c r="G622" i="10"/>
  <c r="G624" i="10" s="1"/>
  <c r="F622" i="10"/>
  <c r="F624" i="10" s="1"/>
  <c r="E622" i="10"/>
  <c r="E624" i="10" s="1"/>
  <c r="D622" i="10"/>
  <c r="D624" i="10" s="1"/>
  <c r="C622" i="10"/>
  <c r="C624" i="10" s="1"/>
  <c r="AI621" i="10"/>
  <c r="AI623" i="10" s="1"/>
  <c r="AH621" i="10"/>
  <c r="AH623" i="10" s="1"/>
  <c r="AG621" i="10"/>
  <c r="AG623" i="10" s="1"/>
  <c r="AF621" i="10"/>
  <c r="AF623" i="10" s="1"/>
  <c r="AE621" i="10"/>
  <c r="AE623" i="10" s="1"/>
  <c r="AD621" i="10"/>
  <c r="AD623" i="10" s="1"/>
  <c r="AC621" i="10"/>
  <c r="AC623" i="10" s="1"/>
  <c r="AB621" i="10"/>
  <c r="AB623" i="10" s="1"/>
  <c r="AA621" i="10"/>
  <c r="AA623" i="10" s="1"/>
  <c r="Z621" i="10"/>
  <c r="Z623" i="10" s="1"/>
  <c r="Y621" i="10"/>
  <c r="Y623" i="10" s="1"/>
  <c r="X621" i="10"/>
  <c r="X623" i="10" s="1"/>
  <c r="W621" i="10"/>
  <c r="W623" i="10" s="1"/>
  <c r="V621" i="10"/>
  <c r="V623" i="10" s="1"/>
  <c r="U621" i="10"/>
  <c r="U623" i="10" s="1"/>
  <c r="T621" i="10"/>
  <c r="T623" i="10" s="1"/>
  <c r="S621" i="10"/>
  <c r="S623" i="10" s="1"/>
  <c r="R621" i="10"/>
  <c r="R623" i="10" s="1"/>
  <c r="Q621" i="10"/>
  <c r="Q623" i="10" s="1"/>
  <c r="P621" i="10"/>
  <c r="P623" i="10" s="1"/>
  <c r="O621" i="10"/>
  <c r="O623" i="10" s="1"/>
  <c r="N621" i="10"/>
  <c r="N623" i="10" s="1"/>
  <c r="M621" i="10"/>
  <c r="M623" i="10" s="1"/>
  <c r="L621" i="10"/>
  <c r="L623" i="10" s="1"/>
  <c r="K621" i="10"/>
  <c r="K623" i="10" s="1"/>
  <c r="J621" i="10"/>
  <c r="J623" i="10" s="1"/>
  <c r="I621" i="10"/>
  <c r="I623" i="10" s="1"/>
  <c r="H621" i="10"/>
  <c r="H623" i="10" s="1"/>
  <c r="G621" i="10"/>
  <c r="G623" i="10" s="1"/>
  <c r="F621" i="10"/>
  <c r="F623" i="10" s="1"/>
  <c r="E621" i="10"/>
  <c r="E623" i="10" s="1"/>
  <c r="D621" i="10"/>
  <c r="D623" i="10" s="1"/>
  <c r="C621" i="10"/>
  <c r="C623" i="10" s="1"/>
  <c r="X611" i="10"/>
  <c r="R611" i="10"/>
  <c r="AI609" i="10"/>
  <c r="AI611" i="10" s="1"/>
  <c r="AH609" i="10"/>
  <c r="AH611" i="10" s="1"/>
  <c r="AG609" i="10"/>
  <c r="AG611" i="10" s="1"/>
  <c r="AF609" i="10"/>
  <c r="AF611" i="10" s="1"/>
  <c r="AE609" i="10"/>
  <c r="AE611" i="10" s="1"/>
  <c r="AD609" i="10"/>
  <c r="AD611" i="10" s="1"/>
  <c r="AC609" i="10"/>
  <c r="AC611" i="10" s="1"/>
  <c r="AB609" i="10"/>
  <c r="AB611" i="10" s="1"/>
  <c r="AA609" i="10"/>
  <c r="AA611" i="10" s="1"/>
  <c r="Z609" i="10"/>
  <c r="Z611" i="10" s="1"/>
  <c r="Y609" i="10"/>
  <c r="Y611" i="10" s="1"/>
  <c r="X609" i="10"/>
  <c r="W609" i="10"/>
  <c r="W611" i="10" s="1"/>
  <c r="V609" i="10"/>
  <c r="V611" i="10" s="1"/>
  <c r="U609" i="10"/>
  <c r="U611" i="10" s="1"/>
  <c r="T609" i="10"/>
  <c r="T611" i="10" s="1"/>
  <c r="S609" i="10"/>
  <c r="S611" i="10" s="1"/>
  <c r="R609" i="10"/>
  <c r="Q609" i="10"/>
  <c r="Q611" i="10" s="1"/>
  <c r="P609" i="10"/>
  <c r="P611" i="10" s="1"/>
  <c r="O609" i="10"/>
  <c r="O611" i="10" s="1"/>
  <c r="N609" i="10"/>
  <c r="N611" i="10" s="1"/>
  <c r="M609" i="10"/>
  <c r="M611" i="10" s="1"/>
  <c r="L609" i="10"/>
  <c r="L611" i="10" s="1"/>
  <c r="K609" i="10"/>
  <c r="K611" i="10" s="1"/>
  <c r="J609" i="10"/>
  <c r="J611" i="10" s="1"/>
  <c r="I609" i="10"/>
  <c r="I611" i="10" s="1"/>
  <c r="H609" i="10"/>
  <c r="H611" i="10" s="1"/>
  <c r="G609" i="10"/>
  <c r="G611" i="10" s="1"/>
  <c r="F609" i="10"/>
  <c r="F611" i="10" s="1"/>
  <c r="E609" i="10"/>
  <c r="E611" i="10" s="1"/>
  <c r="D609" i="10"/>
  <c r="D611" i="10" s="1"/>
  <c r="C609" i="10"/>
  <c r="C611" i="10" s="1"/>
  <c r="AI608" i="10"/>
  <c r="AI610" i="10" s="1"/>
  <c r="AH608" i="10"/>
  <c r="AH610" i="10" s="1"/>
  <c r="AG608" i="10"/>
  <c r="AG610" i="10" s="1"/>
  <c r="AF608" i="10"/>
  <c r="AF610" i="10" s="1"/>
  <c r="AE608" i="10"/>
  <c r="AE610" i="10" s="1"/>
  <c r="AD608" i="10"/>
  <c r="AD610" i="10" s="1"/>
  <c r="AC608" i="10"/>
  <c r="AC610" i="10" s="1"/>
  <c r="AB608" i="10"/>
  <c r="AB610" i="10" s="1"/>
  <c r="AA608" i="10"/>
  <c r="AA610" i="10" s="1"/>
  <c r="Z608" i="10"/>
  <c r="Z610" i="10" s="1"/>
  <c r="Y608" i="10"/>
  <c r="Y610" i="10" s="1"/>
  <c r="X608" i="10"/>
  <c r="X610" i="10" s="1"/>
  <c r="W608" i="10"/>
  <c r="W610" i="10" s="1"/>
  <c r="V608" i="10"/>
  <c r="V610" i="10" s="1"/>
  <c r="U608" i="10"/>
  <c r="U610" i="10" s="1"/>
  <c r="T608" i="10"/>
  <c r="T610" i="10" s="1"/>
  <c r="S608" i="10"/>
  <c r="S610" i="10" s="1"/>
  <c r="R608" i="10"/>
  <c r="R610" i="10" s="1"/>
  <c r="Q608" i="10"/>
  <c r="Q610" i="10" s="1"/>
  <c r="P608" i="10"/>
  <c r="P610" i="10" s="1"/>
  <c r="O608" i="10"/>
  <c r="O610" i="10" s="1"/>
  <c r="N608" i="10"/>
  <c r="N610" i="10" s="1"/>
  <c r="M608" i="10"/>
  <c r="M610" i="10" s="1"/>
  <c r="L608" i="10"/>
  <c r="L610" i="10" s="1"/>
  <c r="K608" i="10"/>
  <c r="K610" i="10" s="1"/>
  <c r="J608" i="10"/>
  <c r="J610" i="10" s="1"/>
  <c r="I608" i="10"/>
  <c r="I610" i="10" s="1"/>
  <c r="H608" i="10"/>
  <c r="H610" i="10" s="1"/>
  <c r="G608" i="10"/>
  <c r="G610" i="10" s="1"/>
  <c r="F608" i="10"/>
  <c r="F610" i="10" s="1"/>
  <c r="E608" i="10"/>
  <c r="E610" i="10" s="1"/>
  <c r="D608" i="10"/>
  <c r="D610" i="10" s="1"/>
  <c r="C608" i="10"/>
  <c r="C610" i="10" s="1"/>
  <c r="X598" i="10"/>
  <c r="AI596" i="10"/>
  <c r="AI598" i="10" s="1"/>
  <c r="AH596" i="10"/>
  <c r="AH598" i="10" s="1"/>
  <c r="AG596" i="10"/>
  <c r="AG598" i="10" s="1"/>
  <c r="AF596" i="10"/>
  <c r="AF598" i="10" s="1"/>
  <c r="AE596" i="10"/>
  <c r="AE598" i="10" s="1"/>
  <c r="AD596" i="10"/>
  <c r="AD598" i="10" s="1"/>
  <c r="AC596" i="10"/>
  <c r="AC598" i="10" s="1"/>
  <c r="AB596" i="10"/>
  <c r="AB598" i="10" s="1"/>
  <c r="AA596" i="10"/>
  <c r="AA598" i="10" s="1"/>
  <c r="Z596" i="10"/>
  <c r="Z598" i="10" s="1"/>
  <c r="Y596" i="10"/>
  <c r="Y598" i="10" s="1"/>
  <c r="X596" i="10"/>
  <c r="W596" i="10"/>
  <c r="W598" i="10" s="1"/>
  <c r="V596" i="10"/>
  <c r="V598" i="10" s="1"/>
  <c r="U596" i="10"/>
  <c r="U598" i="10" s="1"/>
  <c r="T596" i="10"/>
  <c r="T598" i="10" s="1"/>
  <c r="S596" i="10"/>
  <c r="S598" i="10" s="1"/>
  <c r="R596" i="10"/>
  <c r="R598" i="10" s="1"/>
  <c r="Q596" i="10"/>
  <c r="Q598" i="10" s="1"/>
  <c r="P596" i="10"/>
  <c r="P598" i="10" s="1"/>
  <c r="O596" i="10"/>
  <c r="O598" i="10" s="1"/>
  <c r="N596" i="10"/>
  <c r="N598" i="10" s="1"/>
  <c r="M596" i="10"/>
  <c r="M598" i="10" s="1"/>
  <c r="L596" i="10"/>
  <c r="L598" i="10" s="1"/>
  <c r="K596" i="10"/>
  <c r="K598" i="10" s="1"/>
  <c r="J596" i="10"/>
  <c r="J598" i="10" s="1"/>
  <c r="I596" i="10"/>
  <c r="I598" i="10" s="1"/>
  <c r="H596" i="10"/>
  <c r="H598" i="10" s="1"/>
  <c r="G596" i="10"/>
  <c r="G598" i="10" s="1"/>
  <c r="F596" i="10"/>
  <c r="F598" i="10" s="1"/>
  <c r="E596" i="10"/>
  <c r="E598" i="10" s="1"/>
  <c r="D596" i="10"/>
  <c r="D598" i="10" s="1"/>
  <c r="C596" i="10"/>
  <c r="C598" i="10" s="1"/>
  <c r="AI595" i="10"/>
  <c r="AI597" i="10" s="1"/>
  <c r="AH595" i="10"/>
  <c r="AH597" i="10" s="1"/>
  <c r="AG595" i="10"/>
  <c r="AG597" i="10" s="1"/>
  <c r="AF595" i="10"/>
  <c r="AF597" i="10" s="1"/>
  <c r="AE595" i="10"/>
  <c r="AE597" i="10" s="1"/>
  <c r="AD595" i="10"/>
  <c r="AD597" i="10" s="1"/>
  <c r="AC595" i="10"/>
  <c r="AC597" i="10" s="1"/>
  <c r="AB595" i="10"/>
  <c r="AB597" i="10" s="1"/>
  <c r="AA595" i="10"/>
  <c r="AA597" i="10" s="1"/>
  <c r="Z595" i="10"/>
  <c r="Z597" i="10" s="1"/>
  <c r="Y595" i="10"/>
  <c r="Y597" i="10" s="1"/>
  <c r="X595" i="10"/>
  <c r="X597" i="10" s="1"/>
  <c r="W595" i="10"/>
  <c r="W597" i="10" s="1"/>
  <c r="V595" i="10"/>
  <c r="V597" i="10" s="1"/>
  <c r="U595" i="10"/>
  <c r="U597" i="10" s="1"/>
  <c r="T595" i="10"/>
  <c r="T597" i="10" s="1"/>
  <c r="S595" i="10"/>
  <c r="S597" i="10" s="1"/>
  <c r="R595" i="10"/>
  <c r="R597" i="10" s="1"/>
  <c r="Q595" i="10"/>
  <c r="Q597" i="10" s="1"/>
  <c r="P595" i="10"/>
  <c r="P597" i="10" s="1"/>
  <c r="O595" i="10"/>
  <c r="O597" i="10" s="1"/>
  <c r="N595" i="10"/>
  <c r="N597" i="10" s="1"/>
  <c r="M595" i="10"/>
  <c r="M597" i="10" s="1"/>
  <c r="L595" i="10"/>
  <c r="L597" i="10" s="1"/>
  <c r="K595" i="10"/>
  <c r="K597" i="10" s="1"/>
  <c r="J595" i="10"/>
  <c r="J597" i="10" s="1"/>
  <c r="I595" i="10"/>
  <c r="I597" i="10" s="1"/>
  <c r="H595" i="10"/>
  <c r="H597" i="10" s="1"/>
  <c r="G595" i="10"/>
  <c r="G597" i="10" s="1"/>
  <c r="F595" i="10"/>
  <c r="F597" i="10" s="1"/>
  <c r="E595" i="10"/>
  <c r="E597" i="10" s="1"/>
  <c r="D595" i="10"/>
  <c r="D597" i="10" s="1"/>
  <c r="C595" i="10"/>
  <c r="C597" i="10" s="1"/>
  <c r="AF585" i="10"/>
  <c r="AI583" i="10"/>
  <c r="AI585" i="10" s="1"/>
  <c r="AH583" i="10"/>
  <c r="AH585" i="10" s="1"/>
  <c r="AG583" i="10"/>
  <c r="AG585" i="10" s="1"/>
  <c r="AF583" i="10"/>
  <c r="AE583" i="10"/>
  <c r="AE585" i="10" s="1"/>
  <c r="AD583" i="10"/>
  <c r="AD585" i="10" s="1"/>
  <c r="AC583" i="10"/>
  <c r="AC585" i="10" s="1"/>
  <c r="AB583" i="10"/>
  <c r="AB585" i="10" s="1"/>
  <c r="AA583" i="10"/>
  <c r="AA585" i="10" s="1"/>
  <c r="Z583" i="10"/>
  <c r="Z585" i="10" s="1"/>
  <c r="Y583" i="10"/>
  <c r="Y585" i="10" s="1"/>
  <c r="X583" i="10"/>
  <c r="X585" i="10" s="1"/>
  <c r="W583" i="10"/>
  <c r="W585" i="10" s="1"/>
  <c r="V583" i="10"/>
  <c r="V585" i="10" s="1"/>
  <c r="U583" i="10"/>
  <c r="U585" i="10" s="1"/>
  <c r="T583" i="10"/>
  <c r="T585" i="10" s="1"/>
  <c r="S583" i="10"/>
  <c r="S585" i="10" s="1"/>
  <c r="R583" i="10"/>
  <c r="R585" i="10" s="1"/>
  <c r="Q583" i="10"/>
  <c r="Q585" i="10" s="1"/>
  <c r="P583" i="10"/>
  <c r="P585" i="10" s="1"/>
  <c r="O583" i="10"/>
  <c r="O585" i="10" s="1"/>
  <c r="N583" i="10"/>
  <c r="N585" i="10" s="1"/>
  <c r="M583" i="10"/>
  <c r="M585" i="10" s="1"/>
  <c r="L583" i="10"/>
  <c r="L585" i="10" s="1"/>
  <c r="K583" i="10"/>
  <c r="K585" i="10" s="1"/>
  <c r="J583" i="10"/>
  <c r="J585" i="10" s="1"/>
  <c r="I583" i="10"/>
  <c r="I585" i="10" s="1"/>
  <c r="H583" i="10"/>
  <c r="H585" i="10" s="1"/>
  <c r="G583" i="10"/>
  <c r="G585" i="10" s="1"/>
  <c r="F583" i="10"/>
  <c r="F585" i="10" s="1"/>
  <c r="E583" i="10"/>
  <c r="E585" i="10" s="1"/>
  <c r="D583" i="10"/>
  <c r="D585" i="10" s="1"/>
  <c r="C583" i="10"/>
  <c r="C585" i="10" s="1"/>
  <c r="AI582" i="10"/>
  <c r="AI584" i="10" s="1"/>
  <c r="AH582" i="10"/>
  <c r="AH584" i="10" s="1"/>
  <c r="AG582" i="10"/>
  <c r="AG584" i="10" s="1"/>
  <c r="AF582" i="10"/>
  <c r="AF584" i="10" s="1"/>
  <c r="AE582" i="10"/>
  <c r="AE584" i="10" s="1"/>
  <c r="AD582" i="10"/>
  <c r="AD584" i="10" s="1"/>
  <c r="AC582" i="10"/>
  <c r="AC584" i="10" s="1"/>
  <c r="AB582" i="10"/>
  <c r="AB584" i="10" s="1"/>
  <c r="AA582" i="10"/>
  <c r="AA584" i="10" s="1"/>
  <c r="Z582" i="10"/>
  <c r="Z584" i="10" s="1"/>
  <c r="Y582" i="10"/>
  <c r="Y584" i="10" s="1"/>
  <c r="X582" i="10"/>
  <c r="X584" i="10" s="1"/>
  <c r="W582" i="10"/>
  <c r="W584" i="10" s="1"/>
  <c r="V582" i="10"/>
  <c r="V584" i="10" s="1"/>
  <c r="U582" i="10"/>
  <c r="U584" i="10" s="1"/>
  <c r="T582" i="10"/>
  <c r="T584" i="10" s="1"/>
  <c r="S582" i="10"/>
  <c r="S584" i="10" s="1"/>
  <c r="R582" i="10"/>
  <c r="R584" i="10" s="1"/>
  <c r="Q582" i="10"/>
  <c r="Q584" i="10" s="1"/>
  <c r="P582" i="10"/>
  <c r="P584" i="10" s="1"/>
  <c r="O582" i="10"/>
  <c r="O584" i="10" s="1"/>
  <c r="N582" i="10"/>
  <c r="N584" i="10" s="1"/>
  <c r="M582" i="10"/>
  <c r="M584" i="10" s="1"/>
  <c r="L582" i="10"/>
  <c r="L584" i="10" s="1"/>
  <c r="K582" i="10"/>
  <c r="K584" i="10" s="1"/>
  <c r="J582" i="10"/>
  <c r="J584" i="10" s="1"/>
  <c r="I582" i="10"/>
  <c r="I584" i="10" s="1"/>
  <c r="H582" i="10"/>
  <c r="H584" i="10" s="1"/>
  <c r="G582" i="10"/>
  <c r="G584" i="10" s="1"/>
  <c r="F582" i="10"/>
  <c r="F584" i="10" s="1"/>
  <c r="E582" i="10"/>
  <c r="E584" i="10" s="1"/>
  <c r="D582" i="10"/>
  <c r="D584" i="10" s="1"/>
  <c r="C582" i="10"/>
  <c r="C584" i="10" s="1"/>
  <c r="Y572" i="10"/>
  <c r="Q572" i="10"/>
  <c r="AA571" i="10"/>
  <c r="S571" i="10"/>
  <c r="AI570" i="10"/>
  <c r="AI572" i="10" s="1"/>
  <c r="AH570" i="10"/>
  <c r="AH572" i="10" s="1"/>
  <c r="AG570" i="10"/>
  <c r="AG572" i="10" s="1"/>
  <c r="AF570" i="10"/>
  <c r="AF572" i="10" s="1"/>
  <c r="AE570" i="10"/>
  <c r="AE572" i="10" s="1"/>
  <c r="AD570" i="10"/>
  <c r="AD572" i="10" s="1"/>
  <c r="AC570" i="10"/>
  <c r="AC572" i="10" s="1"/>
  <c r="AB570" i="10"/>
  <c r="AB572" i="10" s="1"/>
  <c r="AA570" i="10"/>
  <c r="AA572" i="10" s="1"/>
  <c r="Z570" i="10"/>
  <c r="Z572" i="10" s="1"/>
  <c r="Y570" i="10"/>
  <c r="X570" i="10"/>
  <c r="X572" i="10" s="1"/>
  <c r="W570" i="10"/>
  <c r="W572" i="10" s="1"/>
  <c r="V570" i="10"/>
  <c r="V572" i="10" s="1"/>
  <c r="U570" i="10"/>
  <c r="U572" i="10" s="1"/>
  <c r="T570" i="10"/>
  <c r="T572" i="10" s="1"/>
  <c r="S570" i="10"/>
  <c r="S572" i="10" s="1"/>
  <c r="R570" i="10"/>
  <c r="R572" i="10" s="1"/>
  <c r="Q570" i="10"/>
  <c r="P570" i="10"/>
  <c r="P572" i="10" s="1"/>
  <c r="O570" i="10"/>
  <c r="O572" i="10" s="1"/>
  <c r="N570" i="10"/>
  <c r="N572" i="10" s="1"/>
  <c r="M570" i="10"/>
  <c r="M572" i="10" s="1"/>
  <c r="L570" i="10"/>
  <c r="L572" i="10" s="1"/>
  <c r="K570" i="10"/>
  <c r="K572" i="10" s="1"/>
  <c r="J570" i="10"/>
  <c r="J572" i="10" s="1"/>
  <c r="I570" i="10"/>
  <c r="I572" i="10" s="1"/>
  <c r="H570" i="10"/>
  <c r="H572" i="10" s="1"/>
  <c r="G570" i="10"/>
  <c r="G572" i="10" s="1"/>
  <c r="F570" i="10"/>
  <c r="F572" i="10" s="1"/>
  <c r="E570" i="10"/>
  <c r="E572" i="10" s="1"/>
  <c r="D570" i="10"/>
  <c r="D572" i="10" s="1"/>
  <c r="C570" i="10"/>
  <c r="C572" i="10" s="1"/>
  <c r="AI569" i="10"/>
  <c r="AI571" i="10" s="1"/>
  <c r="AH569" i="10"/>
  <c r="AH571" i="10" s="1"/>
  <c r="AG569" i="10"/>
  <c r="AG571" i="10" s="1"/>
  <c r="AF569" i="10"/>
  <c r="AF571" i="10" s="1"/>
  <c r="AE569" i="10"/>
  <c r="AE571" i="10" s="1"/>
  <c r="AD569" i="10"/>
  <c r="AD571" i="10" s="1"/>
  <c r="AC569" i="10"/>
  <c r="AC571" i="10" s="1"/>
  <c r="AB569" i="10"/>
  <c r="AB571" i="10" s="1"/>
  <c r="AA569" i="10"/>
  <c r="Z569" i="10"/>
  <c r="Z571" i="10" s="1"/>
  <c r="Y569" i="10"/>
  <c r="Y571" i="10" s="1"/>
  <c r="X569" i="10"/>
  <c r="X571" i="10" s="1"/>
  <c r="W569" i="10"/>
  <c r="W571" i="10" s="1"/>
  <c r="V569" i="10"/>
  <c r="V571" i="10" s="1"/>
  <c r="U569" i="10"/>
  <c r="U571" i="10" s="1"/>
  <c r="T569" i="10"/>
  <c r="T571" i="10" s="1"/>
  <c r="S569" i="10"/>
  <c r="R569" i="10"/>
  <c r="R571" i="10" s="1"/>
  <c r="Q569" i="10"/>
  <c r="Q571" i="10" s="1"/>
  <c r="P569" i="10"/>
  <c r="P571" i="10" s="1"/>
  <c r="O569" i="10"/>
  <c r="O571" i="10" s="1"/>
  <c r="N569" i="10"/>
  <c r="N571" i="10" s="1"/>
  <c r="M569" i="10"/>
  <c r="M571" i="10" s="1"/>
  <c r="L569" i="10"/>
  <c r="L571" i="10" s="1"/>
  <c r="K569" i="10"/>
  <c r="K571" i="10" s="1"/>
  <c r="J569" i="10"/>
  <c r="J571" i="10" s="1"/>
  <c r="I569" i="10"/>
  <c r="I571" i="10" s="1"/>
  <c r="H569" i="10"/>
  <c r="H571" i="10" s="1"/>
  <c r="G569" i="10"/>
  <c r="G571" i="10" s="1"/>
  <c r="F569" i="10"/>
  <c r="F571" i="10" s="1"/>
  <c r="E569" i="10"/>
  <c r="E571" i="10" s="1"/>
  <c r="D569" i="10"/>
  <c r="D571" i="10" s="1"/>
  <c r="C569" i="10"/>
  <c r="C571" i="10" s="1"/>
  <c r="X559" i="10"/>
  <c r="AI557" i="10"/>
  <c r="AI559" i="10" s="1"/>
  <c r="AH557" i="10"/>
  <c r="AH559" i="10" s="1"/>
  <c r="AG557" i="10"/>
  <c r="AG559" i="10" s="1"/>
  <c r="AF557" i="10"/>
  <c r="AF559" i="10" s="1"/>
  <c r="AE557" i="10"/>
  <c r="AE559" i="10" s="1"/>
  <c r="AD557" i="10"/>
  <c r="AD559" i="10" s="1"/>
  <c r="AC557" i="10"/>
  <c r="AC559" i="10" s="1"/>
  <c r="AB557" i="10"/>
  <c r="AB559" i="10" s="1"/>
  <c r="AA557" i="10"/>
  <c r="AA559" i="10" s="1"/>
  <c r="Z557" i="10"/>
  <c r="Z559" i="10" s="1"/>
  <c r="Y557" i="10"/>
  <c r="Y559" i="10" s="1"/>
  <c r="X557" i="10"/>
  <c r="W557" i="10"/>
  <c r="W559" i="10" s="1"/>
  <c r="V557" i="10"/>
  <c r="V559" i="10" s="1"/>
  <c r="U557" i="10"/>
  <c r="U559" i="10" s="1"/>
  <c r="T557" i="10"/>
  <c r="T559" i="10" s="1"/>
  <c r="S557" i="10"/>
  <c r="S559" i="10" s="1"/>
  <c r="R557" i="10"/>
  <c r="R559" i="10" s="1"/>
  <c r="Q557" i="10"/>
  <c r="Q559" i="10" s="1"/>
  <c r="P557" i="10"/>
  <c r="P559" i="10" s="1"/>
  <c r="O557" i="10"/>
  <c r="O559" i="10" s="1"/>
  <c r="N557" i="10"/>
  <c r="N559" i="10" s="1"/>
  <c r="M557" i="10"/>
  <c r="M559" i="10" s="1"/>
  <c r="L557" i="10"/>
  <c r="L559" i="10" s="1"/>
  <c r="K557" i="10"/>
  <c r="K559" i="10" s="1"/>
  <c r="J557" i="10"/>
  <c r="J559" i="10" s="1"/>
  <c r="I557" i="10"/>
  <c r="I559" i="10" s="1"/>
  <c r="H557" i="10"/>
  <c r="H559" i="10" s="1"/>
  <c r="G557" i="10"/>
  <c r="G559" i="10" s="1"/>
  <c r="F557" i="10"/>
  <c r="F559" i="10" s="1"/>
  <c r="E557" i="10"/>
  <c r="E559" i="10" s="1"/>
  <c r="D557" i="10"/>
  <c r="D559" i="10" s="1"/>
  <c r="C557" i="10"/>
  <c r="C559" i="10" s="1"/>
  <c r="AI556" i="10"/>
  <c r="AI558" i="10" s="1"/>
  <c r="AH556" i="10"/>
  <c r="AH558" i="10" s="1"/>
  <c r="AG556" i="10"/>
  <c r="AG558" i="10" s="1"/>
  <c r="AF556" i="10"/>
  <c r="AF558" i="10" s="1"/>
  <c r="AE556" i="10"/>
  <c r="AE558" i="10" s="1"/>
  <c r="AD556" i="10"/>
  <c r="AD558" i="10" s="1"/>
  <c r="AC556" i="10"/>
  <c r="AC558" i="10" s="1"/>
  <c r="AB556" i="10"/>
  <c r="AB558" i="10" s="1"/>
  <c r="AA556" i="10"/>
  <c r="AA558" i="10" s="1"/>
  <c r="Z556" i="10"/>
  <c r="Z558" i="10" s="1"/>
  <c r="Y556" i="10"/>
  <c r="Y558" i="10" s="1"/>
  <c r="X556" i="10"/>
  <c r="X558" i="10" s="1"/>
  <c r="W556" i="10"/>
  <c r="W558" i="10" s="1"/>
  <c r="V556" i="10"/>
  <c r="V558" i="10" s="1"/>
  <c r="U556" i="10"/>
  <c r="U558" i="10" s="1"/>
  <c r="T556" i="10"/>
  <c r="T558" i="10" s="1"/>
  <c r="S556" i="10"/>
  <c r="S558" i="10" s="1"/>
  <c r="R556" i="10"/>
  <c r="R558" i="10" s="1"/>
  <c r="Q556" i="10"/>
  <c r="Q558" i="10" s="1"/>
  <c r="P556" i="10"/>
  <c r="P558" i="10" s="1"/>
  <c r="O556" i="10"/>
  <c r="O558" i="10" s="1"/>
  <c r="N556" i="10"/>
  <c r="N558" i="10" s="1"/>
  <c r="M556" i="10"/>
  <c r="M558" i="10" s="1"/>
  <c r="L556" i="10"/>
  <c r="L558" i="10" s="1"/>
  <c r="K556" i="10"/>
  <c r="K558" i="10" s="1"/>
  <c r="J556" i="10"/>
  <c r="J558" i="10" s="1"/>
  <c r="I556" i="10"/>
  <c r="I558" i="10" s="1"/>
  <c r="H556" i="10"/>
  <c r="H558" i="10" s="1"/>
  <c r="G556" i="10"/>
  <c r="G558" i="10" s="1"/>
  <c r="F556" i="10"/>
  <c r="F558" i="10" s="1"/>
  <c r="E556" i="10"/>
  <c r="E558" i="10" s="1"/>
  <c r="D556" i="10"/>
  <c r="D558" i="10" s="1"/>
  <c r="C556" i="10"/>
  <c r="C558" i="10" s="1"/>
  <c r="X546" i="10"/>
  <c r="AI544" i="10"/>
  <c r="AI546" i="10" s="1"/>
  <c r="AH544" i="10"/>
  <c r="AH546" i="10" s="1"/>
  <c r="AG544" i="10"/>
  <c r="AG546" i="10" s="1"/>
  <c r="AF544" i="10"/>
  <c r="AF546" i="10" s="1"/>
  <c r="AE544" i="10"/>
  <c r="AE546" i="10" s="1"/>
  <c r="AD544" i="10"/>
  <c r="AD546" i="10" s="1"/>
  <c r="AC544" i="10"/>
  <c r="AC546" i="10" s="1"/>
  <c r="AB544" i="10"/>
  <c r="AB546" i="10" s="1"/>
  <c r="AA544" i="10"/>
  <c r="AA546" i="10" s="1"/>
  <c r="Z544" i="10"/>
  <c r="Z546" i="10" s="1"/>
  <c r="Y544" i="10"/>
  <c r="Y546" i="10" s="1"/>
  <c r="X544" i="10"/>
  <c r="W544" i="10"/>
  <c r="W546" i="10" s="1"/>
  <c r="V544" i="10"/>
  <c r="V546" i="10" s="1"/>
  <c r="U544" i="10"/>
  <c r="U546" i="10" s="1"/>
  <c r="T544" i="10"/>
  <c r="T546" i="10" s="1"/>
  <c r="S544" i="10"/>
  <c r="S546" i="10" s="1"/>
  <c r="R544" i="10"/>
  <c r="R546" i="10" s="1"/>
  <c r="Q544" i="10"/>
  <c r="Q546" i="10" s="1"/>
  <c r="P544" i="10"/>
  <c r="P546" i="10" s="1"/>
  <c r="O544" i="10"/>
  <c r="O546" i="10" s="1"/>
  <c r="N544" i="10"/>
  <c r="N546" i="10" s="1"/>
  <c r="M544" i="10"/>
  <c r="M546" i="10" s="1"/>
  <c r="L544" i="10"/>
  <c r="L546" i="10" s="1"/>
  <c r="K544" i="10"/>
  <c r="K546" i="10" s="1"/>
  <c r="J544" i="10"/>
  <c r="J546" i="10" s="1"/>
  <c r="I544" i="10"/>
  <c r="I546" i="10" s="1"/>
  <c r="H544" i="10"/>
  <c r="H546" i="10" s="1"/>
  <c r="G544" i="10"/>
  <c r="G546" i="10" s="1"/>
  <c r="F544" i="10"/>
  <c r="F546" i="10" s="1"/>
  <c r="E544" i="10"/>
  <c r="E546" i="10" s="1"/>
  <c r="D544" i="10"/>
  <c r="D546" i="10" s="1"/>
  <c r="C544" i="10"/>
  <c r="C546" i="10" s="1"/>
  <c r="AI543" i="10"/>
  <c r="AI545" i="10" s="1"/>
  <c r="AH543" i="10"/>
  <c r="AH545" i="10" s="1"/>
  <c r="AG543" i="10"/>
  <c r="AG545" i="10" s="1"/>
  <c r="AF543" i="10"/>
  <c r="AF545" i="10" s="1"/>
  <c r="AE543" i="10"/>
  <c r="AE545" i="10" s="1"/>
  <c r="AD543" i="10"/>
  <c r="AD545" i="10" s="1"/>
  <c r="AC543" i="10"/>
  <c r="AC545" i="10" s="1"/>
  <c r="AB543" i="10"/>
  <c r="AB545" i="10" s="1"/>
  <c r="AA543" i="10"/>
  <c r="AA545" i="10" s="1"/>
  <c r="Z543" i="10"/>
  <c r="Z545" i="10" s="1"/>
  <c r="Y543" i="10"/>
  <c r="Y545" i="10" s="1"/>
  <c r="X543" i="10"/>
  <c r="X545" i="10" s="1"/>
  <c r="W543" i="10"/>
  <c r="W545" i="10" s="1"/>
  <c r="V543" i="10"/>
  <c r="V545" i="10" s="1"/>
  <c r="U543" i="10"/>
  <c r="U545" i="10" s="1"/>
  <c r="T543" i="10"/>
  <c r="T545" i="10" s="1"/>
  <c r="S543" i="10"/>
  <c r="S545" i="10" s="1"/>
  <c r="R543" i="10"/>
  <c r="R545" i="10" s="1"/>
  <c r="Q543" i="10"/>
  <c r="Q545" i="10" s="1"/>
  <c r="P543" i="10"/>
  <c r="P545" i="10" s="1"/>
  <c r="O543" i="10"/>
  <c r="O545" i="10" s="1"/>
  <c r="N543" i="10"/>
  <c r="N545" i="10" s="1"/>
  <c r="M543" i="10"/>
  <c r="M545" i="10" s="1"/>
  <c r="L543" i="10"/>
  <c r="L545" i="10" s="1"/>
  <c r="K543" i="10"/>
  <c r="K545" i="10" s="1"/>
  <c r="J543" i="10"/>
  <c r="J545" i="10" s="1"/>
  <c r="I543" i="10"/>
  <c r="I545" i="10" s="1"/>
  <c r="H543" i="10"/>
  <c r="H545" i="10" s="1"/>
  <c r="G543" i="10"/>
  <c r="G545" i="10" s="1"/>
  <c r="F543" i="10"/>
  <c r="F545" i="10" s="1"/>
  <c r="E543" i="10"/>
  <c r="E545" i="10" s="1"/>
  <c r="D543" i="10"/>
  <c r="D545" i="10" s="1"/>
  <c r="C543" i="10"/>
  <c r="C545" i="10" s="1"/>
  <c r="P533" i="10"/>
  <c r="R532" i="10"/>
  <c r="AI531" i="10"/>
  <c r="AI533" i="10" s="1"/>
  <c r="AH531" i="10"/>
  <c r="AH533" i="10" s="1"/>
  <c r="AG531" i="10"/>
  <c r="AG533" i="10" s="1"/>
  <c r="AF531" i="10"/>
  <c r="AF533" i="10" s="1"/>
  <c r="AE531" i="10"/>
  <c r="AE533" i="10" s="1"/>
  <c r="AD531" i="10"/>
  <c r="AD533" i="10" s="1"/>
  <c r="AC531" i="10"/>
  <c r="AC533" i="10" s="1"/>
  <c r="AB531" i="10"/>
  <c r="AB533" i="10" s="1"/>
  <c r="AA531" i="10"/>
  <c r="AA533" i="10" s="1"/>
  <c r="Z531" i="10"/>
  <c r="Z533" i="10" s="1"/>
  <c r="Y531" i="10"/>
  <c r="Y533" i="10" s="1"/>
  <c r="X531" i="10"/>
  <c r="X533" i="10" s="1"/>
  <c r="W531" i="10"/>
  <c r="W533" i="10" s="1"/>
  <c r="V531" i="10"/>
  <c r="V533" i="10" s="1"/>
  <c r="U531" i="10"/>
  <c r="U533" i="10" s="1"/>
  <c r="T531" i="10"/>
  <c r="T533" i="10" s="1"/>
  <c r="S531" i="10"/>
  <c r="S533" i="10" s="1"/>
  <c r="R531" i="10"/>
  <c r="R533" i="10" s="1"/>
  <c r="Q531" i="10"/>
  <c r="Q533" i="10" s="1"/>
  <c r="P531" i="10"/>
  <c r="O531" i="10"/>
  <c r="O533" i="10" s="1"/>
  <c r="N531" i="10"/>
  <c r="N533" i="10" s="1"/>
  <c r="M531" i="10"/>
  <c r="M533" i="10" s="1"/>
  <c r="L531" i="10"/>
  <c r="L533" i="10" s="1"/>
  <c r="K531" i="10"/>
  <c r="K533" i="10" s="1"/>
  <c r="J531" i="10"/>
  <c r="J533" i="10" s="1"/>
  <c r="I531" i="10"/>
  <c r="I533" i="10" s="1"/>
  <c r="H531" i="10"/>
  <c r="H533" i="10" s="1"/>
  <c r="G531" i="10"/>
  <c r="G533" i="10" s="1"/>
  <c r="F531" i="10"/>
  <c r="F533" i="10" s="1"/>
  <c r="E531" i="10"/>
  <c r="E533" i="10" s="1"/>
  <c r="D531" i="10"/>
  <c r="D533" i="10" s="1"/>
  <c r="C531" i="10"/>
  <c r="C533" i="10" s="1"/>
  <c r="AI530" i="10"/>
  <c r="AI532" i="10" s="1"/>
  <c r="AH530" i="10"/>
  <c r="AH532" i="10" s="1"/>
  <c r="AG530" i="10"/>
  <c r="AG532" i="10" s="1"/>
  <c r="AF530" i="10"/>
  <c r="AF532" i="10" s="1"/>
  <c r="AE530" i="10"/>
  <c r="AE532" i="10" s="1"/>
  <c r="AD530" i="10"/>
  <c r="AD532" i="10" s="1"/>
  <c r="AC530" i="10"/>
  <c r="AC532" i="10" s="1"/>
  <c r="AB530" i="10"/>
  <c r="AB532" i="10" s="1"/>
  <c r="AA530" i="10"/>
  <c r="AA532" i="10" s="1"/>
  <c r="Z530" i="10"/>
  <c r="Z532" i="10" s="1"/>
  <c r="Y530" i="10"/>
  <c r="Y532" i="10" s="1"/>
  <c r="X530" i="10"/>
  <c r="X532" i="10" s="1"/>
  <c r="W530" i="10"/>
  <c r="W532" i="10" s="1"/>
  <c r="V530" i="10"/>
  <c r="V532" i="10" s="1"/>
  <c r="U530" i="10"/>
  <c r="U532" i="10" s="1"/>
  <c r="T530" i="10"/>
  <c r="T532" i="10" s="1"/>
  <c r="S530" i="10"/>
  <c r="S532" i="10" s="1"/>
  <c r="R530" i="10"/>
  <c r="Q530" i="10"/>
  <c r="Q532" i="10" s="1"/>
  <c r="P530" i="10"/>
  <c r="P532" i="10" s="1"/>
  <c r="O530" i="10"/>
  <c r="O532" i="10" s="1"/>
  <c r="N530" i="10"/>
  <c r="N532" i="10" s="1"/>
  <c r="M530" i="10"/>
  <c r="M532" i="10" s="1"/>
  <c r="L530" i="10"/>
  <c r="L532" i="10" s="1"/>
  <c r="K530" i="10"/>
  <c r="K532" i="10" s="1"/>
  <c r="J530" i="10"/>
  <c r="J532" i="10" s="1"/>
  <c r="I530" i="10"/>
  <c r="I532" i="10" s="1"/>
  <c r="H530" i="10"/>
  <c r="H532" i="10" s="1"/>
  <c r="G530" i="10"/>
  <c r="G532" i="10" s="1"/>
  <c r="F530" i="10"/>
  <c r="F532" i="10" s="1"/>
  <c r="E530" i="10"/>
  <c r="E532" i="10" s="1"/>
  <c r="D530" i="10"/>
  <c r="D532" i="10" s="1"/>
  <c r="C530" i="10"/>
  <c r="C532" i="10" s="1"/>
  <c r="Z520" i="10"/>
  <c r="AI518" i="10"/>
  <c r="AI520" i="10" s="1"/>
  <c r="AH518" i="10"/>
  <c r="AH520" i="10" s="1"/>
  <c r="AG518" i="10"/>
  <c r="AG520" i="10" s="1"/>
  <c r="AF518" i="10"/>
  <c r="AF520" i="10" s="1"/>
  <c r="AE518" i="10"/>
  <c r="AE520" i="10" s="1"/>
  <c r="AD518" i="10"/>
  <c r="AD520" i="10" s="1"/>
  <c r="AC518" i="10"/>
  <c r="AC520" i="10" s="1"/>
  <c r="AB518" i="10"/>
  <c r="AB520" i="10" s="1"/>
  <c r="AA518" i="10"/>
  <c r="AA520" i="10" s="1"/>
  <c r="Z518" i="10"/>
  <c r="Y518" i="10"/>
  <c r="Y520" i="10" s="1"/>
  <c r="X518" i="10"/>
  <c r="X520" i="10" s="1"/>
  <c r="W518" i="10"/>
  <c r="W520" i="10" s="1"/>
  <c r="V518" i="10"/>
  <c r="V520" i="10" s="1"/>
  <c r="U518" i="10"/>
  <c r="U520" i="10" s="1"/>
  <c r="T518" i="10"/>
  <c r="T520" i="10" s="1"/>
  <c r="S518" i="10"/>
  <c r="S520" i="10" s="1"/>
  <c r="R518" i="10"/>
  <c r="R520" i="10" s="1"/>
  <c r="Q518" i="10"/>
  <c r="Q520" i="10" s="1"/>
  <c r="P518" i="10"/>
  <c r="P520" i="10" s="1"/>
  <c r="O518" i="10"/>
  <c r="O520" i="10" s="1"/>
  <c r="N518" i="10"/>
  <c r="N520" i="10" s="1"/>
  <c r="M518" i="10"/>
  <c r="M520" i="10" s="1"/>
  <c r="L518" i="10"/>
  <c r="L520" i="10" s="1"/>
  <c r="K518" i="10"/>
  <c r="K520" i="10" s="1"/>
  <c r="J518" i="10"/>
  <c r="J520" i="10" s="1"/>
  <c r="I518" i="10"/>
  <c r="I520" i="10" s="1"/>
  <c r="H518" i="10"/>
  <c r="H520" i="10" s="1"/>
  <c r="G518" i="10"/>
  <c r="G520" i="10" s="1"/>
  <c r="F518" i="10"/>
  <c r="F520" i="10" s="1"/>
  <c r="E518" i="10"/>
  <c r="E520" i="10" s="1"/>
  <c r="D518" i="10"/>
  <c r="D520" i="10" s="1"/>
  <c r="C518" i="10"/>
  <c r="C520" i="10" s="1"/>
  <c r="AI517" i="10"/>
  <c r="AI519" i="10" s="1"/>
  <c r="AH517" i="10"/>
  <c r="AH519" i="10" s="1"/>
  <c r="AG517" i="10"/>
  <c r="AG519" i="10" s="1"/>
  <c r="AF517" i="10"/>
  <c r="AF519" i="10" s="1"/>
  <c r="AE517" i="10"/>
  <c r="AE519" i="10" s="1"/>
  <c r="AD517" i="10"/>
  <c r="AD519" i="10" s="1"/>
  <c r="AC517" i="10"/>
  <c r="AC519" i="10" s="1"/>
  <c r="AB517" i="10"/>
  <c r="AB519" i="10" s="1"/>
  <c r="AA517" i="10"/>
  <c r="AA519" i="10" s="1"/>
  <c r="Z517" i="10"/>
  <c r="Z519" i="10" s="1"/>
  <c r="Y517" i="10"/>
  <c r="Y519" i="10" s="1"/>
  <c r="X517" i="10"/>
  <c r="X519" i="10" s="1"/>
  <c r="W517" i="10"/>
  <c r="W519" i="10" s="1"/>
  <c r="V517" i="10"/>
  <c r="V519" i="10" s="1"/>
  <c r="U517" i="10"/>
  <c r="U519" i="10" s="1"/>
  <c r="T517" i="10"/>
  <c r="T519" i="10" s="1"/>
  <c r="S517" i="10"/>
  <c r="S519" i="10" s="1"/>
  <c r="R517" i="10"/>
  <c r="R519" i="10" s="1"/>
  <c r="Q517" i="10"/>
  <c r="Q519" i="10" s="1"/>
  <c r="P517" i="10"/>
  <c r="P519" i="10" s="1"/>
  <c r="O517" i="10"/>
  <c r="O519" i="10" s="1"/>
  <c r="N517" i="10"/>
  <c r="N519" i="10" s="1"/>
  <c r="M517" i="10"/>
  <c r="M519" i="10" s="1"/>
  <c r="L517" i="10"/>
  <c r="L519" i="10" s="1"/>
  <c r="K517" i="10"/>
  <c r="K519" i="10" s="1"/>
  <c r="J517" i="10"/>
  <c r="J519" i="10" s="1"/>
  <c r="I517" i="10"/>
  <c r="I519" i="10" s="1"/>
  <c r="H517" i="10"/>
  <c r="H519" i="10" s="1"/>
  <c r="G517" i="10"/>
  <c r="G519" i="10" s="1"/>
  <c r="F517" i="10"/>
  <c r="F519" i="10" s="1"/>
  <c r="E517" i="10"/>
  <c r="E519" i="10" s="1"/>
  <c r="D517" i="10"/>
  <c r="D519" i="10" s="1"/>
  <c r="C517" i="10"/>
  <c r="C519" i="10" s="1"/>
  <c r="Z507" i="10"/>
  <c r="AH506" i="10"/>
  <c r="J506" i="10"/>
  <c r="AI505" i="10"/>
  <c r="AI507" i="10" s="1"/>
  <c r="AH505" i="10"/>
  <c r="AH507" i="10" s="1"/>
  <c r="AG505" i="10"/>
  <c r="AG507" i="10" s="1"/>
  <c r="AF505" i="10"/>
  <c r="AF507" i="10" s="1"/>
  <c r="AE505" i="10"/>
  <c r="AE507" i="10" s="1"/>
  <c r="AD505" i="10"/>
  <c r="AD507" i="10" s="1"/>
  <c r="AC505" i="10"/>
  <c r="AC507" i="10" s="1"/>
  <c r="AB505" i="10"/>
  <c r="AB507" i="10" s="1"/>
  <c r="AA505" i="10"/>
  <c r="AA507" i="10" s="1"/>
  <c r="Z505" i="10"/>
  <c r="Y505" i="10"/>
  <c r="Y507" i="10" s="1"/>
  <c r="X505" i="10"/>
  <c r="X507" i="10" s="1"/>
  <c r="W505" i="10"/>
  <c r="W507" i="10" s="1"/>
  <c r="V505" i="10"/>
  <c r="V507" i="10" s="1"/>
  <c r="U505" i="10"/>
  <c r="U507" i="10" s="1"/>
  <c r="T505" i="10"/>
  <c r="T507" i="10" s="1"/>
  <c r="S505" i="10"/>
  <c r="S507" i="10" s="1"/>
  <c r="R505" i="10"/>
  <c r="R507" i="10" s="1"/>
  <c r="Q505" i="10"/>
  <c r="Q507" i="10" s="1"/>
  <c r="P505" i="10"/>
  <c r="P507" i="10" s="1"/>
  <c r="O505" i="10"/>
  <c r="O507" i="10" s="1"/>
  <c r="N505" i="10"/>
  <c r="N507" i="10" s="1"/>
  <c r="M505" i="10"/>
  <c r="M507" i="10" s="1"/>
  <c r="L505" i="10"/>
  <c r="L507" i="10" s="1"/>
  <c r="K505" i="10"/>
  <c r="K507" i="10" s="1"/>
  <c r="J505" i="10"/>
  <c r="J507" i="10" s="1"/>
  <c r="I505" i="10"/>
  <c r="I507" i="10" s="1"/>
  <c r="H505" i="10"/>
  <c r="H507" i="10" s="1"/>
  <c r="G505" i="10"/>
  <c r="G507" i="10" s="1"/>
  <c r="F505" i="10"/>
  <c r="F507" i="10" s="1"/>
  <c r="E505" i="10"/>
  <c r="E507" i="10" s="1"/>
  <c r="D505" i="10"/>
  <c r="D507" i="10" s="1"/>
  <c r="C505" i="10"/>
  <c r="C507" i="10" s="1"/>
  <c r="AI504" i="10"/>
  <c r="AI506" i="10" s="1"/>
  <c r="AH504" i="10"/>
  <c r="AG504" i="10"/>
  <c r="AG506" i="10" s="1"/>
  <c r="AF504" i="10"/>
  <c r="AF506" i="10" s="1"/>
  <c r="AE504" i="10"/>
  <c r="AE506" i="10" s="1"/>
  <c r="AD504" i="10"/>
  <c r="AD506" i="10" s="1"/>
  <c r="AC504" i="10"/>
  <c r="AC506" i="10" s="1"/>
  <c r="AB504" i="10"/>
  <c r="AB506" i="10" s="1"/>
  <c r="AA504" i="10"/>
  <c r="AA506" i="10" s="1"/>
  <c r="Z504" i="10"/>
  <c r="Z506" i="10" s="1"/>
  <c r="Y504" i="10"/>
  <c r="Y506" i="10" s="1"/>
  <c r="X504" i="10"/>
  <c r="X506" i="10" s="1"/>
  <c r="W504" i="10"/>
  <c r="W506" i="10" s="1"/>
  <c r="V504" i="10"/>
  <c r="V506" i="10" s="1"/>
  <c r="U504" i="10"/>
  <c r="U506" i="10" s="1"/>
  <c r="T504" i="10"/>
  <c r="T506" i="10" s="1"/>
  <c r="S504" i="10"/>
  <c r="S506" i="10" s="1"/>
  <c r="R504" i="10"/>
  <c r="R506" i="10" s="1"/>
  <c r="Q504" i="10"/>
  <c r="Q506" i="10" s="1"/>
  <c r="P504" i="10"/>
  <c r="P506" i="10" s="1"/>
  <c r="O504" i="10"/>
  <c r="O506" i="10" s="1"/>
  <c r="N504" i="10"/>
  <c r="N506" i="10" s="1"/>
  <c r="M504" i="10"/>
  <c r="M506" i="10" s="1"/>
  <c r="L504" i="10"/>
  <c r="L506" i="10" s="1"/>
  <c r="K504" i="10"/>
  <c r="K506" i="10" s="1"/>
  <c r="J504" i="10"/>
  <c r="I504" i="10"/>
  <c r="I506" i="10" s="1"/>
  <c r="H504" i="10"/>
  <c r="H506" i="10" s="1"/>
  <c r="G504" i="10"/>
  <c r="G506" i="10" s="1"/>
  <c r="F504" i="10"/>
  <c r="F506" i="10" s="1"/>
  <c r="E504" i="10"/>
  <c r="E506" i="10" s="1"/>
  <c r="D504" i="10"/>
  <c r="D506" i="10" s="1"/>
  <c r="C504" i="10"/>
  <c r="C506" i="10" s="1"/>
  <c r="H494" i="10"/>
  <c r="AI492" i="10"/>
  <c r="AI494" i="10" s="1"/>
  <c r="AH492" i="10"/>
  <c r="AH494" i="10" s="1"/>
  <c r="AG492" i="10"/>
  <c r="AG494" i="10" s="1"/>
  <c r="AF492" i="10"/>
  <c r="AF494" i="10" s="1"/>
  <c r="AE492" i="10"/>
  <c r="AE494" i="10" s="1"/>
  <c r="AD492" i="10"/>
  <c r="AD494" i="10" s="1"/>
  <c r="AC492" i="10"/>
  <c r="AC494" i="10" s="1"/>
  <c r="AB492" i="10"/>
  <c r="AB494" i="10" s="1"/>
  <c r="AA492" i="10"/>
  <c r="AA494" i="10" s="1"/>
  <c r="Z492" i="10"/>
  <c r="Z494" i="10" s="1"/>
  <c r="Y492" i="10"/>
  <c r="Y494" i="10" s="1"/>
  <c r="X492" i="10"/>
  <c r="X494" i="10" s="1"/>
  <c r="W492" i="10"/>
  <c r="W494" i="10" s="1"/>
  <c r="V492" i="10"/>
  <c r="V494" i="10" s="1"/>
  <c r="U492" i="10"/>
  <c r="U494" i="10" s="1"/>
  <c r="T492" i="10"/>
  <c r="T494" i="10" s="1"/>
  <c r="S492" i="10"/>
  <c r="S494" i="10" s="1"/>
  <c r="R492" i="10"/>
  <c r="R494" i="10" s="1"/>
  <c r="Q492" i="10"/>
  <c r="Q494" i="10" s="1"/>
  <c r="P492" i="10"/>
  <c r="P494" i="10" s="1"/>
  <c r="O492" i="10"/>
  <c r="O494" i="10" s="1"/>
  <c r="N492" i="10"/>
  <c r="N494" i="10" s="1"/>
  <c r="M492" i="10"/>
  <c r="M494" i="10" s="1"/>
  <c r="L492" i="10"/>
  <c r="L494" i="10" s="1"/>
  <c r="K492" i="10"/>
  <c r="K494" i="10" s="1"/>
  <c r="J492" i="10"/>
  <c r="J494" i="10" s="1"/>
  <c r="I492" i="10"/>
  <c r="I494" i="10" s="1"/>
  <c r="H492" i="10"/>
  <c r="G492" i="10"/>
  <c r="G494" i="10" s="1"/>
  <c r="F492" i="10"/>
  <c r="F494" i="10" s="1"/>
  <c r="E492" i="10"/>
  <c r="E494" i="10" s="1"/>
  <c r="D492" i="10"/>
  <c r="D494" i="10" s="1"/>
  <c r="C492" i="10"/>
  <c r="C494" i="10" s="1"/>
  <c r="AI491" i="10"/>
  <c r="AI493" i="10" s="1"/>
  <c r="AH491" i="10"/>
  <c r="AH493" i="10" s="1"/>
  <c r="AG491" i="10"/>
  <c r="AG493" i="10" s="1"/>
  <c r="AF491" i="10"/>
  <c r="AF493" i="10" s="1"/>
  <c r="AE491" i="10"/>
  <c r="AE493" i="10" s="1"/>
  <c r="AD491" i="10"/>
  <c r="AD493" i="10" s="1"/>
  <c r="AC491" i="10"/>
  <c r="AC493" i="10" s="1"/>
  <c r="AB491" i="10"/>
  <c r="AB493" i="10" s="1"/>
  <c r="AA491" i="10"/>
  <c r="AA493" i="10" s="1"/>
  <c r="Z491" i="10"/>
  <c r="Z493" i="10" s="1"/>
  <c r="Y491" i="10"/>
  <c r="Y493" i="10" s="1"/>
  <c r="X491" i="10"/>
  <c r="X493" i="10" s="1"/>
  <c r="W491" i="10"/>
  <c r="W493" i="10" s="1"/>
  <c r="V491" i="10"/>
  <c r="V493" i="10" s="1"/>
  <c r="U491" i="10"/>
  <c r="U493" i="10" s="1"/>
  <c r="T491" i="10"/>
  <c r="T493" i="10" s="1"/>
  <c r="S491" i="10"/>
  <c r="S493" i="10" s="1"/>
  <c r="R491" i="10"/>
  <c r="R493" i="10" s="1"/>
  <c r="Q491" i="10"/>
  <c r="Q493" i="10" s="1"/>
  <c r="P491" i="10"/>
  <c r="P493" i="10" s="1"/>
  <c r="O491" i="10"/>
  <c r="O493" i="10" s="1"/>
  <c r="N491" i="10"/>
  <c r="N493" i="10" s="1"/>
  <c r="M491" i="10"/>
  <c r="M493" i="10" s="1"/>
  <c r="L491" i="10"/>
  <c r="L493" i="10" s="1"/>
  <c r="K491" i="10"/>
  <c r="K493" i="10" s="1"/>
  <c r="J491" i="10"/>
  <c r="J493" i="10" s="1"/>
  <c r="I491" i="10"/>
  <c r="I493" i="10" s="1"/>
  <c r="H491" i="10"/>
  <c r="H493" i="10" s="1"/>
  <c r="G491" i="10"/>
  <c r="G493" i="10" s="1"/>
  <c r="F491" i="10"/>
  <c r="F493" i="10" s="1"/>
  <c r="E491" i="10"/>
  <c r="E493" i="10" s="1"/>
  <c r="D491" i="10"/>
  <c r="D493" i="10" s="1"/>
  <c r="C491" i="10"/>
  <c r="C493" i="10" s="1"/>
  <c r="Z481" i="10"/>
  <c r="R480" i="10"/>
  <c r="AI479" i="10"/>
  <c r="AI481" i="10" s="1"/>
  <c r="AH479" i="10"/>
  <c r="AH481" i="10" s="1"/>
  <c r="AG479" i="10"/>
  <c r="AG481" i="10" s="1"/>
  <c r="AF479" i="10"/>
  <c r="AF481" i="10" s="1"/>
  <c r="AE479" i="10"/>
  <c r="AE481" i="10" s="1"/>
  <c r="AD479" i="10"/>
  <c r="AD481" i="10" s="1"/>
  <c r="AC479" i="10"/>
  <c r="AC481" i="10" s="1"/>
  <c r="AB479" i="10"/>
  <c r="AB481" i="10" s="1"/>
  <c r="AA479" i="10"/>
  <c r="AA481" i="10" s="1"/>
  <c r="Z479" i="10"/>
  <c r="Y479" i="10"/>
  <c r="Y481" i="10" s="1"/>
  <c r="X479" i="10"/>
  <c r="X481" i="10" s="1"/>
  <c r="W479" i="10"/>
  <c r="W481" i="10" s="1"/>
  <c r="V479" i="10"/>
  <c r="V481" i="10" s="1"/>
  <c r="U479" i="10"/>
  <c r="U481" i="10" s="1"/>
  <c r="T479" i="10"/>
  <c r="T481" i="10" s="1"/>
  <c r="S479" i="10"/>
  <c r="S481" i="10" s="1"/>
  <c r="R479" i="10"/>
  <c r="R481" i="10" s="1"/>
  <c r="Q479" i="10"/>
  <c r="Q481" i="10" s="1"/>
  <c r="P479" i="10"/>
  <c r="P481" i="10" s="1"/>
  <c r="O479" i="10"/>
  <c r="O481" i="10" s="1"/>
  <c r="N479" i="10"/>
  <c r="N481" i="10" s="1"/>
  <c r="M479" i="10"/>
  <c r="M481" i="10" s="1"/>
  <c r="L479" i="10"/>
  <c r="L481" i="10" s="1"/>
  <c r="K479" i="10"/>
  <c r="K481" i="10" s="1"/>
  <c r="J479" i="10"/>
  <c r="J481" i="10" s="1"/>
  <c r="I479" i="10"/>
  <c r="I481" i="10" s="1"/>
  <c r="H479" i="10"/>
  <c r="H481" i="10" s="1"/>
  <c r="G479" i="10"/>
  <c r="G481" i="10" s="1"/>
  <c r="F479" i="10"/>
  <c r="F481" i="10" s="1"/>
  <c r="E479" i="10"/>
  <c r="E481" i="10" s="1"/>
  <c r="D479" i="10"/>
  <c r="D481" i="10" s="1"/>
  <c r="C479" i="10"/>
  <c r="C481" i="10" s="1"/>
  <c r="AI478" i="10"/>
  <c r="AI480" i="10" s="1"/>
  <c r="AH478" i="10"/>
  <c r="AH480" i="10" s="1"/>
  <c r="AG478" i="10"/>
  <c r="AG480" i="10" s="1"/>
  <c r="AF478" i="10"/>
  <c r="AF480" i="10" s="1"/>
  <c r="AE478" i="10"/>
  <c r="AE480" i="10" s="1"/>
  <c r="AD478" i="10"/>
  <c r="AD480" i="10" s="1"/>
  <c r="AC478" i="10"/>
  <c r="AC480" i="10" s="1"/>
  <c r="AB478" i="10"/>
  <c r="AB480" i="10" s="1"/>
  <c r="AA478" i="10"/>
  <c r="AA480" i="10" s="1"/>
  <c r="Z478" i="10"/>
  <c r="Z480" i="10" s="1"/>
  <c r="Y478" i="10"/>
  <c r="Y480" i="10" s="1"/>
  <c r="X478" i="10"/>
  <c r="X480" i="10" s="1"/>
  <c r="W478" i="10"/>
  <c r="W480" i="10" s="1"/>
  <c r="V478" i="10"/>
  <c r="V480" i="10" s="1"/>
  <c r="U478" i="10"/>
  <c r="U480" i="10" s="1"/>
  <c r="T478" i="10"/>
  <c r="T480" i="10" s="1"/>
  <c r="S478" i="10"/>
  <c r="S480" i="10" s="1"/>
  <c r="R478" i="10"/>
  <c r="Q478" i="10"/>
  <c r="Q480" i="10" s="1"/>
  <c r="P478" i="10"/>
  <c r="P480" i="10" s="1"/>
  <c r="O478" i="10"/>
  <c r="O480" i="10" s="1"/>
  <c r="N478" i="10"/>
  <c r="N480" i="10" s="1"/>
  <c r="M478" i="10"/>
  <c r="M480" i="10" s="1"/>
  <c r="L478" i="10"/>
  <c r="L480" i="10" s="1"/>
  <c r="K478" i="10"/>
  <c r="K480" i="10" s="1"/>
  <c r="J478" i="10"/>
  <c r="J480" i="10" s="1"/>
  <c r="I478" i="10"/>
  <c r="I480" i="10" s="1"/>
  <c r="H478" i="10"/>
  <c r="H480" i="10" s="1"/>
  <c r="G478" i="10"/>
  <c r="G480" i="10" s="1"/>
  <c r="F478" i="10"/>
  <c r="F480" i="10" s="1"/>
  <c r="E478" i="10"/>
  <c r="E480" i="10" s="1"/>
  <c r="D478" i="10"/>
  <c r="D480" i="10" s="1"/>
  <c r="C478" i="10"/>
  <c r="C480" i="10" s="1"/>
  <c r="H468" i="10"/>
  <c r="P467" i="10"/>
  <c r="AI466" i="10"/>
  <c r="AI468" i="10" s="1"/>
  <c r="AH466" i="10"/>
  <c r="AH468" i="10" s="1"/>
  <c r="AG466" i="10"/>
  <c r="AG468" i="10" s="1"/>
  <c r="AF466" i="10"/>
  <c r="AF468" i="10" s="1"/>
  <c r="AE466" i="10"/>
  <c r="AE468" i="10" s="1"/>
  <c r="AD466" i="10"/>
  <c r="AD468" i="10" s="1"/>
  <c r="AC466" i="10"/>
  <c r="AC468" i="10" s="1"/>
  <c r="AB466" i="10"/>
  <c r="AB468" i="10" s="1"/>
  <c r="AA466" i="10"/>
  <c r="AA468" i="10" s="1"/>
  <c r="Z466" i="10"/>
  <c r="Z468" i="10" s="1"/>
  <c r="Y466" i="10"/>
  <c r="Y468" i="10" s="1"/>
  <c r="X466" i="10"/>
  <c r="X468" i="10" s="1"/>
  <c r="W466" i="10"/>
  <c r="W468" i="10" s="1"/>
  <c r="V466" i="10"/>
  <c r="V468" i="10" s="1"/>
  <c r="U466" i="10"/>
  <c r="U468" i="10" s="1"/>
  <c r="T466" i="10"/>
  <c r="T468" i="10" s="1"/>
  <c r="S466" i="10"/>
  <c r="S468" i="10" s="1"/>
  <c r="R466" i="10"/>
  <c r="R468" i="10" s="1"/>
  <c r="Q466" i="10"/>
  <c r="Q468" i="10" s="1"/>
  <c r="P466" i="10"/>
  <c r="P468" i="10" s="1"/>
  <c r="O466" i="10"/>
  <c r="O468" i="10" s="1"/>
  <c r="N466" i="10"/>
  <c r="N468" i="10" s="1"/>
  <c r="M466" i="10"/>
  <c r="M468" i="10" s="1"/>
  <c r="L466" i="10"/>
  <c r="L468" i="10" s="1"/>
  <c r="K466" i="10"/>
  <c r="K468" i="10" s="1"/>
  <c r="J466" i="10"/>
  <c r="J468" i="10" s="1"/>
  <c r="I466" i="10"/>
  <c r="I468" i="10" s="1"/>
  <c r="H466" i="10"/>
  <c r="G466" i="10"/>
  <c r="G468" i="10" s="1"/>
  <c r="F466" i="10"/>
  <c r="F468" i="10" s="1"/>
  <c r="E466" i="10"/>
  <c r="E468" i="10" s="1"/>
  <c r="D466" i="10"/>
  <c r="D468" i="10" s="1"/>
  <c r="C466" i="10"/>
  <c r="C468" i="10" s="1"/>
  <c r="AI465" i="10"/>
  <c r="AI467" i="10" s="1"/>
  <c r="AH465" i="10"/>
  <c r="AH467" i="10" s="1"/>
  <c r="AG465" i="10"/>
  <c r="AG467" i="10" s="1"/>
  <c r="AF465" i="10"/>
  <c r="AF467" i="10" s="1"/>
  <c r="AE465" i="10"/>
  <c r="AE467" i="10" s="1"/>
  <c r="AD465" i="10"/>
  <c r="AD467" i="10" s="1"/>
  <c r="AC465" i="10"/>
  <c r="AC467" i="10" s="1"/>
  <c r="AB465" i="10"/>
  <c r="AB467" i="10" s="1"/>
  <c r="AA465" i="10"/>
  <c r="AA467" i="10" s="1"/>
  <c r="Z465" i="10"/>
  <c r="Z467" i="10" s="1"/>
  <c r="Y465" i="10"/>
  <c r="Y467" i="10" s="1"/>
  <c r="X465" i="10"/>
  <c r="X467" i="10" s="1"/>
  <c r="W465" i="10"/>
  <c r="W467" i="10" s="1"/>
  <c r="V465" i="10"/>
  <c r="V467" i="10" s="1"/>
  <c r="U465" i="10"/>
  <c r="U467" i="10" s="1"/>
  <c r="T465" i="10"/>
  <c r="T467" i="10" s="1"/>
  <c r="S465" i="10"/>
  <c r="S467" i="10" s="1"/>
  <c r="R465" i="10"/>
  <c r="R467" i="10" s="1"/>
  <c r="Q465" i="10"/>
  <c r="Q467" i="10" s="1"/>
  <c r="P465" i="10"/>
  <c r="O465" i="10"/>
  <c r="O467" i="10" s="1"/>
  <c r="N465" i="10"/>
  <c r="N467" i="10" s="1"/>
  <c r="M465" i="10"/>
  <c r="M467" i="10" s="1"/>
  <c r="L465" i="10"/>
  <c r="L467" i="10" s="1"/>
  <c r="K465" i="10"/>
  <c r="K467" i="10" s="1"/>
  <c r="J465" i="10"/>
  <c r="J467" i="10" s="1"/>
  <c r="I465" i="10"/>
  <c r="I467" i="10" s="1"/>
  <c r="H465" i="10"/>
  <c r="H467" i="10" s="1"/>
  <c r="G465" i="10"/>
  <c r="G467" i="10" s="1"/>
  <c r="F465" i="10"/>
  <c r="F467" i="10" s="1"/>
  <c r="E465" i="10"/>
  <c r="E467" i="10" s="1"/>
  <c r="D465" i="10"/>
  <c r="D467" i="10" s="1"/>
  <c r="C465" i="10"/>
  <c r="C467" i="10" s="1"/>
  <c r="Y455" i="10"/>
  <c r="Q455" i="10"/>
  <c r="H455" i="10"/>
  <c r="AA454" i="10"/>
  <c r="R454" i="10"/>
  <c r="AI453" i="10"/>
  <c r="AI455" i="10" s="1"/>
  <c r="AH453" i="10"/>
  <c r="AH455" i="10" s="1"/>
  <c r="AG453" i="10"/>
  <c r="AG455" i="10" s="1"/>
  <c r="AF453" i="10"/>
  <c r="AF455" i="10" s="1"/>
  <c r="AE453" i="10"/>
  <c r="AE455" i="10" s="1"/>
  <c r="AD453" i="10"/>
  <c r="AD455" i="10" s="1"/>
  <c r="AC453" i="10"/>
  <c r="AC455" i="10" s="1"/>
  <c r="AB453" i="10"/>
  <c r="AB455" i="10" s="1"/>
  <c r="AA453" i="10"/>
  <c r="AA455" i="10" s="1"/>
  <c r="Z453" i="10"/>
  <c r="Z455" i="10" s="1"/>
  <c r="Y453" i="10"/>
  <c r="X453" i="10"/>
  <c r="X455" i="10" s="1"/>
  <c r="W453" i="10"/>
  <c r="W455" i="10" s="1"/>
  <c r="V453" i="10"/>
  <c r="V455" i="10" s="1"/>
  <c r="U453" i="10"/>
  <c r="U455" i="10" s="1"/>
  <c r="T453" i="10"/>
  <c r="T455" i="10" s="1"/>
  <c r="S453" i="10"/>
  <c r="S455" i="10" s="1"/>
  <c r="R453" i="10"/>
  <c r="R455" i="10" s="1"/>
  <c r="Q453" i="10"/>
  <c r="P453" i="10"/>
  <c r="P455" i="10" s="1"/>
  <c r="O453" i="10"/>
  <c r="O455" i="10" s="1"/>
  <c r="N453" i="10"/>
  <c r="N455" i="10" s="1"/>
  <c r="M453" i="10"/>
  <c r="M455" i="10" s="1"/>
  <c r="L453" i="10"/>
  <c r="L455" i="10" s="1"/>
  <c r="K453" i="10"/>
  <c r="K455" i="10" s="1"/>
  <c r="J453" i="10"/>
  <c r="J455" i="10" s="1"/>
  <c r="I453" i="10"/>
  <c r="I455" i="10" s="1"/>
  <c r="H453" i="10"/>
  <c r="G453" i="10"/>
  <c r="G455" i="10" s="1"/>
  <c r="F453" i="10"/>
  <c r="F455" i="10" s="1"/>
  <c r="E453" i="10"/>
  <c r="E455" i="10" s="1"/>
  <c r="D453" i="10"/>
  <c r="D455" i="10" s="1"/>
  <c r="C453" i="10"/>
  <c r="C455" i="10" s="1"/>
  <c r="AI452" i="10"/>
  <c r="AI454" i="10" s="1"/>
  <c r="AH452" i="10"/>
  <c r="AH454" i="10" s="1"/>
  <c r="AG452" i="10"/>
  <c r="AG454" i="10" s="1"/>
  <c r="AF452" i="10"/>
  <c r="AF454" i="10" s="1"/>
  <c r="AE452" i="10"/>
  <c r="AE454" i="10" s="1"/>
  <c r="AD452" i="10"/>
  <c r="AD454" i="10" s="1"/>
  <c r="AC452" i="10"/>
  <c r="AC454" i="10" s="1"/>
  <c r="AB452" i="10"/>
  <c r="AB454" i="10" s="1"/>
  <c r="AA452" i="10"/>
  <c r="Z452" i="10"/>
  <c r="Z454" i="10" s="1"/>
  <c r="Y452" i="10"/>
  <c r="Y454" i="10" s="1"/>
  <c r="X452" i="10"/>
  <c r="X454" i="10" s="1"/>
  <c r="W452" i="10"/>
  <c r="W454" i="10" s="1"/>
  <c r="V452" i="10"/>
  <c r="V454" i="10" s="1"/>
  <c r="U452" i="10"/>
  <c r="U454" i="10" s="1"/>
  <c r="T452" i="10"/>
  <c r="T454" i="10" s="1"/>
  <c r="S452" i="10"/>
  <c r="S454" i="10" s="1"/>
  <c r="R452" i="10"/>
  <c r="Q452" i="10"/>
  <c r="Q454" i="10" s="1"/>
  <c r="P452" i="10"/>
  <c r="P454" i="10" s="1"/>
  <c r="O452" i="10"/>
  <c r="O454" i="10" s="1"/>
  <c r="N452" i="10"/>
  <c r="N454" i="10" s="1"/>
  <c r="M452" i="10"/>
  <c r="M454" i="10" s="1"/>
  <c r="L452" i="10"/>
  <c r="L454" i="10" s="1"/>
  <c r="K452" i="10"/>
  <c r="K454" i="10" s="1"/>
  <c r="J452" i="10"/>
  <c r="J454" i="10" s="1"/>
  <c r="I452" i="10"/>
  <c r="I454" i="10" s="1"/>
  <c r="H452" i="10"/>
  <c r="H454" i="10" s="1"/>
  <c r="G452" i="10"/>
  <c r="G454" i="10" s="1"/>
  <c r="F452" i="10"/>
  <c r="F454" i="10" s="1"/>
  <c r="E452" i="10"/>
  <c r="E454" i="10" s="1"/>
  <c r="D452" i="10"/>
  <c r="D454" i="10" s="1"/>
  <c r="C452" i="10"/>
  <c r="C454" i="10" s="1"/>
  <c r="AC442" i="10"/>
  <c r="X442" i="10"/>
  <c r="P442" i="10"/>
  <c r="E442" i="10"/>
  <c r="AI440" i="10"/>
  <c r="AI442" i="10" s="1"/>
  <c r="AH440" i="10"/>
  <c r="AH442" i="10" s="1"/>
  <c r="AG440" i="10"/>
  <c r="AG442" i="10" s="1"/>
  <c r="AF440" i="10"/>
  <c r="AF442" i="10" s="1"/>
  <c r="AE440" i="10"/>
  <c r="AE442" i="10" s="1"/>
  <c r="AD440" i="10"/>
  <c r="AD442" i="10" s="1"/>
  <c r="AC440" i="10"/>
  <c r="AB440" i="10"/>
  <c r="AB442" i="10" s="1"/>
  <c r="AA440" i="10"/>
  <c r="AA442" i="10" s="1"/>
  <c r="Z440" i="10"/>
  <c r="Z442" i="10" s="1"/>
  <c r="Y440" i="10"/>
  <c r="Y442" i="10" s="1"/>
  <c r="X440" i="10"/>
  <c r="W440" i="10"/>
  <c r="W442" i="10" s="1"/>
  <c r="V440" i="10"/>
  <c r="V442" i="10" s="1"/>
  <c r="U440" i="10"/>
  <c r="U442" i="10" s="1"/>
  <c r="T440" i="10"/>
  <c r="T442" i="10" s="1"/>
  <c r="S440" i="10"/>
  <c r="S442" i="10" s="1"/>
  <c r="R440" i="10"/>
  <c r="R442" i="10" s="1"/>
  <c r="Q440" i="10"/>
  <c r="Q442" i="10" s="1"/>
  <c r="P440" i="10"/>
  <c r="O440" i="10"/>
  <c r="O442" i="10" s="1"/>
  <c r="N440" i="10"/>
  <c r="N442" i="10" s="1"/>
  <c r="M440" i="10"/>
  <c r="M442" i="10" s="1"/>
  <c r="L440" i="10"/>
  <c r="L442" i="10" s="1"/>
  <c r="K440" i="10"/>
  <c r="K442" i="10" s="1"/>
  <c r="J440" i="10"/>
  <c r="J442" i="10" s="1"/>
  <c r="I440" i="10"/>
  <c r="I442" i="10" s="1"/>
  <c r="H440" i="10"/>
  <c r="H442" i="10" s="1"/>
  <c r="G440" i="10"/>
  <c r="G442" i="10" s="1"/>
  <c r="F440" i="10"/>
  <c r="F442" i="10" s="1"/>
  <c r="E440" i="10"/>
  <c r="D440" i="10"/>
  <c r="D442" i="10" s="1"/>
  <c r="C440" i="10"/>
  <c r="C442" i="10" s="1"/>
  <c r="AI439" i="10"/>
  <c r="AI441" i="10" s="1"/>
  <c r="AH439" i="10"/>
  <c r="AH441" i="10" s="1"/>
  <c r="AG439" i="10"/>
  <c r="AG441" i="10" s="1"/>
  <c r="AF439" i="10"/>
  <c r="AF441" i="10" s="1"/>
  <c r="AE439" i="10"/>
  <c r="AE441" i="10" s="1"/>
  <c r="AD439" i="10"/>
  <c r="AD441" i="10" s="1"/>
  <c r="AC439" i="10"/>
  <c r="AC441" i="10" s="1"/>
  <c r="AB439" i="10"/>
  <c r="AB441" i="10" s="1"/>
  <c r="AA439" i="10"/>
  <c r="AA441" i="10" s="1"/>
  <c r="Z439" i="10"/>
  <c r="Z441" i="10" s="1"/>
  <c r="Y439" i="10"/>
  <c r="Y441" i="10" s="1"/>
  <c r="X439" i="10"/>
  <c r="X441" i="10" s="1"/>
  <c r="W439" i="10"/>
  <c r="W441" i="10" s="1"/>
  <c r="V439" i="10"/>
  <c r="V441" i="10" s="1"/>
  <c r="U439" i="10"/>
  <c r="U441" i="10" s="1"/>
  <c r="T439" i="10"/>
  <c r="T441" i="10" s="1"/>
  <c r="S439" i="10"/>
  <c r="S441" i="10" s="1"/>
  <c r="R439" i="10"/>
  <c r="R441" i="10" s="1"/>
  <c r="Q439" i="10"/>
  <c r="Q441" i="10" s="1"/>
  <c r="P439" i="10"/>
  <c r="P441" i="10" s="1"/>
  <c r="O439" i="10"/>
  <c r="O441" i="10" s="1"/>
  <c r="N439" i="10"/>
  <c r="N441" i="10" s="1"/>
  <c r="M439" i="10"/>
  <c r="M441" i="10" s="1"/>
  <c r="L439" i="10"/>
  <c r="L441" i="10" s="1"/>
  <c r="K439" i="10"/>
  <c r="K441" i="10" s="1"/>
  <c r="J439" i="10"/>
  <c r="J441" i="10" s="1"/>
  <c r="I439" i="10"/>
  <c r="I441" i="10" s="1"/>
  <c r="H439" i="10"/>
  <c r="H441" i="10" s="1"/>
  <c r="G439" i="10"/>
  <c r="G441" i="10" s="1"/>
  <c r="F439" i="10"/>
  <c r="F441" i="10" s="1"/>
  <c r="E439" i="10"/>
  <c r="E441" i="10" s="1"/>
  <c r="D439" i="10"/>
  <c r="D441" i="10" s="1"/>
  <c r="C439" i="10"/>
  <c r="C441" i="10" s="1"/>
  <c r="Z428" i="10"/>
  <c r="AI427" i="10"/>
  <c r="AI429" i="10" s="1"/>
  <c r="AH427" i="10"/>
  <c r="AH429" i="10" s="1"/>
  <c r="AG427" i="10"/>
  <c r="AG429" i="10" s="1"/>
  <c r="AF427" i="10"/>
  <c r="AF429" i="10" s="1"/>
  <c r="AE427" i="10"/>
  <c r="AE429" i="10" s="1"/>
  <c r="AD427" i="10"/>
  <c r="AD429" i="10" s="1"/>
  <c r="AC427" i="10"/>
  <c r="AC429" i="10" s="1"/>
  <c r="AB427" i="10"/>
  <c r="AB429" i="10" s="1"/>
  <c r="AA427" i="10"/>
  <c r="AA429" i="10" s="1"/>
  <c r="Z427" i="10"/>
  <c r="Z429" i="10" s="1"/>
  <c r="Y427" i="10"/>
  <c r="Y429" i="10" s="1"/>
  <c r="X427" i="10"/>
  <c r="X429" i="10" s="1"/>
  <c r="W427" i="10"/>
  <c r="W429" i="10" s="1"/>
  <c r="V427" i="10"/>
  <c r="V429" i="10" s="1"/>
  <c r="U427" i="10"/>
  <c r="U429" i="10" s="1"/>
  <c r="T427" i="10"/>
  <c r="T429" i="10" s="1"/>
  <c r="S427" i="10"/>
  <c r="S429" i="10" s="1"/>
  <c r="R427" i="10"/>
  <c r="R429" i="10" s="1"/>
  <c r="Q427" i="10"/>
  <c r="Q429" i="10" s="1"/>
  <c r="P427" i="10"/>
  <c r="P429" i="10" s="1"/>
  <c r="O427" i="10"/>
  <c r="O429" i="10" s="1"/>
  <c r="N427" i="10"/>
  <c r="N429" i="10" s="1"/>
  <c r="M427" i="10"/>
  <c r="M429" i="10" s="1"/>
  <c r="L427" i="10"/>
  <c r="L429" i="10" s="1"/>
  <c r="K427" i="10"/>
  <c r="K429" i="10" s="1"/>
  <c r="J427" i="10"/>
  <c r="J429" i="10" s="1"/>
  <c r="I427" i="10"/>
  <c r="I429" i="10" s="1"/>
  <c r="H427" i="10"/>
  <c r="H429" i="10" s="1"/>
  <c r="G427" i="10"/>
  <c r="G429" i="10" s="1"/>
  <c r="F427" i="10"/>
  <c r="F429" i="10" s="1"/>
  <c r="E427" i="10"/>
  <c r="E429" i="10" s="1"/>
  <c r="D427" i="10"/>
  <c r="D429" i="10" s="1"/>
  <c r="C427" i="10"/>
  <c r="C429" i="10" s="1"/>
  <c r="AI426" i="10"/>
  <c r="AI428" i="10" s="1"/>
  <c r="AH426" i="10"/>
  <c r="AH428" i="10" s="1"/>
  <c r="AG426" i="10"/>
  <c r="AG428" i="10" s="1"/>
  <c r="AF426" i="10"/>
  <c r="AF428" i="10" s="1"/>
  <c r="AE426" i="10"/>
  <c r="AE428" i="10" s="1"/>
  <c r="AD426" i="10"/>
  <c r="AD428" i="10" s="1"/>
  <c r="AC426" i="10"/>
  <c r="AC428" i="10" s="1"/>
  <c r="AB426" i="10"/>
  <c r="AB428" i="10" s="1"/>
  <c r="AA426" i="10"/>
  <c r="AA428" i="10" s="1"/>
  <c r="Z426" i="10"/>
  <c r="Y426" i="10"/>
  <c r="Y428" i="10" s="1"/>
  <c r="X426" i="10"/>
  <c r="X428" i="10" s="1"/>
  <c r="W426" i="10"/>
  <c r="W428" i="10" s="1"/>
  <c r="V426" i="10"/>
  <c r="V428" i="10" s="1"/>
  <c r="U426" i="10"/>
  <c r="U428" i="10" s="1"/>
  <c r="T426" i="10"/>
  <c r="T428" i="10" s="1"/>
  <c r="S426" i="10"/>
  <c r="S428" i="10" s="1"/>
  <c r="R426" i="10"/>
  <c r="R428" i="10" s="1"/>
  <c r="Q426" i="10"/>
  <c r="Q428" i="10" s="1"/>
  <c r="P426" i="10"/>
  <c r="P428" i="10" s="1"/>
  <c r="O426" i="10"/>
  <c r="O428" i="10" s="1"/>
  <c r="N426" i="10"/>
  <c r="N428" i="10" s="1"/>
  <c r="M426" i="10"/>
  <c r="M428" i="10" s="1"/>
  <c r="L426" i="10"/>
  <c r="L428" i="10" s="1"/>
  <c r="K426" i="10"/>
  <c r="K428" i="10" s="1"/>
  <c r="J426" i="10"/>
  <c r="J428" i="10" s="1"/>
  <c r="I426" i="10"/>
  <c r="I428" i="10" s="1"/>
  <c r="H426" i="10"/>
  <c r="H428" i="10" s="1"/>
  <c r="G426" i="10"/>
  <c r="G428" i="10" s="1"/>
  <c r="F426" i="10"/>
  <c r="F428" i="10" s="1"/>
  <c r="E426" i="10"/>
  <c r="E428" i="10" s="1"/>
  <c r="D426" i="10"/>
  <c r="D428" i="10" s="1"/>
  <c r="C426" i="10"/>
  <c r="C428" i="10" s="1"/>
  <c r="Q416" i="10"/>
  <c r="AH415" i="10"/>
  <c r="AI414" i="10"/>
  <c r="AI416" i="10" s="1"/>
  <c r="AH414" i="10"/>
  <c r="AH416" i="10" s="1"/>
  <c r="AG414" i="10"/>
  <c r="AG416" i="10" s="1"/>
  <c r="AF414" i="10"/>
  <c r="AF416" i="10" s="1"/>
  <c r="AE414" i="10"/>
  <c r="AE416" i="10" s="1"/>
  <c r="AD414" i="10"/>
  <c r="AD416" i="10" s="1"/>
  <c r="AC414" i="10"/>
  <c r="AC416" i="10" s="1"/>
  <c r="AB414" i="10"/>
  <c r="AB416" i="10" s="1"/>
  <c r="AA414" i="10"/>
  <c r="AA416" i="10" s="1"/>
  <c r="Z414" i="10"/>
  <c r="Z416" i="10" s="1"/>
  <c r="Y414" i="10"/>
  <c r="Y416" i="10" s="1"/>
  <c r="X414" i="10"/>
  <c r="X416" i="10" s="1"/>
  <c r="W414" i="10"/>
  <c r="W416" i="10" s="1"/>
  <c r="V414" i="10"/>
  <c r="V416" i="10" s="1"/>
  <c r="U414" i="10"/>
  <c r="U416" i="10" s="1"/>
  <c r="T414" i="10"/>
  <c r="T416" i="10" s="1"/>
  <c r="S414" i="10"/>
  <c r="S416" i="10" s="1"/>
  <c r="R414" i="10"/>
  <c r="R416" i="10" s="1"/>
  <c r="Q414" i="10"/>
  <c r="P414" i="10"/>
  <c r="P416" i="10" s="1"/>
  <c r="O414" i="10"/>
  <c r="O416" i="10" s="1"/>
  <c r="N414" i="10"/>
  <c r="N416" i="10" s="1"/>
  <c r="M414" i="10"/>
  <c r="M416" i="10" s="1"/>
  <c r="L414" i="10"/>
  <c r="L416" i="10" s="1"/>
  <c r="K414" i="10"/>
  <c r="K416" i="10" s="1"/>
  <c r="J414" i="10"/>
  <c r="J416" i="10" s="1"/>
  <c r="I414" i="10"/>
  <c r="I416" i="10" s="1"/>
  <c r="H414" i="10"/>
  <c r="H416" i="10" s="1"/>
  <c r="G414" i="10"/>
  <c r="G416" i="10" s="1"/>
  <c r="F414" i="10"/>
  <c r="F416" i="10" s="1"/>
  <c r="E414" i="10"/>
  <c r="E416" i="10" s="1"/>
  <c r="D414" i="10"/>
  <c r="D416" i="10" s="1"/>
  <c r="C414" i="10"/>
  <c r="C416" i="10" s="1"/>
  <c r="AI413" i="10"/>
  <c r="AI415" i="10" s="1"/>
  <c r="AH413" i="10"/>
  <c r="AG413" i="10"/>
  <c r="AG415" i="10" s="1"/>
  <c r="AF413" i="10"/>
  <c r="AF415" i="10" s="1"/>
  <c r="AE413" i="10"/>
  <c r="AE415" i="10" s="1"/>
  <c r="AD413" i="10"/>
  <c r="AD415" i="10" s="1"/>
  <c r="AC413" i="10"/>
  <c r="AC415" i="10" s="1"/>
  <c r="AB413" i="10"/>
  <c r="AB415" i="10" s="1"/>
  <c r="AA413" i="10"/>
  <c r="AA415" i="10" s="1"/>
  <c r="Z413" i="10"/>
  <c r="Z415" i="10" s="1"/>
  <c r="Y413" i="10"/>
  <c r="Y415" i="10" s="1"/>
  <c r="X413" i="10"/>
  <c r="X415" i="10" s="1"/>
  <c r="W413" i="10"/>
  <c r="W415" i="10" s="1"/>
  <c r="V413" i="10"/>
  <c r="V415" i="10" s="1"/>
  <c r="U413" i="10"/>
  <c r="U415" i="10" s="1"/>
  <c r="T413" i="10"/>
  <c r="T415" i="10" s="1"/>
  <c r="S413" i="10"/>
  <c r="S415" i="10" s="1"/>
  <c r="R413" i="10"/>
  <c r="R415" i="10" s="1"/>
  <c r="Q413" i="10"/>
  <c r="Q415" i="10" s="1"/>
  <c r="P413" i="10"/>
  <c r="P415" i="10" s="1"/>
  <c r="O413" i="10"/>
  <c r="O415" i="10" s="1"/>
  <c r="N413" i="10"/>
  <c r="N415" i="10" s="1"/>
  <c r="M413" i="10"/>
  <c r="M415" i="10" s="1"/>
  <c r="L413" i="10"/>
  <c r="L415" i="10" s="1"/>
  <c r="K413" i="10"/>
  <c r="K415" i="10" s="1"/>
  <c r="J413" i="10"/>
  <c r="J415" i="10" s="1"/>
  <c r="I413" i="10"/>
  <c r="I415" i="10" s="1"/>
  <c r="H413" i="10"/>
  <c r="H415" i="10" s="1"/>
  <c r="G413" i="10"/>
  <c r="G415" i="10" s="1"/>
  <c r="F413" i="10"/>
  <c r="F415" i="10" s="1"/>
  <c r="E413" i="10"/>
  <c r="E415" i="10" s="1"/>
  <c r="D413" i="10"/>
  <c r="D415" i="10" s="1"/>
  <c r="C413" i="10"/>
  <c r="C415" i="10" s="1"/>
  <c r="AD403" i="10"/>
  <c r="X403" i="10"/>
  <c r="AI401" i="10"/>
  <c r="AI403" i="10" s="1"/>
  <c r="AH401" i="10"/>
  <c r="AH403" i="10" s="1"/>
  <c r="AG401" i="10"/>
  <c r="AG403" i="10" s="1"/>
  <c r="AF401" i="10"/>
  <c r="AF403" i="10" s="1"/>
  <c r="AE401" i="10"/>
  <c r="AE403" i="10" s="1"/>
  <c r="AD401" i="10"/>
  <c r="AC401" i="10"/>
  <c r="AC403" i="10" s="1"/>
  <c r="AB401" i="10"/>
  <c r="AB403" i="10" s="1"/>
  <c r="AA401" i="10"/>
  <c r="AA403" i="10" s="1"/>
  <c r="Z401" i="10"/>
  <c r="Z403" i="10" s="1"/>
  <c r="Y401" i="10"/>
  <c r="Y403" i="10" s="1"/>
  <c r="X401" i="10"/>
  <c r="W401" i="10"/>
  <c r="W403" i="10" s="1"/>
  <c r="V401" i="10"/>
  <c r="V403" i="10" s="1"/>
  <c r="U401" i="10"/>
  <c r="U403" i="10" s="1"/>
  <c r="T401" i="10"/>
  <c r="T403" i="10" s="1"/>
  <c r="S401" i="10"/>
  <c r="S403" i="10" s="1"/>
  <c r="R401" i="10"/>
  <c r="R403" i="10" s="1"/>
  <c r="Q401" i="10"/>
  <c r="Q403" i="10" s="1"/>
  <c r="P401" i="10"/>
  <c r="P403" i="10" s="1"/>
  <c r="O401" i="10"/>
  <c r="O403" i="10" s="1"/>
  <c r="N401" i="10"/>
  <c r="N403" i="10" s="1"/>
  <c r="M401" i="10"/>
  <c r="M403" i="10" s="1"/>
  <c r="L401" i="10"/>
  <c r="L403" i="10" s="1"/>
  <c r="K401" i="10"/>
  <c r="K403" i="10" s="1"/>
  <c r="J401" i="10"/>
  <c r="J403" i="10" s="1"/>
  <c r="I401" i="10"/>
  <c r="I403" i="10" s="1"/>
  <c r="H401" i="10"/>
  <c r="H403" i="10" s="1"/>
  <c r="G401" i="10"/>
  <c r="G403" i="10" s="1"/>
  <c r="F401" i="10"/>
  <c r="F403" i="10" s="1"/>
  <c r="E401" i="10"/>
  <c r="E403" i="10" s="1"/>
  <c r="D401" i="10"/>
  <c r="D403" i="10" s="1"/>
  <c r="C401" i="10"/>
  <c r="C403" i="10" s="1"/>
  <c r="AI400" i="10"/>
  <c r="AI402" i="10" s="1"/>
  <c r="AH400" i="10"/>
  <c r="AH402" i="10" s="1"/>
  <c r="AG400" i="10"/>
  <c r="AG402" i="10" s="1"/>
  <c r="AF400" i="10"/>
  <c r="AF402" i="10" s="1"/>
  <c r="AE400" i="10"/>
  <c r="AE402" i="10" s="1"/>
  <c r="AD400" i="10"/>
  <c r="AD402" i="10" s="1"/>
  <c r="AC400" i="10"/>
  <c r="AC402" i="10" s="1"/>
  <c r="AB400" i="10"/>
  <c r="AB402" i="10" s="1"/>
  <c r="AA400" i="10"/>
  <c r="AA402" i="10" s="1"/>
  <c r="Z400" i="10"/>
  <c r="Z402" i="10" s="1"/>
  <c r="Y400" i="10"/>
  <c r="Y402" i="10" s="1"/>
  <c r="X400" i="10"/>
  <c r="X402" i="10" s="1"/>
  <c r="W400" i="10"/>
  <c r="W402" i="10" s="1"/>
  <c r="V400" i="10"/>
  <c r="V402" i="10" s="1"/>
  <c r="U400" i="10"/>
  <c r="U402" i="10" s="1"/>
  <c r="T400" i="10"/>
  <c r="T402" i="10" s="1"/>
  <c r="S400" i="10"/>
  <c r="S402" i="10" s="1"/>
  <c r="R400" i="10"/>
  <c r="R402" i="10" s="1"/>
  <c r="Q400" i="10"/>
  <c r="Q402" i="10" s="1"/>
  <c r="P400" i="10"/>
  <c r="P402" i="10" s="1"/>
  <c r="O400" i="10"/>
  <c r="O402" i="10" s="1"/>
  <c r="N400" i="10"/>
  <c r="N402" i="10" s="1"/>
  <c r="M400" i="10"/>
  <c r="M402" i="10" s="1"/>
  <c r="L400" i="10"/>
  <c r="L402" i="10" s="1"/>
  <c r="K400" i="10"/>
  <c r="K402" i="10" s="1"/>
  <c r="J400" i="10"/>
  <c r="J402" i="10" s="1"/>
  <c r="I400" i="10"/>
  <c r="I402" i="10" s="1"/>
  <c r="H400" i="10"/>
  <c r="H402" i="10" s="1"/>
  <c r="G400" i="10"/>
  <c r="G402" i="10" s="1"/>
  <c r="F400" i="10"/>
  <c r="F402" i="10" s="1"/>
  <c r="E400" i="10"/>
  <c r="E402" i="10" s="1"/>
  <c r="D400" i="10"/>
  <c r="D402" i="10" s="1"/>
  <c r="C400" i="10"/>
  <c r="C402" i="10" s="1"/>
  <c r="Z390" i="10"/>
  <c r="L389" i="10"/>
  <c r="AI388" i="10"/>
  <c r="AI390" i="10" s="1"/>
  <c r="AH388" i="10"/>
  <c r="AH390" i="10" s="1"/>
  <c r="AG388" i="10"/>
  <c r="AG390" i="10" s="1"/>
  <c r="AF388" i="10"/>
  <c r="AF390" i="10" s="1"/>
  <c r="AE388" i="10"/>
  <c r="AE390" i="10" s="1"/>
  <c r="AD388" i="10"/>
  <c r="AD390" i="10" s="1"/>
  <c r="AC388" i="10"/>
  <c r="AC390" i="10" s="1"/>
  <c r="AB388" i="10"/>
  <c r="AB390" i="10" s="1"/>
  <c r="AA388" i="10"/>
  <c r="AA390" i="10" s="1"/>
  <c r="Z388" i="10"/>
  <c r="Y388" i="10"/>
  <c r="Y390" i="10" s="1"/>
  <c r="X388" i="10"/>
  <c r="X390" i="10" s="1"/>
  <c r="W388" i="10"/>
  <c r="W390" i="10" s="1"/>
  <c r="V388" i="10"/>
  <c r="V390" i="10" s="1"/>
  <c r="U388" i="10"/>
  <c r="U390" i="10" s="1"/>
  <c r="T388" i="10"/>
  <c r="T390" i="10" s="1"/>
  <c r="S388" i="10"/>
  <c r="S390" i="10" s="1"/>
  <c r="R388" i="10"/>
  <c r="R390" i="10" s="1"/>
  <c r="Q388" i="10"/>
  <c r="Q390" i="10" s="1"/>
  <c r="P388" i="10"/>
  <c r="P390" i="10" s="1"/>
  <c r="O388" i="10"/>
  <c r="O390" i="10" s="1"/>
  <c r="N388" i="10"/>
  <c r="N390" i="10" s="1"/>
  <c r="M388" i="10"/>
  <c r="M390" i="10" s="1"/>
  <c r="L388" i="10"/>
  <c r="L390" i="10" s="1"/>
  <c r="K388" i="10"/>
  <c r="K390" i="10" s="1"/>
  <c r="J388" i="10"/>
  <c r="J390" i="10" s="1"/>
  <c r="I388" i="10"/>
  <c r="I390" i="10" s="1"/>
  <c r="H388" i="10"/>
  <c r="H390" i="10" s="1"/>
  <c r="G388" i="10"/>
  <c r="G390" i="10" s="1"/>
  <c r="F388" i="10"/>
  <c r="F390" i="10" s="1"/>
  <c r="E388" i="10"/>
  <c r="E390" i="10" s="1"/>
  <c r="D388" i="10"/>
  <c r="D390" i="10" s="1"/>
  <c r="C388" i="10"/>
  <c r="C390" i="10" s="1"/>
  <c r="AI387" i="10"/>
  <c r="AI389" i="10" s="1"/>
  <c r="AH387" i="10"/>
  <c r="AH389" i="10" s="1"/>
  <c r="AG387" i="10"/>
  <c r="AG389" i="10" s="1"/>
  <c r="AF387" i="10"/>
  <c r="AF389" i="10" s="1"/>
  <c r="AE387" i="10"/>
  <c r="AE389" i="10" s="1"/>
  <c r="AD387" i="10"/>
  <c r="AD389" i="10" s="1"/>
  <c r="AC387" i="10"/>
  <c r="AC389" i="10" s="1"/>
  <c r="AB387" i="10"/>
  <c r="AB389" i="10" s="1"/>
  <c r="AA387" i="10"/>
  <c r="AA389" i="10" s="1"/>
  <c r="Z387" i="10"/>
  <c r="Z389" i="10" s="1"/>
  <c r="Y387" i="10"/>
  <c r="Y389" i="10" s="1"/>
  <c r="X387" i="10"/>
  <c r="X389" i="10" s="1"/>
  <c r="W387" i="10"/>
  <c r="W389" i="10" s="1"/>
  <c r="V387" i="10"/>
  <c r="V389" i="10" s="1"/>
  <c r="U387" i="10"/>
  <c r="U389" i="10" s="1"/>
  <c r="T387" i="10"/>
  <c r="T389" i="10" s="1"/>
  <c r="S387" i="10"/>
  <c r="S389" i="10" s="1"/>
  <c r="R387" i="10"/>
  <c r="R389" i="10" s="1"/>
  <c r="Q387" i="10"/>
  <c r="Q389" i="10" s="1"/>
  <c r="P387" i="10"/>
  <c r="P389" i="10" s="1"/>
  <c r="O387" i="10"/>
  <c r="O389" i="10" s="1"/>
  <c r="N387" i="10"/>
  <c r="N389" i="10" s="1"/>
  <c r="M387" i="10"/>
  <c r="M389" i="10" s="1"/>
  <c r="L387" i="10"/>
  <c r="K387" i="10"/>
  <c r="K389" i="10" s="1"/>
  <c r="J387" i="10"/>
  <c r="J389" i="10" s="1"/>
  <c r="I387" i="10"/>
  <c r="I389" i="10" s="1"/>
  <c r="H387" i="10"/>
  <c r="H389" i="10" s="1"/>
  <c r="G387" i="10"/>
  <c r="G389" i="10" s="1"/>
  <c r="F387" i="10"/>
  <c r="F389" i="10" s="1"/>
  <c r="E387" i="10"/>
  <c r="E389" i="10" s="1"/>
  <c r="D387" i="10"/>
  <c r="D389" i="10" s="1"/>
  <c r="C387" i="10"/>
  <c r="C389" i="10" s="1"/>
  <c r="X377" i="10"/>
  <c r="AI375" i="10"/>
  <c r="AI377" i="10" s="1"/>
  <c r="AH375" i="10"/>
  <c r="AH377" i="10" s="1"/>
  <c r="AG375" i="10"/>
  <c r="AG377" i="10" s="1"/>
  <c r="AF375" i="10"/>
  <c r="AF377" i="10" s="1"/>
  <c r="AE375" i="10"/>
  <c r="AE377" i="10" s="1"/>
  <c r="AD375" i="10"/>
  <c r="AD377" i="10" s="1"/>
  <c r="AC375" i="10"/>
  <c r="AC377" i="10" s="1"/>
  <c r="AB375" i="10"/>
  <c r="AB377" i="10" s="1"/>
  <c r="AA375" i="10"/>
  <c r="AA377" i="10" s="1"/>
  <c r="Z375" i="10"/>
  <c r="Z377" i="10" s="1"/>
  <c r="Y375" i="10"/>
  <c r="Y377" i="10" s="1"/>
  <c r="X375" i="10"/>
  <c r="W375" i="10"/>
  <c r="W377" i="10" s="1"/>
  <c r="V375" i="10"/>
  <c r="V377" i="10" s="1"/>
  <c r="U375" i="10"/>
  <c r="U377" i="10" s="1"/>
  <c r="T375" i="10"/>
  <c r="T377" i="10" s="1"/>
  <c r="S375" i="10"/>
  <c r="S377" i="10" s="1"/>
  <c r="R375" i="10"/>
  <c r="R377" i="10" s="1"/>
  <c r="Q375" i="10"/>
  <c r="Q377" i="10" s="1"/>
  <c r="P375" i="10"/>
  <c r="P377" i="10" s="1"/>
  <c r="O375" i="10"/>
  <c r="O377" i="10" s="1"/>
  <c r="N375" i="10"/>
  <c r="N377" i="10" s="1"/>
  <c r="M375" i="10"/>
  <c r="M377" i="10" s="1"/>
  <c r="L375" i="10"/>
  <c r="L377" i="10" s="1"/>
  <c r="K375" i="10"/>
  <c r="K377" i="10" s="1"/>
  <c r="J375" i="10"/>
  <c r="J377" i="10" s="1"/>
  <c r="I375" i="10"/>
  <c r="I377" i="10" s="1"/>
  <c r="H375" i="10"/>
  <c r="H377" i="10" s="1"/>
  <c r="G375" i="10"/>
  <c r="G377" i="10" s="1"/>
  <c r="F375" i="10"/>
  <c r="F377" i="10" s="1"/>
  <c r="E375" i="10"/>
  <c r="E377" i="10" s="1"/>
  <c r="D375" i="10"/>
  <c r="D377" i="10" s="1"/>
  <c r="C375" i="10"/>
  <c r="C377" i="10" s="1"/>
  <c r="AI374" i="10"/>
  <c r="AI376" i="10" s="1"/>
  <c r="AH374" i="10"/>
  <c r="AH376" i="10" s="1"/>
  <c r="AG374" i="10"/>
  <c r="AG376" i="10" s="1"/>
  <c r="AF374" i="10"/>
  <c r="AF376" i="10" s="1"/>
  <c r="AE374" i="10"/>
  <c r="AE376" i="10" s="1"/>
  <c r="AD374" i="10"/>
  <c r="AD376" i="10" s="1"/>
  <c r="AC374" i="10"/>
  <c r="AC376" i="10" s="1"/>
  <c r="AB374" i="10"/>
  <c r="AB376" i="10" s="1"/>
  <c r="AA374" i="10"/>
  <c r="AA376" i="10" s="1"/>
  <c r="Z374" i="10"/>
  <c r="Z376" i="10" s="1"/>
  <c r="Y374" i="10"/>
  <c r="Y376" i="10" s="1"/>
  <c r="X374" i="10"/>
  <c r="X376" i="10" s="1"/>
  <c r="W374" i="10"/>
  <c r="W376" i="10" s="1"/>
  <c r="V374" i="10"/>
  <c r="V376" i="10" s="1"/>
  <c r="U374" i="10"/>
  <c r="U376" i="10" s="1"/>
  <c r="T374" i="10"/>
  <c r="T376" i="10" s="1"/>
  <c r="S374" i="10"/>
  <c r="S376" i="10" s="1"/>
  <c r="R374" i="10"/>
  <c r="R376" i="10" s="1"/>
  <c r="Q374" i="10"/>
  <c r="Q376" i="10" s="1"/>
  <c r="P374" i="10"/>
  <c r="P376" i="10" s="1"/>
  <c r="O374" i="10"/>
  <c r="O376" i="10" s="1"/>
  <c r="N374" i="10"/>
  <c r="N376" i="10" s="1"/>
  <c r="M374" i="10"/>
  <c r="M376" i="10" s="1"/>
  <c r="L374" i="10"/>
  <c r="L376" i="10" s="1"/>
  <c r="K374" i="10"/>
  <c r="K376" i="10" s="1"/>
  <c r="J374" i="10"/>
  <c r="J376" i="10" s="1"/>
  <c r="I374" i="10"/>
  <c r="I376" i="10" s="1"/>
  <c r="H374" i="10"/>
  <c r="H376" i="10" s="1"/>
  <c r="G374" i="10"/>
  <c r="G376" i="10" s="1"/>
  <c r="F374" i="10"/>
  <c r="F376" i="10" s="1"/>
  <c r="E374" i="10"/>
  <c r="E376" i="10" s="1"/>
  <c r="D374" i="10"/>
  <c r="D376" i="10" s="1"/>
  <c r="C374" i="10"/>
  <c r="C376" i="10" s="1"/>
  <c r="Z363" i="10"/>
  <c r="AI362" i="10"/>
  <c r="AI364" i="10" s="1"/>
  <c r="AH362" i="10"/>
  <c r="AH364" i="10" s="1"/>
  <c r="AG362" i="10"/>
  <c r="AG364" i="10" s="1"/>
  <c r="AF362" i="10"/>
  <c r="AF364" i="10" s="1"/>
  <c r="AE362" i="10"/>
  <c r="AE364" i="10" s="1"/>
  <c r="AD362" i="10"/>
  <c r="AD364" i="10" s="1"/>
  <c r="AC362" i="10"/>
  <c r="AC364" i="10" s="1"/>
  <c r="AB362" i="10"/>
  <c r="AB364" i="10" s="1"/>
  <c r="AA362" i="10"/>
  <c r="AA364" i="10" s="1"/>
  <c r="Z362" i="10"/>
  <c r="Z364" i="10" s="1"/>
  <c r="Y362" i="10"/>
  <c r="Y364" i="10" s="1"/>
  <c r="X362" i="10"/>
  <c r="X364" i="10" s="1"/>
  <c r="W362" i="10"/>
  <c r="W364" i="10" s="1"/>
  <c r="V362" i="10"/>
  <c r="V364" i="10" s="1"/>
  <c r="U362" i="10"/>
  <c r="U364" i="10" s="1"/>
  <c r="T362" i="10"/>
  <c r="T364" i="10" s="1"/>
  <c r="S362" i="10"/>
  <c r="S364" i="10" s="1"/>
  <c r="R362" i="10"/>
  <c r="R364" i="10" s="1"/>
  <c r="Q362" i="10"/>
  <c r="Q364" i="10" s="1"/>
  <c r="P362" i="10"/>
  <c r="P364" i="10" s="1"/>
  <c r="O362" i="10"/>
  <c r="O364" i="10" s="1"/>
  <c r="N362" i="10"/>
  <c r="N364" i="10" s="1"/>
  <c r="M362" i="10"/>
  <c r="M364" i="10" s="1"/>
  <c r="L362" i="10"/>
  <c r="L364" i="10" s="1"/>
  <c r="K362" i="10"/>
  <c r="K364" i="10" s="1"/>
  <c r="J362" i="10"/>
  <c r="J364" i="10" s="1"/>
  <c r="I362" i="10"/>
  <c r="I364" i="10" s="1"/>
  <c r="H362" i="10"/>
  <c r="H364" i="10" s="1"/>
  <c r="G362" i="10"/>
  <c r="G364" i="10" s="1"/>
  <c r="F362" i="10"/>
  <c r="F364" i="10" s="1"/>
  <c r="E362" i="10"/>
  <c r="E364" i="10" s="1"/>
  <c r="D362" i="10"/>
  <c r="D364" i="10" s="1"/>
  <c r="C362" i="10"/>
  <c r="C364" i="10" s="1"/>
  <c r="AI361" i="10"/>
  <c r="AI363" i="10" s="1"/>
  <c r="AH361" i="10"/>
  <c r="AH363" i="10" s="1"/>
  <c r="AG361" i="10"/>
  <c r="AG363" i="10" s="1"/>
  <c r="AF361" i="10"/>
  <c r="AF363" i="10" s="1"/>
  <c r="AE361" i="10"/>
  <c r="AE363" i="10" s="1"/>
  <c r="AD361" i="10"/>
  <c r="AD363" i="10" s="1"/>
  <c r="AC361" i="10"/>
  <c r="AC363" i="10" s="1"/>
  <c r="AB361" i="10"/>
  <c r="AB363" i="10" s="1"/>
  <c r="AA361" i="10"/>
  <c r="AA363" i="10" s="1"/>
  <c r="Z361" i="10"/>
  <c r="Y361" i="10"/>
  <c r="Y363" i="10" s="1"/>
  <c r="X361" i="10"/>
  <c r="X363" i="10" s="1"/>
  <c r="W361" i="10"/>
  <c r="W363" i="10" s="1"/>
  <c r="V361" i="10"/>
  <c r="V363" i="10" s="1"/>
  <c r="U361" i="10"/>
  <c r="U363" i="10" s="1"/>
  <c r="T361" i="10"/>
  <c r="T363" i="10" s="1"/>
  <c r="S361" i="10"/>
  <c r="S363" i="10" s="1"/>
  <c r="R361" i="10"/>
  <c r="R363" i="10" s="1"/>
  <c r="Q361" i="10"/>
  <c r="Q363" i="10" s="1"/>
  <c r="P361" i="10"/>
  <c r="P363" i="10" s="1"/>
  <c r="O361" i="10"/>
  <c r="O363" i="10" s="1"/>
  <c r="N361" i="10"/>
  <c r="N363" i="10" s="1"/>
  <c r="M361" i="10"/>
  <c r="M363" i="10" s="1"/>
  <c r="L361" i="10"/>
  <c r="L363" i="10" s="1"/>
  <c r="K361" i="10"/>
  <c r="K363" i="10" s="1"/>
  <c r="J361" i="10"/>
  <c r="J363" i="10" s="1"/>
  <c r="I361" i="10"/>
  <c r="I363" i="10" s="1"/>
  <c r="H361" i="10"/>
  <c r="H363" i="10" s="1"/>
  <c r="G361" i="10"/>
  <c r="G363" i="10" s="1"/>
  <c r="F361" i="10"/>
  <c r="F363" i="10" s="1"/>
  <c r="E361" i="10"/>
  <c r="E363" i="10" s="1"/>
  <c r="D361" i="10"/>
  <c r="D363" i="10" s="1"/>
  <c r="C361" i="10"/>
  <c r="C363" i="10" s="1"/>
  <c r="AC351" i="10"/>
  <c r="O351" i="10"/>
  <c r="Y350" i="10"/>
  <c r="AI349" i="10"/>
  <c r="AI351" i="10" s="1"/>
  <c r="AH349" i="10"/>
  <c r="AH351" i="10" s="1"/>
  <c r="AG349" i="10"/>
  <c r="AG351" i="10" s="1"/>
  <c r="AF349" i="10"/>
  <c r="AF351" i="10" s="1"/>
  <c r="AE349" i="10"/>
  <c r="AE351" i="10" s="1"/>
  <c r="AD349" i="10"/>
  <c r="AD351" i="10" s="1"/>
  <c r="AC349" i="10"/>
  <c r="AB349" i="10"/>
  <c r="AB351" i="10" s="1"/>
  <c r="AA349" i="10"/>
  <c r="AA351" i="10" s="1"/>
  <c r="Z349" i="10"/>
  <c r="Z351" i="10" s="1"/>
  <c r="Y349" i="10"/>
  <c r="Y351" i="10" s="1"/>
  <c r="X349" i="10"/>
  <c r="X351" i="10" s="1"/>
  <c r="W349" i="10"/>
  <c r="W351" i="10" s="1"/>
  <c r="V349" i="10"/>
  <c r="V351" i="10" s="1"/>
  <c r="U349" i="10"/>
  <c r="U351" i="10" s="1"/>
  <c r="T349" i="10"/>
  <c r="T351" i="10" s="1"/>
  <c r="S349" i="10"/>
  <c r="S351" i="10" s="1"/>
  <c r="R349" i="10"/>
  <c r="R351" i="10" s="1"/>
  <c r="Q349" i="10"/>
  <c r="Q351" i="10" s="1"/>
  <c r="P349" i="10"/>
  <c r="P351" i="10" s="1"/>
  <c r="O349" i="10"/>
  <c r="N349" i="10"/>
  <c r="N351" i="10" s="1"/>
  <c r="M349" i="10"/>
  <c r="M351" i="10" s="1"/>
  <c r="L349" i="10"/>
  <c r="L351" i="10" s="1"/>
  <c r="K349" i="10"/>
  <c r="K351" i="10" s="1"/>
  <c r="J349" i="10"/>
  <c r="J351" i="10" s="1"/>
  <c r="I349" i="10"/>
  <c r="I351" i="10" s="1"/>
  <c r="H349" i="10"/>
  <c r="H351" i="10" s="1"/>
  <c r="G349" i="10"/>
  <c r="G351" i="10" s="1"/>
  <c r="F349" i="10"/>
  <c r="F351" i="10" s="1"/>
  <c r="E349" i="10"/>
  <c r="E351" i="10" s="1"/>
  <c r="D349" i="10"/>
  <c r="D351" i="10" s="1"/>
  <c r="C349" i="10"/>
  <c r="C351" i="10" s="1"/>
  <c r="AI348" i="10"/>
  <c r="AI350" i="10" s="1"/>
  <c r="AH348" i="10"/>
  <c r="AH350" i="10" s="1"/>
  <c r="AG348" i="10"/>
  <c r="AG350" i="10" s="1"/>
  <c r="AF348" i="10"/>
  <c r="AF350" i="10" s="1"/>
  <c r="AE348" i="10"/>
  <c r="AE350" i="10" s="1"/>
  <c r="AD348" i="10"/>
  <c r="AD350" i="10" s="1"/>
  <c r="AC348" i="10"/>
  <c r="AC350" i="10" s="1"/>
  <c r="AB348" i="10"/>
  <c r="AB350" i="10" s="1"/>
  <c r="AA348" i="10"/>
  <c r="AA350" i="10" s="1"/>
  <c r="Z348" i="10"/>
  <c r="Z350" i="10" s="1"/>
  <c r="Y348" i="10"/>
  <c r="X348" i="10"/>
  <c r="X350" i="10" s="1"/>
  <c r="W348" i="10"/>
  <c r="W350" i="10" s="1"/>
  <c r="V348" i="10"/>
  <c r="V350" i="10" s="1"/>
  <c r="U348" i="10"/>
  <c r="U350" i="10" s="1"/>
  <c r="T348" i="10"/>
  <c r="T350" i="10" s="1"/>
  <c r="S348" i="10"/>
  <c r="S350" i="10" s="1"/>
  <c r="R348" i="10"/>
  <c r="R350" i="10" s="1"/>
  <c r="Q348" i="10"/>
  <c r="Q350" i="10" s="1"/>
  <c r="P348" i="10"/>
  <c r="P350" i="10" s="1"/>
  <c r="O348" i="10"/>
  <c r="O350" i="10" s="1"/>
  <c r="N348" i="10"/>
  <c r="N350" i="10" s="1"/>
  <c r="M348" i="10"/>
  <c r="M350" i="10" s="1"/>
  <c r="L348" i="10"/>
  <c r="L350" i="10" s="1"/>
  <c r="K348" i="10"/>
  <c r="K350" i="10" s="1"/>
  <c r="J348" i="10"/>
  <c r="J350" i="10" s="1"/>
  <c r="I348" i="10"/>
  <c r="I350" i="10" s="1"/>
  <c r="H348" i="10"/>
  <c r="H350" i="10" s="1"/>
  <c r="G348" i="10"/>
  <c r="G350" i="10" s="1"/>
  <c r="F348" i="10"/>
  <c r="F350" i="10" s="1"/>
  <c r="E348" i="10"/>
  <c r="E350" i="10" s="1"/>
  <c r="D348" i="10"/>
  <c r="D350" i="10" s="1"/>
  <c r="C348" i="10"/>
  <c r="C350" i="10" s="1"/>
  <c r="AH338" i="10"/>
  <c r="AH337" i="10"/>
  <c r="AI336" i="10"/>
  <c r="AI338" i="10" s="1"/>
  <c r="AH336" i="10"/>
  <c r="AG336" i="10"/>
  <c r="AG338" i="10" s="1"/>
  <c r="AF336" i="10"/>
  <c r="AF338" i="10" s="1"/>
  <c r="AE336" i="10"/>
  <c r="AE338" i="10" s="1"/>
  <c r="AD336" i="10"/>
  <c r="AD338" i="10" s="1"/>
  <c r="AC336" i="10"/>
  <c r="AC338" i="10" s="1"/>
  <c r="AB336" i="10"/>
  <c r="AB338" i="10" s="1"/>
  <c r="AA336" i="10"/>
  <c r="AA338" i="10" s="1"/>
  <c r="Z336" i="10"/>
  <c r="Z338" i="10" s="1"/>
  <c r="Y336" i="10"/>
  <c r="Y338" i="10" s="1"/>
  <c r="X336" i="10"/>
  <c r="X338" i="10" s="1"/>
  <c r="W336" i="10"/>
  <c r="W338" i="10" s="1"/>
  <c r="V336" i="10"/>
  <c r="V338" i="10" s="1"/>
  <c r="U336" i="10"/>
  <c r="U338" i="10" s="1"/>
  <c r="T336" i="10"/>
  <c r="T338" i="10" s="1"/>
  <c r="S336" i="10"/>
  <c r="S338" i="10" s="1"/>
  <c r="R336" i="10"/>
  <c r="R338" i="10" s="1"/>
  <c r="Q336" i="10"/>
  <c r="Q338" i="10" s="1"/>
  <c r="P336" i="10"/>
  <c r="P338" i="10" s="1"/>
  <c r="O336" i="10"/>
  <c r="O338" i="10" s="1"/>
  <c r="N336" i="10"/>
  <c r="N338" i="10" s="1"/>
  <c r="M336" i="10"/>
  <c r="M338" i="10" s="1"/>
  <c r="L336" i="10"/>
  <c r="L338" i="10" s="1"/>
  <c r="K336" i="10"/>
  <c r="K338" i="10" s="1"/>
  <c r="J336" i="10"/>
  <c r="J338" i="10" s="1"/>
  <c r="I336" i="10"/>
  <c r="I338" i="10" s="1"/>
  <c r="H336" i="10"/>
  <c r="H338" i="10" s="1"/>
  <c r="G336" i="10"/>
  <c r="G338" i="10" s="1"/>
  <c r="F336" i="10"/>
  <c r="F338" i="10" s="1"/>
  <c r="E336" i="10"/>
  <c r="E338" i="10" s="1"/>
  <c r="D336" i="10"/>
  <c r="D338" i="10" s="1"/>
  <c r="C336" i="10"/>
  <c r="C338" i="10" s="1"/>
  <c r="AI335" i="10"/>
  <c r="AI337" i="10" s="1"/>
  <c r="AH335" i="10"/>
  <c r="AG335" i="10"/>
  <c r="AG337" i="10" s="1"/>
  <c r="AF335" i="10"/>
  <c r="AF337" i="10" s="1"/>
  <c r="AE335" i="10"/>
  <c r="AE337" i="10" s="1"/>
  <c r="AD335" i="10"/>
  <c r="AD337" i="10" s="1"/>
  <c r="AC335" i="10"/>
  <c r="AC337" i="10" s="1"/>
  <c r="AB335" i="10"/>
  <c r="AB337" i="10" s="1"/>
  <c r="AA335" i="10"/>
  <c r="AA337" i="10" s="1"/>
  <c r="Z335" i="10"/>
  <c r="Z337" i="10" s="1"/>
  <c r="Y335" i="10"/>
  <c r="Y337" i="10" s="1"/>
  <c r="X335" i="10"/>
  <c r="X337" i="10" s="1"/>
  <c r="W335" i="10"/>
  <c r="W337" i="10" s="1"/>
  <c r="V335" i="10"/>
  <c r="V337" i="10" s="1"/>
  <c r="U335" i="10"/>
  <c r="U337" i="10" s="1"/>
  <c r="T335" i="10"/>
  <c r="T337" i="10" s="1"/>
  <c r="S335" i="10"/>
  <c r="S337" i="10" s="1"/>
  <c r="R335" i="10"/>
  <c r="R337" i="10" s="1"/>
  <c r="Q335" i="10"/>
  <c r="Q337" i="10" s="1"/>
  <c r="P335" i="10"/>
  <c r="P337" i="10" s="1"/>
  <c r="O335" i="10"/>
  <c r="O337" i="10" s="1"/>
  <c r="N335" i="10"/>
  <c r="N337" i="10" s="1"/>
  <c r="M335" i="10"/>
  <c r="M337" i="10" s="1"/>
  <c r="L335" i="10"/>
  <c r="L337" i="10" s="1"/>
  <c r="K335" i="10"/>
  <c r="K337" i="10" s="1"/>
  <c r="J335" i="10"/>
  <c r="J337" i="10" s="1"/>
  <c r="I335" i="10"/>
  <c r="I337" i="10" s="1"/>
  <c r="H335" i="10"/>
  <c r="H337" i="10" s="1"/>
  <c r="G335" i="10"/>
  <c r="G337" i="10" s="1"/>
  <c r="F335" i="10"/>
  <c r="F337" i="10" s="1"/>
  <c r="E335" i="10"/>
  <c r="E337" i="10" s="1"/>
  <c r="D335" i="10"/>
  <c r="D337" i="10" s="1"/>
  <c r="C335" i="10"/>
  <c r="C337" i="10" s="1"/>
  <c r="P325" i="10"/>
  <c r="AI323" i="10"/>
  <c r="AI325" i="10" s="1"/>
  <c r="AH323" i="10"/>
  <c r="AH325" i="10" s="1"/>
  <c r="AG323" i="10"/>
  <c r="AG325" i="10" s="1"/>
  <c r="AF323" i="10"/>
  <c r="AF325" i="10" s="1"/>
  <c r="AE323" i="10"/>
  <c r="AE325" i="10" s="1"/>
  <c r="AD323" i="10"/>
  <c r="AD325" i="10" s="1"/>
  <c r="AC323" i="10"/>
  <c r="AC325" i="10" s="1"/>
  <c r="AB323" i="10"/>
  <c r="AB325" i="10" s="1"/>
  <c r="AA323" i="10"/>
  <c r="AA325" i="10" s="1"/>
  <c r="Z323" i="10"/>
  <c r="Z325" i="10" s="1"/>
  <c r="Y323" i="10"/>
  <c r="Y325" i="10" s="1"/>
  <c r="X323" i="10"/>
  <c r="X325" i="10" s="1"/>
  <c r="W323" i="10"/>
  <c r="W325" i="10" s="1"/>
  <c r="V323" i="10"/>
  <c r="V325" i="10" s="1"/>
  <c r="U323" i="10"/>
  <c r="U325" i="10" s="1"/>
  <c r="T323" i="10"/>
  <c r="T325" i="10" s="1"/>
  <c r="S323" i="10"/>
  <c r="S325" i="10" s="1"/>
  <c r="R323" i="10"/>
  <c r="R325" i="10" s="1"/>
  <c r="Q323" i="10"/>
  <c r="Q325" i="10" s="1"/>
  <c r="P323" i="10"/>
  <c r="O323" i="10"/>
  <c r="O325" i="10" s="1"/>
  <c r="N323" i="10"/>
  <c r="N325" i="10" s="1"/>
  <c r="M323" i="10"/>
  <c r="M325" i="10" s="1"/>
  <c r="L323" i="10"/>
  <c r="L325" i="10" s="1"/>
  <c r="K323" i="10"/>
  <c r="K325" i="10" s="1"/>
  <c r="J323" i="10"/>
  <c r="J325" i="10" s="1"/>
  <c r="I323" i="10"/>
  <c r="I325" i="10" s="1"/>
  <c r="H323" i="10"/>
  <c r="H325" i="10" s="1"/>
  <c r="G323" i="10"/>
  <c r="G325" i="10" s="1"/>
  <c r="F323" i="10"/>
  <c r="F325" i="10" s="1"/>
  <c r="E323" i="10"/>
  <c r="E325" i="10" s="1"/>
  <c r="D323" i="10"/>
  <c r="D325" i="10" s="1"/>
  <c r="C323" i="10"/>
  <c r="C325" i="10" s="1"/>
  <c r="AI322" i="10"/>
  <c r="AI324" i="10" s="1"/>
  <c r="AH322" i="10"/>
  <c r="AH324" i="10" s="1"/>
  <c r="AG322" i="10"/>
  <c r="AG324" i="10" s="1"/>
  <c r="AF322" i="10"/>
  <c r="AF324" i="10" s="1"/>
  <c r="AE322" i="10"/>
  <c r="AE324" i="10" s="1"/>
  <c r="AD322" i="10"/>
  <c r="AD324" i="10" s="1"/>
  <c r="AC322" i="10"/>
  <c r="AC324" i="10" s="1"/>
  <c r="AB322" i="10"/>
  <c r="AB324" i="10" s="1"/>
  <c r="AA322" i="10"/>
  <c r="AA324" i="10" s="1"/>
  <c r="Z322" i="10"/>
  <c r="Z324" i="10" s="1"/>
  <c r="Y322" i="10"/>
  <c r="Y324" i="10" s="1"/>
  <c r="X322" i="10"/>
  <c r="X324" i="10" s="1"/>
  <c r="W322" i="10"/>
  <c r="W324" i="10" s="1"/>
  <c r="V322" i="10"/>
  <c r="V324" i="10" s="1"/>
  <c r="U322" i="10"/>
  <c r="U324" i="10" s="1"/>
  <c r="T322" i="10"/>
  <c r="T324" i="10" s="1"/>
  <c r="S322" i="10"/>
  <c r="S324" i="10" s="1"/>
  <c r="R322" i="10"/>
  <c r="R324" i="10" s="1"/>
  <c r="Q322" i="10"/>
  <c r="Q324" i="10" s="1"/>
  <c r="P322" i="10"/>
  <c r="P324" i="10" s="1"/>
  <c r="O322" i="10"/>
  <c r="O324" i="10" s="1"/>
  <c r="N322" i="10"/>
  <c r="N324" i="10" s="1"/>
  <c r="M322" i="10"/>
  <c r="M324" i="10" s="1"/>
  <c r="L322" i="10"/>
  <c r="L324" i="10" s="1"/>
  <c r="K322" i="10"/>
  <c r="K324" i="10" s="1"/>
  <c r="J322" i="10"/>
  <c r="J324" i="10" s="1"/>
  <c r="I322" i="10"/>
  <c r="I324" i="10" s="1"/>
  <c r="H322" i="10"/>
  <c r="H324" i="10" s="1"/>
  <c r="G322" i="10"/>
  <c r="G324" i="10" s="1"/>
  <c r="F322" i="10"/>
  <c r="F324" i="10" s="1"/>
  <c r="E322" i="10"/>
  <c r="E324" i="10" s="1"/>
  <c r="D322" i="10"/>
  <c r="D324" i="10" s="1"/>
  <c r="C322" i="10"/>
  <c r="C324" i="10" s="1"/>
  <c r="AH312" i="10"/>
  <c r="Z312" i="10"/>
  <c r="AH311" i="10"/>
  <c r="R311" i="10"/>
  <c r="AI310" i="10"/>
  <c r="AI312" i="10" s="1"/>
  <c r="AH310" i="10"/>
  <c r="AG310" i="10"/>
  <c r="AG312" i="10" s="1"/>
  <c r="AF310" i="10"/>
  <c r="AF312" i="10" s="1"/>
  <c r="AE310" i="10"/>
  <c r="AE312" i="10" s="1"/>
  <c r="AD310" i="10"/>
  <c r="AD312" i="10" s="1"/>
  <c r="AC310" i="10"/>
  <c r="AC312" i="10" s="1"/>
  <c r="AB310" i="10"/>
  <c r="AB312" i="10" s="1"/>
  <c r="AA310" i="10"/>
  <c r="AA312" i="10" s="1"/>
  <c r="Z310" i="10"/>
  <c r="Y310" i="10"/>
  <c r="Y312" i="10" s="1"/>
  <c r="X310" i="10"/>
  <c r="X312" i="10" s="1"/>
  <c r="W310" i="10"/>
  <c r="W312" i="10" s="1"/>
  <c r="V310" i="10"/>
  <c r="V312" i="10" s="1"/>
  <c r="U310" i="10"/>
  <c r="U312" i="10" s="1"/>
  <c r="T310" i="10"/>
  <c r="T312" i="10" s="1"/>
  <c r="S310" i="10"/>
  <c r="S312" i="10" s="1"/>
  <c r="R310" i="10"/>
  <c r="R312" i="10" s="1"/>
  <c r="Q310" i="10"/>
  <c r="Q312" i="10" s="1"/>
  <c r="P310" i="10"/>
  <c r="P312" i="10" s="1"/>
  <c r="O310" i="10"/>
  <c r="O312" i="10" s="1"/>
  <c r="N310" i="10"/>
  <c r="N312" i="10" s="1"/>
  <c r="M310" i="10"/>
  <c r="M312" i="10" s="1"/>
  <c r="L310" i="10"/>
  <c r="L312" i="10" s="1"/>
  <c r="K310" i="10"/>
  <c r="K312" i="10" s="1"/>
  <c r="J310" i="10"/>
  <c r="J312" i="10" s="1"/>
  <c r="I310" i="10"/>
  <c r="I312" i="10" s="1"/>
  <c r="H310" i="10"/>
  <c r="H312" i="10" s="1"/>
  <c r="G310" i="10"/>
  <c r="G312" i="10" s="1"/>
  <c r="F310" i="10"/>
  <c r="F312" i="10" s="1"/>
  <c r="E310" i="10"/>
  <c r="E312" i="10" s="1"/>
  <c r="D310" i="10"/>
  <c r="D312" i="10" s="1"/>
  <c r="C310" i="10"/>
  <c r="C312" i="10" s="1"/>
  <c r="AI309" i="10"/>
  <c r="AI311" i="10" s="1"/>
  <c r="AH309" i="10"/>
  <c r="AG309" i="10"/>
  <c r="AG311" i="10" s="1"/>
  <c r="AF309" i="10"/>
  <c r="AF311" i="10" s="1"/>
  <c r="AE309" i="10"/>
  <c r="AE311" i="10" s="1"/>
  <c r="AD309" i="10"/>
  <c r="AD311" i="10" s="1"/>
  <c r="AC309" i="10"/>
  <c r="AC311" i="10" s="1"/>
  <c r="AB309" i="10"/>
  <c r="AB311" i="10" s="1"/>
  <c r="AA309" i="10"/>
  <c r="AA311" i="10" s="1"/>
  <c r="Z309" i="10"/>
  <c r="Z311" i="10" s="1"/>
  <c r="Y309" i="10"/>
  <c r="Y311" i="10" s="1"/>
  <c r="X309" i="10"/>
  <c r="X311" i="10" s="1"/>
  <c r="W309" i="10"/>
  <c r="W311" i="10" s="1"/>
  <c r="V309" i="10"/>
  <c r="V311" i="10" s="1"/>
  <c r="U309" i="10"/>
  <c r="U311" i="10" s="1"/>
  <c r="T309" i="10"/>
  <c r="T311" i="10" s="1"/>
  <c r="S309" i="10"/>
  <c r="S311" i="10" s="1"/>
  <c r="R309" i="10"/>
  <c r="Q309" i="10"/>
  <c r="Q311" i="10" s="1"/>
  <c r="P309" i="10"/>
  <c r="P311" i="10" s="1"/>
  <c r="O309" i="10"/>
  <c r="O311" i="10" s="1"/>
  <c r="N309" i="10"/>
  <c r="N311" i="10" s="1"/>
  <c r="M309" i="10"/>
  <c r="M311" i="10" s="1"/>
  <c r="L309" i="10"/>
  <c r="L311" i="10" s="1"/>
  <c r="K309" i="10"/>
  <c r="K311" i="10" s="1"/>
  <c r="J309" i="10"/>
  <c r="J311" i="10" s="1"/>
  <c r="I309" i="10"/>
  <c r="I311" i="10" s="1"/>
  <c r="H309" i="10"/>
  <c r="H311" i="10" s="1"/>
  <c r="G309" i="10"/>
  <c r="G311" i="10" s="1"/>
  <c r="F309" i="10"/>
  <c r="F311" i="10" s="1"/>
  <c r="E309" i="10"/>
  <c r="E311" i="10" s="1"/>
  <c r="D309" i="10"/>
  <c r="D311" i="10" s="1"/>
  <c r="C309" i="10"/>
  <c r="C311" i="10" s="1"/>
  <c r="P299" i="10"/>
  <c r="AI297" i="10"/>
  <c r="AI299" i="10" s="1"/>
  <c r="AH297" i="10"/>
  <c r="AH299" i="10" s="1"/>
  <c r="AG297" i="10"/>
  <c r="AG299" i="10" s="1"/>
  <c r="AF297" i="10"/>
  <c r="AF299" i="10" s="1"/>
  <c r="AE297" i="10"/>
  <c r="AE299" i="10" s="1"/>
  <c r="AD297" i="10"/>
  <c r="AD299" i="10" s="1"/>
  <c r="AC297" i="10"/>
  <c r="AC299" i="10" s="1"/>
  <c r="AB297" i="10"/>
  <c r="AB299" i="10" s="1"/>
  <c r="AA297" i="10"/>
  <c r="AA299" i="10" s="1"/>
  <c r="Z297" i="10"/>
  <c r="Z299" i="10" s="1"/>
  <c r="Y297" i="10"/>
  <c r="Y299" i="10" s="1"/>
  <c r="X297" i="10"/>
  <c r="X299" i="10" s="1"/>
  <c r="W297" i="10"/>
  <c r="W299" i="10" s="1"/>
  <c r="V297" i="10"/>
  <c r="V299" i="10" s="1"/>
  <c r="U297" i="10"/>
  <c r="U299" i="10" s="1"/>
  <c r="T297" i="10"/>
  <c r="T299" i="10" s="1"/>
  <c r="S297" i="10"/>
  <c r="S299" i="10" s="1"/>
  <c r="R297" i="10"/>
  <c r="R299" i="10" s="1"/>
  <c r="Q297" i="10"/>
  <c r="Q299" i="10" s="1"/>
  <c r="P297" i="10"/>
  <c r="O297" i="10"/>
  <c r="O299" i="10" s="1"/>
  <c r="N297" i="10"/>
  <c r="N299" i="10" s="1"/>
  <c r="M297" i="10"/>
  <c r="M299" i="10" s="1"/>
  <c r="L297" i="10"/>
  <c r="L299" i="10" s="1"/>
  <c r="K297" i="10"/>
  <c r="K299" i="10" s="1"/>
  <c r="J297" i="10"/>
  <c r="J299" i="10" s="1"/>
  <c r="I297" i="10"/>
  <c r="I299" i="10" s="1"/>
  <c r="H297" i="10"/>
  <c r="H299" i="10" s="1"/>
  <c r="G297" i="10"/>
  <c r="G299" i="10" s="1"/>
  <c r="F297" i="10"/>
  <c r="F299" i="10" s="1"/>
  <c r="E297" i="10"/>
  <c r="E299" i="10" s="1"/>
  <c r="D297" i="10"/>
  <c r="D299" i="10" s="1"/>
  <c r="C297" i="10"/>
  <c r="C299" i="10" s="1"/>
  <c r="AI296" i="10"/>
  <c r="AI298" i="10" s="1"/>
  <c r="AH296" i="10"/>
  <c r="AH298" i="10" s="1"/>
  <c r="AG296" i="10"/>
  <c r="AG298" i="10" s="1"/>
  <c r="AF296" i="10"/>
  <c r="AF298" i="10" s="1"/>
  <c r="AE296" i="10"/>
  <c r="AE298" i="10" s="1"/>
  <c r="AD296" i="10"/>
  <c r="AD298" i="10" s="1"/>
  <c r="AC296" i="10"/>
  <c r="AC298" i="10" s="1"/>
  <c r="AB296" i="10"/>
  <c r="AB298" i="10" s="1"/>
  <c r="AA296" i="10"/>
  <c r="AA298" i="10" s="1"/>
  <c r="Z296" i="10"/>
  <c r="Z298" i="10" s="1"/>
  <c r="Y296" i="10"/>
  <c r="Y298" i="10" s="1"/>
  <c r="X296" i="10"/>
  <c r="X298" i="10" s="1"/>
  <c r="W296" i="10"/>
  <c r="W298" i="10" s="1"/>
  <c r="V296" i="10"/>
  <c r="V298" i="10" s="1"/>
  <c r="U296" i="10"/>
  <c r="U298" i="10" s="1"/>
  <c r="T296" i="10"/>
  <c r="T298" i="10" s="1"/>
  <c r="S296" i="10"/>
  <c r="S298" i="10" s="1"/>
  <c r="R296" i="10"/>
  <c r="R298" i="10" s="1"/>
  <c r="Q296" i="10"/>
  <c r="Q298" i="10" s="1"/>
  <c r="P296" i="10"/>
  <c r="P298" i="10" s="1"/>
  <c r="O296" i="10"/>
  <c r="O298" i="10" s="1"/>
  <c r="N296" i="10"/>
  <c r="N298" i="10" s="1"/>
  <c r="M296" i="10"/>
  <c r="M298" i="10" s="1"/>
  <c r="L296" i="10"/>
  <c r="L298" i="10" s="1"/>
  <c r="K296" i="10"/>
  <c r="K298" i="10" s="1"/>
  <c r="J296" i="10"/>
  <c r="J298" i="10" s="1"/>
  <c r="I296" i="10"/>
  <c r="I298" i="10" s="1"/>
  <c r="H296" i="10"/>
  <c r="H298" i="10" s="1"/>
  <c r="G296" i="10"/>
  <c r="G298" i="10" s="1"/>
  <c r="F296" i="10"/>
  <c r="F298" i="10" s="1"/>
  <c r="E296" i="10"/>
  <c r="E298" i="10" s="1"/>
  <c r="D296" i="10"/>
  <c r="D298" i="10" s="1"/>
  <c r="C296" i="10"/>
  <c r="C298" i="10" s="1"/>
  <c r="X286" i="10"/>
  <c r="P286" i="10"/>
  <c r="P285" i="10"/>
  <c r="AI284" i="10"/>
  <c r="AI286" i="10" s="1"/>
  <c r="AH284" i="10"/>
  <c r="AH286" i="10" s="1"/>
  <c r="AG284" i="10"/>
  <c r="AG286" i="10" s="1"/>
  <c r="AF284" i="10"/>
  <c r="AF286" i="10" s="1"/>
  <c r="AE284" i="10"/>
  <c r="AE286" i="10" s="1"/>
  <c r="AD284" i="10"/>
  <c r="AD286" i="10" s="1"/>
  <c r="AC284" i="10"/>
  <c r="AC286" i="10" s="1"/>
  <c r="AB284" i="10"/>
  <c r="AB286" i="10" s="1"/>
  <c r="AA284" i="10"/>
  <c r="AA286" i="10" s="1"/>
  <c r="Z284" i="10"/>
  <c r="Z286" i="10" s="1"/>
  <c r="Y284" i="10"/>
  <c r="Y286" i="10" s="1"/>
  <c r="X284" i="10"/>
  <c r="W284" i="10"/>
  <c r="W286" i="10" s="1"/>
  <c r="V284" i="10"/>
  <c r="V286" i="10" s="1"/>
  <c r="U284" i="10"/>
  <c r="U286" i="10" s="1"/>
  <c r="T284" i="10"/>
  <c r="T286" i="10" s="1"/>
  <c r="S284" i="10"/>
  <c r="S286" i="10" s="1"/>
  <c r="R284" i="10"/>
  <c r="R286" i="10" s="1"/>
  <c r="Q284" i="10"/>
  <c r="Q286" i="10" s="1"/>
  <c r="P284" i="10"/>
  <c r="O284" i="10"/>
  <c r="O286" i="10" s="1"/>
  <c r="N284" i="10"/>
  <c r="N286" i="10" s="1"/>
  <c r="M284" i="10"/>
  <c r="M286" i="10" s="1"/>
  <c r="L284" i="10"/>
  <c r="L286" i="10" s="1"/>
  <c r="K284" i="10"/>
  <c r="K286" i="10" s="1"/>
  <c r="J284" i="10"/>
  <c r="J286" i="10" s="1"/>
  <c r="I284" i="10"/>
  <c r="I286" i="10" s="1"/>
  <c r="H284" i="10"/>
  <c r="H286" i="10" s="1"/>
  <c r="G284" i="10"/>
  <c r="G286" i="10" s="1"/>
  <c r="F284" i="10"/>
  <c r="F286" i="10" s="1"/>
  <c r="E284" i="10"/>
  <c r="E286" i="10" s="1"/>
  <c r="D284" i="10"/>
  <c r="D286" i="10" s="1"/>
  <c r="C284" i="10"/>
  <c r="C286" i="10" s="1"/>
  <c r="AI283" i="10"/>
  <c r="AI285" i="10" s="1"/>
  <c r="AH283" i="10"/>
  <c r="AH285" i="10" s="1"/>
  <c r="AG283" i="10"/>
  <c r="AG285" i="10" s="1"/>
  <c r="AF283" i="10"/>
  <c r="AF285" i="10" s="1"/>
  <c r="AE283" i="10"/>
  <c r="AE285" i="10" s="1"/>
  <c r="AD283" i="10"/>
  <c r="AD285" i="10" s="1"/>
  <c r="AC283" i="10"/>
  <c r="AC285" i="10" s="1"/>
  <c r="AB283" i="10"/>
  <c r="AB285" i="10" s="1"/>
  <c r="AA283" i="10"/>
  <c r="AA285" i="10" s="1"/>
  <c r="Z283" i="10"/>
  <c r="Z285" i="10" s="1"/>
  <c r="Y283" i="10"/>
  <c r="Y285" i="10" s="1"/>
  <c r="X283" i="10"/>
  <c r="X285" i="10" s="1"/>
  <c r="W283" i="10"/>
  <c r="W285" i="10" s="1"/>
  <c r="V283" i="10"/>
  <c r="V285" i="10" s="1"/>
  <c r="U283" i="10"/>
  <c r="U285" i="10" s="1"/>
  <c r="T283" i="10"/>
  <c r="T285" i="10" s="1"/>
  <c r="S283" i="10"/>
  <c r="S285" i="10" s="1"/>
  <c r="R283" i="10"/>
  <c r="R285" i="10" s="1"/>
  <c r="Q283" i="10"/>
  <c r="Q285" i="10" s="1"/>
  <c r="P283" i="10"/>
  <c r="O283" i="10"/>
  <c r="O285" i="10" s="1"/>
  <c r="N283" i="10"/>
  <c r="N285" i="10" s="1"/>
  <c r="M283" i="10"/>
  <c r="M285" i="10" s="1"/>
  <c r="L283" i="10"/>
  <c r="L285" i="10" s="1"/>
  <c r="K283" i="10"/>
  <c r="K285" i="10" s="1"/>
  <c r="J283" i="10"/>
  <c r="J285" i="10" s="1"/>
  <c r="I283" i="10"/>
  <c r="I285" i="10" s="1"/>
  <c r="H283" i="10"/>
  <c r="H285" i="10" s="1"/>
  <c r="G283" i="10"/>
  <c r="G285" i="10" s="1"/>
  <c r="F283" i="10"/>
  <c r="F285" i="10" s="1"/>
  <c r="E283" i="10"/>
  <c r="E285" i="10" s="1"/>
  <c r="D283" i="10"/>
  <c r="D285" i="10" s="1"/>
  <c r="C283" i="10"/>
  <c r="C285" i="10" s="1"/>
  <c r="AH273" i="10"/>
  <c r="J273" i="10"/>
  <c r="Z272" i="10"/>
  <c r="AI271" i="10"/>
  <c r="AI273" i="10" s="1"/>
  <c r="AH271" i="10"/>
  <c r="AG271" i="10"/>
  <c r="AG273" i="10" s="1"/>
  <c r="AF271" i="10"/>
  <c r="AF273" i="10" s="1"/>
  <c r="AE271" i="10"/>
  <c r="AE273" i="10" s="1"/>
  <c r="AD271" i="10"/>
  <c r="AD273" i="10" s="1"/>
  <c r="AC271" i="10"/>
  <c r="AC273" i="10" s="1"/>
  <c r="AB271" i="10"/>
  <c r="AB273" i="10" s="1"/>
  <c r="AA271" i="10"/>
  <c r="AA273" i="10" s="1"/>
  <c r="Z271" i="10"/>
  <c r="Z273" i="10" s="1"/>
  <c r="Y271" i="10"/>
  <c r="Y273" i="10" s="1"/>
  <c r="X271" i="10"/>
  <c r="X273" i="10" s="1"/>
  <c r="W271" i="10"/>
  <c r="W273" i="10" s="1"/>
  <c r="V271" i="10"/>
  <c r="V273" i="10" s="1"/>
  <c r="U271" i="10"/>
  <c r="U273" i="10" s="1"/>
  <c r="T271" i="10"/>
  <c r="T273" i="10" s="1"/>
  <c r="S271" i="10"/>
  <c r="S273" i="10" s="1"/>
  <c r="R271" i="10"/>
  <c r="R273" i="10" s="1"/>
  <c r="Q271" i="10"/>
  <c r="Q273" i="10" s="1"/>
  <c r="P271" i="10"/>
  <c r="P273" i="10" s="1"/>
  <c r="O271" i="10"/>
  <c r="O273" i="10" s="1"/>
  <c r="N271" i="10"/>
  <c r="N273" i="10" s="1"/>
  <c r="M271" i="10"/>
  <c r="M273" i="10" s="1"/>
  <c r="L271" i="10"/>
  <c r="L273" i="10" s="1"/>
  <c r="K271" i="10"/>
  <c r="K273" i="10" s="1"/>
  <c r="J271" i="10"/>
  <c r="I271" i="10"/>
  <c r="I273" i="10" s="1"/>
  <c r="H271" i="10"/>
  <c r="H273" i="10" s="1"/>
  <c r="G271" i="10"/>
  <c r="G273" i="10" s="1"/>
  <c r="F271" i="10"/>
  <c r="F273" i="10" s="1"/>
  <c r="E271" i="10"/>
  <c r="E273" i="10" s="1"/>
  <c r="D271" i="10"/>
  <c r="D273" i="10" s="1"/>
  <c r="C271" i="10"/>
  <c r="C273" i="10" s="1"/>
  <c r="AI270" i="10"/>
  <c r="AI272" i="10" s="1"/>
  <c r="AH270" i="10"/>
  <c r="AH272" i="10" s="1"/>
  <c r="AG270" i="10"/>
  <c r="AG272" i="10" s="1"/>
  <c r="AF270" i="10"/>
  <c r="AF272" i="10" s="1"/>
  <c r="AE270" i="10"/>
  <c r="AE272" i="10" s="1"/>
  <c r="AD270" i="10"/>
  <c r="AD272" i="10" s="1"/>
  <c r="AC270" i="10"/>
  <c r="AC272" i="10" s="1"/>
  <c r="AB270" i="10"/>
  <c r="AB272" i="10" s="1"/>
  <c r="AA270" i="10"/>
  <c r="AA272" i="10" s="1"/>
  <c r="Z270" i="10"/>
  <c r="Y270" i="10"/>
  <c r="Y272" i="10" s="1"/>
  <c r="X270" i="10"/>
  <c r="X272" i="10" s="1"/>
  <c r="W270" i="10"/>
  <c r="W272" i="10" s="1"/>
  <c r="V270" i="10"/>
  <c r="V272" i="10" s="1"/>
  <c r="U270" i="10"/>
  <c r="U272" i="10" s="1"/>
  <c r="T270" i="10"/>
  <c r="T272" i="10" s="1"/>
  <c r="S270" i="10"/>
  <c r="S272" i="10" s="1"/>
  <c r="R270" i="10"/>
  <c r="R272" i="10" s="1"/>
  <c r="Q270" i="10"/>
  <c r="Q272" i="10" s="1"/>
  <c r="P270" i="10"/>
  <c r="P272" i="10" s="1"/>
  <c r="O270" i="10"/>
  <c r="O272" i="10" s="1"/>
  <c r="N270" i="10"/>
  <c r="N272" i="10" s="1"/>
  <c r="M270" i="10"/>
  <c r="M272" i="10" s="1"/>
  <c r="L270" i="10"/>
  <c r="L272" i="10" s="1"/>
  <c r="K270" i="10"/>
  <c r="K272" i="10" s="1"/>
  <c r="J270" i="10"/>
  <c r="J272" i="10" s="1"/>
  <c r="I270" i="10"/>
  <c r="I272" i="10" s="1"/>
  <c r="H270" i="10"/>
  <c r="H272" i="10" s="1"/>
  <c r="G270" i="10"/>
  <c r="G272" i="10" s="1"/>
  <c r="F270" i="10"/>
  <c r="F272" i="10" s="1"/>
  <c r="E270" i="10"/>
  <c r="E272" i="10" s="1"/>
  <c r="D270" i="10"/>
  <c r="D272" i="10" s="1"/>
  <c r="C270" i="10"/>
  <c r="C272" i="10" s="1"/>
  <c r="X259" i="10"/>
  <c r="H259" i="10"/>
  <c r="AI258" i="10"/>
  <c r="AI260" i="10" s="1"/>
  <c r="AH258" i="10"/>
  <c r="AH260" i="10" s="1"/>
  <c r="AG258" i="10"/>
  <c r="AG260" i="10" s="1"/>
  <c r="AF258" i="10"/>
  <c r="AF260" i="10" s="1"/>
  <c r="AE258" i="10"/>
  <c r="AE260" i="10" s="1"/>
  <c r="AD258" i="10"/>
  <c r="AD260" i="10" s="1"/>
  <c r="AC258" i="10"/>
  <c r="AC260" i="10" s="1"/>
  <c r="AB258" i="10"/>
  <c r="AB260" i="10" s="1"/>
  <c r="AA258" i="10"/>
  <c r="AA260" i="10" s="1"/>
  <c r="Z258" i="10"/>
  <c r="Z260" i="10" s="1"/>
  <c r="Y258" i="10"/>
  <c r="Y260" i="10" s="1"/>
  <c r="X258" i="10"/>
  <c r="X260" i="10" s="1"/>
  <c r="W258" i="10"/>
  <c r="W260" i="10" s="1"/>
  <c r="V258" i="10"/>
  <c r="V260" i="10" s="1"/>
  <c r="U258" i="10"/>
  <c r="U260" i="10" s="1"/>
  <c r="T258" i="10"/>
  <c r="T260" i="10" s="1"/>
  <c r="S258" i="10"/>
  <c r="S260" i="10" s="1"/>
  <c r="R258" i="10"/>
  <c r="R260" i="10" s="1"/>
  <c r="Q258" i="10"/>
  <c r="Q260" i="10" s="1"/>
  <c r="P258" i="10"/>
  <c r="P260" i="10" s="1"/>
  <c r="O258" i="10"/>
  <c r="O260" i="10" s="1"/>
  <c r="N258" i="10"/>
  <c r="N260" i="10" s="1"/>
  <c r="M258" i="10"/>
  <c r="M260" i="10" s="1"/>
  <c r="L258" i="10"/>
  <c r="L260" i="10" s="1"/>
  <c r="K258" i="10"/>
  <c r="K260" i="10" s="1"/>
  <c r="J258" i="10"/>
  <c r="J260" i="10" s="1"/>
  <c r="I258" i="10"/>
  <c r="I260" i="10" s="1"/>
  <c r="H258" i="10"/>
  <c r="H260" i="10" s="1"/>
  <c r="G258" i="10"/>
  <c r="G260" i="10" s="1"/>
  <c r="F258" i="10"/>
  <c r="F260" i="10" s="1"/>
  <c r="E258" i="10"/>
  <c r="E260" i="10" s="1"/>
  <c r="D258" i="10"/>
  <c r="D260" i="10" s="1"/>
  <c r="C258" i="10"/>
  <c r="C260" i="10" s="1"/>
  <c r="AI257" i="10"/>
  <c r="AI259" i="10" s="1"/>
  <c r="AH257" i="10"/>
  <c r="AH259" i="10" s="1"/>
  <c r="AG257" i="10"/>
  <c r="AG259" i="10" s="1"/>
  <c r="AF257" i="10"/>
  <c r="AF259" i="10" s="1"/>
  <c r="AE257" i="10"/>
  <c r="AE259" i="10" s="1"/>
  <c r="AD257" i="10"/>
  <c r="AD259" i="10" s="1"/>
  <c r="AC257" i="10"/>
  <c r="AC259" i="10" s="1"/>
  <c r="AB257" i="10"/>
  <c r="AB259" i="10" s="1"/>
  <c r="AA257" i="10"/>
  <c r="AA259" i="10" s="1"/>
  <c r="Z257" i="10"/>
  <c r="Z259" i="10" s="1"/>
  <c r="Y257" i="10"/>
  <c r="Y259" i="10" s="1"/>
  <c r="X257" i="10"/>
  <c r="W257" i="10"/>
  <c r="W259" i="10" s="1"/>
  <c r="V257" i="10"/>
  <c r="V259" i="10" s="1"/>
  <c r="U257" i="10"/>
  <c r="U259" i="10" s="1"/>
  <c r="T257" i="10"/>
  <c r="T259" i="10" s="1"/>
  <c r="S257" i="10"/>
  <c r="S259" i="10" s="1"/>
  <c r="R257" i="10"/>
  <c r="R259" i="10" s="1"/>
  <c r="Q257" i="10"/>
  <c r="Q259" i="10" s="1"/>
  <c r="P257" i="10"/>
  <c r="P259" i="10" s="1"/>
  <c r="O257" i="10"/>
  <c r="O259" i="10" s="1"/>
  <c r="N257" i="10"/>
  <c r="N259" i="10" s="1"/>
  <c r="M257" i="10"/>
  <c r="M259" i="10" s="1"/>
  <c r="L257" i="10"/>
  <c r="L259" i="10" s="1"/>
  <c r="K257" i="10"/>
  <c r="K259" i="10" s="1"/>
  <c r="J257" i="10"/>
  <c r="J259" i="10" s="1"/>
  <c r="I257" i="10"/>
  <c r="I259" i="10" s="1"/>
  <c r="H257" i="10"/>
  <c r="G257" i="10"/>
  <c r="G259" i="10" s="1"/>
  <c r="F257" i="10"/>
  <c r="F259" i="10" s="1"/>
  <c r="E257" i="10"/>
  <c r="E259" i="10" s="1"/>
  <c r="D257" i="10"/>
  <c r="D259" i="10" s="1"/>
  <c r="C257" i="10"/>
  <c r="C259" i="10" s="1"/>
  <c r="AI245" i="10"/>
  <c r="AI247" i="10" s="1"/>
  <c r="AH245" i="10"/>
  <c r="AH247" i="10" s="1"/>
  <c r="AG245" i="10"/>
  <c r="AG247" i="10" s="1"/>
  <c r="AF245" i="10"/>
  <c r="AF247" i="10" s="1"/>
  <c r="AE245" i="10"/>
  <c r="AE247" i="10" s="1"/>
  <c r="AD245" i="10"/>
  <c r="AD247" i="10" s="1"/>
  <c r="AC245" i="10"/>
  <c r="AC247" i="10" s="1"/>
  <c r="AB245" i="10"/>
  <c r="AB247" i="10" s="1"/>
  <c r="AA245" i="10"/>
  <c r="AA247" i="10" s="1"/>
  <c r="Z245" i="10"/>
  <c r="Z247" i="10" s="1"/>
  <c r="Y245" i="10"/>
  <c r="Y247" i="10" s="1"/>
  <c r="X245" i="10"/>
  <c r="X247" i="10" s="1"/>
  <c r="W245" i="10"/>
  <c r="W247" i="10" s="1"/>
  <c r="V245" i="10"/>
  <c r="V247" i="10" s="1"/>
  <c r="U245" i="10"/>
  <c r="U247" i="10" s="1"/>
  <c r="T245" i="10"/>
  <c r="T247" i="10" s="1"/>
  <c r="S245" i="10"/>
  <c r="S247" i="10" s="1"/>
  <c r="R245" i="10"/>
  <c r="R247" i="10" s="1"/>
  <c r="Q245" i="10"/>
  <c r="Q247" i="10" s="1"/>
  <c r="P245" i="10"/>
  <c r="P247" i="10" s="1"/>
  <c r="O245" i="10"/>
  <c r="O247" i="10" s="1"/>
  <c r="N245" i="10"/>
  <c r="N247" i="10" s="1"/>
  <c r="M245" i="10"/>
  <c r="M247" i="10" s="1"/>
  <c r="L245" i="10"/>
  <c r="L247" i="10" s="1"/>
  <c r="K245" i="10"/>
  <c r="K247" i="10" s="1"/>
  <c r="J245" i="10"/>
  <c r="J247" i="10" s="1"/>
  <c r="I245" i="10"/>
  <c r="I247" i="10" s="1"/>
  <c r="H245" i="10"/>
  <c r="H247" i="10" s="1"/>
  <c r="G245" i="10"/>
  <c r="G247" i="10" s="1"/>
  <c r="F245" i="10"/>
  <c r="F247" i="10" s="1"/>
  <c r="E245" i="10"/>
  <c r="E247" i="10" s="1"/>
  <c r="D245" i="10"/>
  <c r="D247" i="10" s="1"/>
  <c r="C245" i="10"/>
  <c r="C247" i="10" s="1"/>
  <c r="AI244" i="10"/>
  <c r="AI246" i="10" s="1"/>
  <c r="AH244" i="10"/>
  <c r="AH246" i="10" s="1"/>
  <c r="AG244" i="10"/>
  <c r="AG246" i="10" s="1"/>
  <c r="AF244" i="10"/>
  <c r="AF246" i="10" s="1"/>
  <c r="AE244" i="10"/>
  <c r="AE246" i="10" s="1"/>
  <c r="AD244" i="10"/>
  <c r="AD246" i="10" s="1"/>
  <c r="AC244" i="10"/>
  <c r="AC246" i="10" s="1"/>
  <c r="AB244" i="10"/>
  <c r="AB246" i="10" s="1"/>
  <c r="AA244" i="10"/>
  <c r="AA246" i="10" s="1"/>
  <c r="Z244" i="10"/>
  <c r="Z246" i="10" s="1"/>
  <c r="Y244" i="10"/>
  <c r="Y246" i="10" s="1"/>
  <c r="X244" i="10"/>
  <c r="X246" i="10" s="1"/>
  <c r="W244" i="10"/>
  <c r="W246" i="10" s="1"/>
  <c r="V244" i="10"/>
  <c r="V246" i="10" s="1"/>
  <c r="U244" i="10"/>
  <c r="U246" i="10" s="1"/>
  <c r="T244" i="10"/>
  <c r="T246" i="10" s="1"/>
  <c r="S244" i="10"/>
  <c r="S246" i="10" s="1"/>
  <c r="R244" i="10"/>
  <c r="R246" i="10" s="1"/>
  <c r="Q244" i="10"/>
  <c r="Q246" i="10" s="1"/>
  <c r="P244" i="10"/>
  <c r="P246" i="10" s="1"/>
  <c r="O244" i="10"/>
  <c r="O246" i="10" s="1"/>
  <c r="N244" i="10"/>
  <c r="N246" i="10" s="1"/>
  <c r="M244" i="10"/>
  <c r="M246" i="10" s="1"/>
  <c r="L244" i="10"/>
  <c r="L246" i="10" s="1"/>
  <c r="K244" i="10"/>
  <c r="K246" i="10" s="1"/>
  <c r="J244" i="10"/>
  <c r="J246" i="10" s="1"/>
  <c r="I244" i="10"/>
  <c r="I246" i="10" s="1"/>
  <c r="H244" i="10"/>
  <c r="H246" i="10" s="1"/>
  <c r="G244" i="10"/>
  <c r="G246" i="10" s="1"/>
  <c r="F244" i="10"/>
  <c r="F246" i="10" s="1"/>
  <c r="E244" i="10"/>
  <c r="E246" i="10" s="1"/>
  <c r="D244" i="10"/>
  <c r="D246" i="10" s="1"/>
  <c r="C244" i="10"/>
  <c r="C246" i="10" s="1"/>
  <c r="M234" i="10"/>
  <c r="AI232" i="10"/>
  <c r="AI234" i="10" s="1"/>
  <c r="AH232" i="10"/>
  <c r="AH234" i="10" s="1"/>
  <c r="AG232" i="10"/>
  <c r="AG234" i="10" s="1"/>
  <c r="AF232" i="10"/>
  <c r="AF234" i="10" s="1"/>
  <c r="AE232" i="10"/>
  <c r="AE234" i="10" s="1"/>
  <c r="AD232" i="10"/>
  <c r="AD234" i="10" s="1"/>
  <c r="AC232" i="10"/>
  <c r="AC234" i="10" s="1"/>
  <c r="AB232" i="10"/>
  <c r="AB234" i="10" s="1"/>
  <c r="AA232" i="10"/>
  <c r="AA234" i="10" s="1"/>
  <c r="Z232" i="10"/>
  <c r="Z234" i="10" s="1"/>
  <c r="Y232" i="10"/>
  <c r="Y234" i="10" s="1"/>
  <c r="X232" i="10"/>
  <c r="X234" i="10" s="1"/>
  <c r="W232" i="10"/>
  <c r="W234" i="10" s="1"/>
  <c r="V232" i="10"/>
  <c r="V234" i="10" s="1"/>
  <c r="U232" i="10"/>
  <c r="U234" i="10" s="1"/>
  <c r="T232" i="10"/>
  <c r="T234" i="10" s="1"/>
  <c r="S232" i="10"/>
  <c r="S234" i="10" s="1"/>
  <c r="R232" i="10"/>
  <c r="R234" i="10" s="1"/>
  <c r="Q232" i="10"/>
  <c r="Q234" i="10" s="1"/>
  <c r="P232" i="10"/>
  <c r="P234" i="10" s="1"/>
  <c r="O232" i="10"/>
  <c r="O234" i="10" s="1"/>
  <c r="N232" i="10"/>
  <c r="N234" i="10" s="1"/>
  <c r="M232" i="10"/>
  <c r="L232" i="10"/>
  <c r="L234" i="10" s="1"/>
  <c r="K232" i="10"/>
  <c r="K234" i="10" s="1"/>
  <c r="J232" i="10"/>
  <c r="J234" i="10" s="1"/>
  <c r="I232" i="10"/>
  <c r="I234" i="10" s="1"/>
  <c r="H232" i="10"/>
  <c r="H234" i="10" s="1"/>
  <c r="G232" i="10"/>
  <c r="G234" i="10" s="1"/>
  <c r="F232" i="10"/>
  <c r="F234" i="10" s="1"/>
  <c r="E232" i="10"/>
  <c r="E234" i="10" s="1"/>
  <c r="D232" i="10"/>
  <c r="D234" i="10" s="1"/>
  <c r="C232" i="10"/>
  <c r="C234" i="10" s="1"/>
  <c r="AI231" i="10"/>
  <c r="AI233" i="10" s="1"/>
  <c r="AH231" i="10"/>
  <c r="AH233" i="10" s="1"/>
  <c r="AG231" i="10"/>
  <c r="AG233" i="10" s="1"/>
  <c r="AF231" i="10"/>
  <c r="AF233" i="10" s="1"/>
  <c r="AE231" i="10"/>
  <c r="AE233" i="10" s="1"/>
  <c r="AD231" i="10"/>
  <c r="AD233" i="10" s="1"/>
  <c r="AC231" i="10"/>
  <c r="AC233" i="10" s="1"/>
  <c r="AB231" i="10"/>
  <c r="AB233" i="10" s="1"/>
  <c r="AA231" i="10"/>
  <c r="AA233" i="10" s="1"/>
  <c r="Z231" i="10"/>
  <c r="Z233" i="10" s="1"/>
  <c r="Y231" i="10"/>
  <c r="Y233" i="10" s="1"/>
  <c r="X231" i="10"/>
  <c r="X233" i="10" s="1"/>
  <c r="W231" i="10"/>
  <c r="W233" i="10" s="1"/>
  <c r="V231" i="10"/>
  <c r="V233" i="10" s="1"/>
  <c r="U231" i="10"/>
  <c r="U233" i="10" s="1"/>
  <c r="T231" i="10"/>
  <c r="T233" i="10" s="1"/>
  <c r="S231" i="10"/>
  <c r="S233" i="10" s="1"/>
  <c r="R231" i="10"/>
  <c r="R233" i="10" s="1"/>
  <c r="Q231" i="10"/>
  <c r="Q233" i="10" s="1"/>
  <c r="P231" i="10"/>
  <c r="P233" i="10" s="1"/>
  <c r="O231" i="10"/>
  <c r="O233" i="10" s="1"/>
  <c r="N231" i="10"/>
  <c r="N233" i="10" s="1"/>
  <c r="M231" i="10"/>
  <c r="M233" i="10" s="1"/>
  <c r="L231" i="10"/>
  <c r="L233" i="10" s="1"/>
  <c r="K231" i="10"/>
  <c r="K233" i="10" s="1"/>
  <c r="J231" i="10"/>
  <c r="J233" i="10" s="1"/>
  <c r="I231" i="10"/>
  <c r="I233" i="10" s="1"/>
  <c r="H231" i="10"/>
  <c r="H233" i="10" s="1"/>
  <c r="G231" i="10"/>
  <c r="G233" i="10" s="1"/>
  <c r="F231" i="10"/>
  <c r="F233" i="10" s="1"/>
  <c r="E231" i="10"/>
  <c r="E233" i="10" s="1"/>
  <c r="D231" i="10"/>
  <c r="D233" i="10" s="1"/>
  <c r="C231" i="10"/>
  <c r="C233" i="10" s="1"/>
  <c r="AI219" i="10"/>
  <c r="AI221" i="10" s="1"/>
  <c r="AH219" i="10"/>
  <c r="AH221" i="10" s="1"/>
  <c r="AG219" i="10"/>
  <c r="AG221" i="10" s="1"/>
  <c r="AF219" i="10"/>
  <c r="AF221" i="10" s="1"/>
  <c r="AE219" i="10"/>
  <c r="AE221" i="10" s="1"/>
  <c r="AD219" i="10"/>
  <c r="AD221" i="10" s="1"/>
  <c r="AC219" i="10"/>
  <c r="AC221" i="10" s="1"/>
  <c r="AB219" i="10"/>
  <c r="AB221" i="10" s="1"/>
  <c r="AA219" i="10"/>
  <c r="AA221" i="10" s="1"/>
  <c r="Z219" i="10"/>
  <c r="Z221" i="10" s="1"/>
  <c r="Y219" i="10"/>
  <c r="Y221" i="10" s="1"/>
  <c r="X219" i="10"/>
  <c r="X221" i="10" s="1"/>
  <c r="W219" i="10"/>
  <c r="W221" i="10" s="1"/>
  <c r="V219" i="10"/>
  <c r="V221" i="10" s="1"/>
  <c r="U219" i="10"/>
  <c r="U221" i="10" s="1"/>
  <c r="T219" i="10"/>
  <c r="T221" i="10" s="1"/>
  <c r="S219" i="10"/>
  <c r="S221" i="10" s="1"/>
  <c r="R219" i="10"/>
  <c r="R221" i="10" s="1"/>
  <c r="Q219" i="10"/>
  <c r="Q221" i="10" s="1"/>
  <c r="P219" i="10"/>
  <c r="P221" i="10" s="1"/>
  <c r="O219" i="10"/>
  <c r="O221" i="10" s="1"/>
  <c r="N219" i="10"/>
  <c r="N221" i="10" s="1"/>
  <c r="M219" i="10"/>
  <c r="M221" i="10" s="1"/>
  <c r="L219" i="10"/>
  <c r="L221" i="10" s="1"/>
  <c r="K219" i="10"/>
  <c r="K221" i="10" s="1"/>
  <c r="J219" i="10"/>
  <c r="J221" i="10" s="1"/>
  <c r="I219" i="10"/>
  <c r="I221" i="10" s="1"/>
  <c r="H219" i="10"/>
  <c r="H221" i="10" s="1"/>
  <c r="G219" i="10"/>
  <c r="G221" i="10" s="1"/>
  <c r="F219" i="10"/>
  <c r="F221" i="10" s="1"/>
  <c r="E219" i="10"/>
  <c r="E221" i="10" s="1"/>
  <c r="D219" i="10"/>
  <c r="D221" i="10" s="1"/>
  <c r="C219" i="10"/>
  <c r="C221" i="10" s="1"/>
  <c r="AI218" i="10"/>
  <c r="AI220" i="10" s="1"/>
  <c r="AH218" i="10"/>
  <c r="AH220" i="10" s="1"/>
  <c r="AG218" i="10"/>
  <c r="AG220" i="10" s="1"/>
  <c r="AF218" i="10"/>
  <c r="AF220" i="10" s="1"/>
  <c r="AE218" i="10"/>
  <c r="AE220" i="10" s="1"/>
  <c r="AD218" i="10"/>
  <c r="AD220" i="10" s="1"/>
  <c r="AC218" i="10"/>
  <c r="AC220" i="10" s="1"/>
  <c r="AB218" i="10"/>
  <c r="AB220" i="10" s="1"/>
  <c r="AA218" i="10"/>
  <c r="AA220" i="10" s="1"/>
  <c r="Z218" i="10"/>
  <c r="Z220" i="10" s="1"/>
  <c r="Y218" i="10"/>
  <c r="Y220" i="10" s="1"/>
  <c r="X218" i="10"/>
  <c r="X220" i="10" s="1"/>
  <c r="W218" i="10"/>
  <c r="W220" i="10" s="1"/>
  <c r="V218" i="10"/>
  <c r="V220" i="10" s="1"/>
  <c r="U218" i="10"/>
  <c r="U220" i="10" s="1"/>
  <c r="T218" i="10"/>
  <c r="T220" i="10" s="1"/>
  <c r="S218" i="10"/>
  <c r="S220" i="10" s="1"/>
  <c r="R218" i="10"/>
  <c r="R220" i="10" s="1"/>
  <c r="Q218" i="10"/>
  <c r="Q220" i="10" s="1"/>
  <c r="P218" i="10"/>
  <c r="P220" i="10" s="1"/>
  <c r="O218" i="10"/>
  <c r="O220" i="10" s="1"/>
  <c r="N218" i="10"/>
  <c r="N220" i="10" s="1"/>
  <c r="M218" i="10"/>
  <c r="M220" i="10" s="1"/>
  <c r="L218" i="10"/>
  <c r="L220" i="10" s="1"/>
  <c r="K218" i="10"/>
  <c r="K220" i="10" s="1"/>
  <c r="J218" i="10"/>
  <c r="J220" i="10" s="1"/>
  <c r="I218" i="10"/>
  <c r="I220" i="10" s="1"/>
  <c r="H218" i="10"/>
  <c r="H220" i="10" s="1"/>
  <c r="G218" i="10"/>
  <c r="G220" i="10" s="1"/>
  <c r="F218" i="10"/>
  <c r="F220" i="10" s="1"/>
  <c r="E218" i="10"/>
  <c r="E220" i="10" s="1"/>
  <c r="D218" i="10"/>
  <c r="D220" i="10" s="1"/>
  <c r="C218" i="10"/>
  <c r="C220" i="10" s="1"/>
  <c r="C206" i="10"/>
  <c r="C208" i="10" s="1"/>
  <c r="AE207" i="10"/>
  <c r="W207" i="10"/>
  <c r="AI206" i="10"/>
  <c r="AI208" i="10" s="1"/>
  <c r="AH206" i="10"/>
  <c r="AH208" i="10" s="1"/>
  <c r="AG206" i="10"/>
  <c r="AG208" i="10" s="1"/>
  <c r="AF206" i="10"/>
  <c r="AF208" i="10" s="1"/>
  <c r="AE206" i="10"/>
  <c r="AE208" i="10" s="1"/>
  <c r="AD206" i="10"/>
  <c r="AD208" i="10" s="1"/>
  <c r="AC206" i="10"/>
  <c r="AC208" i="10" s="1"/>
  <c r="AB206" i="10"/>
  <c r="AB208" i="10" s="1"/>
  <c r="AA206" i="10"/>
  <c r="AA208" i="10" s="1"/>
  <c r="Z206" i="10"/>
  <c r="Z208" i="10" s="1"/>
  <c r="Y206" i="10"/>
  <c r="Y208" i="10" s="1"/>
  <c r="X206" i="10"/>
  <c r="X208" i="10" s="1"/>
  <c r="W206" i="10"/>
  <c r="W208" i="10" s="1"/>
  <c r="V206" i="10"/>
  <c r="V208" i="10" s="1"/>
  <c r="U206" i="10"/>
  <c r="U208" i="10" s="1"/>
  <c r="T206" i="10"/>
  <c r="T208" i="10" s="1"/>
  <c r="S206" i="10"/>
  <c r="S208" i="10" s="1"/>
  <c r="R206" i="10"/>
  <c r="R208" i="10" s="1"/>
  <c r="Q206" i="10"/>
  <c r="Q208" i="10" s="1"/>
  <c r="P206" i="10"/>
  <c r="P208" i="10" s="1"/>
  <c r="O206" i="10"/>
  <c r="O208" i="10" s="1"/>
  <c r="N206" i="10"/>
  <c r="N208" i="10" s="1"/>
  <c r="M206" i="10"/>
  <c r="M208" i="10" s="1"/>
  <c r="L206" i="10"/>
  <c r="L208" i="10" s="1"/>
  <c r="K206" i="10"/>
  <c r="K208" i="10" s="1"/>
  <c r="J206" i="10"/>
  <c r="J208" i="10" s="1"/>
  <c r="I206" i="10"/>
  <c r="I208" i="10" s="1"/>
  <c r="H206" i="10"/>
  <c r="H208" i="10" s="1"/>
  <c r="G206" i="10"/>
  <c r="G208" i="10" s="1"/>
  <c r="F206" i="10"/>
  <c r="F208" i="10" s="1"/>
  <c r="E206" i="10"/>
  <c r="E208" i="10" s="1"/>
  <c r="D206" i="10"/>
  <c r="D208" i="10" s="1"/>
  <c r="AI205" i="10"/>
  <c r="AI207" i="10" s="1"/>
  <c r="AH205" i="10"/>
  <c r="AH207" i="10" s="1"/>
  <c r="AG205" i="10"/>
  <c r="AG207" i="10" s="1"/>
  <c r="AF205" i="10"/>
  <c r="AF207" i="10" s="1"/>
  <c r="AE205" i="10"/>
  <c r="AD205" i="10"/>
  <c r="AD207" i="10" s="1"/>
  <c r="AC205" i="10"/>
  <c r="AC207" i="10" s="1"/>
  <c r="AB205" i="10"/>
  <c r="AB207" i="10" s="1"/>
  <c r="AA205" i="10"/>
  <c r="AA207" i="10" s="1"/>
  <c r="Z205" i="10"/>
  <c r="Z207" i="10" s="1"/>
  <c r="Y205" i="10"/>
  <c r="Y207" i="10" s="1"/>
  <c r="X205" i="10"/>
  <c r="X207" i="10" s="1"/>
  <c r="W205" i="10"/>
  <c r="V205" i="10"/>
  <c r="V207" i="10" s="1"/>
  <c r="U205" i="10"/>
  <c r="U207" i="10" s="1"/>
  <c r="T205" i="10"/>
  <c r="T207" i="10" s="1"/>
  <c r="S205" i="10"/>
  <c r="S207" i="10" s="1"/>
  <c r="R205" i="10"/>
  <c r="R207" i="10" s="1"/>
  <c r="Q205" i="10"/>
  <c r="Q207" i="10" s="1"/>
  <c r="P205" i="10"/>
  <c r="P207" i="10" s="1"/>
  <c r="O205" i="10"/>
  <c r="O207" i="10" s="1"/>
  <c r="N205" i="10"/>
  <c r="N207" i="10" s="1"/>
  <c r="M205" i="10"/>
  <c r="M207" i="10" s="1"/>
  <c r="L205" i="10"/>
  <c r="L207" i="10" s="1"/>
  <c r="K205" i="10"/>
  <c r="K207" i="10" s="1"/>
  <c r="J205" i="10"/>
  <c r="J207" i="10" s="1"/>
  <c r="I205" i="10"/>
  <c r="I207" i="10" s="1"/>
  <c r="H205" i="10"/>
  <c r="H207" i="10" s="1"/>
  <c r="G205" i="10"/>
  <c r="G207" i="10" s="1"/>
  <c r="F205" i="10"/>
  <c r="F207" i="10" s="1"/>
  <c r="E205" i="10"/>
  <c r="E207" i="10" s="1"/>
  <c r="D205" i="10"/>
  <c r="D207" i="10" s="1"/>
  <c r="C205" i="10"/>
  <c r="C207" i="10" s="1"/>
  <c r="C192" i="10"/>
  <c r="C194" i="10" s="1"/>
  <c r="C179" i="10"/>
  <c r="C181" i="10" s="1"/>
  <c r="C167" i="10"/>
  <c r="C169" i="10" s="1"/>
  <c r="C153" i="10"/>
  <c r="C155" i="10" s="1"/>
  <c r="C140" i="10"/>
  <c r="C142" i="10" s="1"/>
  <c r="AG195" i="10"/>
  <c r="AF195" i="10"/>
  <c r="AE195" i="10"/>
  <c r="Y195" i="10"/>
  <c r="X195" i="10"/>
  <c r="W195" i="10"/>
  <c r="Q195" i="10"/>
  <c r="P195" i="10"/>
  <c r="O195" i="10"/>
  <c r="I195" i="10"/>
  <c r="H195" i="10"/>
  <c r="G195" i="10"/>
  <c r="AH194" i="10"/>
  <c r="AG194" i="10"/>
  <c r="Z194" i="10"/>
  <c r="R194" i="10"/>
  <c r="Q194" i="10"/>
  <c r="J194" i="10"/>
  <c r="I194" i="10"/>
  <c r="AI193" i="10"/>
  <c r="AI195" i="10" s="1"/>
  <c r="AH193" i="10"/>
  <c r="AH195" i="10" s="1"/>
  <c r="AG193" i="10"/>
  <c r="AF193" i="10"/>
  <c r="AE193" i="10"/>
  <c r="AD193" i="10"/>
  <c r="AD195" i="10" s="1"/>
  <c r="AC193" i="10"/>
  <c r="AC195" i="10" s="1"/>
  <c r="AB193" i="10"/>
  <c r="AB195" i="10" s="1"/>
  <c r="AA193" i="10"/>
  <c r="AA195" i="10" s="1"/>
  <c r="Z193" i="10"/>
  <c r="Z195" i="10" s="1"/>
  <c r="Y193" i="10"/>
  <c r="X193" i="10"/>
  <c r="W193" i="10"/>
  <c r="V193" i="10"/>
  <c r="V195" i="10" s="1"/>
  <c r="U193" i="10"/>
  <c r="U195" i="10" s="1"/>
  <c r="T193" i="10"/>
  <c r="T195" i="10" s="1"/>
  <c r="S193" i="10"/>
  <c r="S195" i="10" s="1"/>
  <c r="R193" i="10"/>
  <c r="R195" i="10" s="1"/>
  <c r="Q193" i="10"/>
  <c r="P193" i="10"/>
  <c r="O193" i="10"/>
  <c r="N193" i="10"/>
  <c r="N195" i="10" s="1"/>
  <c r="M193" i="10"/>
  <c r="M195" i="10" s="1"/>
  <c r="L193" i="10"/>
  <c r="L195" i="10" s="1"/>
  <c r="K193" i="10"/>
  <c r="K195" i="10" s="1"/>
  <c r="J193" i="10"/>
  <c r="J195" i="10" s="1"/>
  <c r="I193" i="10"/>
  <c r="H193" i="10"/>
  <c r="G193" i="10"/>
  <c r="F193" i="10"/>
  <c r="F195" i="10" s="1"/>
  <c r="E193" i="10"/>
  <c r="E195" i="10" s="1"/>
  <c r="D193" i="10"/>
  <c r="D195" i="10" s="1"/>
  <c r="C193" i="10"/>
  <c r="C195" i="10" s="1"/>
  <c r="AJ195" i="10" s="1"/>
  <c r="B199" i="10" s="1"/>
  <c r="AI192" i="10"/>
  <c r="AI194" i="10" s="1"/>
  <c r="AH192" i="10"/>
  <c r="AG192" i="10"/>
  <c r="AF192" i="10"/>
  <c r="AF194" i="10" s="1"/>
  <c r="AE192" i="10"/>
  <c r="AE194" i="10" s="1"/>
  <c r="AD192" i="10"/>
  <c r="AD194" i="10" s="1"/>
  <c r="AC192" i="10"/>
  <c r="AC194" i="10" s="1"/>
  <c r="AB192" i="10"/>
  <c r="AB194" i="10" s="1"/>
  <c r="AA192" i="10"/>
  <c r="AA194" i="10" s="1"/>
  <c r="Z192" i="10"/>
  <c r="Y192" i="10"/>
  <c r="Y194" i="10" s="1"/>
  <c r="X192" i="10"/>
  <c r="X194" i="10" s="1"/>
  <c r="W192" i="10"/>
  <c r="W194" i="10" s="1"/>
  <c r="V192" i="10"/>
  <c r="V194" i="10" s="1"/>
  <c r="U192" i="10"/>
  <c r="U194" i="10" s="1"/>
  <c r="T192" i="10"/>
  <c r="T194" i="10" s="1"/>
  <c r="S192" i="10"/>
  <c r="S194" i="10" s="1"/>
  <c r="R192" i="10"/>
  <c r="Q192" i="10"/>
  <c r="P192" i="10"/>
  <c r="P194" i="10" s="1"/>
  <c r="O192" i="10"/>
  <c r="O194" i="10" s="1"/>
  <c r="N192" i="10"/>
  <c r="N194" i="10" s="1"/>
  <c r="M192" i="10"/>
  <c r="M194" i="10" s="1"/>
  <c r="L192" i="10"/>
  <c r="L194" i="10" s="1"/>
  <c r="K192" i="10"/>
  <c r="K194" i="10" s="1"/>
  <c r="J192" i="10"/>
  <c r="I192" i="10"/>
  <c r="H192" i="10"/>
  <c r="H194" i="10" s="1"/>
  <c r="G192" i="10"/>
  <c r="G194" i="10" s="1"/>
  <c r="F192" i="10"/>
  <c r="F194" i="10" s="1"/>
  <c r="E192" i="10"/>
  <c r="E194" i="10" s="1"/>
  <c r="D192" i="10"/>
  <c r="D194" i="10" s="1"/>
  <c r="AG182" i="10"/>
  <c r="AF182" i="10"/>
  <c r="AC182" i="10"/>
  <c r="Y182" i="10"/>
  <c r="X182" i="10"/>
  <c r="U182" i="10"/>
  <c r="Q182" i="10"/>
  <c r="P182" i="10"/>
  <c r="I182" i="10"/>
  <c r="H182" i="10"/>
  <c r="AI181" i="10"/>
  <c r="AH181" i="10"/>
  <c r="AA181" i="10"/>
  <c r="Z181" i="10"/>
  <c r="S181" i="10"/>
  <c r="R181" i="10"/>
  <c r="K181" i="10"/>
  <c r="J181" i="10"/>
  <c r="AI180" i="10"/>
  <c r="AI182" i="10" s="1"/>
  <c r="AH180" i="10"/>
  <c r="AH182" i="10" s="1"/>
  <c r="AG180" i="10"/>
  <c r="AF180" i="10"/>
  <c r="AE180" i="10"/>
  <c r="AE182" i="10" s="1"/>
  <c r="AD180" i="10"/>
  <c r="AD182" i="10" s="1"/>
  <c r="AC180" i="10"/>
  <c r="AB180" i="10"/>
  <c r="AB182" i="10" s="1"/>
  <c r="AA180" i="10"/>
  <c r="AA182" i="10" s="1"/>
  <c r="Z180" i="10"/>
  <c r="Z182" i="10" s="1"/>
  <c r="Y180" i="10"/>
  <c r="X180" i="10"/>
  <c r="W180" i="10"/>
  <c r="W182" i="10" s="1"/>
  <c r="V180" i="10"/>
  <c r="V182" i="10" s="1"/>
  <c r="U180" i="10"/>
  <c r="T180" i="10"/>
  <c r="T182" i="10" s="1"/>
  <c r="S180" i="10"/>
  <c r="S182" i="10" s="1"/>
  <c r="R180" i="10"/>
  <c r="R182" i="10" s="1"/>
  <c r="Q180" i="10"/>
  <c r="P180" i="10"/>
  <c r="O180" i="10"/>
  <c r="O182" i="10" s="1"/>
  <c r="N180" i="10"/>
  <c r="N182" i="10" s="1"/>
  <c r="M180" i="10"/>
  <c r="M182" i="10" s="1"/>
  <c r="L180" i="10"/>
  <c r="L182" i="10" s="1"/>
  <c r="K180" i="10"/>
  <c r="K182" i="10" s="1"/>
  <c r="J180" i="10"/>
  <c r="J182" i="10" s="1"/>
  <c r="I180" i="10"/>
  <c r="H180" i="10"/>
  <c r="G180" i="10"/>
  <c r="G182" i="10" s="1"/>
  <c r="F180" i="10"/>
  <c r="F182" i="10" s="1"/>
  <c r="E180" i="10"/>
  <c r="E182" i="10" s="1"/>
  <c r="D180" i="10"/>
  <c r="D182" i="10" s="1"/>
  <c r="C180" i="10"/>
  <c r="C182" i="10" s="1"/>
  <c r="AI179" i="10"/>
  <c r="AH179" i="10"/>
  <c r="AG179" i="10"/>
  <c r="AG181" i="10" s="1"/>
  <c r="AF179" i="10"/>
  <c r="AF181" i="10" s="1"/>
  <c r="AE179" i="10"/>
  <c r="AE181" i="10" s="1"/>
  <c r="AD179" i="10"/>
  <c r="AD181" i="10" s="1"/>
  <c r="AC179" i="10"/>
  <c r="AC181" i="10" s="1"/>
  <c r="AB179" i="10"/>
  <c r="AB181" i="10" s="1"/>
  <c r="AA179" i="10"/>
  <c r="Z179" i="10"/>
  <c r="Y179" i="10"/>
  <c r="Y181" i="10" s="1"/>
  <c r="X179" i="10"/>
  <c r="X181" i="10" s="1"/>
  <c r="W179" i="10"/>
  <c r="W181" i="10" s="1"/>
  <c r="V179" i="10"/>
  <c r="V181" i="10" s="1"/>
  <c r="U179" i="10"/>
  <c r="U181" i="10" s="1"/>
  <c r="T179" i="10"/>
  <c r="T181" i="10" s="1"/>
  <c r="S179" i="10"/>
  <c r="R179" i="10"/>
  <c r="Q179" i="10"/>
  <c r="Q181" i="10" s="1"/>
  <c r="P179" i="10"/>
  <c r="P181" i="10" s="1"/>
  <c r="O179" i="10"/>
  <c r="O181" i="10" s="1"/>
  <c r="N179" i="10"/>
  <c r="N181" i="10" s="1"/>
  <c r="M179" i="10"/>
  <c r="M181" i="10" s="1"/>
  <c r="L179" i="10"/>
  <c r="L181" i="10" s="1"/>
  <c r="K179" i="10"/>
  <c r="J179" i="10"/>
  <c r="I179" i="10"/>
  <c r="I181" i="10" s="1"/>
  <c r="H179" i="10"/>
  <c r="H181" i="10" s="1"/>
  <c r="G179" i="10"/>
  <c r="G181" i="10" s="1"/>
  <c r="F179" i="10"/>
  <c r="F181" i="10" s="1"/>
  <c r="E179" i="10"/>
  <c r="E181" i="10" s="1"/>
  <c r="D179" i="10"/>
  <c r="D181" i="10" s="1"/>
  <c r="AF169" i="10"/>
  <c r="X169" i="10"/>
  <c r="P169" i="10"/>
  <c r="H169" i="10"/>
  <c r="AH168" i="10"/>
  <c r="Z168" i="10"/>
  <c r="R168" i="10"/>
  <c r="J168" i="10"/>
  <c r="AI167" i="10"/>
  <c r="AI169" i="10" s="1"/>
  <c r="AH167" i="10"/>
  <c r="AH169" i="10" s="1"/>
  <c r="AG167" i="10"/>
  <c r="AG169" i="10" s="1"/>
  <c r="AF167" i="10"/>
  <c r="AE167" i="10"/>
  <c r="AE169" i="10" s="1"/>
  <c r="AD167" i="10"/>
  <c r="AD169" i="10" s="1"/>
  <c r="AC167" i="10"/>
  <c r="AC169" i="10" s="1"/>
  <c r="AB167" i="10"/>
  <c r="AB169" i="10" s="1"/>
  <c r="AA167" i="10"/>
  <c r="AA169" i="10" s="1"/>
  <c r="Z167" i="10"/>
  <c r="Z169" i="10" s="1"/>
  <c r="Y167" i="10"/>
  <c r="Y169" i="10" s="1"/>
  <c r="X167" i="10"/>
  <c r="W167" i="10"/>
  <c r="W169" i="10" s="1"/>
  <c r="V167" i="10"/>
  <c r="V169" i="10" s="1"/>
  <c r="U167" i="10"/>
  <c r="U169" i="10" s="1"/>
  <c r="T167" i="10"/>
  <c r="T169" i="10" s="1"/>
  <c r="S167" i="10"/>
  <c r="S169" i="10" s="1"/>
  <c r="R167" i="10"/>
  <c r="R169" i="10" s="1"/>
  <c r="Q167" i="10"/>
  <c r="Q169" i="10" s="1"/>
  <c r="P167" i="10"/>
  <c r="O167" i="10"/>
  <c r="O169" i="10" s="1"/>
  <c r="N167" i="10"/>
  <c r="N169" i="10" s="1"/>
  <c r="M167" i="10"/>
  <c r="M169" i="10" s="1"/>
  <c r="L167" i="10"/>
  <c r="L169" i="10" s="1"/>
  <c r="K167" i="10"/>
  <c r="K169" i="10" s="1"/>
  <c r="J167" i="10"/>
  <c r="J169" i="10" s="1"/>
  <c r="I167" i="10"/>
  <c r="I169" i="10" s="1"/>
  <c r="H167" i="10"/>
  <c r="G167" i="10"/>
  <c r="G169" i="10" s="1"/>
  <c r="F167" i="10"/>
  <c r="F169" i="10" s="1"/>
  <c r="E167" i="10"/>
  <c r="E169" i="10" s="1"/>
  <c r="D167" i="10"/>
  <c r="D169" i="10" s="1"/>
  <c r="AI166" i="10"/>
  <c r="AI168" i="10" s="1"/>
  <c r="AH166" i="10"/>
  <c r="AG166" i="10"/>
  <c r="AG168" i="10" s="1"/>
  <c r="AF166" i="10"/>
  <c r="AF168" i="10" s="1"/>
  <c r="AE166" i="10"/>
  <c r="AE168" i="10" s="1"/>
  <c r="AD166" i="10"/>
  <c r="AD168" i="10" s="1"/>
  <c r="AC166" i="10"/>
  <c r="AC168" i="10" s="1"/>
  <c r="AB166" i="10"/>
  <c r="AB168" i="10" s="1"/>
  <c r="AA166" i="10"/>
  <c r="AA168" i="10" s="1"/>
  <c r="Z166" i="10"/>
  <c r="Y166" i="10"/>
  <c r="Y168" i="10" s="1"/>
  <c r="X166" i="10"/>
  <c r="X168" i="10" s="1"/>
  <c r="W166" i="10"/>
  <c r="W168" i="10" s="1"/>
  <c r="V166" i="10"/>
  <c r="V168" i="10" s="1"/>
  <c r="U166" i="10"/>
  <c r="U168" i="10" s="1"/>
  <c r="T166" i="10"/>
  <c r="T168" i="10" s="1"/>
  <c r="S166" i="10"/>
  <c r="S168" i="10" s="1"/>
  <c r="R166" i="10"/>
  <c r="Q166" i="10"/>
  <c r="Q168" i="10" s="1"/>
  <c r="P166" i="10"/>
  <c r="P168" i="10" s="1"/>
  <c r="O166" i="10"/>
  <c r="O168" i="10" s="1"/>
  <c r="N166" i="10"/>
  <c r="N168" i="10" s="1"/>
  <c r="M166" i="10"/>
  <c r="M168" i="10" s="1"/>
  <c r="L166" i="10"/>
  <c r="L168" i="10" s="1"/>
  <c r="K166" i="10"/>
  <c r="K168" i="10" s="1"/>
  <c r="J166" i="10"/>
  <c r="I166" i="10"/>
  <c r="I168" i="10" s="1"/>
  <c r="H166" i="10"/>
  <c r="H168" i="10" s="1"/>
  <c r="G166" i="10"/>
  <c r="G168" i="10" s="1"/>
  <c r="F166" i="10"/>
  <c r="F168" i="10" s="1"/>
  <c r="E166" i="10"/>
  <c r="E168" i="10" s="1"/>
  <c r="D166" i="10"/>
  <c r="D168" i="10" s="1"/>
  <c r="C166" i="10"/>
  <c r="C168" i="10" s="1"/>
  <c r="AH156" i="10"/>
  <c r="AF156" i="10"/>
  <c r="Z156" i="10"/>
  <c r="X156" i="10"/>
  <c r="R156" i="10"/>
  <c r="P156" i="10"/>
  <c r="J156" i="10"/>
  <c r="H156" i="10"/>
  <c r="AH155" i="10"/>
  <c r="Z155" i="10"/>
  <c r="R155" i="10"/>
  <c r="AI154" i="10"/>
  <c r="AI156" i="10" s="1"/>
  <c r="AH154" i="10"/>
  <c r="AG154" i="10"/>
  <c r="AG156" i="10" s="1"/>
  <c r="AF154" i="10"/>
  <c r="AE154" i="10"/>
  <c r="AE156" i="10" s="1"/>
  <c r="AD154" i="10"/>
  <c r="AD156" i="10" s="1"/>
  <c r="AC154" i="10"/>
  <c r="AC156" i="10" s="1"/>
  <c r="AB154" i="10"/>
  <c r="AB156" i="10" s="1"/>
  <c r="AA154" i="10"/>
  <c r="AA156" i="10" s="1"/>
  <c r="Z154" i="10"/>
  <c r="Y154" i="10"/>
  <c r="Y156" i="10" s="1"/>
  <c r="X154" i="10"/>
  <c r="W154" i="10"/>
  <c r="W156" i="10" s="1"/>
  <c r="V154" i="10"/>
  <c r="V156" i="10" s="1"/>
  <c r="U154" i="10"/>
  <c r="U156" i="10" s="1"/>
  <c r="T154" i="10"/>
  <c r="T156" i="10" s="1"/>
  <c r="S154" i="10"/>
  <c r="S156" i="10" s="1"/>
  <c r="R154" i="10"/>
  <c r="Q154" i="10"/>
  <c r="Q156" i="10" s="1"/>
  <c r="P154" i="10"/>
  <c r="O154" i="10"/>
  <c r="O156" i="10" s="1"/>
  <c r="N154" i="10"/>
  <c r="N156" i="10" s="1"/>
  <c r="M154" i="10"/>
  <c r="M156" i="10" s="1"/>
  <c r="L154" i="10"/>
  <c r="L156" i="10" s="1"/>
  <c r="K154" i="10"/>
  <c r="K156" i="10" s="1"/>
  <c r="J154" i="10"/>
  <c r="I154" i="10"/>
  <c r="I156" i="10" s="1"/>
  <c r="H154" i="10"/>
  <c r="G154" i="10"/>
  <c r="G156" i="10" s="1"/>
  <c r="F154" i="10"/>
  <c r="F156" i="10" s="1"/>
  <c r="E154" i="10"/>
  <c r="E156" i="10" s="1"/>
  <c r="D154" i="10"/>
  <c r="D156" i="10" s="1"/>
  <c r="C154" i="10"/>
  <c r="C156" i="10" s="1"/>
  <c r="AI153" i="10"/>
  <c r="AI155" i="10" s="1"/>
  <c r="AH153" i="10"/>
  <c r="AG153" i="10"/>
  <c r="AG155" i="10" s="1"/>
  <c r="AF153" i="10"/>
  <c r="AF155" i="10" s="1"/>
  <c r="AE153" i="10"/>
  <c r="AE155" i="10" s="1"/>
  <c r="AD153" i="10"/>
  <c r="AD155" i="10" s="1"/>
  <c r="AC153" i="10"/>
  <c r="AC155" i="10" s="1"/>
  <c r="AB153" i="10"/>
  <c r="AB155" i="10" s="1"/>
  <c r="AA153" i="10"/>
  <c r="AA155" i="10" s="1"/>
  <c r="Z153" i="10"/>
  <c r="Y153" i="10"/>
  <c r="Y155" i="10" s="1"/>
  <c r="X153" i="10"/>
  <c r="X155" i="10" s="1"/>
  <c r="W153" i="10"/>
  <c r="W155" i="10" s="1"/>
  <c r="V153" i="10"/>
  <c r="V155" i="10" s="1"/>
  <c r="U153" i="10"/>
  <c r="U155" i="10" s="1"/>
  <c r="T153" i="10"/>
  <c r="T155" i="10" s="1"/>
  <c r="S153" i="10"/>
  <c r="S155" i="10" s="1"/>
  <c r="R153" i="10"/>
  <c r="Q153" i="10"/>
  <c r="Q155" i="10" s="1"/>
  <c r="P153" i="10"/>
  <c r="P155" i="10" s="1"/>
  <c r="O153" i="10"/>
  <c r="O155" i="10" s="1"/>
  <c r="N153" i="10"/>
  <c r="N155" i="10" s="1"/>
  <c r="M153" i="10"/>
  <c r="M155" i="10" s="1"/>
  <c r="L153" i="10"/>
  <c r="L155" i="10" s="1"/>
  <c r="K153" i="10"/>
  <c r="K155" i="10" s="1"/>
  <c r="J153" i="10"/>
  <c r="J155" i="10" s="1"/>
  <c r="I153" i="10"/>
  <c r="I155" i="10" s="1"/>
  <c r="H153" i="10"/>
  <c r="H155" i="10" s="1"/>
  <c r="G153" i="10"/>
  <c r="G155" i="10" s="1"/>
  <c r="F153" i="10"/>
  <c r="F155" i="10" s="1"/>
  <c r="E153" i="10"/>
  <c r="E155" i="10" s="1"/>
  <c r="D153" i="10"/>
  <c r="D155" i="10" s="1"/>
  <c r="J143" i="10"/>
  <c r="AI141" i="10"/>
  <c r="AI143" i="10" s="1"/>
  <c r="AH141" i="10"/>
  <c r="AH143" i="10" s="1"/>
  <c r="AG141" i="10"/>
  <c r="AG143" i="10" s="1"/>
  <c r="AF141" i="10"/>
  <c r="AF143" i="10" s="1"/>
  <c r="AE141" i="10"/>
  <c r="AE143" i="10" s="1"/>
  <c r="AD141" i="10"/>
  <c r="AD143" i="10" s="1"/>
  <c r="AC141" i="10"/>
  <c r="AC143" i="10" s="1"/>
  <c r="AB141" i="10"/>
  <c r="AB143" i="10" s="1"/>
  <c r="AA141" i="10"/>
  <c r="AA143" i="10" s="1"/>
  <c r="Z141" i="10"/>
  <c r="Z143" i="10" s="1"/>
  <c r="Y141" i="10"/>
  <c r="Y143" i="10" s="1"/>
  <c r="X141" i="10"/>
  <c r="X143" i="10" s="1"/>
  <c r="W141" i="10"/>
  <c r="W143" i="10" s="1"/>
  <c r="V141" i="10"/>
  <c r="V143" i="10" s="1"/>
  <c r="U141" i="10"/>
  <c r="U143" i="10" s="1"/>
  <c r="T141" i="10"/>
  <c r="T143" i="10" s="1"/>
  <c r="S141" i="10"/>
  <c r="S143" i="10" s="1"/>
  <c r="R141" i="10"/>
  <c r="R143" i="10" s="1"/>
  <c r="Q141" i="10"/>
  <c r="Q143" i="10" s="1"/>
  <c r="P141" i="10"/>
  <c r="P143" i="10" s="1"/>
  <c r="O141" i="10"/>
  <c r="O143" i="10" s="1"/>
  <c r="N141" i="10"/>
  <c r="N143" i="10" s="1"/>
  <c r="M141" i="10"/>
  <c r="M143" i="10" s="1"/>
  <c r="L141" i="10"/>
  <c r="L143" i="10" s="1"/>
  <c r="K141" i="10"/>
  <c r="K143" i="10" s="1"/>
  <c r="J141" i="10"/>
  <c r="I141" i="10"/>
  <c r="I143" i="10" s="1"/>
  <c r="H141" i="10"/>
  <c r="H143" i="10" s="1"/>
  <c r="G141" i="10"/>
  <c r="G143" i="10" s="1"/>
  <c r="F141" i="10"/>
  <c r="F143" i="10" s="1"/>
  <c r="E141" i="10"/>
  <c r="E143" i="10" s="1"/>
  <c r="D141" i="10"/>
  <c r="D143" i="10" s="1"/>
  <c r="C141" i="10"/>
  <c r="C143" i="10" s="1"/>
  <c r="AI140" i="10"/>
  <c r="AI142" i="10" s="1"/>
  <c r="AH140" i="10"/>
  <c r="AH142" i="10" s="1"/>
  <c r="AG140" i="10"/>
  <c r="AG142" i="10" s="1"/>
  <c r="AF140" i="10"/>
  <c r="AF142" i="10" s="1"/>
  <c r="AE140" i="10"/>
  <c r="AE142" i="10" s="1"/>
  <c r="AD140" i="10"/>
  <c r="AD142" i="10" s="1"/>
  <c r="AC140" i="10"/>
  <c r="AC142" i="10" s="1"/>
  <c r="AB140" i="10"/>
  <c r="AB142" i="10" s="1"/>
  <c r="AA140" i="10"/>
  <c r="AA142" i="10" s="1"/>
  <c r="Z140" i="10"/>
  <c r="Z142" i="10" s="1"/>
  <c r="Y140" i="10"/>
  <c r="Y142" i="10" s="1"/>
  <c r="X140" i="10"/>
  <c r="X142" i="10" s="1"/>
  <c r="W140" i="10"/>
  <c r="W142" i="10" s="1"/>
  <c r="V140" i="10"/>
  <c r="V142" i="10" s="1"/>
  <c r="U140" i="10"/>
  <c r="U142" i="10" s="1"/>
  <c r="T140" i="10"/>
  <c r="T142" i="10" s="1"/>
  <c r="S140" i="10"/>
  <c r="S142" i="10" s="1"/>
  <c r="R140" i="10"/>
  <c r="R142" i="10" s="1"/>
  <c r="Q140" i="10"/>
  <c r="Q142" i="10" s="1"/>
  <c r="P140" i="10"/>
  <c r="P142" i="10" s="1"/>
  <c r="O140" i="10"/>
  <c r="O142" i="10" s="1"/>
  <c r="N140" i="10"/>
  <c r="N142" i="10" s="1"/>
  <c r="M140" i="10"/>
  <c r="M142" i="10" s="1"/>
  <c r="L140" i="10"/>
  <c r="L142" i="10" s="1"/>
  <c r="K140" i="10"/>
  <c r="K142" i="10" s="1"/>
  <c r="J140" i="10"/>
  <c r="J142" i="10" s="1"/>
  <c r="I140" i="10"/>
  <c r="I142" i="10" s="1"/>
  <c r="H140" i="10"/>
  <c r="H142" i="10" s="1"/>
  <c r="G140" i="10"/>
  <c r="G142" i="10" s="1"/>
  <c r="F140" i="10"/>
  <c r="F142" i="10" s="1"/>
  <c r="E140" i="10"/>
  <c r="E142" i="10" s="1"/>
  <c r="D140" i="10"/>
  <c r="D142" i="10" s="1"/>
  <c r="C127" i="10"/>
  <c r="C129" i="10" s="1"/>
  <c r="B134" i="10"/>
  <c r="C130" i="10"/>
  <c r="AD130" i="10"/>
  <c r="AC130" i="10"/>
  <c r="V130" i="10"/>
  <c r="U130" i="10"/>
  <c r="N130" i="10"/>
  <c r="M130" i="10"/>
  <c r="F130" i="10"/>
  <c r="E130" i="10"/>
  <c r="AF129" i="10"/>
  <c r="AE129" i="10"/>
  <c r="X129" i="10"/>
  <c r="W129" i="10"/>
  <c r="P129" i="10"/>
  <c r="O129" i="10"/>
  <c r="H129" i="10"/>
  <c r="G129" i="10"/>
  <c r="AI128" i="10"/>
  <c r="AI130" i="10" s="1"/>
  <c r="AH128" i="10"/>
  <c r="AH130" i="10" s="1"/>
  <c r="AG128" i="10"/>
  <c r="AG130" i="10" s="1"/>
  <c r="AF128" i="10"/>
  <c r="AF130" i="10" s="1"/>
  <c r="AE128" i="10"/>
  <c r="AE130" i="10" s="1"/>
  <c r="AD128" i="10"/>
  <c r="AC128" i="10"/>
  <c r="AB128" i="10"/>
  <c r="AB130" i="10" s="1"/>
  <c r="AA128" i="10"/>
  <c r="AA130" i="10" s="1"/>
  <c r="Z128" i="10"/>
  <c r="Z130" i="10" s="1"/>
  <c r="Y128" i="10"/>
  <c r="Y130" i="10" s="1"/>
  <c r="X128" i="10"/>
  <c r="X130" i="10" s="1"/>
  <c r="W128" i="10"/>
  <c r="W130" i="10" s="1"/>
  <c r="V128" i="10"/>
  <c r="U128" i="10"/>
  <c r="T128" i="10"/>
  <c r="T130" i="10" s="1"/>
  <c r="S128" i="10"/>
  <c r="S130" i="10" s="1"/>
  <c r="R128" i="10"/>
  <c r="R130" i="10" s="1"/>
  <c r="Q128" i="10"/>
  <c r="Q130" i="10" s="1"/>
  <c r="P128" i="10"/>
  <c r="P130" i="10" s="1"/>
  <c r="O128" i="10"/>
  <c r="O130" i="10" s="1"/>
  <c r="N128" i="10"/>
  <c r="M128" i="10"/>
  <c r="L128" i="10"/>
  <c r="L130" i="10" s="1"/>
  <c r="K128" i="10"/>
  <c r="K130" i="10" s="1"/>
  <c r="J128" i="10"/>
  <c r="J130" i="10" s="1"/>
  <c r="I128" i="10"/>
  <c r="I130" i="10" s="1"/>
  <c r="H128" i="10"/>
  <c r="H130" i="10" s="1"/>
  <c r="G128" i="10"/>
  <c r="G130" i="10" s="1"/>
  <c r="F128" i="10"/>
  <c r="E128" i="10"/>
  <c r="D128" i="10"/>
  <c r="D130" i="10" s="1"/>
  <c r="C128" i="10"/>
  <c r="AI127" i="10"/>
  <c r="AI129" i="10" s="1"/>
  <c r="AH127" i="10"/>
  <c r="AH129" i="10" s="1"/>
  <c r="AG127" i="10"/>
  <c r="AG129" i="10" s="1"/>
  <c r="AF127" i="10"/>
  <c r="AE127" i="10"/>
  <c r="AD127" i="10"/>
  <c r="AD129" i="10" s="1"/>
  <c r="AC127" i="10"/>
  <c r="AC129" i="10" s="1"/>
  <c r="AB127" i="10"/>
  <c r="AB129" i="10" s="1"/>
  <c r="AA127" i="10"/>
  <c r="AA129" i="10" s="1"/>
  <c r="Z127" i="10"/>
  <c r="Z129" i="10" s="1"/>
  <c r="Y127" i="10"/>
  <c r="Y129" i="10" s="1"/>
  <c r="X127" i="10"/>
  <c r="W127" i="10"/>
  <c r="V127" i="10"/>
  <c r="V129" i="10" s="1"/>
  <c r="U127" i="10"/>
  <c r="U129" i="10" s="1"/>
  <c r="T127" i="10"/>
  <c r="T129" i="10" s="1"/>
  <c r="S127" i="10"/>
  <c r="S129" i="10" s="1"/>
  <c r="R127" i="10"/>
  <c r="R129" i="10" s="1"/>
  <c r="Q127" i="10"/>
  <c r="Q129" i="10" s="1"/>
  <c r="P127" i="10"/>
  <c r="O127" i="10"/>
  <c r="N127" i="10"/>
  <c r="N129" i="10" s="1"/>
  <c r="M127" i="10"/>
  <c r="M129" i="10" s="1"/>
  <c r="L127" i="10"/>
  <c r="L129" i="10" s="1"/>
  <c r="K127" i="10"/>
  <c r="K129" i="10" s="1"/>
  <c r="J127" i="10"/>
  <c r="J129" i="10" s="1"/>
  <c r="I127" i="10"/>
  <c r="I129" i="10" s="1"/>
  <c r="H127" i="10"/>
  <c r="G127" i="10"/>
  <c r="F127" i="10"/>
  <c r="F129" i="10" s="1"/>
  <c r="E127" i="10"/>
  <c r="E129" i="10" s="1"/>
  <c r="D127" i="10"/>
  <c r="D129" i="10" s="1"/>
  <c r="B121" i="10"/>
  <c r="B120" i="10"/>
  <c r="D114" i="10"/>
  <c r="D116" i="10" s="1"/>
  <c r="C114" i="10"/>
  <c r="C116" i="10" s="1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C117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C115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D107" i="10"/>
  <c r="C107" i="10"/>
  <c r="C108" i="10" s="1"/>
  <c r="B107" i="10"/>
  <c r="B108" i="10" s="1"/>
  <c r="D636" i="10"/>
  <c r="E635" i="10"/>
  <c r="E634" i="10"/>
  <c r="F111" i="12" l="1"/>
  <c r="D108" i="12"/>
  <c r="F108" i="12" s="1"/>
  <c r="AJ597" i="10"/>
  <c r="B601" i="10" s="1"/>
  <c r="AJ584" i="10"/>
  <c r="B588" i="10" s="1"/>
  <c r="C588" i="10" s="1"/>
  <c r="AJ572" i="10"/>
  <c r="B576" i="10" s="1"/>
  <c r="AJ467" i="10"/>
  <c r="B471" i="10" s="1"/>
  <c r="AJ454" i="10"/>
  <c r="B458" i="10" s="1"/>
  <c r="AJ442" i="10"/>
  <c r="B446" i="10" s="1"/>
  <c r="AJ415" i="10"/>
  <c r="B419" i="10" s="1"/>
  <c r="AJ623" i="10"/>
  <c r="B627" i="10" s="1"/>
  <c r="C627" i="10" s="1"/>
  <c r="AJ624" i="10"/>
  <c r="B628" i="10" s="1"/>
  <c r="AJ610" i="10"/>
  <c r="B614" i="10" s="1"/>
  <c r="AJ611" i="10"/>
  <c r="B615" i="10" s="1"/>
  <c r="AJ598" i="10"/>
  <c r="B602" i="10" s="1"/>
  <c r="AJ585" i="10"/>
  <c r="B589" i="10" s="1"/>
  <c r="AJ571" i="10"/>
  <c r="B575" i="10" s="1"/>
  <c r="AJ559" i="10"/>
  <c r="B563" i="10" s="1"/>
  <c r="AJ558" i="10"/>
  <c r="B562" i="10" s="1"/>
  <c r="C562" i="10" s="1"/>
  <c r="AJ545" i="10"/>
  <c r="B549" i="10" s="1"/>
  <c r="AJ546" i="10"/>
  <c r="B550" i="10" s="1"/>
  <c r="AJ533" i="10"/>
  <c r="B537" i="10" s="1"/>
  <c r="AJ532" i="10"/>
  <c r="B536" i="10" s="1"/>
  <c r="AJ519" i="10"/>
  <c r="B523" i="10" s="1"/>
  <c r="AJ520" i="10"/>
  <c r="B524" i="10" s="1"/>
  <c r="AJ506" i="10"/>
  <c r="B510" i="10" s="1"/>
  <c r="C510" i="10" s="1"/>
  <c r="AJ507" i="10"/>
  <c r="B511" i="10" s="1"/>
  <c r="AJ493" i="10"/>
  <c r="B497" i="10" s="1"/>
  <c r="C497" i="10" s="1"/>
  <c r="AJ494" i="10"/>
  <c r="B498" i="10" s="1"/>
  <c r="AJ480" i="10"/>
  <c r="B484" i="10" s="1"/>
  <c r="AJ481" i="10"/>
  <c r="B485" i="10" s="1"/>
  <c r="AJ468" i="10"/>
  <c r="B472" i="10" s="1"/>
  <c r="AJ455" i="10"/>
  <c r="B459" i="10" s="1"/>
  <c r="C458" i="10" s="1"/>
  <c r="AJ441" i="10"/>
  <c r="B445" i="10" s="1"/>
  <c r="AJ428" i="10"/>
  <c r="B432" i="10" s="1"/>
  <c r="AJ429" i="10"/>
  <c r="B433" i="10" s="1"/>
  <c r="AJ416" i="10"/>
  <c r="B420" i="10" s="1"/>
  <c r="C419" i="10" s="1"/>
  <c r="AJ402" i="10"/>
  <c r="B406" i="10" s="1"/>
  <c r="AJ403" i="10"/>
  <c r="B407" i="10" s="1"/>
  <c r="AJ390" i="10"/>
  <c r="B394" i="10" s="1"/>
  <c r="AJ389" i="10"/>
  <c r="B393" i="10" s="1"/>
  <c r="AJ376" i="10"/>
  <c r="B380" i="10" s="1"/>
  <c r="AJ377" i="10"/>
  <c r="B381" i="10" s="1"/>
  <c r="AJ363" i="10"/>
  <c r="B367" i="10" s="1"/>
  <c r="AJ364" i="10"/>
  <c r="B368" i="10" s="1"/>
  <c r="AJ350" i="10"/>
  <c r="B354" i="10" s="1"/>
  <c r="AJ351" i="10"/>
  <c r="B355" i="10" s="1"/>
  <c r="AJ337" i="10"/>
  <c r="B341" i="10" s="1"/>
  <c r="AJ338" i="10"/>
  <c r="B342" i="10" s="1"/>
  <c r="AJ324" i="10"/>
  <c r="B328" i="10" s="1"/>
  <c r="AJ325" i="10"/>
  <c r="B329" i="10" s="1"/>
  <c r="AJ311" i="10"/>
  <c r="B315" i="10" s="1"/>
  <c r="AJ312" i="10"/>
  <c r="B316" i="10" s="1"/>
  <c r="AJ298" i="10"/>
  <c r="B302" i="10" s="1"/>
  <c r="AJ299" i="10"/>
  <c r="B303" i="10" s="1"/>
  <c r="AJ285" i="10"/>
  <c r="B289" i="10" s="1"/>
  <c r="AJ286" i="10"/>
  <c r="B290" i="10" s="1"/>
  <c r="AJ272" i="10"/>
  <c r="B276" i="10" s="1"/>
  <c r="AJ273" i="10"/>
  <c r="B277" i="10" s="1"/>
  <c r="AJ259" i="10"/>
  <c r="B263" i="10" s="1"/>
  <c r="AJ260" i="10"/>
  <c r="B264" i="10" s="1"/>
  <c r="AJ246" i="10"/>
  <c r="AJ247" i="10"/>
  <c r="B251" i="10" s="1"/>
  <c r="AJ233" i="10"/>
  <c r="B237" i="10" s="1"/>
  <c r="AJ234" i="10"/>
  <c r="B238" i="10" s="1"/>
  <c r="AJ220" i="10"/>
  <c r="B224" i="10" s="1"/>
  <c r="AJ221" i="10"/>
  <c r="B225" i="10" s="1"/>
  <c r="AJ207" i="10"/>
  <c r="B211" i="10" s="1"/>
  <c r="AJ208" i="10"/>
  <c r="B212" i="10" s="1"/>
  <c r="AJ194" i="10"/>
  <c r="B198" i="10" s="1"/>
  <c r="C198" i="10" s="1"/>
  <c r="AJ182" i="10"/>
  <c r="B186" i="10" s="1"/>
  <c r="AJ181" i="10"/>
  <c r="B185" i="10" s="1"/>
  <c r="C185" i="10" s="1"/>
  <c r="AJ168" i="10"/>
  <c r="B172" i="10" s="1"/>
  <c r="C172" i="10" s="1"/>
  <c r="AJ169" i="10"/>
  <c r="B173" i="10" s="1"/>
  <c r="AJ155" i="10"/>
  <c r="B159" i="10" s="1"/>
  <c r="AJ156" i="10"/>
  <c r="B160" i="10" s="1"/>
  <c r="AJ142" i="10"/>
  <c r="B146" i="10" s="1"/>
  <c r="C146" i="10" s="1"/>
  <c r="AJ143" i="10"/>
  <c r="B147" i="10" s="1"/>
  <c r="AJ129" i="10"/>
  <c r="B133" i="10" s="1"/>
  <c r="AJ130" i="10"/>
  <c r="AJ117" i="10"/>
  <c r="AJ116" i="10"/>
  <c r="C601" i="10" l="1"/>
  <c r="C575" i="10"/>
  <c r="C536" i="10"/>
  <c r="C523" i="10"/>
  <c r="C471" i="10"/>
  <c r="C445" i="10"/>
  <c r="C380" i="10"/>
  <c r="C250" i="10"/>
  <c r="C237" i="10"/>
  <c r="C614" i="10"/>
  <c r="C549" i="10"/>
  <c r="C484" i="10"/>
  <c r="C432" i="10"/>
  <c r="C406" i="10"/>
  <c r="C393" i="10"/>
  <c r="C367" i="10"/>
  <c r="C354" i="10"/>
  <c r="C341" i="10"/>
  <c r="C328" i="10"/>
  <c r="C315" i="10"/>
  <c r="C302" i="10"/>
  <c r="C289" i="10"/>
  <c r="C276" i="10"/>
  <c r="C263" i="10"/>
  <c r="C224" i="10"/>
  <c r="C211" i="10"/>
  <c r="C159" i="10"/>
  <c r="C133" i="10"/>
  <c r="C120" i="10"/>
  <c r="AL9" i="3" l="1"/>
  <c r="AN2" i="3" s="1"/>
  <c r="AN1" i="3" l="1"/>
</calcChain>
</file>

<file path=xl/sharedStrings.xml><?xml version="1.0" encoding="utf-8"?>
<sst xmlns="http://schemas.openxmlformats.org/spreadsheetml/2006/main" count="34056" uniqueCount="412">
  <si>
    <t>Jumlah_ART</t>
  </si>
  <si>
    <t>sta_bangunan</t>
  </si>
  <si>
    <t>sta_lahan</t>
  </si>
  <si>
    <t>lantai</t>
  </si>
  <si>
    <t>dinding</t>
  </si>
  <si>
    <t>kondisi_dinding</t>
  </si>
  <si>
    <t>atap</t>
  </si>
  <si>
    <t>kondisi_atap</t>
  </si>
  <si>
    <t>jumlah_kamar</t>
  </si>
  <si>
    <t>sumber_airminum</t>
  </si>
  <si>
    <t>sumber_penerangan</t>
  </si>
  <si>
    <t>daya</t>
  </si>
  <si>
    <t>bb_masak</t>
  </si>
  <si>
    <t>fasbab</t>
  </si>
  <si>
    <t>kloset</t>
  </si>
  <si>
    <t>buang_tinja</t>
  </si>
  <si>
    <t>ada_tabung_gas</t>
  </si>
  <si>
    <t>ada_lemari_es</t>
  </si>
  <si>
    <t>ada_ac</t>
  </si>
  <si>
    <t>ada_pemanas</t>
  </si>
  <si>
    <t>ada_telepon</t>
  </si>
  <si>
    <t>ada_tv</t>
  </si>
  <si>
    <t>ada_emas</t>
  </si>
  <si>
    <t>ada_laptop</t>
  </si>
  <si>
    <t>ada_sepeda</t>
  </si>
  <si>
    <t>ada_motor</t>
  </si>
  <si>
    <t>ada_mobil</t>
  </si>
  <si>
    <t>ada_perahu</t>
  </si>
  <si>
    <t>ada_motor_tempel</t>
  </si>
  <si>
    <t>ada_perahu_motor</t>
  </si>
  <si>
    <t>aset_tak_bergerak</t>
  </si>
  <si>
    <t>rumah_lain</t>
  </si>
  <si>
    <t>sta_art_usaha</t>
  </si>
  <si>
    <t>status_kesejahteraan</t>
  </si>
  <si>
    <t xml:space="preserve">         5</t>
  </si>
  <si>
    <t xml:space="preserve">           2</t>
  </si>
  <si>
    <t xml:space="preserve">        2</t>
  </si>
  <si>
    <t xml:space="preserve">     6</t>
  </si>
  <si>
    <t xml:space="preserve">      3</t>
  </si>
  <si>
    <t xml:space="preserve">              2</t>
  </si>
  <si>
    <t xml:space="preserve">   6</t>
  </si>
  <si>
    <t xml:space="preserve">           1</t>
  </si>
  <si>
    <t xml:space="preserve">                1</t>
  </si>
  <si>
    <t xml:space="preserve">   2</t>
  </si>
  <si>
    <t xml:space="preserve">       3</t>
  </si>
  <si>
    <t xml:space="preserve">     1</t>
  </si>
  <si>
    <t xml:space="preserve">          1</t>
  </si>
  <si>
    <t xml:space="preserve">             2</t>
  </si>
  <si>
    <t xml:space="preserve">            3</t>
  </si>
  <si>
    <t xml:space="preserve">     2</t>
  </si>
  <si>
    <t xml:space="preserve">          4</t>
  </si>
  <si>
    <t xml:space="preserve">          2</t>
  </si>
  <si>
    <t xml:space="preserve">     3</t>
  </si>
  <si>
    <t xml:space="preserve">       2</t>
  </si>
  <si>
    <t xml:space="preserve">         4</t>
  </si>
  <si>
    <t xml:space="preserve">         2</t>
  </si>
  <si>
    <t xml:space="preserve">        3</t>
  </si>
  <si>
    <t xml:space="preserve">               2</t>
  </si>
  <si>
    <t xml:space="preserve">               4</t>
  </si>
  <si>
    <t xml:space="preserve">                2</t>
  </si>
  <si>
    <t xml:space="preserve">            1</t>
  </si>
  <si>
    <t xml:space="preserve">        NULL</t>
  </si>
  <si>
    <t xml:space="preserve">     NULL</t>
  </si>
  <si>
    <t xml:space="preserve">  NULL</t>
  </si>
  <si>
    <t xml:space="preserve">   NULL</t>
  </si>
  <si>
    <t xml:space="preserve">           NULL</t>
  </si>
  <si>
    <t>NULL</t>
  </si>
  <si>
    <t xml:space="preserve">             NULL</t>
  </si>
  <si>
    <t xml:space="preserve">    NULL</t>
  </si>
  <si>
    <t xml:space="preserve">       NULL</t>
  </si>
  <si>
    <t xml:space="preserve">          NULL</t>
  </si>
  <si>
    <t xml:space="preserve">         NULL</t>
  </si>
  <si>
    <t xml:space="preserve">      NULL</t>
  </si>
  <si>
    <t xml:space="preserve">            NULL</t>
  </si>
  <si>
    <t xml:space="preserve">         1</t>
  </si>
  <si>
    <t xml:space="preserve">            2</t>
  </si>
  <si>
    <t xml:space="preserve">        1</t>
  </si>
  <si>
    <t xml:space="preserve">      1</t>
  </si>
  <si>
    <t xml:space="preserve">             11</t>
  </si>
  <si>
    <t xml:space="preserve">   1</t>
  </si>
  <si>
    <t xml:space="preserve">            4</t>
  </si>
  <si>
    <t xml:space="preserve">     4</t>
  </si>
  <si>
    <t xml:space="preserve">        4</t>
  </si>
  <si>
    <t xml:space="preserve">     8</t>
  </si>
  <si>
    <t xml:space="preserve">       5</t>
  </si>
  <si>
    <t xml:space="preserve">         7</t>
  </si>
  <si>
    <t xml:space="preserve">              1</t>
  </si>
  <si>
    <t xml:space="preserve">           5</t>
  </si>
  <si>
    <t xml:space="preserve">   3</t>
  </si>
  <si>
    <t xml:space="preserve">               1</t>
  </si>
  <si>
    <t xml:space="preserve">           4</t>
  </si>
  <si>
    <t xml:space="preserve">         3</t>
  </si>
  <si>
    <t xml:space="preserve">              5</t>
  </si>
  <si>
    <t xml:space="preserve">             1</t>
  </si>
  <si>
    <t xml:space="preserve">           3</t>
  </si>
  <si>
    <t xml:space="preserve">       1</t>
  </si>
  <si>
    <t xml:space="preserve">              6</t>
  </si>
  <si>
    <t xml:space="preserve">                3</t>
  </si>
  <si>
    <t xml:space="preserve">            0</t>
  </si>
  <si>
    <t xml:space="preserve">         6</t>
  </si>
  <si>
    <t xml:space="preserve">      7</t>
  </si>
  <si>
    <t xml:space="preserve">  10</t>
  </si>
  <si>
    <t xml:space="preserve">              7</t>
  </si>
  <si>
    <t xml:space="preserve">          3</t>
  </si>
  <si>
    <t xml:space="preserve">          5</t>
  </si>
  <si>
    <t xml:space="preserve">           0</t>
  </si>
  <si>
    <t xml:space="preserve">       8</t>
  </si>
  <si>
    <t xml:space="preserve">     5</t>
  </si>
  <si>
    <t xml:space="preserve">       7</t>
  </si>
  <si>
    <t xml:space="preserve">         8</t>
  </si>
  <si>
    <t xml:space="preserve">   9</t>
  </si>
  <si>
    <t xml:space="preserve">     9</t>
  </si>
  <si>
    <t xml:space="preserve">   4</t>
  </si>
  <si>
    <t xml:space="preserve">   5</t>
  </si>
  <si>
    <t xml:space="preserve">       9</t>
  </si>
  <si>
    <t xml:space="preserve">      2</t>
  </si>
  <si>
    <t xml:space="preserve">          6</t>
  </si>
  <si>
    <t xml:space="preserve">         9</t>
  </si>
  <si>
    <t xml:space="preserve">        10</t>
  </si>
  <si>
    <t xml:space="preserve">   7</t>
  </si>
  <si>
    <t>NO</t>
  </si>
  <si>
    <t>YES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</si>
  <si>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</si>
  <si>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</si>
  <si>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</si>
  <si>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</si>
  <si>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</si>
  <si>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</si>
  <si>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</si>
  <si>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</si>
  <si>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</si>
  <si>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</si>
  <si>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</si>
  <si>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</si>
  <si>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</si>
  <si>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</si>
  <si>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</si>
  <si>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</si>
  <si>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</si>
  <si>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</si>
  <si>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</si>
  <si>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</si>
  <si>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</si>
  <si>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</si>
  <si>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</si>
  <si>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</si>
  <si>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</si>
  <si>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</si>
  <si>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</si>
  <si>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</si>
  <si>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</si>
  <si>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</si>
  <si>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</si>
  <si>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</si>
  <si>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</si>
  <si>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STATUS</t>
  </si>
  <si>
    <t xml:space="preserve">        </t>
  </si>
  <si>
    <t xml:space="preserve">     </t>
  </si>
  <si>
    <t xml:space="preserve">  </t>
  </si>
  <si>
    <t xml:space="preserve">   </t>
  </si>
  <si>
    <t xml:space="preserve">           </t>
  </si>
  <si>
    <t xml:space="preserve">             </t>
  </si>
  <si>
    <t xml:space="preserve">    </t>
  </si>
  <si>
    <t xml:space="preserve">       </t>
  </si>
  <si>
    <t xml:space="preserve">          </t>
  </si>
  <si>
    <t xml:space="preserve">         </t>
  </si>
  <si>
    <t xml:space="preserve">      </t>
  </si>
  <si>
    <t xml:space="preserve">            </t>
  </si>
  <si>
    <t>0.0</t>
  </si>
  <si>
    <t>1.0</t>
  </si>
  <si>
    <t>4.0</t>
  </si>
  <si>
    <t>2.0</t>
  </si>
  <si>
    <t>6.0</t>
  </si>
  <si>
    <t>3.0</t>
  </si>
  <si>
    <t>7.0</t>
  </si>
  <si>
    <t>10.0</t>
  </si>
  <si>
    <t>5.0</t>
  </si>
  <si>
    <t>11.0</t>
  </si>
  <si>
    <t>8.0</t>
  </si>
  <si>
    <t>max (x)</t>
  </si>
  <si>
    <t>min (x)</t>
  </si>
  <si>
    <t>Max (x)-min (x)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</si>
  <si>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</si>
  <si>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</si>
  <si>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</si>
  <si>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</si>
  <si>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</si>
  <si>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</si>
  <si>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</si>
  <si>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</si>
  <si>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</si>
  <si>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</si>
  <si>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</si>
  <si>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</si>
  <si>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</si>
  <si>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?</t>
  </si>
  <si>
    <t>D14</t>
  </si>
  <si>
    <t>D15</t>
  </si>
  <si>
    <t>D16</t>
  </si>
  <si>
    <t>D17</t>
  </si>
  <si>
    <t>D18</t>
  </si>
  <si>
    <t>D19</t>
  </si>
  <si>
    <t>D20</t>
  </si>
  <si>
    <t xml:space="preserve">Probabilitas </t>
  </si>
  <si>
    <t>Total Data</t>
  </si>
  <si>
    <t>Probabilitas Kelas</t>
  </si>
  <si>
    <t>P(X)</t>
  </si>
  <si>
    <t>Atribut</t>
  </si>
  <si>
    <t>Yes</t>
  </si>
  <si>
    <t>No</t>
  </si>
  <si>
    <t>P(X|CI)</t>
  </si>
  <si>
    <t>(P(X|H) * P(H)) / P(X)</t>
  </si>
  <si>
    <t>NEW KELAS</t>
  </si>
  <si>
    <t>CONFLUSION MATRIX</t>
  </si>
  <si>
    <t>NBC</t>
  </si>
  <si>
    <t>KELAS ASAL</t>
  </si>
  <si>
    <t>PRECISION</t>
  </si>
  <si>
    <t>PRED</t>
  </si>
  <si>
    <t>RECALL</t>
  </si>
  <si>
    <t>AKURASI</t>
  </si>
  <si>
    <t>PREDIKSI</t>
  </si>
  <si>
    <t>DU1</t>
  </si>
  <si>
    <t>JARAK</t>
  </si>
  <si>
    <t>URUTAN</t>
  </si>
  <si>
    <t>KELAS</t>
  </si>
  <si>
    <t>DU 2</t>
  </si>
  <si>
    <t>DU3</t>
  </si>
  <si>
    <t>DU4</t>
  </si>
  <si>
    <t>DU5</t>
  </si>
  <si>
    <t>DU6</t>
  </si>
  <si>
    <t>DU7</t>
  </si>
  <si>
    <t>DU8</t>
  </si>
  <si>
    <t>K=3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</si>
  <si>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</si>
  <si>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</si>
  <si>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</si>
  <si>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</si>
  <si>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</si>
  <si>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</si>
  <si>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</si>
  <si>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</si>
  <si>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</si>
  <si>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</si>
  <si>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</si>
  <si>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</si>
  <si>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</si>
  <si>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</si>
  <si>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</si>
  <si>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</si>
  <si>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</si>
  <si>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</si>
  <si>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</si>
  <si>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</si>
  <si>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</si>
  <si>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</si>
  <si>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</si>
  <si>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</si>
  <si>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</si>
  <si>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</si>
  <si>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</si>
  <si>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</si>
  <si>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</si>
  <si>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</si>
  <si>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</si>
  <si>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</si>
  <si>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</si>
  <si>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</si>
  <si>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</si>
  <si>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</si>
  <si>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</si>
  <si>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</si>
  <si>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</si>
  <si>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</si>
  <si>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</si>
  <si>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</si>
  <si>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</si>
  <si>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</si>
  <si>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</si>
  <si>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</si>
  <si>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</si>
  <si>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</si>
  <si>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</si>
  <si>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</si>
  <si>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</si>
  <si>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</si>
  <si>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</si>
  <si>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</si>
  <si>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</si>
  <si>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</si>
  <si>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</si>
  <si>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</si>
  <si>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</si>
  <si>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</si>
  <si>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</si>
  <si>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</si>
  <si>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</si>
  <si>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</si>
  <si>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</si>
  <si>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</si>
  <si>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</si>
  <si>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</si>
  <si>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</si>
  <si>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</si>
  <si>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</si>
  <si>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</si>
  <si>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</si>
  <si>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</si>
  <si>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</si>
  <si>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</si>
  <si>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</si>
  <si>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</si>
  <si>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</si>
  <si>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</si>
  <si>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</si>
  <si>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</si>
  <si>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</si>
  <si>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</si>
  <si>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</si>
  <si>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</si>
  <si>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</si>
  <si>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</si>
  <si>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</si>
  <si>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</si>
  <si>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</si>
  <si>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</si>
  <si>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</si>
  <si>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</si>
  <si>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</si>
  <si>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</si>
  <si>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</si>
  <si>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</si>
  <si>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</si>
  <si>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</si>
  <si>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</si>
  <si>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</si>
  <si>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</si>
  <si>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</si>
  <si>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</si>
  <si>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</si>
  <si>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</si>
  <si>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DU40</t>
  </si>
  <si>
    <t>DU39</t>
  </si>
  <si>
    <t>DU38</t>
  </si>
  <si>
    <t>DU37</t>
  </si>
  <si>
    <t>DU36</t>
  </si>
  <si>
    <t>DU35</t>
  </si>
  <si>
    <t>DU34</t>
  </si>
  <si>
    <t>DU33</t>
  </si>
  <si>
    <t>DU32</t>
  </si>
  <si>
    <t>DU31</t>
  </si>
  <si>
    <t>DU30</t>
  </si>
  <si>
    <t>DU29</t>
  </si>
  <si>
    <t>DU28</t>
  </si>
  <si>
    <t>DU27</t>
  </si>
  <si>
    <t>DU26</t>
  </si>
  <si>
    <t>DU25</t>
  </si>
  <si>
    <t>DU24</t>
  </si>
  <si>
    <t>DU23</t>
  </si>
  <si>
    <t>DU22</t>
  </si>
  <si>
    <t>DU21</t>
  </si>
  <si>
    <t>DU20</t>
  </si>
  <si>
    <t>DU19</t>
  </si>
  <si>
    <t>DU18</t>
  </si>
  <si>
    <t>DU17</t>
  </si>
  <si>
    <t>DU16</t>
  </si>
  <si>
    <t>DU15</t>
  </si>
  <si>
    <t>DU14</t>
  </si>
  <si>
    <t>DU13</t>
  </si>
  <si>
    <t>DU12</t>
  </si>
  <si>
    <t>DU11</t>
  </si>
  <si>
    <t>DU10</t>
  </si>
  <si>
    <t>DU9</t>
  </si>
  <si>
    <t>TOTAL</t>
  </si>
  <si>
    <t>Entropy</t>
  </si>
  <si>
    <t>Information Gain</t>
  </si>
  <si>
    <t>Node 1</t>
  </si>
  <si>
    <t>Kategori</t>
  </si>
  <si>
    <t>Anggota ART</t>
  </si>
  <si>
    <t>&lt;=0,5</t>
  </si>
  <si>
    <t>&gt;0,5</t>
  </si>
  <si>
    <t>Status bangunan</t>
  </si>
  <si>
    <t>Status lahan</t>
  </si>
  <si>
    <t xml:space="preserve"> Jenis Lantai</t>
  </si>
  <si>
    <t>Jenis Dinding</t>
  </si>
  <si>
    <t>Kondisi Dinding</t>
  </si>
  <si>
    <t>Jenis Atap</t>
  </si>
  <si>
    <t>Kondisi Atap</t>
  </si>
  <si>
    <t>Jumlah Kamar Tidur</t>
  </si>
  <si>
    <t>Sumber Air Minum</t>
  </si>
  <si>
    <t>Sumber Penerangan</t>
  </si>
  <si>
    <t>Daya Terpasang</t>
  </si>
  <si>
    <t>Bahan Bakar Masak</t>
  </si>
  <si>
    <t>Fasilitas BAB</t>
  </si>
  <si>
    <t>Jenis Kloset</t>
  </si>
  <si>
    <t>Pembuangan Tinja</t>
  </si>
  <si>
    <t xml:space="preserve">Tabung Gas </t>
  </si>
  <si>
    <t>Lemari Es</t>
  </si>
  <si>
    <t>AC</t>
  </si>
  <si>
    <t>Pemanas Air</t>
  </si>
  <si>
    <t>Telepon Rumah</t>
  </si>
  <si>
    <t>Televisi</t>
  </si>
  <si>
    <t>Emas</t>
  </si>
  <si>
    <t>Komputer/Laptop</t>
  </si>
  <si>
    <t>Sepeda</t>
  </si>
  <si>
    <t>Sepeda Motor</t>
  </si>
  <si>
    <t>Mobil</t>
  </si>
  <si>
    <t>Perahu</t>
  </si>
  <si>
    <t>Motor Tempel</t>
  </si>
  <si>
    <t>Kapal</t>
  </si>
  <si>
    <t>Rumah Ditempat Lain</t>
  </si>
  <si>
    <t>Status ART Usaha</t>
  </si>
  <si>
    <t>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</si>
</sst>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1"/>
    </font>
    <font>
      <sz val="11"/>
      <name val="Calibri"/>
      <family val="1"/>
    </font>
    <font>
      <b/>
      <sz val="11"/>
      <color rgb="FFFF0000"/>
      <name val="Calibri"/>
      <family val="1"/>
    </font>
  </fonts>
  <fills count="1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/>
    <xf numFmtId="0" fontId="0" fillId="11" borderId="0" xfId="0" applyFill="1"/>
    <xf numFmtId="0" fontId="0" fillId="12" borderId="8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/>
    <xf numFmtId="0" fontId="0" fillId="14" borderId="0" xfId="0" applyFill="1"/>
    <xf numFmtId="0" fontId="0" fillId="15" borderId="0" xfId="0" applyFill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0" fillId="1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5"/>
  <sheetViews>
    <sheetView topLeftCell="A483" zoomScale="47" workbookViewId="0">
      <selection activeCell="AR526" sqref="AR526"/>
    </sheetView>
  </sheetViews>
  <sheetFormatPr defaultRowHeight="14.5" x14ac:dyDescent="0.35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35</v>
      </c>
      <c r="I2" s="1" t="s">
        <v>41</v>
      </c>
      <c r="J2" s="1" t="s">
        <v>39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36</v>
      </c>
      <c r="AB2" s="1" t="s">
        <v>54</v>
      </c>
      <c r="AC2" s="1" t="s">
        <v>57</v>
      </c>
      <c r="AD2" s="1" t="s">
        <v>58</v>
      </c>
      <c r="AE2" s="1" t="s">
        <v>59</v>
      </c>
      <c r="AF2" s="1" t="s">
        <v>54</v>
      </c>
      <c r="AG2" s="1" t="s">
        <v>60</v>
      </c>
      <c r="AH2" s="1" t="s">
        <v>120</v>
      </c>
    </row>
    <row r="3" spans="1:34" x14ac:dyDescent="0.3">
      <c r="A3" s="1" t="s">
        <v>54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61</v>
      </c>
      <c r="I3" s="1" t="s">
        <v>61</v>
      </c>
      <c r="J3" s="1" t="s">
        <v>65</v>
      </c>
      <c r="K3" s="1" t="s">
        <v>67</v>
      </c>
      <c r="L3" s="1" t="s">
        <v>66</v>
      </c>
      <c r="M3" s="1" t="s">
        <v>68</v>
      </c>
      <c r="N3" s="1" t="s">
        <v>63</v>
      </c>
      <c r="O3" s="1" t="s">
        <v>63</v>
      </c>
      <c r="P3" s="1" t="s">
        <v>69</v>
      </c>
      <c r="Q3" s="1" t="s">
        <v>70</v>
      </c>
      <c r="R3" s="1" t="s">
        <v>71</v>
      </c>
      <c r="S3" s="1" t="s">
        <v>63</v>
      </c>
      <c r="T3" s="1" t="s">
        <v>69</v>
      </c>
      <c r="U3" s="1" t="s">
        <v>69</v>
      </c>
      <c r="V3" s="1" t="s">
        <v>63</v>
      </c>
      <c r="W3" s="1" t="s">
        <v>68</v>
      </c>
      <c r="X3" s="1" t="s">
        <v>72</v>
      </c>
      <c r="Y3" s="1" t="s">
        <v>72</v>
      </c>
      <c r="Z3" s="1" t="s">
        <v>62</v>
      </c>
      <c r="AA3" s="1" t="s">
        <v>62</v>
      </c>
      <c r="AB3" s="1" t="s">
        <v>72</v>
      </c>
      <c r="AC3" s="1" t="s">
        <v>73</v>
      </c>
      <c r="AD3" s="1" t="s">
        <v>73</v>
      </c>
      <c r="AE3" s="1" t="s">
        <v>67</v>
      </c>
      <c r="AF3" s="1" t="s">
        <v>72</v>
      </c>
      <c r="AG3" s="1" t="s">
        <v>71</v>
      </c>
      <c r="AH3" s="1" t="s">
        <v>120</v>
      </c>
    </row>
    <row r="4" spans="1:34" x14ac:dyDescent="0.3">
      <c r="A4" s="1" t="s">
        <v>74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61</v>
      </c>
      <c r="I4" s="1" t="s">
        <v>61</v>
      </c>
      <c r="J4" s="1" t="s">
        <v>65</v>
      </c>
      <c r="K4" s="1" t="s">
        <v>67</v>
      </c>
      <c r="L4" s="1" t="s">
        <v>66</v>
      </c>
      <c r="M4" s="1" t="s">
        <v>68</v>
      </c>
      <c r="N4" s="1" t="s">
        <v>63</v>
      </c>
      <c r="O4" s="1" t="s">
        <v>63</v>
      </c>
      <c r="P4" s="1" t="s">
        <v>69</v>
      </c>
      <c r="Q4" s="1" t="s">
        <v>70</v>
      </c>
      <c r="R4" s="1" t="s">
        <v>71</v>
      </c>
      <c r="S4" s="1" t="s">
        <v>63</v>
      </c>
      <c r="T4" s="1" t="s">
        <v>69</v>
      </c>
      <c r="U4" s="1" t="s">
        <v>69</v>
      </c>
      <c r="V4" s="1" t="s">
        <v>63</v>
      </c>
      <c r="W4" s="1" t="s">
        <v>68</v>
      </c>
      <c r="X4" s="1" t="s">
        <v>72</v>
      </c>
      <c r="Y4" s="1" t="s">
        <v>72</v>
      </c>
      <c r="Z4" s="1" t="s">
        <v>62</v>
      </c>
      <c r="AA4" s="1" t="s">
        <v>62</v>
      </c>
      <c r="AB4" s="1" t="s">
        <v>72</v>
      </c>
      <c r="AC4" s="1" t="s">
        <v>73</v>
      </c>
      <c r="AD4" s="1" t="s">
        <v>73</v>
      </c>
      <c r="AE4" s="1" t="s">
        <v>67</v>
      </c>
      <c r="AF4" s="1" t="s">
        <v>72</v>
      </c>
      <c r="AG4" s="1" t="s">
        <v>71</v>
      </c>
      <c r="AH4" s="1" t="s">
        <v>120</v>
      </c>
    </row>
    <row r="5" spans="1:34" x14ac:dyDescent="0.3">
      <c r="A5" s="1" t="s">
        <v>74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61</v>
      </c>
      <c r="I5" s="1" t="s">
        <v>61</v>
      </c>
      <c r="J5" s="1" t="s">
        <v>65</v>
      </c>
      <c r="K5" s="1" t="s">
        <v>67</v>
      </c>
      <c r="L5" s="1" t="s">
        <v>66</v>
      </c>
      <c r="M5" s="1" t="s">
        <v>68</v>
      </c>
      <c r="N5" s="1" t="s">
        <v>63</v>
      </c>
      <c r="O5" s="1" t="s">
        <v>63</v>
      </c>
      <c r="P5" s="1" t="s">
        <v>69</v>
      </c>
      <c r="Q5" s="1" t="s">
        <v>70</v>
      </c>
      <c r="R5" s="1" t="s">
        <v>71</v>
      </c>
      <c r="S5" s="1" t="s">
        <v>63</v>
      </c>
      <c r="T5" s="1" t="s">
        <v>69</v>
      </c>
      <c r="U5" s="1" t="s">
        <v>69</v>
      </c>
      <c r="V5" s="1" t="s">
        <v>63</v>
      </c>
      <c r="W5" s="1" t="s">
        <v>68</v>
      </c>
      <c r="X5" s="1" t="s">
        <v>72</v>
      </c>
      <c r="Y5" s="1" t="s">
        <v>72</v>
      </c>
      <c r="Z5" s="1" t="s">
        <v>62</v>
      </c>
      <c r="AA5" s="1" t="s">
        <v>62</v>
      </c>
      <c r="AB5" s="1" t="s">
        <v>72</v>
      </c>
      <c r="AC5" s="1" t="s">
        <v>73</v>
      </c>
      <c r="AD5" s="1" t="s">
        <v>73</v>
      </c>
      <c r="AE5" s="1" t="s">
        <v>67</v>
      </c>
      <c r="AF5" s="1" t="s">
        <v>72</v>
      </c>
      <c r="AG5" s="1" t="s">
        <v>71</v>
      </c>
      <c r="AH5" s="1" t="s">
        <v>120</v>
      </c>
    </row>
    <row r="6" spans="1:34" x14ac:dyDescent="0.3">
      <c r="A6" s="1" t="s">
        <v>74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61</v>
      </c>
      <c r="I6" s="1" t="s">
        <v>61</v>
      </c>
      <c r="J6" s="1" t="s">
        <v>65</v>
      </c>
      <c r="K6" s="1" t="s">
        <v>67</v>
      </c>
      <c r="L6" s="1" t="s">
        <v>66</v>
      </c>
      <c r="M6" s="1" t="s">
        <v>68</v>
      </c>
      <c r="N6" s="1" t="s">
        <v>63</v>
      </c>
      <c r="O6" s="1" t="s">
        <v>63</v>
      </c>
      <c r="P6" s="1" t="s">
        <v>69</v>
      </c>
      <c r="Q6" s="1" t="s">
        <v>70</v>
      </c>
      <c r="R6" s="1" t="s">
        <v>71</v>
      </c>
      <c r="S6" s="1" t="s">
        <v>63</v>
      </c>
      <c r="T6" s="1" t="s">
        <v>69</v>
      </c>
      <c r="U6" s="1" t="s">
        <v>69</v>
      </c>
      <c r="V6" s="1" t="s">
        <v>63</v>
      </c>
      <c r="W6" s="1" t="s">
        <v>68</v>
      </c>
      <c r="X6" s="1" t="s">
        <v>72</v>
      </c>
      <c r="Y6" s="1" t="s">
        <v>72</v>
      </c>
      <c r="Z6" s="1" t="s">
        <v>62</v>
      </c>
      <c r="AA6" s="1" t="s">
        <v>62</v>
      </c>
      <c r="AB6" s="1" t="s">
        <v>72</v>
      </c>
      <c r="AC6" s="1" t="s">
        <v>73</v>
      </c>
      <c r="AD6" s="1" t="s">
        <v>73</v>
      </c>
      <c r="AE6" s="1" t="s">
        <v>67</v>
      </c>
      <c r="AF6" s="1" t="s">
        <v>72</v>
      </c>
      <c r="AG6" s="1" t="s">
        <v>71</v>
      </c>
      <c r="AH6" s="1" t="s">
        <v>120</v>
      </c>
    </row>
    <row r="7" spans="1:34" x14ac:dyDescent="0.3">
      <c r="A7" s="1" t="s">
        <v>74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61</v>
      </c>
      <c r="I7" s="1" t="s">
        <v>61</v>
      </c>
      <c r="J7" s="1" t="s">
        <v>65</v>
      </c>
      <c r="K7" s="1" t="s">
        <v>67</v>
      </c>
      <c r="L7" s="1" t="s">
        <v>66</v>
      </c>
      <c r="M7" s="1" t="s">
        <v>68</v>
      </c>
      <c r="N7" s="1" t="s">
        <v>63</v>
      </c>
      <c r="O7" s="1" t="s">
        <v>63</v>
      </c>
      <c r="P7" s="1" t="s">
        <v>69</v>
      </c>
      <c r="Q7" s="1" t="s">
        <v>70</v>
      </c>
      <c r="R7" s="1" t="s">
        <v>71</v>
      </c>
      <c r="S7" s="1" t="s">
        <v>63</v>
      </c>
      <c r="T7" s="1" t="s">
        <v>69</v>
      </c>
      <c r="U7" s="1" t="s">
        <v>69</v>
      </c>
      <c r="V7" s="1" t="s">
        <v>63</v>
      </c>
      <c r="W7" s="1" t="s">
        <v>68</v>
      </c>
      <c r="X7" s="1" t="s">
        <v>72</v>
      </c>
      <c r="Y7" s="1" t="s">
        <v>72</v>
      </c>
      <c r="Z7" s="1" t="s">
        <v>62</v>
      </c>
      <c r="AA7" s="1" t="s">
        <v>62</v>
      </c>
      <c r="AB7" s="1" t="s">
        <v>72</v>
      </c>
      <c r="AC7" s="1" t="s">
        <v>73</v>
      </c>
      <c r="AD7" s="1" t="s">
        <v>73</v>
      </c>
      <c r="AE7" s="1" t="s">
        <v>67</v>
      </c>
      <c r="AF7" s="1" t="s">
        <v>72</v>
      </c>
      <c r="AG7" s="1" t="s">
        <v>71</v>
      </c>
      <c r="AH7" s="1" t="s">
        <v>120</v>
      </c>
    </row>
    <row r="8" spans="1:34" x14ac:dyDescent="0.3">
      <c r="A8" s="1" t="s">
        <v>54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35</v>
      </c>
      <c r="I8" s="1" t="s">
        <v>41</v>
      </c>
      <c r="J8" s="1" t="s">
        <v>39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52</v>
      </c>
      <c r="W8" s="1" t="s">
        <v>53</v>
      </c>
      <c r="X8" s="1" t="s">
        <v>54</v>
      </c>
      <c r="Y8" s="1" t="s">
        <v>55</v>
      </c>
      <c r="Z8" s="1" t="s">
        <v>56</v>
      </c>
      <c r="AA8" s="1" t="s">
        <v>36</v>
      </c>
      <c r="AB8" s="1" t="s">
        <v>54</v>
      </c>
      <c r="AC8" s="1" t="s">
        <v>57</v>
      </c>
      <c r="AD8" s="1" t="s">
        <v>58</v>
      </c>
      <c r="AE8" s="1" t="s">
        <v>59</v>
      </c>
      <c r="AF8" s="1" t="s">
        <v>54</v>
      </c>
      <c r="AG8" s="1" t="s">
        <v>75</v>
      </c>
      <c r="AH8" s="1" t="s">
        <v>120</v>
      </c>
    </row>
    <row r="9" spans="1:34" x14ac:dyDescent="0.3">
      <c r="A9" s="1" t="s">
        <v>74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61</v>
      </c>
      <c r="I9" s="1" t="s">
        <v>61</v>
      </c>
      <c r="J9" s="1" t="s">
        <v>65</v>
      </c>
      <c r="K9" s="1" t="s">
        <v>67</v>
      </c>
      <c r="L9" s="1" t="s">
        <v>66</v>
      </c>
      <c r="M9" s="1" t="s">
        <v>68</v>
      </c>
      <c r="N9" s="1" t="s">
        <v>63</v>
      </c>
      <c r="O9" s="1" t="s">
        <v>63</v>
      </c>
      <c r="P9" s="1" t="s">
        <v>69</v>
      </c>
      <c r="Q9" s="1" t="s">
        <v>70</v>
      </c>
      <c r="R9" s="1" t="s">
        <v>71</v>
      </c>
      <c r="S9" s="1" t="s">
        <v>63</v>
      </c>
      <c r="T9" s="1" t="s">
        <v>69</v>
      </c>
      <c r="U9" s="1" t="s">
        <v>69</v>
      </c>
      <c r="V9" s="1" t="s">
        <v>63</v>
      </c>
      <c r="W9" s="1" t="s">
        <v>68</v>
      </c>
      <c r="X9" s="1" t="s">
        <v>72</v>
      </c>
      <c r="Y9" s="1" t="s">
        <v>72</v>
      </c>
      <c r="Z9" s="1" t="s">
        <v>62</v>
      </c>
      <c r="AA9" s="1" t="s">
        <v>62</v>
      </c>
      <c r="AB9" s="1" t="s">
        <v>72</v>
      </c>
      <c r="AC9" s="1" t="s">
        <v>73</v>
      </c>
      <c r="AD9" s="1" t="s">
        <v>73</v>
      </c>
      <c r="AE9" s="1" t="s">
        <v>67</v>
      </c>
      <c r="AF9" s="1" t="s">
        <v>72</v>
      </c>
      <c r="AG9" s="1" t="s">
        <v>71</v>
      </c>
      <c r="AH9" s="1" t="s">
        <v>120</v>
      </c>
    </row>
    <row r="10" spans="1:34" x14ac:dyDescent="0.3">
      <c r="A10" s="1" t="s">
        <v>55</v>
      </c>
      <c r="B10" s="1" t="s">
        <v>41</v>
      </c>
      <c r="C10" s="1" t="s">
        <v>76</v>
      </c>
      <c r="D10" s="1" t="s">
        <v>49</v>
      </c>
      <c r="E10" s="1" t="s">
        <v>77</v>
      </c>
      <c r="F10" s="1" t="s">
        <v>39</v>
      </c>
      <c r="G10" s="1" t="s">
        <v>40</v>
      </c>
      <c r="H10" s="1" t="s">
        <v>35</v>
      </c>
      <c r="I10" s="1" t="s">
        <v>35</v>
      </c>
      <c r="J10" s="1" t="s">
        <v>78</v>
      </c>
      <c r="K10" s="1" t="s">
        <v>42</v>
      </c>
      <c r="L10" s="1" t="s">
        <v>79</v>
      </c>
      <c r="M10" s="1" t="s">
        <v>44</v>
      </c>
      <c r="N10" s="1" t="s">
        <v>45</v>
      </c>
      <c r="O10" s="1" t="s">
        <v>45</v>
      </c>
      <c r="P10" s="1" t="s">
        <v>46</v>
      </c>
      <c r="Q10" s="1" t="s">
        <v>47</v>
      </c>
      <c r="R10" s="1" t="s">
        <v>80</v>
      </c>
      <c r="S10" s="1" t="s">
        <v>49</v>
      </c>
      <c r="T10" s="1" t="s">
        <v>50</v>
      </c>
      <c r="U10" s="1" t="s">
        <v>51</v>
      </c>
      <c r="V10" s="1" t="s">
        <v>81</v>
      </c>
      <c r="W10" s="1" t="s">
        <v>53</v>
      </c>
      <c r="X10" s="1" t="s">
        <v>54</v>
      </c>
      <c r="Y10" s="1" t="s">
        <v>74</v>
      </c>
      <c r="Z10" s="1" t="s">
        <v>82</v>
      </c>
      <c r="AA10" s="1" t="s">
        <v>36</v>
      </c>
      <c r="AB10" s="1" t="s">
        <v>54</v>
      </c>
      <c r="AC10" s="1" t="s">
        <v>57</v>
      </c>
      <c r="AD10" s="1" t="s">
        <v>58</v>
      </c>
      <c r="AE10" s="1" t="s">
        <v>42</v>
      </c>
      <c r="AF10" s="1" t="s">
        <v>54</v>
      </c>
      <c r="AG10" s="1" t="s">
        <v>75</v>
      </c>
      <c r="AH10" s="1" t="s">
        <v>120</v>
      </c>
    </row>
    <row r="11" spans="1:34" x14ac:dyDescent="0.3">
      <c r="A11" s="1" t="s">
        <v>54</v>
      </c>
      <c r="B11" s="1" t="s">
        <v>41</v>
      </c>
      <c r="C11" s="1" t="s">
        <v>76</v>
      </c>
      <c r="D11" s="1" t="s">
        <v>83</v>
      </c>
      <c r="E11" s="1" t="s">
        <v>38</v>
      </c>
      <c r="F11" s="1" t="s">
        <v>39</v>
      </c>
      <c r="G11" s="1" t="s">
        <v>40</v>
      </c>
      <c r="H11" s="1" t="s">
        <v>35</v>
      </c>
      <c r="I11" s="1" t="s">
        <v>35</v>
      </c>
      <c r="J11" s="1" t="s">
        <v>39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45</v>
      </c>
      <c r="P11" s="1" t="s">
        <v>46</v>
      </c>
      <c r="Q11" s="1" t="s">
        <v>47</v>
      </c>
      <c r="R11" s="1" t="s">
        <v>80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53</v>
      </c>
      <c r="X11" s="1" t="s">
        <v>54</v>
      </c>
      <c r="Y11" s="1" t="s">
        <v>55</v>
      </c>
      <c r="Z11" s="1" t="s">
        <v>56</v>
      </c>
      <c r="AA11" s="1" t="s">
        <v>36</v>
      </c>
      <c r="AB11" s="1" t="s">
        <v>54</v>
      </c>
      <c r="AC11" s="1" t="s">
        <v>57</v>
      </c>
      <c r="AD11" s="1" t="s">
        <v>58</v>
      </c>
      <c r="AE11" s="1" t="s">
        <v>42</v>
      </c>
      <c r="AF11" s="1" t="s">
        <v>54</v>
      </c>
      <c r="AG11" s="1" t="s">
        <v>75</v>
      </c>
      <c r="AH11" s="1" t="s">
        <v>120</v>
      </c>
    </row>
    <row r="12" spans="1:34" x14ac:dyDescent="0.3">
      <c r="A12" s="1" t="s">
        <v>54</v>
      </c>
      <c r="B12" s="1" t="s">
        <v>35</v>
      </c>
      <c r="C12" s="1" t="s">
        <v>36</v>
      </c>
      <c r="D12" s="1" t="s">
        <v>37</v>
      </c>
      <c r="E12" s="1" t="s">
        <v>77</v>
      </c>
      <c r="F12" s="1" t="s">
        <v>39</v>
      </c>
      <c r="G12" s="1" t="s">
        <v>40</v>
      </c>
      <c r="H12" s="1" t="s">
        <v>35</v>
      </c>
      <c r="I12" s="1" t="s">
        <v>41</v>
      </c>
      <c r="J12" s="1" t="s">
        <v>39</v>
      </c>
      <c r="K12" s="1" t="s">
        <v>42</v>
      </c>
      <c r="L12" s="1" t="s">
        <v>40</v>
      </c>
      <c r="M12" s="1" t="s">
        <v>44</v>
      </c>
      <c r="N12" s="1" t="s">
        <v>49</v>
      </c>
      <c r="O12" s="1" t="s">
        <v>45</v>
      </c>
      <c r="P12" s="1" t="s">
        <v>46</v>
      </c>
      <c r="Q12" s="1" t="s">
        <v>47</v>
      </c>
      <c r="R12" s="1" t="s">
        <v>48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53</v>
      </c>
      <c r="X12" s="1" t="s">
        <v>54</v>
      </c>
      <c r="Y12" s="1" t="s">
        <v>74</v>
      </c>
      <c r="Z12" s="1" t="s">
        <v>56</v>
      </c>
      <c r="AA12" s="1" t="s">
        <v>36</v>
      </c>
      <c r="AB12" s="1" t="s">
        <v>54</v>
      </c>
      <c r="AC12" s="1" t="s">
        <v>57</v>
      </c>
      <c r="AD12" s="1" t="s">
        <v>58</v>
      </c>
      <c r="AE12" s="1" t="s">
        <v>59</v>
      </c>
      <c r="AF12" s="1" t="s">
        <v>54</v>
      </c>
      <c r="AG12" s="1" t="s">
        <v>75</v>
      </c>
      <c r="AH12" s="1" t="s">
        <v>120</v>
      </c>
    </row>
    <row r="13" spans="1:34" x14ac:dyDescent="0.3">
      <c r="A13" s="1" t="s">
        <v>54</v>
      </c>
      <c r="B13" s="1" t="s">
        <v>35</v>
      </c>
      <c r="C13" s="1" t="s">
        <v>36</v>
      </c>
      <c r="D13" s="1" t="s">
        <v>37</v>
      </c>
      <c r="E13" s="1" t="s">
        <v>77</v>
      </c>
      <c r="F13" s="1" t="s">
        <v>39</v>
      </c>
      <c r="G13" s="1" t="s">
        <v>40</v>
      </c>
      <c r="H13" s="1" t="s">
        <v>35</v>
      </c>
      <c r="I13" s="1" t="s">
        <v>35</v>
      </c>
      <c r="J13" s="1" t="s">
        <v>39</v>
      </c>
      <c r="K13" s="1" t="s">
        <v>42</v>
      </c>
      <c r="L13" s="1" t="s">
        <v>40</v>
      </c>
      <c r="M13" s="1" t="s">
        <v>84</v>
      </c>
      <c r="N13" s="1" t="s">
        <v>49</v>
      </c>
      <c r="O13" s="1" t="s">
        <v>45</v>
      </c>
      <c r="P13" s="1" t="s">
        <v>46</v>
      </c>
      <c r="Q13" s="1" t="s">
        <v>47</v>
      </c>
      <c r="R13" s="1" t="s">
        <v>80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53</v>
      </c>
      <c r="X13" s="1" t="s">
        <v>54</v>
      </c>
      <c r="Y13" s="1" t="s">
        <v>55</v>
      </c>
      <c r="Z13" s="1" t="s">
        <v>82</v>
      </c>
      <c r="AA13" s="1" t="s">
        <v>36</v>
      </c>
      <c r="AB13" s="1" t="s">
        <v>54</v>
      </c>
      <c r="AC13" s="1" t="s">
        <v>57</v>
      </c>
      <c r="AD13" s="1" t="s">
        <v>58</v>
      </c>
      <c r="AE13" s="1" t="s">
        <v>59</v>
      </c>
      <c r="AF13" s="1" t="s">
        <v>54</v>
      </c>
      <c r="AG13" s="1" t="s">
        <v>75</v>
      </c>
      <c r="AH13" s="1" t="s">
        <v>120</v>
      </c>
    </row>
    <row r="14" spans="1:34" x14ac:dyDescent="0.3">
      <c r="A14" s="1" t="s">
        <v>85</v>
      </c>
      <c r="B14" s="1" t="s">
        <v>35</v>
      </c>
      <c r="C14" s="1" t="s">
        <v>36</v>
      </c>
      <c r="D14" s="1" t="s">
        <v>37</v>
      </c>
      <c r="E14" s="1" t="s">
        <v>77</v>
      </c>
      <c r="F14" s="1" t="s">
        <v>39</v>
      </c>
      <c r="G14" s="1" t="s">
        <v>40</v>
      </c>
      <c r="H14" s="1" t="s">
        <v>35</v>
      </c>
      <c r="I14" s="1" t="s">
        <v>35</v>
      </c>
      <c r="J14" s="1" t="s">
        <v>39</v>
      </c>
      <c r="K14" s="1" t="s">
        <v>42</v>
      </c>
      <c r="L14" s="1" t="s">
        <v>43</v>
      </c>
      <c r="M14" s="1" t="s">
        <v>84</v>
      </c>
      <c r="N14" s="1" t="s">
        <v>49</v>
      </c>
      <c r="O14" s="1" t="s">
        <v>45</v>
      </c>
      <c r="P14" s="1" t="s">
        <v>46</v>
      </c>
      <c r="Q14" s="1" t="s">
        <v>47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54</v>
      </c>
      <c r="Y14" s="1" t="s">
        <v>55</v>
      </c>
      <c r="Z14" s="1" t="s">
        <v>56</v>
      </c>
      <c r="AA14" s="1" t="s">
        <v>36</v>
      </c>
      <c r="AB14" s="1" t="s">
        <v>54</v>
      </c>
      <c r="AC14" s="1" t="s">
        <v>57</v>
      </c>
      <c r="AD14" s="1" t="s">
        <v>58</v>
      </c>
      <c r="AE14" s="1" t="s">
        <v>59</v>
      </c>
      <c r="AF14" s="1" t="s">
        <v>54</v>
      </c>
      <c r="AG14" s="1" t="s">
        <v>60</v>
      </c>
      <c r="AH14" s="1" t="s">
        <v>121</v>
      </c>
    </row>
    <row r="15" spans="1:34" x14ac:dyDescent="0.3">
      <c r="A15" s="1" t="s">
        <v>85</v>
      </c>
      <c r="B15" s="1" t="s">
        <v>41</v>
      </c>
      <c r="C15" s="1" t="s">
        <v>76</v>
      </c>
      <c r="D15" s="1" t="s">
        <v>49</v>
      </c>
      <c r="E15" s="1" t="s">
        <v>77</v>
      </c>
      <c r="F15" s="1" t="s">
        <v>86</v>
      </c>
      <c r="G15" s="1" t="s">
        <v>40</v>
      </c>
      <c r="H15" s="1" t="s">
        <v>41</v>
      </c>
      <c r="I15" s="1" t="s">
        <v>87</v>
      </c>
      <c r="J15" s="1" t="s">
        <v>39</v>
      </c>
      <c r="K15" s="1" t="s">
        <v>42</v>
      </c>
      <c r="L15" s="1" t="s">
        <v>88</v>
      </c>
      <c r="M15" s="1" t="s">
        <v>53</v>
      </c>
      <c r="N15" s="1" t="s">
        <v>45</v>
      </c>
      <c r="O15" s="1" t="s">
        <v>45</v>
      </c>
      <c r="P15" s="1" t="s">
        <v>46</v>
      </c>
      <c r="Q15" s="1" t="s">
        <v>47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53</v>
      </c>
      <c r="X15" s="1" t="s">
        <v>54</v>
      </c>
      <c r="Y15" s="1" t="s">
        <v>55</v>
      </c>
      <c r="Z15" s="1" t="s">
        <v>56</v>
      </c>
      <c r="AA15" s="1" t="s">
        <v>36</v>
      </c>
      <c r="AB15" s="1" t="s">
        <v>54</v>
      </c>
      <c r="AC15" s="1" t="s">
        <v>89</v>
      </c>
      <c r="AD15" s="1" t="s">
        <v>58</v>
      </c>
      <c r="AE15" s="1" t="s">
        <v>42</v>
      </c>
      <c r="AF15" s="1" t="s">
        <v>54</v>
      </c>
      <c r="AG15" s="1" t="s">
        <v>75</v>
      </c>
      <c r="AH15" s="1" t="s">
        <v>120</v>
      </c>
    </row>
    <row r="16" spans="1:34" x14ac:dyDescent="0.3">
      <c r="A16" s="1" t="s">
        <v>34</v>
      </c>
      <c r="B16" s="1" t="s">
        <v>41</v>
      </c>
      <c r="C16" s="1" t="s">
        <v>76</v>
      </c>
      <c r="D16" s="1" t="s">
        <v>37</v>
      </c>
      <c r="E16" s="1" t="s">
        <v>77</v>
      </c>
      <c r="F16" s="1" t="s">
        <v>86</v>
      </c>
      <c r="G16" s="1" t="s">
        <v>40</v>
      </c>
      <c r="H16" s="1" t="s">
        <v>41</v>
      </c>
      <c r="I16" s="1" t="s">
        <v>90</v>
      </c>
      <c r="J16" s="1" t="s">
        <v>39</v>
      </c>
      <c r="K16" s="1" t="s">
        <v>42</v>
      </c>
      <c r="L16" s="1" t="s">
        <v>43</v>
      </c>
      <c r="M16" s="1" t="s">
        <v>44</v>
      </c>
      <c r="N16" s="1" t="s">
        <v>45</v>
      </c>
      <c r="O16" s="1" t="s">
        <v>45</v>
      </c>
      <c r="P16" s="1" t="s">
        <v>46</v>
      </c>
      <c r="Q16" s="1" t="s">
        <v>47</v>
      </c>
      <c r="R16" s="1" t="s">
        <v>48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53</v>
      </c>
      <c r="X16" s="1" t="s">
        <v>91</v>
      </c>
      <c r="Y16" s="1" t="s">
        <v>55</v>
      </c>
      <c r="Z16" s="1" t="s">
        <v>56</v>
      </c>
      <c r="AA16" s="1" t="s">
        <v>36</v>
      </c>
      <c r="AB16" s="1" t="s">
        <v>54</v>
      </c>
      <c r="AC16" s="1" t="s">
        <v>57</v>
      </c>
      <c r="AD16" s="1" t="s">
        <v>58</v>
      </c>
      <c r="AE16" s="1" t="s">
        <v>42</v>
      </c>
      <c r="AF16" s="1" t="s">
        <v>54</v>
      </c>
      <c r="AG16" s="1" t="s">
        <v>60</v>
      </c>
      <c r="AH16" s="1" t="s">
        <v>120</v>
      </c>
    </row>
    <row r="17" spans="1:34" x14ac:dyDescent="0.3">
      <c r="A17" s="1" t="s">
        <v>74</v>
      </c>
      <c r="B17" s="1" t="s">
        <v>87</v>
      </c>
      <c r="C17" s="1" t="s">
        <v>82</v>
      </c>
      <c r="D17" s="1" t="s">
        <v>49</v>
      </c>
      <c r="E17" s="1" t="s">
        <v>77</v>
      </c>
      <c r="F17" s="1" t="s">
        <v>39</v>
      </c>
      <c r="G17" s="1" t="s">
        <v>40</v>
      </c>
      <c r="H17" s="1" t="s">
        <v>35</v>
      </c>
      <c r="I17" s="1" t="s">
        <v>35</v>
      </c>
      <c r="J17" s="1" t="s">
        <v>92</v>
      </c>
      <c r="K17" s="1" t="s">
        <v>42</v>
      </c>
      <c r="L17" s="1" t="s">
        <v>43</v>
      </c>
      <c r="M17" s="1" t="s">
        <v>53</v>
      </c>
      <c r="N17" s="1" t="s">
        <v>45</v>
      </c>
      <c r="O17" s="1" t="s">
        <v>45</v>
      </c>
      <c r="P17" s="1" t="s">
        <v>46</v>
      </c>
      <c r="Q17" s="1" t="s">
        <v>93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53</v>
      </c>
      <c r="X17" s="1" t="s">
        <v>54</v>
      </c>
      <c r="Y17" s="1" t="s">
        <v>55</v>
      </c>
      <c r="Z17" s="1" t="s">
        <v>56</v>
      </c>
      <c r="AA17" s="1" t="s">
        <v>36</v>
      </c>
      <c r="AB17" s="1" t="s">
        <v>54</v>
      </c>
      <c r="AC17" s="1" t="s">
        <v>57</v>
      </c>
      <c r="AD17" s="1" t="s">
        <v>58</v>
      </c>
      <c r="AE17" s="1" t="s">
        <v>59</v>
      </c>
      <c r="AF17" s="1" t="s">
        <v>54</v>
      </c>
      <c r="AG17" s="1" t="s">
        <v>75</v>
      </c>
      <c r="AH17" s="1" t="s">
        <v>120</v>
      </c>
    </row>
    <row r="18" spans="1:34" x14ac:dyDescent="0.3">
      <c r="A18" s="1" t="s">
        <v>91</v>
      </c>
      <c r="B18" s="1" t="s">
        <v>41</v>
      </c>
      <c r="C18" s="1" t="s">
        <v>76</v>
      </c>
      <c r="D18" s="1" t="s">
        <v>37</v>
      </c>
      <c r="E18" s="1" t="s">
        <v>77</v>
      </c>
      <c r="F18" s="1" t="s">
        <v>39</v>
      </c>
      <c r="G18" s="1" t="s">
        <v>40</v>
      </c>
      <c r="H18" s="1" t="s">
        <v>35</v>
      </c>
      <c r="I18" s="1" t="s">
        <v>35</v>
      </c>
      <c r="J18" s="1" t="s">
        <v>39</v>
      </c>
      <c r="K18" s="1" t="s">
        <v>42</v>
      </c>
      <c r="L18" s="1" t="s">
        <v>79</v>
      </c>
      <c r="M18" s="1" t="s">
        <v>44</v>
      </c>
      <c r="N18" s="1" t="s">
        <v>45</v>
      </c>
      <c r="O18" s="1" t="s">
        <v>45</v>
      </c>
      <c r="P18" s="1" t="s">
        <v>46</v>
      </c>
      <c r="Q18" s="1" t="s">
        <v>47</v>
      </c>
      <c r="R18" s="1" t="s">
        <v>80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53</v>
      </c>
      <c r="X18" s="1" t="s">
        <v>54</v>
      </c>
      <c r="Y18" s="1" t="s">
        <v>74</v>
      </c>
      <c r="Z18" s="1" t="s">
        <v>82</v>
      </c>
      <c r="AA18" s="1" t="s">
        <v>36</v>
      </c>
      <c r="AB18" s="1" t="s">
        <v>54</v>
      </c>
      <c r="AC18" s="1" t="s">
        <v>57</v>
      </c>
      <c r="AD18" s="1" t="s">
        <v>58</v>
      </c>
      <c r="AE18" s="1" t="s">
        <v>42</v>
      </c>
      <c r="AF18" s="1" t="s">
        <v>54</v>
      </c>
      <c r="AG18" s="1" t="s">
        <v>75</v>
      </c>
      <c r="AH18" s="1" t="s">
        <v>120</v>
      </c>
    </row>
    <row r="19" spans="1:34" x14ac:dyDescent="0.3">
      <c r="A19" s="1" t="s">
        <v>54</v>
      </c>
      <c r="B19" s="1" t="s">
        <v>41</v>
      </c>
      <c r="C19" s="1" t="s">
        <v>76</v>
      </c>
      <c r="D19" s="1" t="s">
        <v>49</v>
      </c>
      <c r="E19" s="1" t="s">
        <v>77</v>
      </c>
      <c r="F19" s="1" t="s">
        <v>39</v>
      </c>
      <c r="G19" s="1" t="s">
        <v>40</v>
      </c>
      <c r="H19" s="1" t="s">
        <v>35</v>
      </c>
      <c r="I19" s="1" t="s">
        <v>94</v>
      </c>
      <c r="J19" s="1" t="s">
        <v>39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45</v>
      </c>
      <c r="P19" s="1" t="s">
        <v>46</v>
      </c>
      <c r="Q19" s="1" t="s">
        <v>47</v>
      </c>
      <c r="R19" s="1" t="s">
        <v>48</v>
      </c>
      <c r="S19" s="1" t="s">
        <v>49</v>
      </c>
      <c r="T19" s="1" t="s">
        <v>50</v>
      </c>
      <c r="U19" s="1" t="s">
        <v>51</v>
      </c>
      <c r="V19" s="1" t="s">
        <v>52</v>
      </c>
      <c r="W19" s="1" t="s">
        <v>95</v>
      </c>
      <c r="X19" s="1" t="s">
        <v>54</v>
      </c>
      <c r="Y19" s="1" t="s">
        <v>55</v>
      </c>
      <c r="Z19" s="1" t="s">
        <v>56</v>
      </c>
      <c r="AA19" s="1" t="s">
        <v>76</v>
      </c>
      <c r="AB19" s="1" t="s">
        <v>54</v>
      </c>
      <c r="AC19" s="1" t="s">
        <v>57</v>
      </c>
      <c r="AD19" s="1" t="s">
        <v>58</v>
      </c>
      <c r="AE19" s="1" t="s">
        <v>42</v>
      </c>
      <c r="AF19" s="1" t="s">
        <v>54</v>
      </c>
      <c r="AG19" s="1" t="s">
        <v>75</v>
      </c>
      <c r="AH19" s="1" t="s">
        <v>120</v>
      </c>
    </row>
    <row r="20" spans="1:34" x14ac:dyDescent="0.3">
      <c r="A20" s="1" t="s">
        <v>54</v>
      </c>
      <c r="B20" s="1" t="s">
        <v>41</v>
      </c>
      <c r="C20" s="1" t="s">
        <v>76</v>
      </c>
      <c r="D20" s="1" t="s">
        <v>37</v>
      </c>
      <c r="E20" s="1" t="s">
        <v>77</v>
      </c>
      <c r="F20" s="1" t="s">
        <v>39</v>
      </c>
      <c r="G20" s="1" t="s">
        <v>40</v>
      </c>
      <c r="H20" s="1" t="s">
        <v>35</v>
      </c>
      <c r="I20" s="1" t="s">
        <v>35</v>
      </c>
      <c r="J20" s="1" t="s">
        <v>78</v>
      </c>
      <c r="K20" s="1" t="s">
        <v>42</v>
      </c>
      <c r="L20" s="1" t="s">
        <v>43</v>
      </c>
      <c r="M20" s="1" t="s">
        <v>44</v>
      </c>
      <c r="N20" s="1" t="s">
        <v>45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81</v>
      </c>
      <c r="W20" s="1" t="s">
        <v>53</v>
      </c>
      <c r="X20" s="1" t="s">
        <v>54</v>
      </c>
      <c r="Y20" s="1" t="s">
        <v>55</v>
      </c>
      <c r="Z20" s="1" t="s">
        <v>56</v>
      </c>
      <c r="AA20" s="1" t="s">
        <v>36</v>
      </c>
      <c r="AB20" s="1" t="s">
        <v>54</v>
      </c>
      <c r="AC20" s="1" t="s">
        <v>57</v>
      </c>
      <c r="AD20" s="1" t="s">
        <v>58</v>
      </c>
      <c r="AE20" s="1" t="s">
        <v>42</v>
      </c>
      <c r="AF20" s="1" t="s">
        <v>54</v>
      </c>
      <c r="AG20" s="1" t="s">
        <v>75</v>
      </c>
      <c r="AH20" s="1" t="s">
        <v>120</v>
      </c>
    </row>
    <row r="21" spans="1:34" x14ac:dyDescent="0.3">
      <c r="A21" s="1" t="s">
        <v>54</v>
      </c>
      <c r="B21" s="1" t="s">
        <v>41</v>
      </c>
      <c r="C21" s="1" t="s">
        <v>76</v>
      </c>
      <c r="D21" s="1" t="s">
        <v>37</v>
      </c>
      <c r="E21" s="1" t="s">
        <v>38</v>
      </c>
      <c r="F21" s="1" t="s">
        <v>39</v>
      </c>
      <c r="G21" s="1" t="s">
        <v>40</v>
      </c>
      <c r="H21" s="1" t="s">
        <v>41</v>
      </c>
      <c r="I21" s="1" t="s">
        <v>41</v>
      </c>
      <c r="J21" s="1" t="s">
        <v>96</v>
      </c>
      <c r="K21" s="1" t="s">
        <v>97</v>
      </c>
      <c r="L21" s="1" t="s">
        <v>66</v>
      </c>
      <c r="M21" s="1" t="s">
        <v>44</v>
      </c>
      <c r="N21" s="1" t="s">
        <v>81</v>
      </c>
      <c r="O21" s="1" t="s">
        <v>81</v>
      </c>
      <c r="P21" s="1" t="s">
        <v>50</v>
      </c>
      <c r="Q21" s="1" t="s">
        <v>47</v>
      </c>
      <c r="R21" s="1" t="s">
        <v>80</v>
      </c>
      <c r="S21" s="1" t="s">
        <v>49</v>
      </c>
      <c r="T21" s="1" t="s">
        <v>50</v>
      </c>
      <c r="U21" s="1" t="s">
        <v>51</v>
      </c>
      <c r="V21" s="1" t="s">
        <v>81</v>
      </c>
      <c r="W21" s="1" t="s">
        <v>53</v>
      </c>
      <c r="X21" s="1" t="s">
        <v>54</v>
      </c>
      <c r="Y21" s="1" t="s">
        <v>55</v>
      </c>
      <c r="Z21" s="1" t="s">
        <v>82</v>
      </c>
      <c r="AA21" s="1" t="s">
        <v>36</v>
      </c>
      <c r="AB21" s="1" t="s">
        <v>54</v>
      </c>
      <c r="AC21" s="1" t="s">
        <v>57</v>
      </c>
      <c r="AD21" s="1" t="s">
        <v>58</v>
      </c>
      <c r="AE21" s="1" t="s">
        <v>59</v>
      </c>
      <c r="AF21" s="1" t="s">
        <v>54</v>
      </c>
      <c r="AG21" s="1" t="s">
        <v>98</v>
      </c>
      <c r="AH21" s="1" t="s">
        <v>120</v>
      </c>
    </row>
    <row r="22" spans="1:34" x14ac:dyDescent="0.3">
      <c r="A22" s="1" t="s">
        <v>91</v>
      </c>
      <c r="B22" s="1" t="s">
        <v>41</v>
      </c>
      <c r="C22" s="1" t="s">
        <v>76</v>
      </c>
      <c r="D22" s="1" t="s">
        <v>83</v>
      </c>
      <c r="E22" s="1" t="s">
        <v>38</v>
      </c>
      <c r="F22" s="1" t="s">
        <v>39</v>
      </c>
      <c r="G22" s="1" t="s">
        <v>40</v>
      </c>
      <c r="H22" s="1" t="s">
        <v>35</v>
      </c>
      <c r="I22" s="1" t="s">
        <v>94</v>
      </c>
      <c r="J22" s="1" t="s">
        <v>39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45</v>
      </c>
      <c r="P22" s="1" t="s">
        <v>46</v>
      </c>
      <c r="Q22" s="1" t="s">
        <v>47</v>
      </c>
      <c r="R22" s="1" t="s">
        <v>48</v>
      </c>
      <c r="S22" s="1" t="s">
        <v>49</v>
      </c>
      <c r="T22" s="1" t="s">
        <v>50</v>
      </c>
      <c r="U22" s="1" t="s">
        <v>51</v>
      </c>
      <c r="V22" s="1" t="s">
        <v>52</v>
      </c>
      <c r="W22" s="1" t="s">
        <v>53</v>
      </c>
      <c r="X22" s="1" t="s">
        <v>54</v>
      </c>
      <c r="Y22" s="1" t="s">
        <v>74</v>
      </c>
      <c r="Z22" s="1" t="s">
        <v>56</v>
      </c>
      <c r="AA22" s="1" t="s">
        <v>36</v>
      </c>
      <c r="AB22" s="1" t="s">
        <v>54</v>
      </c>
      <c r="AC22" s="1" t="s">
        <v>57</v>
      </c>
      <c r="AD22" s="1" t="s">
        <v>58</v>
      </c>
      <c r="AE22" s="1" t="s">
        <v>42</v>
      </c>
      <c r="AF22" s="1" t="s">
        <v>54</v>
      </c>
      <c r="AG22" s="1" t="s">
        <v>75</v>
      </c>
      <c r="AH22" s="1" t="s">
        <v>120</v>
      </c>
    </row>
    <row r="23" spans="1:34" x14ac:dyDescent="0.3">
      <c r="A23" s="1" t="s">
        <v>99</v>
      </c>
      <c r="B23" s="1" t="s">
        <v>41</v>
      </c>
      <c r="C23" s="1" t="s">
        <v>76</v>
      </c>
      <c r="D23" s="1" t="s">
        <v>83</v>
      </c>
      <c r="E23" s="1" t="s">
        <v>38</v>
      </c>
      <c r="F23" s="1" t="s">
        <v>39</v>
      </c>
      <c r="G23" s="1" t="s">
        <v>40</v>
      </c>
      <c r="H23" s="1" t="s">
        <v>35</v>
      </c>
      <c r="I23" s="1" t="s">
        <v>94</v>
      </c>
      <c r="J23" s="1" t="s">
        <v>39</v>
      </c>
      <c r="K23" s="1" t="s">
        <v>42</v>
      </c>
      <c r="L23" s="1" t="s">
        <v>43</v>
      </c>
      <c r="M23" s="1" t="s">
        <v>44</v>
      </c>
      <c r="N23" s="1" t="s">
        <v>45</v>
      </c>
      <c r="O23" s="1" t="s">
        <v>45</v>
      </c>
      <c r="P23" s="1" t="s">
        <v>46</v>
      </c>
      <c r="Q23" s="1" t="s">
        <v>47</v>
      </c>
      <c r="R23" s="1" t="s">
        <v>48</v>
      </c>
      <c r="S23" s="1" t="s">
        <v>49</v>
      </c>
      <c r="T23" s="1" t="s">
        <v>50</v>
      </c>
      <c r="U23" s="1" t="s">
        <v>51</v>
      </c>
      <c r="V23" s="1" t="s">
        <v>52</v>
      </c>
      <c r="W23" s="1" t="s">
        <v>53</v>
      </c>
      <c r="X23" s="1" t="s">
        <v>54</v>
      </c>
      <c r="Y23" s="1" t="s">
        <v>74</v>
      </c>
      <c r="Z23" s="1" t="s">
        <v>56</v>
      </c>
      <c r="AA23" s="1" t="s">
        <v>36</v>
      </c>
      <c r="AB23" s="1" t="s">
        <v>54</v>
      </c>
      <c r="AC23" s="1" t="s">
        <v>57</v>
      </c>
      <c r="AD23" s="1" t="s">
        <v>58</v>
      </c>
      <c r="AE23" s="1" t="s">
        <v>42</v>
      </c>
      <c r="AF23" s="1" t="s">
        <v>54</v>
      </c>
      <c r="AG23" s="1" t="s">
        <v>75</v>
      </c>
      <c r="AH23" s="1" t="s">
        <v>120</v>
      </c>
    </row>
    <row r="24" spans="1:34" x14ac:dyDescent="0.3">
      <c r="A24" s="1" t="s">
        <v>91</v>
      </c>
      <c r="B24" s="1" t="s">
        <v>41</v>
      </c>
      <c r="C24" s="1" t="s">
        <v>76</v>
      </c>
      <c r="D24" s="1" t="s">
        <v>37</v>
      </c>
      <c r="E24" s="1" t="s">
        <v>77</v>
      </c>
      <c r="F24" s="1" t="s">
        <v>39</v>
      </c>
      <c r="G24" s="1" t="s">
        <v>40</v>
      </c>
      <c r="H24" s="1" t="s">
        <v>35</v>
      </c>
      <c r="I24" s="1" t="s">
        <v>94</v>
      </c>
      <c r="J24" s="1" t="s">
        <v>39</v>
      </c>
      <c r="K24" s="1" t="s">
        <v>42</v>
      </c>
      <c r="L24" s="1" t="s">
        <v>43</v>
      </c>
      <c r="M24" s="1" t="s">
        <v>44</v>
      </c>
      <c r="N24" s="1" t="s">
        <v>45</v>
      </c>
      <c r="O24" s="1" t="s">
        <v>45</v>
      </c>
      <c r="P24" s="1" t="s">
        <v>46</v>
      </c>
      <c r="Q24" s="1" t="s">
        <v>47</v>
      </c>
      <c r="R24" s="1" t="s">
        <v>48</v>
      </c>
      <c r="S24" s="1" t="s">
        <v>49</v>
      </c>
      <c r="T24" s="1" t="s">
        <v>50</v>
      </c>
      <c r="U24" s="1" t="s">
        <v>51</v>
      </c>
      <c r="V24" s="1" t="s">
        <v>52</v>
      </c>
      <c r="W24" s="1" t="s">
        <v>53</v>
      </c>
      <c r="X24" s="1" t="s">
        <v>91</v>
      </c>
      <c r="Y24" s="1" t="s">
        <v>74</v>
      </c>
      <c r="Z24" s="1" t="s">
        <v>56</v>
      </c>
      <c r="AA24" s="1" t="s">
        <v>36</v>
      </c>
      <c r="AB24" s="1" t="s">
        <v>54</v>
      </c>
      <c r="AC24" s="1" t="s">
        <v>57</v>
      </c>
      <c r="AD24" s="1" t="s">
        <v>58</v>
      </c>
      <c r="AE24" s="1" t="s">
        <v>42</v>
      </c>
      <c r="AF24" s="1" t="s">
        <v>54</v>
      </c>
      <c r="AG24" s="1" t="s">
        <v>75</v>
      </c>
      <c r="AH24" s="1" t="s">
        <v>120</v>
      </c>
    </row>
    <row r="25" spans="1:34" x14ac:dyDescent="0.3">
      <c r="A25" s="1" t="s">
        <v>74</v>
      </c>
      <c r="B25" s="1" t="s">
        <v>41</v>
      </c>
      <c r="C25" s="1" t="s">
        <v>76</v>
      </c>
      <c r="D25" s="1" t="s">
        <v>37</v>
      </c>
      <c r="E25" s="1" t="s">
        <v>77</v>
      </c>
      <c r="F25" s="1" t="s">
        <v>39</v>
      </c>
      <c r="G25" s="1" t="s">
        <v>40</v>
      </c>
      <c r="H25" s="1" t="s">
        <v>35</v>
      </c>
      <c r="I25" s="1" t="s">
        <v>35</v>
      </c>
      <c r="J25" s="1" t="s">
        <v>39</v>
      </c>
      <c r="K25" s="1" t="s">
        <v>42</v>
      </c>
      <c r="L25" s="1" t="s">
        <v>43</v>
      </c>
      <c r="M25" s="1" t="s">
        <v>44</v>
      </c>
      <c r="N25" s="1" t="s">
        <v>45</v>
      </c>
      <c r="O25" s="1" t="s">
        <v>45</v>
      </c>
      <c r="P25" s="1" t="s">
        <v>46</v>
      </c>
      <c r="Q25" s="1" t="s">
        <v>47</v>
      </c>
      <c r="R25" s="1" t="s">
        <v>80</v>
      </c>
      <c r="S25" s="1" t="s">
        <v>49</v>
      </c>
      <c r="T25" s="1" t="s">
        <v>50</v>
      </c>
      <c r="U25" s="1" t="s">
        <v>51</v>
      </c>
      <c r="V25" s="1" t="s">
        <v>52</v>
      </c>
      <c r="W25" s="1" t="s">
        <v>53</v>
      </c>
      <c r="X25" s="1" t="s">
        <v>54</v>
      </c>
      <c r="Y25" s="1" t="s">
        <v>55</v>
      </c>
      <c r="Z25" s="1" t="s">
        <v>82</v>
      </c>
      <c r="AA25" s="1" t="s">
        <v>36</v>
      </c>
      <c r="AB25" s="1" t="s">
        <v>54</v>
      </c>
      <c r="AC25" s="1" t="s">
        <v>57</v>
      </c>
      <c r="AD25" s="1" t="s">
        <v>58</v>
      </c>
      <c r="AE25" s="1" t="s">
        <v>42</v>
      </c>
      <c r="AF25" s="1" t="s">
        <v>54</v>
      </c>
      <c r="AG25" s="1" t="s">
        <v>75</v>
      </c>
      <c r="AH25" s="1" t="s">
        <v>120</v>
      </c>
    </row>
    <row r="26" spans="1:34" x14ac:dyDescent="0.3">
      <c r="A26" s="1" t="s">
        <v>74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65</v>
      </c>
      <c r="G26" s="1" t="s">
        <v>66</v>
      </c>
      <c r="H26" s="1" t="s">
        <v>61</v>
      </c>
      <c r="I26" s="1" t="s">
        <v>61</v>
      </c>
      <c r="J26" s="1" t="s">
        <v>65</v>
      </c>
      <c r="K26" s="1" t="s">
        <v>67</v>
      </c>
      <c r="L26" s="1" t="s">
        <v>66</v>
      </c>
      <c r="M26" s="1" t="s">
        <v>68</v>
      </c>
      <c r="N26" s="1" t="s">
        <v>63</v>
      </c>
      <c r="O26" s="1" t="s">
        <v>63</v>
      </c>
      <c r="P26" s="1" t="s">
        <v>69</v>
      </c>
      <c r="Q26" s="1" t="s">
        <v>70</v>
      </c>
      <c r="R26" s="1" t="s">
        <v>71</v>
      </c>
      <c r="S26" s="1" t="s">
        <v>63</v>
      </c>
      <c r="T26" s="1" t="s">
        <v>69</v>
      </c>
      <c r="U26" s="1" t="s">
        <v>69</v>
      </c>
      <c r="V26" s="1" t="s">
        <v>63</v>
      </c>
      <c r="W26" s="1" t="s">
        <v>68</v>
      </c>
      <c r="X26" s="1" t="s">
        <v>72</v>
      </c>
      <c r="Y26" s="1" t="s">
        <v>72</v>
      </c>
      <c r="Z26" s="1" t="s">
        <v>62</v>
      </c>
      <c r="AA26" s="1" t="s">
        <v>62</v>
      </c>
      <c r="AB26" s="1" t="s">
        <v>72</v>
      </c>
      <c r="AC26" s="1" t="s">
        <v>73</v>
      </c>
      <c r="AD26" s="1" t="s">
        <v>73</v>
      </c>
      <c r="AE26" s="1" t="s">
        <v>67</v>
      </c>
      <c r="AF26" s="1" t="s">
        <v>72</v>
      </c>
      <c r="AG26" s="1" t="s">
        <v>71</v>
      </c>
      <c r="AH26" s="1" t="s">
        <v>120</v>
      </c>
    </row>
    <row r="27" spans="1:34" x14ac:dyDescent="0.3">
      <c r="A27" s="1" t="s">
        <v>34</v>
      </c>
      <c r="B27" s="1" t="s">
        <v>41</v>
      </c>
      <c r="C27" s="1" t="s">
        <v>76</v>
      </c>
      <c r="D27" s="1" t="s">
        <v>49</v>
      </c>
      <c r="E27" s="1" t="s">
        <v>77</v>
      </c>
      <c r="F27" s="1" t="s">
        <v>39</v>
      </c>
      <c r="G27" s="1" t="s">
        <v>40</v>
      </c>
      <c r="H27" s="1" t="s">
        <v>35</v>
      </c>
      <c r="I27" s="1" t="s">
        <v>35</v>
      </c>
      <c r="J27" s="1" t="s">
        <v>39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74</v>
      </c>
      <c r="Z27" s="1" t="s">
        <v>82</v>
      </c>
      <c r="AA27" s="1" t="s">
        <v>36</v>
      </c>
      <c r="AB27" s="1" t="s">
        <v>54</v>
      </c>
      <c r="AC27" s="1" t="s">
        <v>57</v>
      </c>
      <c r="AD27" s="1" t="s">
        <v>58</v>
      </c>
      <c r="AE27" s="1" t="s">
        <v>42</v>
      </c>
      <c r="AF27" s="1" t="s">
        <v>54</v>
      </c>
      <c r="AG27" s="1" t="s">
        <v>75</v>
      </c>
      <c r="AH27" s="1" t="s">
        <v>120</v>
      </c>
    </row>
    <row r="28" spans="1:34" x14ac:dyDescent="0.3">
      <c r="A28" s="1" t="s">
        <v>91</v>
      </c>
      <c r="B28" s="1" t="s">
        <v>41</v>
      </c>
      <c r="C28" s="1" t="s">
        <v>82</v>
      </c>
      <c r="D28" s="1" t="s">
        <v>49</v>
      </c>
      <c r="E28" s="1" t="s">
        <v>77</v>
      </c>
      <c r="F28" s="1" t="s">
        <v>86</v>
      </c>
      <c r="G28" s="1" t="s">
        <v>40</v>
      </c>
      <c r="H28" s="1" t="s">
        <v>41</v>
      </c>
      <c r="I28" s="1" t="s">
        <v>35</v>
      </c>
      <c r="J28" s="1" t="s">
        <v>39</v>
      </c>
      <c r="K28" s="1" t="s">
        <v>42</v>
      </c>
      <c r="L28" s="1" t="s">
        <v>40</v>
      </c>
      <c r="M28" s="1" t="s">
        <v>44</v>
      </c>
      <c r="N28" s="1" t="s">
        <v>45</v>
      </c>
      <c r="O28" s="1" t="s">
        <v>45</v>
      </c>
      <c r="P28" s="1" t="s">
        <v>46</v>
      </c>
      <c r="Q28" s="1" t="s">
        <v>47</v>
      </c>
      <c r="R28" s="1" t="s">
        <v>48</v>
      </c>
      <c r="S28" s="1" t="s">
        <v>49</v>
      </c>
      <c r="T28" s="1" t="s">
        <v>50</v>
      </c>
      <c r="U28" s="1" t="s">
        <v>51</v>
      </c>
      <c r="V28" s="1" t="s">
        <v>52</v>
      </c>
      <c r="W28" s="1" t="s">
        <v>53</v>
      </c>
      <c r="X28" s="1" t="s">
        <v>54</v>
      </c>
      <c r="Y28" s="1" t="s">
        <v>55</v>
      </c>
      <c r="Z28" s="1" t="s">
        <v>56</v>
      </c>
      <c r="AA28" s="1" t="s">
        <v>36</v>
      </c>
      <c r="AB28" s="1" t="s">
        <v>54</v>
      </c>
      <c r="AC28" s="1" t="s">
        <v>57</v>
      </c>
      <c r="AD28" s="1" t="s">
        <v>58</v>
      </c>
      <c r="AE28" s="1" t="s">
        <v>59</v>
      </c>
      <c r="AF28" s="1" t="s">
        <v>54</v>
      </c>
      <c r="AG28" s="1" t="s">
        <v>75</v>
      </c>
      <c r="AH28" s="1" t="s">
        <v>120</v>
      </c>
    </row>
    <row r="29" spans="1:34" x14ac:dyDescent="0.3">
      <c r="A29" s="1" t="s">
        <v>99</v>
      </c>
      <c r="B29" s="1" t="s">
        <v>35</v>
      </c>
      <c r="C29" s="1" t="s">
        <v>36</v>
      </c>
      <c r="D29" s="1" t="s">
        <v>83</v>
      </c>
      <c r="E29" s="1" t="s">
        <v>38</v>
      </c>
      <c r="F29" s="1" t="s">
        <v>39</v>
      </c>
      <c r="G29" s="1" t="s">
        <v>40</v>
      </c>
      <c r="H29" s="1" t="s">
        <v>35</v>
      </c>
      <c r="I29" s="1" t="s">
        <v>35</v>
      </c>
      <c r="J29" s="1" t="s">
        <v>39</v>
      </c>
      <c r="K29" s="1" t="s">
        <v>59</v>
      </c>
      <c r="L29" s="1" t="s">
        <v>66</v>
      </c>
      <c r="M29" s="1" t="s">
        <v>44</v>
      </c>
      <c r="N29" s="1" t="s">
        <v>45</v>
      </c>
      <c r="O29" s="1" t="s">
        <v>45</v>
      </c>
      <c r="P29" s="1" t="s">
        <v>46</v>
      </c>
      <c r="Q29" s="1" t="s">
        <v>47</v>
      </c>
      <c r="R29" s="1" t="s">
        <v>48</v>
      </c>
      <c r="S29" s="1" t="s">
        <v>49</v>
      </c>
      <c r="T29" s="1" t="s">
        <v>50</v>
      </c>
      <c r="U29" s="1" t="s">
        <v>51</v>
      </c>
      <c r="V29" s="1" t="s">
        <v>52</v>
      </c>
      <c r="W29" s="1" t="s">
        <v>53</v>
      </c>
      <c r="X29" s="1" t="s">
        <v>54</v>
      </c>
      <c r="Y29" s="1" t="s">
        <v>55</v>
      </c>
      <c r="Z29" s="1" t="s">
        <v>56</v>
      </c>
      <c r="AA29" s="1" t="s">
        <v>36</v>
      </c>
      <c r="AB29" s="1" t="s">
        <v>54</v>
      </c>
      <c r="AC29" s="1" t="s">
        <v>57</v>
      </c>
      <c r="AD29" s="1" t="s">
        <v>58</v>
      </c>
      <c r="AE29" s="1" t="s">
        <v>59</v>
      </c>
      <c r="AF29" s="1" t="s">
        <v>54</v>
      </c>
      <c r="AG29" s="1" t="s">
        <v>75</v>
      </c>
      <c r="AH29" s="1" t="s">
        <v>120</v>
      </c>
    </row>
    <row r="30" spans="1:34" x14ac:dyDescent="0.3">
      <c r="A30" s="1" t="s">
        <v>54</v>
      </c>
      <c r="B30" s="1" t="s">
        <v>41</v>
      </c>
      <c r="C30" s="1" t="s">
        <v>76</v>
      </c>
      <c r="D30" s="1" t="s">
        <v>49</v>
      </c>
      <c r="E30" s="1" t="s">
        <v>77</v>
      </c>
      <c r="F30" s="1" t="s">
        <v>39</v>
      </c>
      <c r="G30" s="1" t="s">
        <v>40</v>
      </c>
      <c r="H30" s="1" t="s">
        <v>35</v>
      </c>
      <c r="I30" s="1" t="s">
        <v>41</v>
      </c>
      <c r="J30" s="1" t="s">
        <v>39</v>
      </c>
      <c r="K30" s="1" t="s">
        <v>42</v>
      </c>
      <c r="L30" s="1" t="s">
        <v>79</v>
      </c>
      <c r="M30" s="1" t="s">
        <v>53</v>
      </c>
      <c r="N30" s="1" t="s">
        <v>49</v>
      </c>
      <c r="O30" s="1" t="s">
        <v>45</v>
      </c>
      <c r="P30" s="1" t="s">
        <v>46</v>
      </c>
      <c r="Q30" s="1" t="s">
        <v>93</v>
      </c>
      <c r="R30" s="1" t="s">
        <v>48</v>
      </c>
      <c r="S30" s="1" t="s">
        <v>49</v>
      </c>
      <c r="T30" s="1" t="s">
        <v>50</v>
      </c>
      <c r="U30" s="1" t="s">
        <v>51</v>
      </c>
      <c r="V30" s="1" t="s">
        <v>52</v>
      </c>
      <c r="W30" s="1" t="s">
        <v>53</v>
      </c>
      <c r="X30" s="1" t="s">
        <v>54</v>
      </c>
      <c r="Y30" s="1" t="s">
        <v>74</v>
      </c>
      <c r="Z30" s="1" t="s">
        <v>56</v>
      </c>
      <c r="AA30" s="1" t="s">
        <v>36</v>
      </c>
      <c r="AB30" s="1" t="s">
        <v>54</v>
      </c>
      <c r="AC30" s="1" t="s">
        <v>57</v>
      </c>
      <c r="AD30" s="1" t="s">
        <v>58</v>
      </c>
      <c r="AE30" s="1" t="s">
        <v>42</v>
      </c>
      <c r="AF30" s="1" t="s">
        <v>54</v>
      </c>
      <c r="AG30" s="1" t="s">
        <v>75</v>
      </c>
      <c r="AH30" s="1" t="s">
        <v>120</v>
      </c>
    </row>
    <row r="31" spans="1:34" x14ac:dyDescent="0.3">
      <c r="A31" s="1" t="s">
        <v>55</v>
      </c>
      <c r="B31" s="1" t="s">
        <v>35</v>
      </c>
      <c r="C31" s="1" t="s">
        <v>36</v>
      </c>
      <c r="D31" s="1" t="s">
        <v>49</v>
      </c>
      <c r="E31" s="1" t="s">
        <v>77</v>
      </c>
      <c r="F31" s="1" t="s">
        <v>39</v>
      </c>
      <c r="G31" s="1" t="s">
        <v>40</v>
      </c>
      <c r="H31" s="1" t="s">
        <v>35</v>
      </c>
      <c r="I31" s="1" t="s">
        <v>35</v>
      </c>
      <c r="J31" s="1" t="s">
        <v>39</v>
      </c>
      <c r="K31" s="1" t="s">
        <v>42</v>
      </c>
      <c r="L31" s="1" t="s">
        <v>40</v>
      </c>
      <c r="M31" s="1" t="s">
        <v>44</v>
      </c>
      <c r="N31" s="1" t="s">
        <v>45</v>
      </c>
      <c r="O31" s="1" t="s">
        <v>45</v>
      </c>
      <c r="P31" s="1" t="s">
        <v>46</v>
      </c>
      <c r="Q31" s="1" t="s">
        <v>47</v>
      </c>
      <c r="R31" s="1" t="s">
        <v>80</v>
      </c>
      <c r="S31" s="1" t="s">
        <v>49</v>
      </c>
      <c r="T31" s="1" t="s">
        <v>50</v>
      </c>
      <c r="U31" s="1" t="s">
        <v>51</v>
      </c>
      <c r="V31" s="1" t="s">
        <v>52</v>
      </c>
      <c r="W31" s="1" t="s">
        <v>53</v>
      </c>
      <c r="X31" s="1" t="s">
        <v>54</v>
      </c>
      <c r="Y31" s="1" t="s">
        <v>55</v>
      </c>
      <c r="Z31" s="1" t="s">
        <v>82</v>
      </c>
      <c r="AA31" s="1" t="s">
        <v>36</v>
      </c>
      <c r="AB31" s="1" t="s">
        <v>54</v>
      </c>
      <c r="AC31" s="1" t="s">
        <v>57</v>
      </c>
      <c r="AD31" s="1" t="s">
        <v>58</v>
      </c>
      <c r="AE31" s="1" t="s">
        <v>59</v>
      </c>
      <c r="AF31" s="1" t="s">
        <v>54</v>
      </c>
      <c r="AG31" s="1" t="s">
        <v>75</v>
      </c>
      <c r="AH31" s="1" t="s">
        <v>120</v>
      </c>
    </row>
    <row r="32" spans="1:34" x14ac:dyDescent="0.3">
      <c r="A32" s="1" t="s">
        <v>54</v>
      </c>
      <c r="B32" s="1" t="s">
        <v>41</v>
      </c>
      <c r="C32" s="1" t="s">
        <v>76</v>
      </c>
      <c r="D32" s="1" t="s">
        <v>37</v>
      </c>
      <c r="E32" s="1" t="s">
        <v>77</v>
      </c>
      <c r="F32" s="1" t="s">
        <v>39</v>
      </c>
      <c r="G32" s="1" t="s">
        <v>40</v>
      </c>
      <c r="H32" s="1" t="s">
        <v>35</v>
      </c>
      <c r="I32" s="1" t="s">
        <v>94</v>
      </c>
      <c r="J32" s="1" t="s">
        <v>92</v>
      </c>
      <c r="K32" s="1" t="s">
        <v>42</v>
      </c>
      <c r="L32" s="1" t="s">
        <v>43</v>
      </c>
      <c r="M32" s="1" t="s">
        <v>44</v>
      </c>
      <c r="N32" s="1" t="s">
        <v>45</v>
      </c>
      <c r="O32" s="1" t="s">
        <v>45</v>
      </c>
      <c r="P32" s="1" t="s">
        <v>46</v>
      </c>
      <c r="Q32" s="1" t="s">
        <v>47</v>
      </c>
      <c r="R32" s="1" t="s">
        <v>80</v>
      </c>
      <c r="S32" s="1" t="s">
        <v>49</v>
      </c>
      <c r="T32" s="1" t="s">
        <v>50</v>
      </c>
      <c r="U32" s="1" t="s">
        <v>51</v>
      </c>
      <c r="V32" s="1" t="s">
        <v>52</v>
      </c>
      <c r="W32" s="1" t="s">
        <v>53</v>
      </c>
      <c r="X32" s="1" t="s">
        <v>54</v>
      </c>
      <c r="Y32" s="1" t="s">
        <v>55</v>
      </c>
      <c r="Z32" s="1" t="s">
        <v>56</v>
      </c>
      <c r="AA32" s="1" t="s">
        <v>36</v>
      </c>
      <c r="AB32" s="1" t="s">
        <v>54</v>
      </c>
      <c r="AC32" s="1" t="s">
        <v>57</v>
      </c>
      <c r="AD32" s="1" t="s">
        <v>58</v>
      </c>
      <c r="AE32" s="1" t="s">
        <v>42</v>
      </c>
      <c r="AF32" s="1" t="s">
        <v>54</v>
      </c>
      <c r="AG32" s="1" t="s">
        <v>75</v>
      </c>
      <c r="AH32" s="1" t="s">
        <v>120</v>
      </c>
    </row>
    <row r="33" spans="1:34" x14ac:dyDescent="0.3">
      <c r="A33" s="1" t="s">
        <v>91</v>
      </c>
      <c r="B33" s="1" t="s">
        <v>35</v>
      </c>
      <c r="C33" s="1" t="s">
        <v>36</v>
      </c>
      <c r="D33" s="1" t="s">
        <v>49</v>
      </c>
      <c r="E33" s="1" t="s">
        <v>77</v>
      </c>
      <c r="F33" s="1" t="s">
        <v>86</v>
      </c>
      <c r="G33" s="1" t="s">
        <v>40</v>
      </c>
      <c r="H33" s="1" t="s">
        <v>41</v>
      </c>
      <c r="I33" s="1" t="s">
        <v>35</v>
      </c>
      <c r="J33" s="1" t="s">
        <v>39</v>
      </c>
      <c r="K33" s="1" t="s">
        <v>42</v>
      </c>
      <c r="L33" s="1" t="s">
        <v>43</v>
      </c>
      <c r="M33" s="1" t="s">
        <v>44</v>
      </c>
      <c r="N33" s="1" t="s">
        <v>45</v>
      </c>
      <c r="O33" s="1" t="s">
        <v>45</v>
      </c>
      <c r="P33" s="1" t="s">
        <v>46</v>
      </c>
      <c r="Q33" s="1" t="s">
        <v>47</v>
      </c>
      <c r="R33" s="1" t="s">
        <v>48</v>
      </c>
      <c r="S33" s="1" t="s">
        <v>49</v>
      </c>
      <c r="T33" s="1" t="s">
        <v>50</v>
      </c>
      <c r="U33" s="1" t="s">
        <v>51</v>
      </c>
      <c r="V33" s="1" t="s">
        <v>52</v>
      </c>
      <c r="W33" s="1" t="s">
        <v>53</v>
      </c>
      <c r="X33" s="1" t="s">
        <v>54</v>
      </c>
      <c r="Y33" s="1" t="s">
        <v>55</v>
      </c>
      <c r="Z33" s="1" t="s">
        <v>56</v>
      </c>
      <c r="AA33" s="1" t="s">
        <v>36</v>
      </c>
      <c r="AB33" s="1" t="s">
        <v>54</v>
      </c>
      <c r="AC33" s="1" t="s">
        <v>57</v>
      </c>
      <c r="AD33" s="1" t="s">
        <v>58</v>
      </c>
      <c r="AE33" s="1" t="s">
        <v>59</v>
      </c>
      <c r="AF33" s="1" t="s">
        <v>54</v>
      </c>
      <c r="AG33" s="1" t="s">
        <v>60</v>
      </c>
      <c r="AH33" s="1" t="s">
        <v>120</v>
      </c>
    </row>
    <row r="34" spans="1:34" x14ac:dyDescent="0.3">
      <c r="A34" s="1" t="s">
        <v>34</v>
      </c>
      <c r="B34" s="1" t="s">
        <v>35</v>
      </c>
      <c r="C34" s="1" t="s">
        <v>62</v>
      </c>
      <c r="D34" s="1" t="s">
        <v>37</v>
      </c>
      <c r="E34" s="1" t="s">
        <v>100</v>
      </c>
      <c r="F34" s="1" t="s">
        <v>65</v>
      </c>
      <c r="G34" s="1" t="s">
        <v>101</v>
      </c>
      <c r="H34" s="1" t="s">
        <v>61</v>
      </c>
      <c r="I34" s="1" t="s">
        <v>35</v>
      </c>
      <c r="J34" s="1" t="s">
        <v>102</v>
      </c>
      <c r="K34" s="1" t="s">
        <v>59</v>
      </c>
      <c r="L34" s="1" t="s">
        <v>66</v>
      </c>
      <c r="M34" s="1" t="s">
        <v>44</v>
      </c>
      <c r="N34" s="1" t="s">
        <v>81</v>
      </c>
      <c r="O34" s="1" t="s">
        <v>63</v>
      </c>
      <c r="P34" s="1" t="s">
        <v>103</v>
      </c>
      <c r="Q34" s="1" t="s">
        <v>47</v>
      </c>
      <c r="R34" s="1" t="s">
        <v>80</v>
      </c>
      <c r="S34" s="1" t="s">
        <v>49</v>
      </c>
      <c r="T34" s="1" t="s">
        <v>50</v>
      </c>
      <c r="U34" s="1" t="s">
        <v>51</v>
      </c>
      <c r="V34" s="1" t="s">
        <v>81</v>
      </c>
      <c r="W34" s="1" t="s">
        <v>53</v>
      </c>
      <c r="X34" s="1" t="s">
        <v>54</v>
      </c>
      <c r="Y34" s="1" t="s">
        <v>55</v>
      </c>
      <c r="Z34" s="1" t="s">
        <v>82</v>
      </c>
      <c r="AA34" s="1" t="s">
        <v>36</v>
      </c>
      <c r="AB34" s="1" t="s">
        <v>54</v>
      </c>
      <c r="AC34" s="1" t="s">
        <v>57</v>
      </c>
      <c r="AD34" s="1" t="s">
        <v>58</v>
      </c>
      <c r="AE34" s="1" t="s">
        <v>59</v>
      </c>
      <c r="AF34" s="1" t="s">
        <v>54</v>
      </c>
      <c r="AG34" s="1" t="s">
        <v>75</v>
      </c>
      <c r="AH34" s="1" t="s">
        <v>120</v>
      </c>
    </row>
    <row r="35" spans="1:34" x14ac:dyDescent="0.3">
      <c r="A35" s="1" t="s">
        <v>54</v>
      </c>
      <c r="B35" s="1" t="s">
        <v>41</v>
      </c>
      <c r="C35" s="1" t="s">
        <v>76</v>
      </c>
      <c r="D35" s="1" t="s">
        <v>83</v>
      </c>
      <c r="E35" s="1" t="s">
        <v>38</v>
      </c>
      <c r="F35" s="1" t="s">
        <v>39</v>
      </c>
      <c r="G35" s="1" t="s">
        <v>40</v>
      </c>
      <c r="H35" s="1" t="s">
        <v>35</v>
      </c>
      <c r="I35" s="1" t="s">
        <v>94</v>
      </c>
      <c r="J35" s="1" t="s">
        <v>78</v>
      </c>
      <c r="K35" s="1" t="s">
        <v>42</v>
      </c>
      <c r="L35" s="1" t="s">
        <v>79</v>
      </c>
      <c r="M35" s="1" t="s">
        <v>84</v>
      </c>
      <c r="N35" s="1" t="s">
        <v>45</v>
      </c>
      <c r="O35" s="1" t="s">
        <v>45</v>
      </c>
      <c r="P35" s="1" t="s">
        <v>46</v>
      </c>
      <c r="Q35" s="1" t="s">
        <v>47</v>
      </c>
      <c r="R35" s="1" t="s">
        <v>80</v>
      </c>
      <c r="S35" s="1" t="s">
        <v>49</v>
      </c>
      <c r="T35" s="1" t="s">
        <v>50</v>
      </c>
      <c r="U35" s="1" t="s">
        <v>51</v>
      </c>
      <c r="V35" s="1" t="s">
        <v>52</v>
      </c>
      <c r="W35" s="1" t="s">
        <v>53</v>
      </c>
      <c r="X35" s="1" t="s">
        <v>54</v>
      </c>
      <c r="Y35" s="1" t="s">
        <v>74</v>
      </c>
      <c r="Z35" s="1" t="s">
        <v>82</v>
      </c>
      <c r="AA35" s="1" t="s">
        <v>36</v>
      </c>
      <c r="AB35" s="1" t="s">
        <v>54</v>
      </c>
      <c r="AC35" s="1" t="s">
        <v>57</v>
      </c>
      <c r="AD35" s="1" t="s">
        <v>58</v>
      </c>
      <c r="AE35" s="1" t="s">
        <v>42</v>
      </c>
      <c r="AF35" s="1" t="s">
        <v>54</v>
      </c>
      <c r="AG35" s="1" t="s">
        <v>75</v>
      </c>
      <c r="AH35" s="1" t="s">
        <v>120</v>
      </c>
    </row>
    <row r="36" spans="1:34" x14ac:dyDescent="0.3">
      <c r="A36" s="1" t="s">
        <v>34</v>
      </c>
      <c r="B36" s="1" t="s">
        <v>35</v>
      </c>
      <c r="C36" s="1" t="s">
        <v>36</v>
      </c>
      <c r="D36" s="1" t="s">
        <v>37</v>
      </c>
      <c r="E36" s="1" t="s">
        <v>77</v>
      </c>
      <c r="F36" s="1" t="s">
        <v>39</v>
      </c>
      <c r="G36" s="1" t="s">
        <v>40</v>
      </c>
      <c r="H36" s="1" t="s">
        <v>35</v>
      </c>
      <c r="I36" s="1" t="s">
        <v>41</v>
      </c>
      <c r="J36" s="1" t="s">
        <v>39</v>
      </c>
      <c r="K36" s="1" t="s">
        <v>42</v>
      </c>
      <c r="L36" s="1" t="s">
        <v>79</v>
      </c>
      <c r="M36" s="1" t="s">
        <v>84</v>
      </c>
      <c r="N36" s="1" t="s">
        <v>45</v>
      </c>
      <c r="O36" s="1" t="s">
        <v>45</v>
      </c>
      <c r="P36" s="1" t="s">
        <v>46</v>
      </c>
      <c r="Q36" s="1" t="s">
        <v>47</v>
      </c>
      <c r="R36" s="1" t="s">
        <v>48</v>
      </c>
      <c r="S36" s="1" t="s">
        <v>49</v>
      </c>
      <c r="T36" s="1" t="s">
        <v>50</v>
      </c>
      <c r="U36" s="1" t="s">
        <v>51</v>
      </c>
      <c r="V36" s="1" t="s">
        <v>52</v>
      </c>
      <c r="W36" s="1" t="s">
        <v>53</v>
      </c>
      <c r="X36" s="1" t="s">
        <v>54</v>
      </c>
      <c r="Y36" s="1" t="s">
        <v>55</v>
      </c>
      <c r="Z36" s="1" t="s">
        <v>56</v>
      </c>
      <c r="AA36" s="1" t="s">
        <v>36</v>
      </c>
      <c r="AB36" s="1" t="s">
        <v>54</v>
      </c>
      <c r="AC36" s="1" t="s">
        <v>57</v>
      </c>
      <c r="AD36" s="1" t="s">
        <v>58</v>
      </c>
      <c r="AE36" s="1" t="s">
        <v>59</v>
      </c>
      <c r="AF36" s="1" t="s">
        <v>54</v>
      </c>
      <c r="AG36" s="1" t="s">
        <v>75</v>
      </c>
      <c r="AH36" s="1" t="s">
        <v>120</v>
      </c>
    </row>
    <row r="37" spans="1:34" x14ac:dyDescent="0.3">
      <c r="A37" s="1" t="s">
        <v>34</v>
      </c>
      <c r="B37" s="1" t="s">
        <v>35</v>
      </c>
      <c r="C37" s="1" t="s">
        <v>36</v>
      </c>
      <c r="D37" s="1" t="s">
        <v>37</v>
      </c>
      <c r="E37" s="1" t="s">
        <v>77</v>
      </c>
      <c r="F37" s="1" t="s">
        <v>39</v>
      </c>
      <c r="G37" s="1" t="s">
        <v>40</v>
      </c>
      <c r="H37" s="1" t="s">
        <v>35</v>
      </c>
      <c r="I37" s="1" t="s">
        <v>41</v>
      </c>
      <c r="J37" s="1" t="s">
        <v>39</v>
      </c>
      <c r="K37" s="1" t="s">
        <v>42</v>
      </c>
      <c r="L37" s="1" t="s">
        <v>43</v>
      </c>
      <c r="M37" s="1" t="s">
        <v>53</v>
      </c>
      <c r="N37" s="1" t="s">
        <v>45</v>
      </c>
      <c r="O37" s="1" t="s">
        <v>45</v>
      </c>
      <c r="P37" s="1" t="s">
        <v>46</v>
      </c>
      <c r="Q37" s="1" t="s">
        <v>93</v>
      </c>
      <c r="R37" s="1" t="s">
        <v>48</v>
      </c>
      <c r="S37" s="1" t="s">
        <v>49</v>
      </c>
      <c r="T37" s="1" t="s">
        <v>50</v>
      </c>
      <c r="U37" s="1" t="s">
        <v>51</v>
      </c>
      <c r="V37" s="1" t="s">
        <v>52</v>
      </c>
      <c r="W37" s="1" t="s">
        <v>53</v>
      </c>
      <c r="X37" s="1" t="s">
        <v>54</v>
      </c>
      <c r="Y37" s="1" t="s">
        <v>74</v>
      </c>
      <c r="Z37" s="1" t="s">
        <v>56</v>
      </c>
      <c r="AA37" s="1" t="s">
        <v>36</v>
      </c>
      <c r="AB37" s="1" t="s">
        <v>54</v>
      </c>
      <c r="AC37" s="1" t="s">
        <v>57</v>
      </c>
      <c r="AD37" s="1" t="s">
        <v>58</v>
      </c>
      <c r="AE37" s="1" t="s">
        <v>59</v>
      </c>
      <c r="AF37" s="1" t="s">
        <v>54</v>
      </c>
      <c r="AG37" s="1" t="s">
        <v>60</v>
      </c>
      <c r="AH37" s="1" t="s">
        <v>120</v>
      </c>
    </row>
    <row r="38" spans="1:34" x14ac:dyDescent="0.3">
      <c r="A38" s="1" t="s">
        <v>34</v>
      </c>
      <c r="B38" s="1" t="s">
        <v>41</v>
      </c>
      <c r="C38" s="1" t="s">
        <v>76</v>
      </c>
      <c r="D38" s="1" t="s">
        <v>83</v>
      </c>
      <c r="E38" s="1" t="s">
        <v>38</v>
      </c>
      <c r="F38" s="1" t="s">
        <v>39</v>
      </c>
      <c r="G38" s="1" t="s">
        <v>40</v>
      </c>
      <c r="H38" s="1" t="s">
        <v>35</v>
      </c>
      <c r="I38" s="1" t="s">
        <v>90</v>
      </c>
      <c r="J38" s="1" t="s">
        <v>39</v>
      </c>
      <c r="K38" s="1" t="s">
        <v>42</v>
      </c>
      <c r="L38" s="1" t="s">
        <v>40</v>
      </c>
      <c r="M38" s="1" t="s">
        <v>44</v>
      </c>
      <c r="N38" s="1" t="s">
        <v>45</v>
      </c>
      <c r="O38" s="1" t="s">
        <v>45</v>
      </c>
      <c r="P38" s="1" t="s">
        <v>46</v>
      </c>
      <c r="Q38" s="1" t="s">
        <v>47</v>
      </c>
      <c r="R38" s="1" t="s">
        <v>80</v>
      </c>
      <c r="S38" s="1" t="s">
        <v>49</v>
      </c>
      <c r="T38" s="1" t="s">
        <v>50</v>
      </c>
      <c r="U38" s="1" t="s">
        <v>51</v>
      </c>
      <c r="V38" s="1" t="s">
        <v>52</v>
      </c>
      <c r="W38" s="1" t="s">
        <v>53</v>
      </c>
      <c r="X38" s="1" t="s">
        <v>54</v>
      </c>
      <c r="Y38" s="1" t="s">
        <v>55</v>
      </c>
      <c r="Z38" s="1" t="s">
        <v>82</v>
      </c>
      <c r="AA38" s="1" t="s">
        <v>36</v>
      </c>
      <c r="AB38" s="1" t="s">
        <v>54</v>
      </c>
      <c r="AC38" s="1" t="s">
        <v>57</v>
      </c>
      <c r="AD38" s="1" t="s">
        <v>58</v>
      </c>
      <c r="AE38" s="1" t="s">
        <v>42</v>
      </c>
      <c r="AF38" s="1" t="s">
        <v>54</v>
      </c>
      <c r="AG38" s="1" t="s">
        <v>60</v>
      </c>
      <c r="AH38" s="1" t="s">
        <v>120</v>
      </c>
    </row>
    <row r="39" spans="1:34" x14ac:dyDescent="0.3">
      <c r="A39" s="1" t="s">
        <v>99</v>
      </c>
      <c r="B39" s="1" t="s">
        <v>41</v>
      </c>
      <c r="C39" s="1" t="s">
        <v>82</v>
      </c>
      <c r="D39" s="1" t="s">
        <v>83</v>
      </c>
      <c r="E39" s="1" t="s">
        <v>38</v>
      </c>
      <c r="F39" s="1" t="s">
        <v>39</v>
      </c>
      <c r="G39" s="1" t="s">
        <v>40</v>
      </c>
      <c r="H39" s="1" t="s">
        <v>35</v>
      </c>
      <c r="I39" s="1" t="s">
        <v>35</v>
      </c>
      <c r="J39" s="1" t="s">
        <v>39</v>
      </c>
      <c r="K39" s="1" t="s">
        <v>42</v>
      </c>
      <c r="L39" s="1" t="s">
        <v>43</v>
      </c>
      <c r="M39" s="1" t="s">
        <v>44</v>
      </c>
      <c r="N39" s="1" t="s">
        <v>45</v>
      </c>
      <c r="O39" s="1" t="s">
        <v>45</v>
      </c>
      <c r="P39" s="1" t="s">
        <v>46</v>
      </c>
      <c r="Q39" s="1" t="s">
        <v>47</v>
      </c>
      <c r="R39" s="1" t="s">
        <v>48</v>
      </c>
      <c r="S39" s="1" t="s">
        <v>49</v>
      </c>
      <c r="T39" s="1" t="s">
        <v>50</v>
      </c>
      <c r="U39" s="1" t="s">
        <v>51</v>
      </c>
      <c r="V39" s="1" t="s">
        <v>52</v>
      </c>
      <c r="W39" s="1" t="s">
        <v>53</v>
      </c>
      <c r="X39" s="1" t="s">
        <v>54</v>
      </c>
      <c r="Y39" s="1" t="s">
        <v>55</v>
      </c>
      <c r="Z39" s="1" t="s">
        <v>56</v>
      </c>
      <c r="AA39" s="1" t="s">
        <v>36</v>
      </c>
      <c r="AB39" s="1" t="s">
        <v>54</v>
      </c>
      <c r="AC39" s="1" t="s">
        <v>57</v>
      </c>
      <c r="AD39" s="1" t="s">
        <v>58</v>
      </c>
      <c r="AE39" s="1" t="s">
        <v>59</v>
      </c>
      <c r="AF39" s="1" t="s">
        <v>54</v>
      </c>
      <c r="AG39" s="1" t="s">
        <v>60</v>
      </c>
      <c r="AH39" s="1" t="s">
        <v>120</v>
      </c>
    </row>
    <row r="40" spans="1:34" x14ac:dyDescent="0.3">
      <c r="A40" s="1" t="s">
        <v>55</v>
      </c>
      <c r="B40" s="1" t="s">
        <v>61</v>
      </c>
      <c r="C40" s="1" t="s">
        <v>62</v>
      </c>
      <c r="D40" s="1" t="s">
        <v>63</v>
      </c>
      <c r="E40" s="1" t="s">
        <v>64</v>
      </c>
      <c r="F40" s="1" t="s">
        <v>65</v>
      </c>
      <c r="G40" s="1" t="s">
        <v>66</v>
      </c>
      <c r="H40" s="1" t="s">
        <v>61</v>
      </c>
      <c r="I40" s="1" t="s">
        <v>61</v>
      </c>
      <c r="J40" s="1" t="s">
        <v>65</v>
      </c>
      <c r="K40" s="1" t="s">
        <v>67</v>
      </c>
      <c r="L40" s="1" t="s">
        <v>66</v>
      </c>
      <c r="M40" s="1" t="s">
        <v>68</v>
      </c>
      <c r="N40" s="1" t="s">
        <v>63</v>
      </c>
      <c r="O40" s="1" t="s">
        <v>63</v>
      </c>
      <c r="P40" s="1" t="s">
        <v>69</v>
      </c>
      <c r="Q40" s="1" t="s">
        <v>70</v>
      </c>
      <c r="R40" s="1" t="s">
        <v>71</v>
      </c>
      <c r="S40" s="1" t="s">
        <v>63</v>
      </c>
      <c r="T40" s="1" t="s">
        <v>69</v>
      </c>
      <c r="U40" s="1" t="s">
        <v>69</v>
      </c>
      <c r="V40" s="1" t="s">
        <v>63</v>
      </c>
      <c r="W40" s="1" t="s">
        <v>68</v>
      </c>
      <c r="X40" s="1" t="s">
        <v>72</v>
      </c>
      <c r="Y40" s="1" t="s">
        <v>72</v>
      </c>
      <c r="Z40" s="1" t="s">
        <v>62</v>
      </c>
      <c r="AA40" s="1" t="s">
        <v>62</v>
      </c>
      <c r="AB40" s="1" t="s">
        <v>72</v>
      </c>
      <c r="AC40" s="1" t="s">
        <v>73</v>
      </c>
      <c r="AD40" s="1" t="s">
        <v>73</v>
      </c>
      <c r="AE40" s="1" t="s">
        <v>67</v>
      </c>
      <c r="AF40" s="1" t="s">
        <v>72</v>
      </c>
      <c r="AG40" s="1" t="s">
        <v>71</v>
      </c>
      <c r="AH40" s="1" t="s">
        <v>120</v>
      </c>
    </row>
    <row r="41" spans="1:34" x14ac:dyDescent="0.3">
      <c r="A41" s="1" t="s">
        <v>91</v>
      </c>
      <c r="B41" s="1" t="s">
        <v>61</v>
      </c>
      <c r="C41" s="1" t="s">
        <v>62</v>
      </c>
      <c r="D41" s="1" t="s">
        <v>63</v>
      </c>
      <c r="E41" s="1" t="s">
        <v>64</v>
      </c>
      <c r="F41" s="1" t="s">
        <v>65</v>
      </c>
      <c r="G41" s="1" t="s">
        <v>66</v>
      </c>
      <c r="H41" s="1" t="s">
        <v>61</v>
      </c>
      <c r="I41" s="1" t="s">
        <v>61</v>
      </c>
      <c r="J41" s="1" t="s">
        <v>65</v>
      </c>
      <c r="K41" s="1" t="s">
        <v>67</v>
      </c>
      <c r="L41" s="1" t="s">
        <v>66</v>
      </c>
      <c r="M41" s="1" t="s">
        <v>68</v>
      </c>
      <c r="N41" s="1" t="s">
        <v>63</v>
      </c>
      <c r="O41" s="1" t="s">
        <v>63</v>
      </c>
      <c r="P41" s="1" t="s">
        <v>69</v>
      </c>
      <c r="Q41" s="1" t="s">
        <v>70</v>
      </c>
      <c r="R41" s="1" t="s">
        <v>71</v>
      </c>
      <c r="S41" s="1" t="s">
        <v>63</v>
      </c>
      <c r="T41" s="1" t="s">
        <v>69</v>
      </c>
      <c r="U41" s="1" t="s">
        <v>69</v>
      </c>
      <c r="V41" s="1" t="s">
        <v>63</v>
      </c>
      <c r="W41" s="1" t="s">
        <v>68</v>
      </c>
      <c r="X41" s="1" t="s">
        <v>72</v>
      </c>
      <c r="Y41" s="1" t="s">
        <v>72</v>
      </c>
      <c r="Z41" s="1" t="s">
        <v>62</v>
      </c>
      <c r="AA41" s="1" t="s">
        <v>62</v>
      </c>
      <c r="AB41" s="1" t="s">
        <v>72</v>
      </c>
      <c r="AC41" s="1" t="s">
        <v>73</v>
      </c>
      <c r="AD41" s="1" t="s">
        <v>73</v>
      </c>
      <c r="AE41" s="1" t="s">
        <v>67</v>
      </c>
      <c r="AF41" s="1" t="s">
        <v>72</v>
      </c>
      <c r="AG41" s="1" t="s">
        <v>71</v>
      </c>
      <c r="AH41" s="1" t="s">
        <v>120</v>
      </c>
    </row>
    <row r="42" spans="1:34" x14ac:dyDescent="0.3">
      <c r="A42" s="1" t="s">
        <v>85</v>
      </c>
      <c r="B42" s="1" t="s">
        <v>41</v>
      </c>
      <c r="C42" s="1" t="s">
        <v>76</v>
      </c>
      <c r="D42" s="1" t="s">
        <v>49</v>
      </c>
      <c r="E42" s="1" t="s">
        <v>77</v>
      </c>
      <c r="F42" s="1" t="s">
        <v>39</v>
      </c>
      <c r="G42" s="1" t="s">
        <v>40</v>
      </c>
      <c r="H42" s="1" t="s">
        <v>35</v>
      </c>
      <c r="I42" s="1" t="s">
        <v>94</v>
      </c>
      <c r="J42" s="1" t="s">
        <v>39</v>
      </c>
      <c r="K42" s="1" t="s">
        <v>42</v>
      </c>
      <c r="L42" s="1" t="s">
        <v>43</v>
      </c>
      <c r="M42" s="1" t="s">
        <v>44</v>
      </c>
      <c r="N42" s="1" t="s">
        <v>45</v>
      </c>
      <c r="O42" s="1" t="s">
        <v>45</v>
      </c>
      <c r="P42" s="1" t="s">
        <v>46</v>
      </c>
      <c r="Q42" s="1" t="s">
        <v>47</v>
      </c>
      <c r="R42" s="1" t="s">
        <v>48</v>
      </c>
      <c r="S42" s="1" t="s">
        <v>49</v>
      </c>
      <c r="T42" s="1" t="s">
        <v>50</v>
      </c>
      <c r="U42" s="1" t="s">
        <v>51</v>
      </c>
      <c r="V42" s="1" t="s">
        <v>52</v>
      </c>
      <c r="W42" s="1" t="s">
        <v>53</v>
      </c>
      <c r="X42" s="1" t="s">
        <v>54</v>
      </c>
      <c r="Y42" s="1" t="s">
        <v>55</v>
      </c>
      <c r="Z42" s="1" t="s">
        <v>56</v>
      </c>
      <c r="AA42" s="1" t="s">
        <v>36</v>
      </c>
      <c r="AB42" s="1" t="s">
        <v>54</v>
      </c>
      <c r="AC42" s="1" t="s">
        <v>57</v>
      </c>
      <c r="AD42" s="1" t="s">
        <v>58</v>
      </c>
      <c r="AE42" s="1" t="s">
        <v>42</v>
      </c>
      <c r="AF42" s="1" t="s">
        <v>54</v>
      </c>
      <c r="AG42" s="1" t="s">
        <v>75</v>
      </c>
      <c r="AH42" s="1" t="s">
        <v>120</v>
      </c>
    </row>
    <row r="43" spans="1:34" x14ac:dyDescent="0.3">
      <c r="A43" s="1" t="s">
        <v>54</v>
      </c>
      <c r="B43" s="1" t="s">
        <v>41</v>
      </c>
      <c r="C43" s="1" t="s">
        <v>76</v>
      </c>
      <c r="D43" s="1" t="s">
        <v>49</v>
      </c>
      <c r="E43" s="1" t="s">
        <v>77</v>
      </c>
      <c r="F43" s="1" t="s">
        <v>39</v>
      </c>
      <c r="G43" s="1" t="s">
        <v>40</v>
      </c>
      <c r="H43" s="1" t="s">
        <v>35</v>
      </c>
      <c r="I43" s="1" t="s">
        <v>94</v>
      </c>
      <c r="J43" s="1" t="s">
        <v>39</v>
      </c>
      <c r="K43" s="1" t="s">
        <v>42</v>
      </c>
      <c r="L43" s="1" t="s">
        <v>43</v>
      </c>
      <c r="M43" s="1" t="s">
        <v>44</v>
      </c>
      <c r="N43" s="1" t="s">
        <v>45</v>
      </c>
      <c r="O43" s="1" t="s">
        <v>45</v>
      </c>
      <c r="P43" s="1" t="s">
        <v>46</v>
      </c>
      <c r="Q43" s="1" t="s">
        <v>47</v>
      </c>
      <c r="R43" s="1" t="s">
        <v>48</v>
      </c>
      <c r="S43" s="1" t="s">
        <v>49</v>
      </c>
      <c r="T43" s="1" t="s">
        <v>50</v>
      </c>
      <c r="U43" s="1" t="s">
        <v>51</v>
      </c>
      <c r="V43" s="1" t="s">
        <v>52</v>
      </c>
      <c r="W43" s="1" t="s">
        <v>53</v>
      </c>
      <c r="X43" s="1" t="s">
        <v>54</v>
      </c>
      <c r="Y43" s="1" t="s">
        <v>55</v>
      </c>
      <c r="Z43" s="1" t="s">
        <v>56</v>
      </c>
      <c r="AA43" s="1" t="s">
        <v>36</v>
      </c>
      <c r="AB43" s="1" t="s">
        <v>54</v>
      </c>
      <c r="AC43" s="1" t="s">
        <v>57</v>
      </c>
      <c r="AD43" s="1" t="s">
        <v>58</v>
      </c>
      <c r="AE43" s="1" t="s">
        <v>42</v>
      </c>
      <c r="AF43" s="1" t="s">
        <v>54</v>
      </c>
      <c r="AG43" s="1" t="s">
        <v>75</v>
      </c>
      <c r="AH43" s="1" t="s">
        <v>120</v>
      </c>
    </row>
    <row r="44" spans="1:34" x14ac:dyDescent="0.3">
      <c r="A44" s="1" t="s">
        <v>54</v>
      </c>
      <c r="B44" s="1" t="s">
        <v>41</v>
      </c>
      <c r="C44" s="1" t="s">
        <v>76</v>
      </c>
      <c r="D44" s="1" t="s">
        <v>49</v>
      </c>
      <c r="E44" s="1" t="s">
        <v>77</v>
      </c>
      <c r="F44" s="1" t="s">
        <v>39</v>
      </c>
      <c r="G44" s="1" t="s">
        <v>40</v>
      </c>
      <c r="H44" s="1" t="s">
        <v>35</v>
      </c>
      <c r="I44" s="1" t="s">
        <v>94</v>
      </c>
      <c r="J44" s="1" t="s">
        <v>39</v>
      </c>
      <c r="K44" s="1" t="s">
        <v>42</v>
      </c>
      <c r="L44" s="1" t="s">
        <v>79</v>
      </c>
      <c r="M44" s="1" t="s">
        <v>44</v>
      </c>
      <c r="N44" s="1" t="s">
        <v>45</v>
      </c>
      <c r="O44" s="1" t="s">
        <v>45</v>
      </c>
      <c r="P44" s="1" t="s">
        <v>46</v>
      </c>
      <c r="Q44" s="1" t="s">
        <v>47</v>
      </c>
      <c r="R44" s="1" t="s">
        <v>48</v>
      </c>
      <c r="S44" s="1" t="s">
        <v>49</v>
      </c>
      <c r="T44" s="1" t="s">
        <v>50</v>
      </c>
      <c r="U44" s="1" t="s">
        <v>51</v>
      </c>
      <c r="V44" s="1" t="s">
        <v>52</v>
      </c>
      <c r="W44" s="1" t="s">
        <v>53</v>
      </c>
      <c r="X44" s="1" t="s">
        <v>54</v>
      </c>
      <c r="Y44" s="1" t="s">
        <v>55</v>
      </c>
      <c r="Z44" s="1" t="s">
        <v>56</v>
      </c>
      <c r="AA44" s="1" t="s">
        <v>36</v>
      </c>
      <c r="AB44" s="1" t="s">
        <v>54</v>
      </c>
      <c r="AC44" s="1" t="s">
        <v>57</v>
      </c>
      <c r="AD44" s="1" t="s">
        <v>58</v>
      </c>
      <c r="AE44" s="1" t="s">
        <v>42</v>
      </c>
      <c r="AF44" s="1" t="s">
        <v>54</v>
      </c>
      <c r="AG44" s="1" t="s">
        <v>75</v>
      </c>
      <c r="AH44" s="1" t="s">
        <v>120</v>
      </c>
    </row>
    <row r="45" spans="1:34" x14ac:dyDescent="0.3">
      <c r="A45" s="1" t="s">
        <v>74</v>
      </c>
      <c r="B45" s="1" t="s">
        <v>61</v>
      </c>
      <c r="C45" s="1" t="s">
        <v>62</v>
      </c>
      <c r="D45" s="1" t="s">
        <v>63</v>
      </c>
      <c r="E45" s="1" t="s">
        <v>64</v>
      </c>
      <c r="F45" s="1" t="s">
        <v>65</v>
      </c>
      <c r="G45" s="1" t="s">
        <v>66</v>
      </c>
      <c r="H45" s="1" t="s">
        <v>61</v>
      </c>
      <c r="I45" s="1" t="s">
        <v>61</v>
      </c>
      <c r="J45" s="1" t="s">
        <v>65</v>
      </c>
      <c r="K45" s="1" t="s">
        <v>67</v>
      </c>
      <c r="L45" s="1" t="s">
        <v>66</v>
      </c>
      <c r="M45" s="1" t="s">
        <v>68</v>
      </c>
      <c r="N45" s="1" t="s">
        <v>63</v>
      </c>
      <c r="O45" s="1" t="s">
        <v>63</v>
      </c>
      <c r="P45" s="1" t="s">
        <v>69</v>
      </c>
      <c r="Q45" s="1" t="s">
        <v>70</v>
      </c>
      <c r="R45" s="1" t="s">
        <v>71</v>
      </c>
      <c r="S45" s="1" t="s">
        <v>63</v>
      </c>
      <c r="T45" s="1" t="s">
        <v>69</v>
      </c>
      <c r="U45" s="1" t="s">
        <v>69</v>
      </c>
      <c r="V45" s="1" t="s">
        <v>63</v>
      </c>
      <c r="W45" s="1" t="s">
        <v>68</v>
      </c>
      <c r="X45" s="1" t="s">
        <v>72</v>
      </c>
      <c r="Y45" s="1" t="s">
        <v>72</v>
      </c>
      <c r="Z45" s="1" t="s">
        <v>62</v>
      </c>
      <c r="AA45" s="1" t="s">
        <v>62</v>
      </c>
      <c r="AB45" s="1" t="s">
        <v>72</v>
      </c>
      <c r="AC45" s="1" t="s">
        <v>73</v>
      </c>
      <c r="AD45" s="1" t="s">
        <v>73</v>
      </c>
      <c r="AE45" s="1" t="s">
        <v>67</v>
      </c>
      <c r="AF45" s="1" t="s">
        <v>72</v>
      </c>
      <c r="AG45" s="1" t="s">
        <v>71</v>
      </c>
      <c r="AH45" s="1" t="s">
        <v>120</v>
      </c>
    </row>
    <row r="46" spans="1:34" x14ac:dyDescent="0.3">
      <c r="A46" s="1" t="s">
        <v>74</v>
      </c>
      <c r="B46" s="1" t="s">
        <v>41</v>
      </c>
      <c r="C46" s="1" t="s">
        <v>76</v>
      </c>
      <c r="D46" s="1" t="s">
        <v>37</v>
      </c>
      <c r="E46" s="1" t="s">
        <v>38</v>
      </c>
      <c r="F46" s="1" t="s">
        <v>39</v>
      </c>
      <c r="G46" s="1" t="s">
        <v>40</v>
      </c>
      <c r="H46" s="1" t="s">
        <v>35</v>
      </c>
      <c r="I46" s="1" t="s">
        <v>35</v>
      </c>
      <c r="J46" s="1" t="s">
        <v>39</v>
      </c>
      <c r="K46" s="1" t="s">
        <v>42</v>
      </c>
      <c r="L46" s="1" t="s">
        <v>79</v>
      </c>
      <c r="M46" s="1" t="s">
        <v>44</v>
      </c>
      <c r="N46" s="1" t="s">
        <v>45</v>
      </c>
      <c r="O46" s="1" t="s">
        <v>45</v>
      </c>
      <c r="P46" s="1" t="s">
        <v>46</v>
      </c>
      <c r="Q46" s="1" t="s">
        <v>47</v>
      </c>
      <c r="R46" s="1" t="s">
        <v>80</v>
      </c>
      <c r="S46" s="1" t="s">
        <v>49</v>
      </c>
      <c r="T46" s="1" t="s">
        <v>50</v>
      </c>
      <c r="U46" s="1" t="s">
        <v>51</v>
      </c>
      <c r="V46" s="1" t="s">
        <v>52</v>
      </c>
      <c r="W46" s="1" t="s">
        <v>53</v>
      </c>
      <c r="X46" s="1" t="s">
        <v>54</v>
      </c>
      <c r="Y46" s="1" t="s">
        <v>55</v>
      </c>
      <c r="Z46" s="1" t="s">
        <v>82</v>
      </c>
      <c r="AA46" s="1" t="s">
        <v>36</v>
      </c>
      <c r="AB46" s="1" t="s">
        <v>54</v>
      </c>
      <c r="AC46" s="1" t="s">
        <v>57</v>
      </c>
      <c r="AD46" s="1" t="s">
        <v>58</v>
      </c>
      <c r="AE46" s="1" t="s">
        <v>42</v>
      </c>
      <c r="AF46" s="1" t="s">
        <v>54</v>
      </c>
      <c r="AG46" s="1" t="s">
        <v>75</v>
      </c>
      <c r="AH46" s="1" t="s">
        <v>120</v>
      </c>
    </row>
    <row r="47" spans="1:34" x14ac:dyDescent="0.3">
      <c r="A47" s="1" t="s">
        <v>74</v>
      </c>
      <c r="B47" s="1" t="s">
        <v>61</v>
      </c>
      <c r="C47" s="1" t="s">
        <v>62</v>
      </c>
      <c r="D47" s="1" t="s">
        <v>63</v>
      </c>
      <c r="E47" s="1" t="s">
        <v>64</v>
      </c>
      <c r="F47" s="1" t="s">
        <v>65</v>
      </c>
      <c r="G47" s="1" t="s">
        <v>66</v>
      </c>
      <c r="H47" s="1" t="s">
        <v>61</v>
      </c>
      <c r="I47" s="1" t="s">
        <v>61</v>
      </c>
      <c r="J47" s="1" t="s">
        <v>65</v>
      </c>
      <c r="K47" s="1" t="s">
        <v>67</v>
      </c>
      <c r="L47" s="1" t="s">
        <v>66</v>
      </c>
      <c r="M47" s="1" t="s">
        <v>68</v>
      </c>
      <c r="N47" s="1" t="s">
        <v>63</v>
      </c>
      <c r="O47" s="1" t="s">
        <v>63</v>
      </c>
      <c r="P47" s="1" t="s">
        <v>69</v>
      </c>
      <c r="Q47" s="1" t="s">
        <v>70</v>
      </c>
      <c r="R47" s="1" t="s">
        <v>71</v>
      </c>
      <c r="S47" s="1" t="s">
        <v>63</v>
      </c>
      <c r="T47" s="1" t="s">
        <v>69</v>
      </c>
      <c r="U47" s="1" t="s">
        <v>69</v>
      </c>
      <c r="V47" s="1" t="s">
        <v>63</v>
      </c>
      <c r="W47" s="1" t="s">
        <v>68</v>
      </c>
      <c r="X47" s="1" t="s">
        <v>72</v>
      </c>
      <c r="Y47" s="1" t="s">
        <v>72</v>
      </c>
      <c r="Z47" s="1" t="s">
        <v>62</v>
      </c>
      <c r="AA47" s="1" t="s">
        <v>62</v>
      </c>
      <c r="AB47" s="1" t="s">
        <v>72</v>
      </c>
      <c r="AC47" s="1" t="s">
        <v>73</v>
      </c>
      <c r="AD47" s="1" t="s">
        <v>73</v>
      </c>
      <c r="AE47" s="1" t="s">
        <v>67</v>
      </c>
      <c r="AF47" s="1" t="s">
        <v>72</v>
      </c>
      <c r="AG47" s="1" t="s">
        <v>71</v>
      </c>
      <c r="AH47" s="1" t="s">
        <v>120</v>
      </c>
    </row>
    <row r="48" spans="1:34" x14ac:dyDescent="0.3">
      <c r="A48" s="1" t="s">
        <v>74</v>
      </c>
      <c r="B48" s="1" t="s">
        <v>61</v>
      </c>
      <c r="C48" s="1" t="s">
        <v>62</v>
      </c>
      <c r="D48" s="1" t="s">
        <v>63</v>
      </c>
      <c r="E48" s="1" t="s">
        <v>64</v>
      </c>
      <c r="F48" s="1" t="s">
        <v>65</v>
      </c>
      <c r="G48" s="1" t="s">
        <v>66</v>
      </c>
      <c r="H48" s="1" t="s">
        <v>61</v>
      </c>
      <c r="I48" s="1" t="s">
        <v>61</v>
      </c>
      <c r="J48" s="1" t="s">
        <v>65</v>
      </c>
      <c r="K48" s="1" t="s">
        <v>67</v>
      </c>
      <c r="L48" s="1" t="s">
        <v>66</v>
      </c>
      <c r="M48" s="1" t="s">
        <v>68</v>
      </c>
      <c r="N48" s="1" t="s">
        <v>63</v>
      </c>
      <c r="O48" s="1" t="s">
        <v>63</v>
      </c>
      <c r="P48" s="1" t="s">
        <v>69</v>
      </c>
      <c r="Q48" s="1" t="s">
        <v>70</v>
      </c>
      <c r="R48" s="1" t="s">
        <v>71</v>
      </c>
      <c r="S48" s="1" t="s">
        <v>63</v>
      </c>
      <c r="T48" s="1" t="s">
        <v>69</v>
      </c>
      <c r="U48" s="1" t="s">
        <v>69</v>
      </c>
      <c r="V48" s="1" t="s">
        <v>63</v>
      </c>
      <c r="W48" s="1" t="s">
        <v>68</v>
      </c>
      <c r="X48" s="1" t="s">
        <v>72</v>
      </c>
      <c r="Y48" s="1" t="s">
        <v>72</v>
      </c>
      <c r="Z48" s="1" t="s">
        <v>62</v>
      </c>
      <c r="AA48" s="1" t="s">
        <v>62</v>
      </c>
      <c r="AB48" s="1" t="s">
        <v>72</v>
      </c>
      <c r="AC48" s="1" t="s">
        <v>73</v>
      </c>
      <c r="AD48" s="1" t="s">
        <v>73</v>
      </c>
      <c r="AE48" s="1" t="s">
        <v>67</v>
      </c>
      <c r="AF48" s="1" t="s">
        <v>72</v>
      </c>
      <c r="AG48" s="1" t="s">
        <v>71</v>
      </c>
      <c r="AH48" s="1" t="s">
        <v>120</v>
      </c>
    </row>
    <row r="49" spans="1:34" x14ac:dyDescent="0.3">
      <c r="A49" s="1" t="s">
        <v>74</v>
      </c>
      <c r="B49" s="1" t="s">
        <v>61</v>
      </c>
      <c r="C49" s="1" t="s">
        <v>62</v>
      </c>
      <c r="D49" s="1" t="s">
        <v>63</v>
      </c>
      <c r="E49" s="1" t="s">
        <v>64</v>
      </c>
      <c r="F49" s="1" t="s">
        <v>65</v>
      </c>
      <c r="G49" s="1" t="s">
        <v>66</v>
      </c>
      <c r="H49" s="1" t="s">
        <v>61</v>
      </c>
      <c r="I49" s="1" t="s">
        <v>61</v>
      </c>
      <c r="J49" s="1" t="s">
        <v>65</v>
      </c>
      <c r="K49" s="1" t="s">
        <v>67</v>
      </c>
      <c r="L49" s="1" t="s">
        <v>66</v>
      </c>
      <c r="M49" s="1" t="s">
        <v>68</v>
      </c>
      <c r="N49" s="1" t="s">
        <v>63</v>
      </c>
      <c r="O49" s="1" t="s">
        <v>63</v>
      </c>
      <c r="P49" s="1" t="s">
        <v>69</v>
      </c>
      <c r="Q49" s="1" t="s">
        <v>70</v>
      </c>
      <c r="R49" s="1" t="s">
        <v>71</v>
      </c>
      <c r="S49" s="1" t="s">
        <v>63</v>
      </c>
      <c r="T49" s="1" t="s">
        <v>69</v>
      </c>
      <c r="U49" s="1" t="s">
        <v>69</v>
      </c>
      <c r="V49" s="1" t="s">
        <v>63</v>
      </c>
      <c r="W49" s="1" t="s">
        <v>68</v>
      </c>
      <c r="X49" s="1" t="s">
        <v>72</v>
      </c>
      <c r="Y49" s="1" t="s">
        <v>72</v>
      </c>
      <c r="Z49" s="1" t="s">
        <v>62</v>
      </c>
      <c r="AA49" s="1" t="s">
        <v>62</v>
      </c>
      <c r="AB49" s="1" t="s">
        <v>72</v>
      </c>
      <c r="AC49" s="1" t="s">
        <v>73</v>
      </c>
      <c r="AD49" s="1" t="s">
        <v>73</v>
      </c>
      <c r="AE49" s="1" t="s">
        <v>67</v>
      </c>
      <c r="AF49" s="1" t="s">
        <v>72</v>
      </c>
      <c r="AG49" s="1" t="s">
        <v>71</v>
      </c>
      <c r="AH49" s="1" t="s">
        <v>120</v>
      </c>
    </row>
    <row r="50" spans="1:34" x14ac:dyDescent="0.3">
      <c r="A50" s="1" t="s">
        <v>55</v>
      </c>
      <c r="B50" s="1" t="s">
        <v>41</v>
      </c>
      <c r="C50" s="1" t="s">
        <v>76</v>
      </c>
      <c r="D50" s="1" t="s">
        <v>37</v>
      </c>
      <c r="E50" s="1" t="s">
        <v>77</v>
      </c>
      <c r="F50" s="1" t="s">
        <v>39</v>
      </c>
      <c r="G50" s="1" t="s">
        <v>40</v>
      </c>
      <c r="H50" s="1" t="s">
        <v>35</v>
      </c>
      <c r="I50" s="1" t="s">
        <v>94</v>
      </c>
      <c r="J50" s="1" t="s">
        <v>39</v>
      </c>
      <c r="K50" s="1" t="s">
        <v>42</v>
      </c>
      <c r="L50" s="1" t="s">
        <v>79</v>
      </c>
      <c r="M50" s="1" t="s">
        <v>44</v>
      </c>
      <c r="N50" s="1" t="s">
        <v>45</v>
      </c>
      <c r="O50" s="1" t="s">
        <v>45</v>
      </c>
      <c r="P50" s="1" t="s">
        <v>46</v>
      </c>
      <c r="Q50" s="1" t="s">
        <v>47</v>
      </c>
      <c r="R50" s="1" t="s">
        <v>48</v>
      </c>
      <c r="S50" s="1" t="s">
        <v>49</v>
      </c>
      <c r="T50" s="1" t="s">
        <v>50</v>
      </c>
      <c r="U50" s="1" t="s">
        <v>51</v>
      </c>
      <c r="V50" s="1" t="s">
        <v>52</v>
      </c>
      <c r="W50" s="1" t="s">
        <v>53</v>
      </c>
      <c r="X50" s="1" t="s">
        <v>54</v>
      </c>
      <c r="Y50" s="1" t="s">
        <v>74</v>
      </c>
      <c r="Z50" s="1" t="s">
        <v>56</v>
      </c>
      <c r="AA50" s="1" t="s">
        <v>36</v>
      </c>
      <c r="AB50" s="1" t="s">
        <v>54</v>
      </c>
      <c r="AC50" s="1" t="s">
        <v>57</v>
      </c>
      <c r="AD50" s="1" t="s">
        <v>58</v>
      </c>
      <c r="AE50" s="1" t="s">
        <v>42</v>
      </c>
      <c r="AF50" s="1" t="s">
        <v>54</v>
      </c>
      <c r="AG50" s="1" t="s">
        <v>75</v>
      </c>
      <c r="AH50" s="1" t="s">
        <v>120</v>
      </c>
    </row>
    <row r="51" spans="1:34" x14ac:dyDescent="0.3">
      <c r="A51" s="1" t="s">
        <v>91</v>
      </c>
      <c r="B51" s="1" t="s">
        <v>41</v>
      </c>
      <c r="C51" s="1" t="s">
        <v>76</v>
      </c>
      <c r="D51" s="1" t="s">
        <v>37</v>
      </c>
      <c r="E51" s="1" t="s">
        <v>77</v>
      </c>
      <c r="F51" s="1" t="s">
        <v>39</v>
      </c>
      <c r="G51" s="1" t="s">
        <v>40</v>
      </c>
      <c r="H51" s="1" t="s">
        <v>35</v>
      </c>
      <c r="I51" s="1" t="s">
        <v>94</v>
      </c>
      <c r="J51" s="1" t="s">
        <v>39</v>
      </c>
      <c r="K51" s="1" t="s">
        <v>42</v>
      </c>
      <c r="L51" s="1" t="s">
        <v>43</v>
      </c>
      <c r="M51" s="1" t="s">
        <v>44</v>
      </c>
      <c r="N51" s="1" t="s">
        <v>45</v>
      </c>
      <c r="O51" s="1" t="s">
        <v>45</v>
      </c>
      <c r="P51" s="1" t="s">
        <v>46</v>
      </c>
      <c r="Q51" s="1" t="s">
        <v>47</v>
      </c>
      <c r="R51" s="1" t="s">
        <v>80</v>
      </c>
      <c r="S51" s="1" t="s">
        <v>49</v>
      </c>
      <c r="T51" s="1" t="s">
        <v>50</v>
      </c>
      <c r="U51" s="1" t="s">
        <v>51</v>
      </c>
      <c r="V51" s="1" t="s">
        <v>52</v>
      </c>
      <c r="W51" s="1" t="s">
        <v>53</v>
      </c>
      <c r="X51" s="1" t="s">
        <v>54</v>
      </c>
      <c r="Y51" s="1" t="s">
        <v>55</v>
      </c>
      <c r="Z51" s="1" t="s">
        <v>82</v>
      </c>
      <c r="AA51" s="1" t="s">
        <v>36</v>
      </c>
      <c r="AB51" s="1" t="s">
        <v>54</v>
      </c>
      <c r="AC51" s="1" t="s">
        <v>57</v>
      </c>
      <c r="AD51" s="1" t="s">
        <v>58</v>
      </c>
      <c r="AE51" s="1" t="s">
        <v>42</v>
      </c>
      <c r="AF51" s="1" t="s">
        <v>54</v>
      </c>
      <c r="AG51" s="1" t="s">
        <v>75</v>
      </c>
      <c r="AH51" s="1" t="s">
        <v>120</v>
      </c>
    </row>
    <row r="52" spans="1:34" x14ac:dyDescent="0.3">
      <c r="A52" s="1" t="s">
        <v>54</v>
      </c>
      <c r="B52" s="1" t="s">
        <v>35</v>
      </c>
      <c r="C52" s="1" t="s">
        <v>36</v>
      </c>
      <c r="D52" s="1" t="s">
        <v>37</v>
      </c>
      <c r="E52" s="1" t="s">
        <v>77</v>
      </c>
      <c r="F52" s="1" t="s">
        <v>39</v>
      </c>
      <c r="G52" s="1" t="s">
        <v>40</v>
      </c>
      <c r="H52" s="1" t="s">
        <v>35</v>
      </c>
      <c r="I52" s="1" t="s">
        <v>41</v>
      </c>
      <c r="J52" s="1" t="s">
        <v>39</v>
      </c>
      <c r="K52" s="1" t="s">
        <v>42</v>
      </c>
      <c r="L52" s="1" t="s">
        <v>43</v>
      </c>
      <c r="M52" s="1" t="s">
        <v>44</v>
      </c>
      <c r="N52" s="1" t="s">
        <v>45</v>
      </c>
      <c r="O52" s="1" t="s">
        <v>45</v>
      </c>
      <c r="P52" s="1" t="s">
        <v>46</v>
      </c>
      <c r="Q52" s="1" t="s">
        <v>47</v>
      </c>
      <c r="R52" s="1" t="s">
        <v>48</v>
      </c>
      <c r="S52" s="1" t="s">
        <v>49</v>
      </c>
      <c r="T52" s="1" t="s">
        <v>50</v>
      </c>
      <c r="U52" s="1" t="s">
        <v>51</v>
      </c>
      <c r="V52" s="1" t="s">
        <v>52</v>
      </c>
      <c r="W52" s="1" t="s">
        <v>53</v>
      </c>
      <c r="X52" s="1" t="s">
        <v>54</v>
      </c>
      <c r="Y52" s="1" t="s">
        <v>55</v>
      </c>
      <c r="Z52" s="1" t="s">
        <v>56</v>
      </c>
      <c r="AA52" s="1" t="s">
        <v>36</v>
      </c>
      <c r="AB52" s="1" t="s">
        <v>54</v>
      </c>
      <c r="AC52" s="1" t="s">
        <v>57</v>
      </c>
      <c r="AD52" s="1" t="s">
        <v>58</v>
      </c>
      <c r="AE52" s="1" t="s">
        <v>59</v>
      </c>
      <c r="AF52" s="1" t="s">
        <v>54</v>
      </c>
      <c r="AG52" s="1" t="s">
        <v>75</v>
      </c>
      <c r="AH52" s="1" t="s">
        <v>120</v>
      </c>
    </row>
    <row r="53" spans="1:34" x14ac:dyDescent="0.3">
      <c r="A53" s="1" t="s">
        <v>91</v>
      </c>
      <c r="B53" s="1" t="s">
        <v>41</v>
      </c>
      <c r="C53" s="1" t="s">
        <v>76</v>
      </c>
      <c r="D53" s="1" t="s">
        <v>37</v>
      </c>
      <c r="E53" s="1" t="s">
        <v>38</v>
      </c>
      <c r="F53" s="1" t="s">
        <v>39</v>
      </c>
      <c r="G53" s="1" t="s">
        <v>40</v>
      </c>
      <c r="H53" s="1" t="s">
        <v>35</v>
      </c>
      <c r="I53" s="1" t="s">
        <v>35</v>
      </c>
      <c r="J53" s="1" t="s">
        <v>96</v>
      </c>
      <c r="K53" s="1" t="s">
        <v>97</v>
      </c>
      <c r="L53" s="1" t="s">
        <v>66</v>
      </c>
      <c r="M53" s="1" t="s">
        <v>44</v>
      </c>
      <c r="N53" s="1" t="s">
        <v>81</v>
      </c>
      <c r="O53" s="1" t="s">
        <v>81</v>
      </c>
      <c r="P53" s="1" t="s">
        <v>50</v>
      </c>
      <c r="Q53" s="1" t="s">
        <v>47</v>
      </c>
      <c r="R53" s="1" t="s">
        <v>80</v>
      </c>
      <c r="S53" s="1" t="s">
        <v>49</v>
      </c>
      <c r="T53" s="1" t="s">
        <v>50</v>
      </c>
      <c r="U53" s="1" t="s">
        <v>51</v>
      </c>
      <c r="V53" s="1" t="s">
        <v>81</v>
      </c>
      <c r="W53" s="1" t="s">
        <v>53</v>
      </c>
      <c r="X53" s="1" t="s">
        <v>54</v>
      </c>
      <c r="Y53" s="1" t="s">
        <v>55</v>
      </c>
      <c r="Z53" s="1" t="s">
        <v>82</v>
      </c>
      <c r="AA53" s="1" t="s">
        <v>36</v>
      </c>
      <c r="AB53" s="1" t="s">
        <v>54</v>
      </c>
      <c r="AC53" s="1" t="s">
        <v>57</v>
      </c>
      <c r="AD53" s="1" t="s">
        <v>58</v>
      </c>
      <c r="AE53" s="1" t="s">
        <v>59</v>
      </c>
      <c r="AF53" s="1" t="s">
        <v>54</v>
      </c>
      <c r="AG53" s="1" t="s">
        <v>98</v>
      </c>
      <c r="AH53" s="1" t="s">
        <v>120</v>
      </c>
    </row>
    <row r="54" spans="1:34" x14ac:dyDescent="0.3">
      <c r="A54" s="1" t="s">
        <v>85</v>
      </c>
      <c r="B54" s="1" t="s">
        <v>41</v>
      </c>
      <c r="C54" s="1" t="s">
        <v>76</v>
      </c>
      <c r="D54" s="1" t="s">
        <v>37</v>
      </c>
      <c r="E54" s="1" t="s">
        <v>77</v>
      </c>
      <c r="F54" s="1" t="s">
        <v>39</v>
      </c>
      <c r="G54" s="1" t="s">
        <v>40</v>
      </c>
      <c r="H54" s="1" t="s">
        <v>35</v>
      </c>
      <c r="I54" s="1" t="s">
        <v>90</v>
      </c>
      <c r="J54" s="1" t="s">
        <v>39</v>
      </c>
      <c r="K54" s="1" t="s">
        <v>42</v>
      </c>
      <c r="L54" s="1" t="s">
        <v>43</v>
      </c>
      <c r="M54" s="1" t="s">
        <v>44</v>
      </c>
      <c r="N54" s="1" t="s">
        <v>45</v>
      </c>
      <c r="O54" s="1" t="s">
        <v>45</v>
      </c>
      <c r="P54" s="1" t="s">
        <v>46</v>
      </c>
      <c r="Q54" s="1" t="s">
        <v>47</v>
      </c>
      <c r="R54" s="1" t="s">
        <v>80</v>
      </c>
      <c r="S54" s="1" t="s">
        <v>49</v>
      </c>
      <c r="T54" s="1" t="s">
        <v>50</v>
      </c>
      <c r="U54" s="1" t="s">
        <v>51</v>
      </c>
      <c r="V54" s="1" t="s">
        <v>52</v>
      </c>
      <c r="W54" s="1" t="s">
        <v>53</v>
      </c>
      <c r="X54" s="1" t="s">
        <v>91</v>
      </c>
      <c r="Y54" s="1" t="s">
        <v>55</v>
      </c>
      <c r="Z54" s="1" t="s">
        <v>56</v>
      </c>
      <c r="AA54" s="1" t="s">
        <v>36</v>
      </c>
      <c r="AB54" s="1" t="s">
        <v>54</v>
      </c>
      <c r="AC54" s="1" t="s">
        <v>57</v>
      </c>
      <c r="AD54" s="1" t="s">
        <v>58</v>
      </c>
      <c r="AE54" s="1" t="s">
        <v>42</v>
      </c>
      <c r="AF54" s="1" t="s">
        <v>54</v>
      </c>
      <c r="AG54" s="1" t="s">
        <v>75</v>
      </c>
      <c r="AH54" s="1" t="s">
        <v>120</v>
      </c>
    </row>
    <row r="55" spans="1:34" x14ac:dyDescent="0.3">
      <c r="A55" s="1" t="s">
        <v>74</v>
      </c>
      <c r="B55" s="1" t="s">
        <v>41</v>
      </c>
      <c r="C55" s="1" t="s">
        <v>76</v>
      </c>
      <c r="D55" s="1" t="s">
        <v>49</v>
      </c>
      <c r="E55" s="1" t="s">
        <v>77</v>
      </c>
      <c r="F55" s="1" t="s">
        <v>39</v>
      </c>
      <c r="G55" s="1" t="s">
        <v>40</v>
      </c>
      <c r="H55" s="1" t="s">
        <v>35</v>
      </c>
      <c r="I55" s="1" t="s">
        <v>94</v>
      </c>
      <c r="J55" s="1" t="s">
        <v>92</v>
      </c>
      <c r="K55" s="1" t="s">
        <v>42</v>
      </c>
      <c r="L55" s="1" t="s">
        <v>43</v>
      </c>
      <c r="M55" s="1" t="s">
        <v>44</v>
      </c>
      <c r="N55" s="1" t="s">
        <v>45</v>
      </c>
      <c r="O55" s="1" t="s">
        <v>45</v>
      </c>
      <c r="P55" s="1" t="s">
        <v>46</v>
      </c>
      <c r="Q55" s="1" t="s">
        <v>47</v>
      </c>
      <c r="R55" s="1" t="s">
        <v>48</v>
      </c>
      <c r="S55" s="1" t="s">
        <v>45</v>
      </c>
      <c r="T55" s="1" t="s">
        <v>50</v>
      </c>
      <c r="U55" s="1" t="s">
        <v>51</v>
      </c>
      <c r="V55" s="1" t="s">
        <v>52</v>
      </c>
      <c r="W55" s="1" t="s">
        <v>53</v>
      </c>
      <c r="X55" s="1" t="s">
        <v>54</v>
      </c>
      <c r="Y55" s="1" t="s">
        <v>55</v>
      </c>
      <c r="Z55" s="1" t="s">
        <v>56</v>
      </c>
      <c r="AA55" s="1" t="s">
        <v>36</v>
      </c>
      <c r="AB55" s="1" t="s">
        <v>54</v>
      </c>
      <c r="AC55" s="1" t="s">
        <v>57</v>
      </c>
      <c r="AD55" s="1" t="s">
        <v>58</v>
      </c>
      <c r="AE55" s="1" t="s">
        <v>42</v>
      </c>
      <c r="AF55" s="1" t="s">
        <v>54</v>
      </c>
      <c r="AG55" s="1" t="s">
        <v>75</v>
      </c>
      <c r="AH55" s="1" t="s">
        <v>120</v>
      </c>
    </row>
    <row r="56" spans="1:34" x14ac:dyDescent="0.3">
      <c r="A56" s="1" t="s">
        <v>91</v>
      </c>
      <c r="B56" s="1" t="s">
        <v>41</v>
      </c>
      <c r="C56" s="1" t="s">
        <v>82</v>
      </c>
      <c r="D56" s="1" t="s">
        <v>83</v>
      </c>
      <c r="E56" s="1" t="s">
        <v>38</v>
      </c>
      <c r="F56" s="1" t="s">
        <v>39</v>
      </c>
      <c r="G56" s="1" t="s">
        <v>40</v>
      </c>
      <c r="H56" s="1" t="s">
        <v>35</v>
      </c>
      <c r="I56" s="1" t="s">
        <v>41</v>
      </c>
      <c r="J56" s="1" t="s">
        <v>39</v>
      </c>
      <c r="K56" s="1" t="s">
        <v>42</v>
      </c>
      <c r="L56" s="1" t="s">
        <v>43</v>
      </c>
      <c r="M56" s="1" t="s">
        <v>44</v>
      </c>
      <c r="N56" s="1" t="s">
        <v>45</v>
      </c>
      <c r="O56" s="1" t="s">
        <v>45</v>
      </c>
      <c r="P56" s="1" t="s">
        <v>46</v>
      </c>
      <c r="Q56" s="1" t="s">
        <v>47</v>
      </c>
      <c r="R56" s="1" t="s">
        <v>80</v>
      </c>
      <c r="S56" s="1" t="s">
        <v>49</v>
      </c>
      <c r="T56" s="1" t="s">
        <v>50</v>
      </c>
      <c r="U56" s="1" t="s">
        <v>51</v>
      </c>
      <c r="V56" s="1" t="s">
        <v>52</v>
      </c>
      <c r="W56" s="1" t="s">
        <v>53</v>
      </c>
      <c r="X56" s="1" t="s">
        <v>54</v>
      </c>
      <c r="Y56" s="1" t="s">
        <v>55</v>
      </c>
      <c r="Z56" s="1" t="s">
        <v>82</v>
      </c>
      <c r="AA56" s="1" t="s">
        <v>36</v>
      </c>
      <c r="AB56" s="1" t="s">
        <v>54</v>
      </c>
      <c r="AC56" s="1" t="s">
        <v>57</v>
      </c>
      <c r="AD56" s="1" t="s">
        <v>58</v>
      </c>
      <c r="AE56" s="1" t="s">
        <v>59</v>
      </c>
      <c r="AF56" s="1" t="s">
        <v>54</v>
      </c>
      <c r="AG56" s="1" t="s">
        <v>75</v>
      </c>
      <c r="AH56" s="1" t="s">
        <v>120</v>
      </c>
    </row>
    <row r="57" spans="1:34" x14ac:dyDescent="0.3">
      <c r="A57" s="1" t="s">
        <v>85</v>
      </c>
      <c r="B57" s="1" t="s">
        <v>41</v>
      </c>
      <c r="C57" s="1" t="s">
        <v>82</v>
      </c>
      <c r="D57" s="1" t="s">
        <v>83</v>
      </c>
      <c r="E57" s="1" t="s">
        <v>38</v>
      </c>
      <c r="F57" s="1" t="s">
        <v>39</v>
      </c>
      <c r="G57" s="1" t="s">
        <v>40</v>
      </c>
      <c r="H57" s="1" t="s">
        <v>35</v>
      </c>
      <c r="I57" s="1" t="s">
        <v>35</v>
      </c>
      <c r="J57" s="1" t="s">
        <v>39</v>
      </c>
      <c r="K57" s="1" t="s">
        <v>42</v>
      </c>
      <c r="L57" s="1" t="s">
        <v>40</v>
      </c>
      <c r="M57" s="1" t="s">
        <v>44</v>
      </c>
      <c r="N57" s="1" t="s">
        <v>81</v>
      </c>
      <c r="O57" s="1" t="s">
        <v>81</v>
      </c>
      <c r="P57" s="1" t="s">
        <v>104</v>
      </c>
      <c r="Q57" s="1" t="s">
        <v>47</v>
      </c>
      <c r="R57" s="1" t="s">
        <v>80</v>
      </c>
      <c r="S57" s="1" t="s">
        <v>49</v>
      </c>
      <c r="T57" s="1" t="s">
        <v>50</v>
      </c>
      <c r="U57" s="1" t="s">
        <v>51</v>
      </c>
      <c r="V57" s="1" t="s">
        <v>52</v>
      </c>
      <c r="W57" s="1" t="s">
        <v>53</v>
      </c>
      <c r="X57" s="1" t="s">
        <v>54</v>
      </c>
      <c r="Y57" s="1" t="s">
        <v>55</v>
      </c>
      <c r="Z57" s="1" t="s">
        <v>82</v>
      </c>
      <c r="AA57" s="1" t="s">
        <v>36</v>
      </c>
      <c r="AB57" s="1" t="s">
        <v>54</v>
      </c>
      <c r="AC57" s="1" t="s">
        <v>57</v>
      </c>
      <c r="AD57" s="1" t="s">
        <v>58</v>
      </c>
      <c r="AE57" s="1" t="s">
        <v>59</v>
      </c>
      <c r="AF57" s="1" t="s">
        <v>54</v>
      </c>
      <c r="AG57" s="1" t="s">
        <v>75</v>
      </c>
      <c r="AH57" s="1" t="s">
        <v>121</v>
      </c>
    </row>
    <row r="58" spans="1:34" x14ac:dyDescent="0.3">
      <c r="A58" s="1" t="s">
        <v>74</v>
      </c>
      <c r="B58" s="1" t="s">
        <v>41</v>
      </c>
      <c r="C58" s="1" t="s">
        <v>82</v>
      </c>
      <c r="D58" s="1" t="s">
        <v>37</v>
      </c>
      <c r="E58" s="1" t="s">
        <v>38</v>
      </c>
      <c r="F58" s="1" t="s">
        <v>39</v>
      </c>
      <c r="G58" s="1" t="s">
        <v>40</v>
      </c>
      <c r="H58" s="1" t="s">
        <v>35</v>
      </c>
      <c r="I58" s="1" t="s">
        <v>41</v>
      </c>
      <c r="J58" s="1" t="s">
        <v>39</v>
      </c>
      <c r="K58" s="1" t="s">
        <v>42</v>
      </c>
      <c r="L58" s="1" t="s">
        <v>79</v>
      </c>
      <c r="M58" s="1" t="s">
        <v>44</v>
      </c>
      <c r="N58" s="1" t="s">
        <v>45</v>
      </c>
      <c r="O58" s="1" t="s">
        <v>45</v>
      </c>
      <c r="P58" s="1" t="s">
        <v>50</v>
      </c>
      <c r="Q58" s="1" t="s">
        <v>47</v>
      </c>
      <c r="R58" s="1" t="s">
        <v>48</v>
      </c>
      <c r="S58" s="1" t="s">
        <v>49</v>
      </c>
      <c r="T58" s="1" t="s">
        <v>50</v>
      </c>
      <c r="U58" s="1" t="s">
        <v>51</v>
      </c>
      <c r="V58" s="1" t="s">
        <v>52</v>
      </c>
      <c r="W58" s="1" t="s">
        <v>53</v>
      </c>
      <c r="X58" s="1" t="s">
        <v>54</v>
      </c>
      <c r="Y58" s="1" t="s">
        <v>55</v>
      </c>
      <c r="Z58" s="1" t="s">
        <v>82</v>
      </c>
      <c r="AA58" s="1" t="s">
        <v>36</v>
      </c>
      <c r="AB58" s="1" t="s">
        <v>54</v>
      </c>
      <c r="AC58" s="1" t="s">
        <v>57</v>
      </c>
      <c r="AD58" s="1" t="s">
        <v>58</v>
      </c>
      <c r="AE58" s="1" t="s">
        <v>59</v>
      </c>
      <c r="AF58" s="1" t="s">
        <v>54</v>
      </c>
      <c r="AG58" s="1" t="s">
        <v>75</v>
      </c>
      <c r="AH58" s="1" t="s">
        <v>120</v>
      </c>
    </row>
    <row r="59" spans="1:34" x14ac:dyDescent="0.3">
      <c r="A59" s="1" t="s">
        <v>55</v>
      </c>
      <c r="B59" s="1" t="s">
        <v>41</v>
      </c>
      <c r="C59" s="1" t="s">
        <v>76</v>
      </c>
      <c r="D59" s="1" t="s">
        <v>37</v>
      </c>
      <c r="E59" s="1" t="s">
        <v>77</v>
      </c>
      <c r="F59" s="1" t="s">
        <v>39</v>
      </c>
      <c r="G59" s="1" t="s">
        <v>79</v>
      </c>
      <c r="H59" s="1" t="s">
        <v>35</v>
      </c>
      <c r="I59" s="1" t="s">
        <v>35</v>
      </c>
      <c r="J59" s="1" t="s">
        <v>92</v>
      </c>
      <c r="K59" s="1" t="s">
        <v>42</v>
      </c>
      <c r="L59" s="1" t="s">
        <v>43</v>
      </c>
      <c r="M59" s="1" t="s">
        <v>44</v>
      </c>
      <c r="N59" s="1" t="s">
        <v>45</v>
      </c>
      <c r="O59" s="1" t="s">
        <v>45</v>
      </c>
      <c r="P59" s="1" t="s">
        <v>46</v>
      </c>
      <c r="Q59" s="1" t="s">
        <v>47</v>
      </c>
      <c r="R59" s="1" t="s">
        <v>48</v>
      </c>
      <c r="S59" s="1" t="s">
        <v>49</v>
      </c>
      <c r="T59" s="1" t="s">
        <v>50</v>
      </c>
      <c r="U59" s="1" t="s">
        <v>51</v>
      </c>
      <c r="V59" s="1" t="s">
        <v>52</v>
      </c>
      <c r="W59" s="1" t="s">
        <v>53</v>
      </c>
      <c r="X59" s="1" t="s">
        <v>54</v>
      </c>
      <c r="Y59" s="1" t="s">
        <v>55</v>
      </c>
      <c r="Z59" s="1" t="s">
        <v>56</v>
      </c>
      <c r="AA59" s="1" t="s">
        <v>36</v>
      </c>
      <c r="AB59" s="1" t="s">
        <v>54</v>
      </c>
      <c r="AC59" s="1" t="s">
        <v>57</v>
      </c>
      <c r="AD59" s="1" t="s">
        <v>58</v>
      </c>
      <c r="AE59" s="1" t="s">
        <v>42</v>
      </c>
      <c r="AF59" s="1" t="s">
        <v>54</v>
      </c>
      <c r="AG59" s="1" t="s">
        <v>75</v>
      </c>
      <c r="AH59" s="1" t="s">
        <v>120</v>
      </c>
    </row>
    <row r="60" spans="1:34" x14ac:dyDescent="0.3">
      <c r="A60" s="1" t="s">
        <v>34</v>
      </c>
      <c r="B60" s="1" t="s">
        <v>41</v>
      </c>
      <c r="C60" s="1" t="s">
        <v>76</v>
      </c>
      <c r="D60" s="1" t="s">
        <v>49</v>
      </c>
      <c r="E60" s="1" t="s">
        <v>77</v>
      </c>
      <c r="F60" s="1" t="s">
        <v>39</v>
      </c>
      <c r="G60" s="1" t="s">
        <v>40</v>
      </c>
      <c r="H60" s="1" t="s">
        <v>41</v>
      </c>
      <c r="I60" s="1" t="s">
        <v>94</v>
      </c>
      <c r="J60" s="1" t="s">
        <v>39</v>
      </c>
      <c r="K60" s="1" t="s">
        <v>42</v>
      </c>
      <c r="L60" s="1" t="s">
        <v>43</v>
      </c>
      <c r="M60" s="1" t="s">
        <v>44</v>
      </c>
      <c r="N60" s="1" t="s">
        <v>45</v>
      </c>
      <c r="O60" s="1" t="s">
        <v>45</v>
      </c>
      <c r="P60" s="1" t="s">
        <v>46</v>
      </c>
      <c r="Q60" s="1" t="s">
        <v>47</v>
      </c>
      <c r="R60" s="1" t="s">
        <v>48</v>
      </c>
      <c r="S60" s="1" t="s">
        <v>49</v>
      </c>
      <c r="T60" s="1" t="s">
        <v>50</v>
      </c>
      <c r="U60" s="1" t="s">
        <v>51</v>
      </c>
      <c r="V60" s="1" t="s">
        <v>52</v>
      </c>
      <c r="W60" s="1" t="s">
        <v>53</v>
      </c>
      <c r="X60" s="1" t="s">
        <v>54</v>
      </c>
      <c r="Y60" s="1" t="s">
        <v>55</v>
      </c>
      <c r="Z60" s="1" t="s">
        <v>56</v>
      </c>
      <c r="AA60" s="1" t="s">
        <v>36</v>
      </c>
      <c r="AB60" s="1" t="s">
        <v>54</v>
      </c>
      <c r="AC60" s="1" t="s">
        <v>57</v>
      </c>
      <c r="AD60" s="1" t="s">
        <v>58</v>
      </c>
      <c r="AE60" s="1" t="s">
        <v>42</v>
      </c>
      <c r="AF60" s="1" t="s">
        <v>54</v>
      </c>
      <c r="AG60" s="1" t="s">
        <v>75</v>
      </c>
      <c r="AH60" s="1" t="s">
        <v>120</v>
      </c>
    </row>
    <row r="61" spans="1:34" x14ac:dyDescent="0.3">
      <c r="A61" s="1" t="s">
        <v>74</v>
      </c>
      <c r="B61" s="1" t="s">
        <v>61</v>
      </c>
      <c r="C61" s="1" t="s">
        <v>62</v>
      </c>
      <c r="D61" s="1" t="s">
        <v>63</v>
      </c>
      <c r="E61" s="1" t="s">
        <v>64</v>
      </c>
      <c r="F61" s="1" t="s">
        <v>65</v>
      </c>
      <c r="G61" s="1" t="s">
        <v>66</v>
      </c>
      <c r="H61" s="1" t="s">
        <v>61</v>
      </c>
      <c r="I61" s="1" t="s">
        <v>61</v>
      </c>
      <c r="J61" s="1" t="s">
        <v>65</v>
      </c>
      <c r="K61" s="1" t="s">
        <v>67</v>
      </c>
      <c r="L61" s="1" t="s">
        <v>66</v>
      </c>
      <c r="M61" s="1" t="s">
        <v>68</v>
      </c>
      <c r="N61" s="1" t="s">
        <v>63</v>
      </c>
      <c r="O61" s="1" t="s">
        <v>63</v>
      </c>
      <c r="P61" s="1" t="s">
        <v>69</v>
      </c>
      <c r="Q61" s="1" t="s">
        <v>70</v>
      </c>
      <c r="R61" s="1" t="s">
        <v>71</v>
      </c>
      <c r="S61" s="1" t="s">
        <v>63</v>
      </c>
      <c r="T61" s="1" t="s">
        <v>69</v>
      </c>
      <c r="U61" s="1" t="s">
        <v>69</v>
      </c>
      <c r="V61" s="1" t="s">
        <v>63</v>
      </c>
      <c r="W61" s="1" t="s">
        <v>68</v>
      </c>
      <c r="X61" s="1" t="s">
        <v>72</v>
      </c>
      <c r="Y61" s="1" t="s">
        <v>72</v>
      </c>
      <c r="Z61" s="1" t="s">
        <v>62</v>
      </c>
      <c r="AA61" s="1" t="s">
        <v>62</v>
      </c>
      <c r="AB61" s="1" t="s">
        <v>72</v>
      </c>
      <c r="AC61" s="1" t="s">
        <v>73</v>
      </c>
      <c r="AD61" s="1" t="s">
        <v>73</v>
      </c>
      <c r="AE61" s="1" t="s">
        <v>67</v>
      </c>
      <c r="AF61" s="1" t="s">
        <v>72</v>
      </c>
      <c r="AG61" s="1" t="s">
        <v>71</v>
      </c>
      <c r="AH61" s="1" t="s">
        <v>120</v>
      </c>
    </row>
    <row r="62" spans="1:34" x14ac:dyDescent="0.3">
      <c r="A62" s="1" t="s">
        <v>91</v>
      </c>
      <c r="B62" s="1" t="s">
        <v>41</v>
      </c>
      <c r="C62" s="1" t="s">
        <v>76</v>
      </c>
      <c r="D62" s="1" t="s">
        <v>49</v>
      </c>
      <c r="E62" s="1" t="s">
        <v>77</v>
      </c>
      <c r="F62" s="1" t="s">
        <v>86</v>
      </c>
      <c r="G62" s="1" t="s">
        <v>40</v>
      </c>
      <c r="H62" s="1" t="s">
        <v>41</v>
      </c>
      <c r="I62" s="1" t="s">
        <v>35</v>
      </c>
      <c r="J62" s="1" t="s">
        <v>39</v>
      </c>
      <c r="K62" s="1" t="s">
        <v>42</v>
      </c>
      <c r="L62" s="1" t="s">
        <v>43</v>
      </c>
      <c r="M62" s="1" t="s">
        <v>44</v>
      </c>
      <c r="N62" s="1" t="s">
        <v>45</v>
      </c>
      <c r="O62" s="1" t="s">
        <v>45</v>
      </c>
      <c r="P62" s="1" t="s">
        <v>46</v>
      </c>
      <c r="Q62" s="1" t="s">
        <v>47</v>
      </c>
      <c r="R62" s="1" t="s">
        <v>48</v>
      </c>
      <c r="S62" s="1" t="s">
        <v>49</v>
      </c>
      <c r="T62" s="1" t="s">
        <v>50</v>
      </c>
      <c r="U62" s="1" t="s">
        <v>51</v>
      </c>
      <c r="V62" s="1" t="s">
        <v>52</v>
      </c>
      <c r="W62" s="1" t="s">
        <v>53</v>
      </c>
      <c r="X62" s="1" t="s">
        <v>54</v>
      </c>
      <c r="Y62" s="1" t="s">
        <v>55</v>
      </c>
      <c r="Z62" s="1" t="s">
        <v>56</v>
      </c>
      <c r="AA62" s="1" t="s">
        <v>36</v>
      </c>
      <c r="AB62" s="1" t="s">
        <v>54</v>
      </c>
      <c r="AC62" s="1" t="s">
        <v>57</v>
      </c>
      <c r="AD62" s="1" t="s">
        <v>58</v>
      </c>
      <c r="AE62" s="1" t="s">
        <v>42</v>
      </c>
      <c r="AF62" s="1" t="s">
        <v>54</v>
      </c>
      <c r="AG62" s="1" t="s">
        <v>75</v>
      </c>
      <c r="AH62" s="1" t="s">
        <v>120</v>
      </c>
    </row>
    <row r="63" spans="1:34" x14ac:dyDescent="0.3">
      <c r="A63" s="1" t="s">
        <v>99</v>
      </c>
      <c r="B63" s="1" t="s">
        <v>41</v>
      </c>
      <c r="C63" s="1" t="s">
        <v>76</v>
      </c>
      <c r="D63" s="1" t="s">
        <v>37</v>
      </c>
      <c r="E63" s="1" t="s">
        <v>77</v>
      </c>
      <c r="F63" s="1" t="s">
        <v>39</v>
      </c>
      <c r="G63" s="1" t="s">
        <v>40</v>
      </c>
      <c r="H63" s="1" t="s">
        <v>35</v>
      </c>
      <c r="I63" s="1" t="s">
        <v>41</v>
      </c>
      <c r="J63" s="1" t="s">
        <v>39</v>
      </c>
      <c r="K63" s="1" t="s">
        <v>42</v>
      </c>
      <c r="L63" s="1" t="s">
        <v>43</v>
      </c>
      <c r="M63" s="1" t="s">
        <v>44</v>
      </c>
      <c r="N63" s="1" t="s">
        <v>45</v>
      </c>
      <c r="O63" s="1" t="s">
        <v>45</v>
      </c>
      <c r="P63" s="1" t="s">
        <v>46</v>
      </c>
      <c r="Q63" s="1" t="s">
        <v>93</v>
      </c>
      <c r="R63" s="1" t="s">
        <v>48</v>
      </c>
      <c r="S63" s="1" t="s">
        <v>49</v>
      </c>
      <c r="T63" s="1" t="s">
        <v>50</v>
      </c>
      <c r="U63" s="1" t="s">
        <v>51</v>
      </c>
      <c r="V63" s="1" t="s">
        <v>52</v>
      </c>
      <c r="W63" s="1" t="s">
        <v>95</v>
      </c>
      <c r="X63" s="1" t="s">
        <v>54</v>
      </c>
      <c r="Y63" s="1" t="s">
        <v>55</v>
      </c>
      <c r="Z63" s="1" t="s">
        <v>56</v>
      </c>
      <c r="AA63" s="1" t="s">
        <v>36</v>
      </c>
      <c r="AB63" s="1" t="s">
        <v>54</v>
      </c>
      <c r="AC63" s="1" t="s">
        <v>57</v>
      </c>
      <c r="AD63" s="1" t="s">
        <v>58</v>
      </c>
      <c r="AE63" s="1" t="s">
        <v>42</v>
      </c>
      <c r="AF63" s="1" t="s">
        <v>54</v>
      </c>
      <c r="AG63" s="1" t="s">
        <v>75</v>
      </c>
      <c r="AH63" s="1" t="s">
        <v>120</v>
      </c>
    </row>
    <row r="64" spans="1:34" x14ac:dyDescent="0.3">
      <c r="A64" s="1" t="s">
        <v>91</v>
      </c>
      <c r="B64" s="1" t="s">
        <v>41</v>
      </c>
      <c r="C64" s="1" t="s">
        <v>76</v>
      </c>
      <c r="D64" s="1" t="s">
        <v>49</v>
      </c>
      <c r="E64" s="1" t="s">
        <v>77</v>
      </c>
      <c r="F64" s="1" t="s">
        <v>86</v>
      </c>
      <c r="G64" s="1" t="s">
        <v>40</v>
      </c>
      <c r="H64" s="1" t="s">
        <v>35</v>
      </c>
      <c r="I64" s="1" t="s">
        <v>94</v>
      </c>
      <c r="J64" s="1" t="s">
        <v>39</v>
      </c>
      <c r="K64" s="1" t="s">
        <v>42</v>
      </c>
      <c r="L64" s="1" t="s">
        <v>88</v>
      </c>
      <c r="M64" s="1" t="s">
        <v>53</v>
      </c>
      <c r="N64" s="1" t="s">
        <v>45</v>
      </c>
      <c r="O64" s="1" t="s">
        <v>45</v>
      </c>
      <c r="P64" s="1" t="s">
        <v>46</v>
      </c>
      <c r="Q64" s="1" t="s">
        <v>47</v>
      </c>
      <c r="R64" s="1" t="s">
        <v>48</v>
      </c>
      <c r="S64" s="1" t="s">
        <v>49</v>
      </c>
      <c r="T64" s="1" t="s">
        <v>50</v>
      </c>
      <c r="U64" s="1" t="s">
        <v>51</v>
      </c>
      <c r="V64" s="1" t="s">
        <v>52</v>
      </c>
      <c r="W64" s="1" t="s">
        <v>53</v>
      </c>
      <c r="X64" s="1" t="s">
        <v>54</v>
      </c>
      <c r="Y64" s="1" t="s">
        <v>55</v>
      </c>
      <c r="Z64" s="1" t="s">
        <v>56</v>
      </c>
      <c r="AA64" s="1" t="s">
        <v>36</v>
      </c>
      <c r="AB64" s="1" t="s">
        <v>54</v>
      </c>
      <c r="AC64" s="1" t="s">
        <v>57</v>
      </c>
      <c r="AD64" s="1" t="s">
        <v>58</v>
      </c>
      <c r="AE64" s="1" t="s">
        <v>42</v>
      </c>
      <c r="AF64" s="1" t="s">
        <v>54</v>
      </c>
      <c r="AG64" s="1" t="s">
        <v>60</v>
      </c>
      <c r="AH64" s="1" t="s">
        <v>120</v>
      </c>
    </row>
    <row r="65" spans="1:34" x14ac:dyDescent="0.3">
      <c r="A65" s="1" t="s">
        <v>91</v>
      </c>
      <c r="B65" s="1" t="s">
        <v>41</v>
      </c>
      <c r="C65" s="1" t="s">
        <v>76</v>
      </c>
      <c r="D65" s="1" t="s">
        <v>83</v>
      </c>
      <c r="E65" s="1" t="s">
        <v>38</v>
      </c>
      <c r="F65" s="1" t="s">
        <v>39</v>
      </c>
      <c r="G65" s="1" t="s">
        <v>40</v>
      </c>
      <c r="H65" s="1" t="s">
        <v>35</v>
      </c>
      <c r="I65" s="1" t="s">
        <v>35</v>
      </c>
      <c r="J65" s="1" t="s">
        <v>39</v>
      </c>
      <c r="K65" s="1" t="s">
        <v>42</v>
      </c>
      <c r="L65" s="1" t="s">
        <v>43</v>
      </c>
      <c r="M65" s="1" t="s">
        <v>44</v>
      </c>
      <c r="N65" s="1" t="s">
        <v>45</v>
      </c>
      <c r="O65" s="1" t="s">
        <v>45</v>
      </c>
      <c r="P65" s="1" t="s">
        <v>46</v>
      </c>
      <c r="Q65" s="1" t="s">
        <v>47</v>
      </c>
      <c r="R65" s="1" t="s">
        <v>48</v>
      </c>
      <c r="S65" s="1" t="s">
        <v>49</v>
      </c>
      <c r="T65" s="1" t="s">
        <v>50</v>
      </c>
      <c r="U65" s="1" t="s">
        <v>51</v>
      </c>
      <c r="V65" s="1" t="s">
        <v>52</v>
      </c>
      <c r="W65" s="1" t="s">
        <v>53</v>
      </c>
      <c r="X65" s="1" t="s">
        <v>54</v>
      </c>
      <c r="Y65" s="1" t="s">
        <v>74</v>
      </c>
      <c r="Z65" s="1" t="s">
        <v>56</v>
      </c>
      <c r="AA65" s="1" t="s">
        <v>36</v>
      </c>
      <c r="AB65" s="1" t="s">
        <v>54</v>
      </c>
      <c r="AC65" s="1" t="s">
        <v>57</v>
      </c>
      <c r="AD65" s="1" t="s">
        <v>58</v>
      </c>
      <c r="AE65" s="1" t="s">
        <v>59</v>
      </c>
      <c r="AF65" s="1" t="s">
        <v>54</v>
      </c>
      <c r="AG65" s="1" t="s">
        <v>75</v>
      </c>
      <c r="AH65" s="1" t="s">
        <v>120</v>
      </c>
    </row>
    <row r="66" spans="1:34" x14ac:dyDescent="0.3">
      <c r="A66" s="1" t="s">
        <v>34</v>
      </c>
      <c r="B66" s="1" t="s">
        <v>41</v>
      </c>
      <c r="C66" s="1" t="s">
        <v>76</v>
      </c>
      <c r="D66" s="1" t="s">
        <v>49</v>
      </c>
      <c r="E66" s="1" t="s">
        <v>77</v>
      </c>
      <c r="F66" s="1" t="s">
        <v>86</v>
      </c>
      <c r="G66" s="1" t="s">
        <v>40</v>
      </c>
      <c r="H66" s="1" t="s">
        <v>41</v>
      </c>
      <c r="I66" s="1" t="s">
        <v>61</v>
      </c>
      <c r="J66" s="1" t="s">
        <v>78</v>
      </c>
      <c r="K66" s="1" t="s">
        <v>42</v>
      </c>
      <c r="L66" s="1" t="s">
        <v>88</v>
      </c>
      <c r="M66" s="1" t="s">
        <v>44</v>
      </c>
      <c r="N66" s="1" t="s">
        <v>45</v>
      </c>
      <c r="O66" s="1" t="s">
        <v>45</v>
      </c>
      <c r="P66" s="1" t="s">
        <v>103</v>
      </c>
      <c r="Q66" s="1" t="s">
        <v>47</v>
      </c>
      <c r="R66" s="1" t="s">
        <v>48</v>
      </c>
      <c r="S66" s="1" t="s">
        <v>49</v>
      </c>
      <c r="T66" s="1" t="s">
        <v>50</v>
      </c>
      <c r="U66" s="1" t="s">
        <v>51</v>
      </c>
      <c r="V66" s="1" t="s">
        <v>52</v>
      </c>
      <c r="W66" s="1" t="s">
        <v>53</v>
      </c>
      <c r="X66" s="1" t="s">
        <v>54</v>
      </c>
      <c r="Y66" s="1" t="s">
        <v>55</v>
      </c>
      <c r="Z66" s="1" t="s">
        <v>56</v>
      </c>
      <c r="AA66" s="1" t="s">
        <v>36</v>
      </c>
      <c r="AB66" s="1" t="s">
        <v>54</v>
      </c>
      <c r="AC66" s="1" t="s">
        <v>57</v>
      </c>
      <c r="AD66" s="1" t="s">
        <v>58</v>
      </c>
      <c r="AE66" s="1" t="s">
        <v>59</v>
      </c>
      <c r="AF66" s="1" t="s">
        <v>54</v>
      </c>
      <c r="AG66" s="1" t="s">
        <v>71</v>
      </c>
      <c r="AH66" s="1" t="s">
        <v>120</v>
      </c>
    </row>
    <row r="67" spans="1:34" x14ac:dyDescent="0.3">
      <c r="A67" s="1" t="s">
        <v>91</v>
      </c>
      <c r="B67" s="1" t="s">
        <v>41</v>
      </c>
      <c r="C67" s="1" t="s">
        <v>76</v>
      </c>
      <c r="D67" s="1" t="s">
        <v>37</v>
      </c>
      <c r="E67" s="1" t="s">
        <v>77</v>
      </c>
      <c r="F67" s="1" t="s">
        <v>39</v>
      </c>
      <c r="G67" s="1" t="s">
        <v>40</v>
      </c>
      <c r="H67" s="1" t="s">
        <v>35</v>
      </c>
      <c r="I67" s="1" t="s">
        <v>41</v>
      </c>
      <c r="J67" s="1" t="s">
        <v>92</v>
      </c>
      <c r="K67" s="1" t="s">
        <v>42</v>
      </c>
      <c r="L67" s="1" t="s">
        <v>79</v>
      </c>
      <c r="M67" s="1" t="s">
        <v>44</v>
      </c>
      <c r="N67" s="1" t="s">
        <v>45</v>
      </c>
      <c r="O67" s="1" t="s">
        <v>52</v>
      </c>
      <c r="P67" s="1" t="s">
        <v>103</v>
      </c>
      <c r="Q67" s="1" t="s">
        <v>47</v>
      </c>
      <c r="R67" s="1" t="s">
        <v>80</v>
      </c>
      <c r="S67" s="1" t="s">
        <v>49</v>
      </c>
      <c r="T67" s="1" t="s">
        <v>50</v>
      </c>
      <c r="U67" s="1" t="s">
        <v>51</v>
      </c>
      <c r="V67" s="1" t="s">
        <v>52</v>
      </c>
      <c r="W67" s="1" t="s">
        <v>53</v>
      </c>
      <c r="X67" s="1" t="s">
        <v>54</v>
      </c>
      <c r="Y67" s="1" t="s">
        <v>55</v>
      </c>
      <c r="Z67" s="1" t="s">
        <v>56</v>
      </c>
      <c r="AA67" s="1" t="s">
        <v>36</v>
      </c>
      <c r="AB67" s="1" t="s">
        <v>54</v>
      </c>
      <c r="AC67" s="1" t="s">
        <v>57</v>
      </c>
      <c r="AD67" s="1" t="s">
        <v>58</v>
      </c>
      <c r="AE67" s="1" t="s">
        <v>59</v>
      </c>
      <c r="AF67" s="1" t="s">
        <v>54</v>
      </c>
      <c r="AG67" s="1" t="s">
        <v>98</v>
      </c>
      <c r="AH67" s="1" t="s">
        <v>120</v>
      </c>
    </row>
    <row r="68" spans="1:34" x14ac:dyDescent="0.3">
      <c r="A68" s="1" t="s">
        <v>85</v>
      </c>
      <c r="B68" s="1" t="s">
        <v>61</v>
      </c>
      <c r="C68" s="1" t="s">
        <v>62</v>
      </c>
      <c r="D68" s="1" t="s">
        <v>63</v>
      </c>
      <c r="E68" s="1" t="s">
        <v>64</v>
      </c>
      <c r="F68" s="1" t="s">
        <v>65</v>
      </c>
      <c r="G68" s="1" t="s">
        <v>66</v>
      </c>
      <c r="H68" s="1" t="s">
        <v>61</v>
      </c>
      <c r="I68" s="1" t="s">
        <v>61</v>
      </c>
      <c r="J68" s="1" t="s">
        <v>65</v>
      </c>
      <c r="K68" s="1" t="s">
        <v>67</v>
      </c>
      <c r="L68" s="1" t="s">
        <v>66</v>
      </c>
      <c r="M68" s="1" t="s">
        <v>68</v>
      </c>
      <c r="N68" s="1" t="s">
        <v>63</v>
      </c>
      <c r="O68" s="1" t="s">
        <v>63</v>
      </c>
      <c r="P68" s="1" t="s">
        <v>69</v>
      </c>
      <c r="Q68" s="1" t="s">
        <v>70</v>
      </c>
      <c r="R68" s="1" t="s">
        <v>71</v>
      </c>
      <c r="S68" s="1" t="s">
        <v>63</v>
      </c>
      <c r="T68" s="1" t="s">
        <v>69</v>
      </c>
      <c r="U68" s="1" t="s">
        <v>69</v>
      </c>
      <c r="V68" s="1" t="s">
        <v>63</v>
      </c>
      <c r="W68" s="1" t="s">
        <v>68</v>
      </c>
      <c r="X68" s="1" t="s">
        <v>72</v>
      </c>
      <c r="Y68" s="1" t="s">
        <v>72</v>
      </c>
      <c r="Z68" s="1" t="s">
        <v>62</v>
      </c>
      <c r="AA68" s="1" t="s">
        <v>62</v>
      </c>
      <c r="AB68" s="1" t="s">
        <v>72</v>
      </c>
      <c r="AC68" s="1" t="s">
        <v>73</v>
      </c>
      <c r="AD68" s="1" t="s">
        <v>73</v>
      </c>
      <c r="AE68" s="1" t="s">
        <v>67</v>
      </c>
      <c r="AF68" s="1" t="s">
        <v>72</v>
      </c>
      <c r="AG68" s="1" t="s">
        <v>71</v>
      </c>
      <c r="AH68" s="1" t="s">
        <v>120</v>
      </c>
    </row>
    <row r="69" spans="1:34" x14ac:dyDescent="0.3">
      <c r="A69" s="1" t="s">
        <v>54</v>
      </c>
      <c r="B69" s="1" t="s">
        <v>87</v>
      </c>
      <c r="C69" s="1" t="s">
        <v>82</v>
      </c>
      <c r="D69" s="1" t="s">
        <v>37</v>
      </c>
      <c r="E69" s="1" t="s">
        <v>77</v>
      </c>
      <c r="F69" s="1" t="s">
        <v>86</v>
      </c>
      <c r="G69" s="1" t="s">
        <v>40</v>
      </c>
      <c r="H69" s="1" t="s">
        <v>41</v>
      </c>
      <c r="I69" s="1" t="s">
        <v>41</v>
      </c>
      <c r="J69" s="1" t="s">
        <v>39</v>
      </c>
      <c r="K69" s="1" t="s">
        <v>42</v>
      </c>
      <c r="L69" s="1" t="s">
        <v>88</v>
      </c>
      <c r="M69" s="1" t="s">
        <v>44</v>
      </c>
      <c r="N69" s="1" t="s">
        <v>45</v>
      </c>
      <c r="O69" s="1" t="s">
        <v>45</v>
      </c>
      <c r="P69" s="1" t="s">
        <v>46</v>
      </c>
      <c r="Q69" s="1" t="s">
        <v>47</v>
      </c>
      <c r="R69" s="1" t="s">
        <v>48</v>
      </c>
      <c r="S69" s="1" t="s">
        <v>49</v>
      </c>
      <c r="T69" s="1" t="s">
        <v>50</v>
      </c>
      <c r="U69" s="1" t="s">
        <v>51</v>
      </c>
      <c r="V69" s="1" t="s">
        <v>52</v>
      </c>
      <c r="W69" s="1" t="s">
        <v>53</v>
      </c>
      <c r="X69" s="1" t="s">
        <v>54</v>
      </c>
      <c r="Y69" s="1" t="s">
        <v>55</v>
      </c>
      <c r="Z69" s="1" t="s">
        <v>56</v>
      </c>
      <c r="AA69" s="1" t="s">
        <v>36</v>
      </c>
      <c r="AB69" s="1" t="s">
        <v>54</v>
      </c>
      <c r="AC69" s="1" t="s">
        <v>57</v>
      </c>
      <c r="AD69" s="1" t="s">
        <v>58</v>
      </c>
      <c r="AE69" s="1" t="s">
        <v>59</v>
      </c>
      <c r="AF69" s="1" t="s">
        <v>54</v>
      </c>
      <c r="AG69" s="1" t="s">
        <v>75</v>
      </c>
      <c r="AH69" s="1" t="s">
        <v>120</v>
      </c>
    </row>
    <row r="70" spans="1:34" x14ac:dyDescent="0.3">
      <c r="A70" s="1" t="s">
        <v>54</v>
      </c>
      <c r="B70" s="1" t="s">
        <v>35</v>
      </c>
      <c r="C70" s="1" t="s">
        <v>36</v>
      </c>
      <c r="D70" s="1" t="s">
        <v>37</v>
      </c>
      <c r="E70" s="1" t="s">
        <v>38</v>
      </c>
      <c r="F70" s="1" t="s">
        <v>39</v>
      </c>
      <c r="G70" s="1" t="s">
        <v>40</v>
      </c>
      <c r="H70" s="1" t="s">
        <v>35</v>
      </c>
      <c r="I70" s="1" t="s">
        <v>35</v>
      </c>
      <c r="J70" s="1" t="s">
        <v>39</v>
      </c>
      <c r="K70" s="1" t="s">
        <v>59</v>
      </c>
      <c r="L70" s="1" t="s">
        <v>66</v>
      </c>
      <c r="M70" s="1" t="s">
        <v>44</v>
      </c>
      <c r="N70" s="1" t="s">
        <v>45</v>
      </c>
      <c r="O70" s="1" t="s">
        <v>45</v>
      </c>
      <c r="P70" s="1" t="s">
        <v>103</v>
      </c>
      <c r="Q70" s="1" t="s">
        <v>47</v>
      </c>
      <c r="R70" s="1" t="s">
        <v>80</v>
      </c>
      <c r="S70" s="1" t="s">
        <v>49</v>
      </c>
      <c r="T70" s="1" t="s">
        <v>50</v>
      </c>
      <c r="U70" s="1" t="s">
        <v>51</v>
      </c>
      <c r="V70" s="1" t="s">
        <v>52</v>
      </c>
      <c r="W70" s="1" t="s">
        <v>53</v>
      </c>
      <c r="X70" s="1" t="s">
        <v>54</v>
      </c>
      <c r="Y70" s="1" t="s">
        <v>55</v>
      </c>
      <c r="Z70" s="1" t="s">
        <v>82</v>
      </c>
      <c r="AA70" s="1" t="s">
        <v>36</v>
      </c>
      <c r="AB70" s="1" t="s">
        <v>54</v>
      </c>
      <c r="AC70" s="1" t="s">
        <v>57</v>
      </c>
      <c r="AD70" s="1" t="s">
        <v>58</v>
      </c>
      <c r="AE70" s="1" t="s">
        <v>42</v>
      </c>
      <c r="AF70" s="1" t="s">
        <v>54</v>
      </c>
      <c r="AG70" s="1" t="s">
        <v>75</v>
      </c>
      <c r="AH70" s="1" t="s">
        <v>120</v>
      </c>
    </row>
    <row r="71" spans="1:34" x14ac:dyDescent="0.3">
      <c r="A71" s="1" t="s">
        <v>99</v>
      </c>
      <c r="B71" s="1" t="s">
        <v>35</v>
      </c>
      <c r="C71" s="1" t="s">
        <v>36</v>
      </c>
      <c r="D71" s="1" t="s">
        <v>37</v>
      </c>
      <c r="E71" s="1" t="s">
        <v>77</v>
      </c>
      <c r="F71" s="1" t="s">
        <v>39</v>
      </c>
      <c r="G71" s="1" t="s">
        <v>40</v>
      </c>
      <c r="H71" s="1" t="s">
        <v>35</v>
      </c>
      <c r="I71" s="1" t="s">
        <v>35</v>
      </c>
      <c r="J71" s="1" t="s">
        <v>39</v>
      </c>
      <c r="K71" s="1" t="s">
        <v>42</v>
      </c>
      <c r="L71" s="1" t="s">
        <v>40</v>
      </c>
      <c r="M71" s="1" t="s">
        <v>44</v>
      </c>
      <c r="N71" s="1" t="s">
        <v>45</v>
      </c>
      <c r="O71" s="1" t="s">
        <v>45</v>
      </c>
      <c r="P71" s="1" t="s">
        <v>46</v>
      </c>
      <c r="Q71" s="1" t="s">
        <v>47</v>
      </c>
      <c r="R71" s="1" t="s">
        <v>48</v>
      </c>
      <c r="S71" s="1" t="s">
        <v>49</v>
      </c>
      <c r="T71" s="1" t="s">
        <v>50</v>
      </c>
      <c r="U71" s="1" t="s">
        <v>51</v>
      </c>
      <c r="V71" s="1" t="s">
        <v>52</v>
      </c>
      <c r="W71" s="1" t="s">
        <v>53</v>
      </c>
      <c r="X71" s="1" t="s">
        <v>54</v>
      </c>
      <c r="Y71" s="1" t="s">
        <v>55</v>
      </c>
      <c r="Z71" s="1" t="s">
        <v>56</v>
      </c>
      <c r="AA71" s="1" t="s">
        <v>36</v>
      </c>
      <c r="AB71" s="1" t="s">
        <v>54</v>
      </c>
      <c r="AC71" s="1" t="s">
        <v>57</v>
      </c>
      <c r="AD71" s="1" t="s">
        <v>58</v>
      </c>
      <c r="AE71" s="1" t="s">
        <v>59</v>
      </c>
      <c r="AF71" s="1" t="s">
        <v>54</v>
      </c>
      <c r="AG71" s="1" t="s">
        <v>75</v>
      </c>
      <c r="AH71" s="1" t="s">
        <v>120</v>
      </c>
    </row>
    <row r="72" spans="1:34" x14ac:dyDescent="0.3">
      <c r="A72" s="1" t="s">
        <v>74</v>
      </c>
      <c r="B72" s="1" t="s">
        <v>61</v>
      </c>
      <c r="C72" s="1" t="s">
        <v>62</v>
      </c>
      <c r="D72" s="1" t="s">
        <v>63</v>
      </c>
      <c r="E72" s="1" t="s">
        <v>64</v>
      </c>
      <c r="F72" s="1" t="s">
        <v>65</v>
      </c>
      <c r="G72" s="1" t="s">
        <v>66</v>
      </c>
      <c r="H72" s="1" t="s">
        <v>61</v>
      </c>
      <c r="I72" s="1" t="s">
        <v>61</v>
      </c>
      <c r="J72" s="1" t="s">
        <v>65</v>
      </c>
      <c r="K72" s="1" t="s">
        <v>67</v>
      </c>
      <c r="L72" s="1" t="s">
        <v>66</v>
      </c>
      <c r="M72" s="1" t="s">
        <v>68</v>
      </c>
      <c r="N72" s="1" t="s">
        <v>63</v>
      </c>
      <c r="O72" s="1" t="s">
        <v>63</v>
      </c>
      <c r="P72" s="1" t="s">
        <v>69</v>
      </c>
      <c r="Q72" s="1" t="s">
        <v>70</v>
      </c>
      <c r="R72" s="1" t="s">
        <v>71</v>
      </c>
      <c r="S72" s="1" t="s">
        <v>63</v>
      </c>
      <c r="T72" s="1" t="s">
        <v>69</v>
      </c>
      <c r="U72" s="1" t="s">
        <v>69</v>
      </c>
      <c r="V72" s="1" t="s">
        <v>63</v>
      </c>
      <c r="W72" s="1" t="s">
        <v>68</v>
      </c>
      <c r="X72" s="1" t="s">
        <v>72</v>
      </c>
      <c r="Y72" s="1" t="s">
        <v>72</v>
      </c>
      <c r="Z72" s="1" t="s">
        <v>62</v>
      </c>
      <c r="AA72" s="1" t="s">
        <v>62</v>
      </c>
      <c r="AB72" s="1" t="s">
        <v>72</v>
      </c>
      <c r="AC72" s="1" t="s">
        <v>73</v>
      </c>
      <c r="AD72" s="1" t="s">
        <v>73</v>
      </c>
      <c r="AE72" s="1" t="s">
        <v>67</v>
      </c>
      <c r="AF72" s="1" t="s">
        <v>72</v>
      </c>
      <c r="AG72" s="1" t="s">
        <v>71</v>
      </c>
      <c r="AH72" s="1" t="s">
        <v>120</v>
      </c>
    </row>
    <row r="73" spans="1:34" x14ac:dyDescent="0.3">
      <c r="A73" s="1" t="s">
        <v>74</v>
      </c>
      <c r="B73" s="1" t="s">
        <v>61</v>
      </c>
      <c r="C73" s="1" t="s">
        <v>62</v>
      </c>
      <c r="D73" s="1" t="s">
        <v>63</v>
      </c>
      <c r="E73" s="1" t="s">
        <v>64</v>
      </c>
      <c r="F73" s="1" t="s">
        <v>65</v>
      </c>
      <c r="G73" s="1" t="s">
        <v>66</v>
      </c>
      <c r="H73" s="1" t="s">
        <v>61</v>
      </c>
      <c r="I73" s="1" t="s">
        <v>61</v>
      </c>
      <c r="J73" s="1" t="s">
        <v>65</v>
      </c>
      <c r="K73" s="1" t="s">
        <v>67</v>
      </c>
      <c r="L73" s="1" t="s">
        <v>66</v>
      </c>
      <c r="M73" s="1" t="s">
        <v>68</v>
      </c>
      <c r="N73" s="1" t="s">
        <v>63</v>
      </c>
      <c r="O73" s="1" t="s">
        <v>63</v>
      </c>
      <c r="P73" s="1" t="s">
        <v>69</v>
      </c>
      <c r="Q73" s="1" t="s">
        <v>70</v>
      </c>
      <c r="R73" s="1" t="s">
        <v>71</v>
      </c>
      <c r="S73" s="1" t="s">
        <v>63</v>
      </c>
      <c r="T73" s="1" t="s">
        <v>69</v>
      </c>
      <c r="U73" s="1" t="s">
        <v>69</v>
      </c>
      <c r="V73" s="1" t="s">
        <v>63</v>
      </c>
      <c r="W73" s="1" t="s">
        <v>68</v>
      </c>
      <c r="X73" s="1" t="s">
        <v>72</v>
      </c>
      <c r="Y73" s="1" t="s">
        <v>72</v>
      </c>
      <c r="Z73" s="1" t="s">
        <v>62</v>
      </c>
      <c r="AA73" s="1" t="s">
        <v>62</v>
      </c>
      <c r="AB73" s="1" t="s">
        <v>72</v>
      </c>
      <c r="AC73" s="1" t="s">
        <v>73</v>
      </c>
      <c r="AD73" s="1" t="s">
        <v>73</v>
      </c>
      <c r="AE73" s="1" t="s">
        <v>67</v>
      </c>
      <c r="AF73" s="1" t="s">
        <v>72</v>
      </c>
      <c r="AG73" s="1" t="s">
        <v>71</v>
      </c>
      <c r="AH73" s="1" t="s">
        <v>120</v>
      </c>
    </row>
    <row r="74" spans="1:34" x14ac:dyDescent="0.3">
      <c r="A74" s="1" t="s">
        <v>74</v>
      </c>
      <c r="B74" s="1" t="s">
        <v>61</v>
      </c>
      <c r="C74" s="1" t="s">
        <v>62</v>
      </c>
      <c r="D74" s="1" t="s">
        <v>63</v>
      </c>
      <c r="E74" s="1" t="s">
        <v>64</v>
      </c>
      <c r="F74" s="1" t="s">
        <v>65</v>
      </c>
      <c r="G74" s="1" t="s">
        <v>66</v>
      </c>
      <c r="H74" s="1" t="s">
        <v>61</v>
      </c>
      <c r="I74" s="1" t="s">
        <v>61</v>
      </c>
      <c r="J74" s="1" t="s">
        <v>65</v>
      </c>
      <c r="K74" s="1" t="s">
        <v>67</v>
      </c>
      <c r="L74" s="1" t="s">
        <v>66</v>
      </c>
      <c r="M74" s="1" t="s">
        <v>68</v>
      </c>
      <c r="N74" s="1" t="s">
        <v>63</v>
      </c>
      <c r="O74" s="1" t="s">
        <v>63</v>
      </c>
      <c r="P74" s="1" t="s">
        <v>69</v>
      </c>
      <c r="Q74" s="1" t="s">
        <v>70</v>
      </c>
      <c r="R74" s="1" t="s">
        <v>71</v>
      </c>
      <c r="S74" s="1" t="s">
        <v>63</v>
      </c>
      <c r="T74" s="1" t="s">
        <v>69</v>
      </c>
      <c r="U74" s="1" t="s">
        <v>69</v>
      </c>
      <c r="V74" s="1" t="s">
        <v>63</v>
      </c>
      <c r="W74" s="1" t="s">
        <v>68</v>
      </c>
      <c r="X74" s="1" t="s">
        <v>72</v>
      </c>
      <c r="Y74" s="1" t="s">
        <v>72</v>
      </c>
      <c r="Z74" s="1" t="s">
        <v>62</v>
      </c>
      <c r="AA74" s="1" t="s">
        <v>62</v>
      </c>
      <c r="AB74" s="1" t="s">
        <v>72</v>
      </c>
      <c r="AC74" s="1" t="s">
        <v>73</v>
      </c>
      <c r="AD74" s="1" t="s">
        <v>73</v>
      </c>
      <c r="AE74" s="1" t="s">
        <v>67</v>
      </c>
      <c r="AF74" s="1" t="s">
        <v>72</v>
      </c>
      <c r="AG74" s="1" t="s">
        <v>71</v>
      </c>
      <c r="AH74" s="1" t="s">
        <v>120</v>
      </c>
    </row>
    <row r="75" spans="1:34" x14ac:dyDescent="0.3">
      <c r="A75" s="1" t="s">
        <v>74</v>
      </c>
      <c r="B75" s="1" t="s">
        <v>61</v>
      </c>
      <c r="C75" s="1" t="s">
        <v>62</v>
      </c>
      <c r="D75" s="1" t="s">
        <v>63</v>
      </c>
      <c r="E75" s="1" t="s">
        <v>64</v>
      </c>
      <c r="F75" s="1" t="s">
        <v>65</v>
      </c>
      <c r="G75" s="1" t="s">
        <v>66</v>
      </c>
      <c r="H75" s="1" t="s">
        <v>61</v>
      </c>
      <c r="I75" s="1" t="s">
        <v>61</v>
      </c>
      <c r="J75" s="1" t="s">
        <v>65</v>
      </c>
      <c r="K75" s="1" t="s">
        <v>67</v>
      </c>
      <c r="L75" s="1" t="s">
        <v>66</v>
      </c>
      <c r="M75" s="1" t="s">
        <v>68</v>
      </c>
      <c r="N75" s="1" t="s">
        <v>63</v>
      </c>
      <c r="O75" s="1" t="s">
        <v>63</v>
      </c>
      <c r="P75" s="1" t="s">
        <v>69</v>
      </c>
      <c r="Q75" s="1" t="s">
        <v>70</v>
      </c>
      <c r="R75" s="1" t="s">
        <v>71</v>
      </c>
      <c r="S75" s="1" t="s">
        <v>63</v>
      </c>
      <c r="T75" s="1" t="s">
        <v>69</v>
      </c>
      <c r="U75" s="1" t="s">
        <v>69</v>
      </c>
      <c r="V75" s="1" t="s">
        <v>63</v>
      </c>
      <c r="W75" s="1" t="s">
        <v>68</v>
      </c>
      <c r="X75" s="1" t="s">
        <v>72</v>
      </c>
      <c r="Y75" s="1" t="s">
        <v>72</v>
      </c>
      <c r="Z75" s="1" t="s">
        <v>62</v>
      </c>
      <c r="AA75" s="1" t="s">
        <v>62</v>
      </c>
      <c r="AB75" s="1" t="s">
        <v>72</v>
      </c>
      <c r="AC75" s="1" t="s">
        <v>73</v>
      </c>
      <c r="AD75" s="1" t="s">
        <v>73</v>
      </c>
      <c r="AE75" s="1" t="s">
        <v>67</v>
      </c>
      <c r="AF75" s="1" t="s">
        <v>72</v>
      </c>
      <c r="AG75" s="1" t="s">
        <v>71</v>
      </c>
      <c r="AH75" s="1" t="s">
        <v>120</v>
      </c>
    </row>
    <row r="76" spans="1:34" x14ac:dyDescent="0.3">
      <c r="A76" s="1" t="s">
        <v>54</v>
      </c>
      <c r="B76" s="1" t="s">
        <v>35</v>
      </c>
      <c r="C76" s="1" t="s">
        <v>36</v>
      </c>
      <c r="D76" s="1" t="s">
        <v>49</v>
      </c>
      <c r="E76" s="1" t="s">
        <v>77</v>
      </c>
      <c r="F76" s="1" t="s">
        <v>39</v>
      </c>
      <c r="G76" s="1" t="s">
        <v>40</v>
      </c>
      <c r="H76" s="1" t="s">
        <v>35</v>
      </c>
      <c r="I76" s="1" t="s">
        <v>94</v>
      </c>
      <c r="J76" s="1" t="s">
        <v>39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45</v>
      </c>
      <c r="P76" s="1" t="s">
        <v>46</v>
      </c>
      <c r="Q76" s="1" t="s">
        <v>47</v>
      </c>
      <c r="R76" s="1" t="s">
        <v>48</v>
      </c>
      <c r="S76" s="1" t="s">
        <v>49</v>
      </c>
      <c r="T76" s="1" t="s">
        <v>50</v>
      </c>
      <c r="U76" s="1" t="s">
        <v>51</v>
      </c>
      <c r="V76" s="1" t="s">
        <v>52</v>
      </c>
      <c r="W76" s="1" t="s">
        <v>53</v>
      </c>
      <c r="X76" s="1" t="s">
        <v>54</v>
      </c>
      <c r="Y76" s="1" t="s">
        <v>74</v>
      </c>
      <c r="Z76" s="1" t="s">
        <v>56</v>
      </c>
      <c r="AA76" s="1" t="s">
        <v>36</v>
      </c>
      <c r="AB76" s="1" t="s">
        <v>54</v>
      </c>
      <c r="AC76" s="1" t="s">
        <v>57</v>
      </c>
      <c r="AD76" s="1" t="s">
        <v>58</v>
      </c>
      <c r="AE76" s="1" t="s">
        <v>59</v>
      </c>
      <c r="AF76" s="1" t="s">
        <v>54</v>
      </c>
      <c r="AG76" s="1" t="s">
        <v>75</v>
      </c>
      <c r="AH76" s="1" t="s">
        <v>120</v>
      </c>
    </row>
    <row r="77" spans="1:34" x14ac:dyDescent="0.3">
      <c r="A77" s="1" t="s">
        <v>55</v>
      </c>
      <c r="B77" s="1" t="s">
        <v>87</v>
      </c>
      <c r="C77" s="1" t="s">
        <v>82</v>
      </c>
      <c r="D77" s="1" t="s">
        <v>49</v>
      </c>
      <c r="E77" s="1" t="s">
        <v>77</v>
      </c>
      <c r="F77" s="1" t="s">
        <v>39</v>
      </c>
      <c r="G77" s="1" t="s">
        <v>40</v>
      </c>
      <c r="H77" s="1" t="s">
        <v>35</v>
      </c>
      <c r="I77" s="1" t="s">
        <v>35</v>
      </c>
      <c r="J77" s="1" t="s">
        <v>39</v>
      </c>
      <c r="K77" s="1" t="s">
        <v>42</v>
      </c>
      <c r="L77" s="1" t="s">
        <v>79</v>
      </c>
      <c r="M77" s="1" t="s">
        <v>84</v>
      </c>
      <c r="N77" s="1" t="s">
        <v>45</v>
      </c>
      <c r="O77" s="1" t="s">
        <v>45</v>
      </c>
      <c r="P77" s="1" t="s">
        <v>46</v>
      </c>
      <c r="Q77" s="1" t="s">
        <v>47</v>
      </c>
      <c r="R77" s="1" t="s">
        <v>48</v>
      </c>
      <c r="S77" s="1" t="s">
        <v>49</v>
      </c>
      <c r="T77" s="1" t="s">
        <v>50</v>
      </c>
      <c r="U77" s="1" t="s">
        <v>51</v>
      </c>
      <c r="V77" s="1" t="s">
        <v>52</v>
      </c>
      <c r="W77" s="1" t="s">
        <v>53</v>
      </c>
      <c r="X77" s="1" t="s">
        <v>54</v>
      </c>
      <c r="Y77" s="1" t="s">
        <v>55</v>
      </c>
      <c r="Z77" s="1" t="s">
        <v>56</v>
      </c>
      <c r="AA77" s="1" t="s">
        <v>36</v>
      </c>
      <c r="AB77" s="1" t="s">
        <v>54</v>
      </c>
      <c r="AC77" s="1" t="s">
        <v>57</v>
      </c>
      <c r="AD77" s="1" t="s">
        <v>58</v>
      </c>
      <c r="AE77" s="1" t="s">
        <v>42</v>
      </c>
      <c r="AF77" s="1" t="s">
        <v>54</v>
      </c>
      <c r="AG77" s="1" t="s">
        <v>75</v>
      </c>
      <c r="AH77" s="1" t="s">
        <v>120</v>
      </c>
    </row>
    <row r="78" spans="1:34" x14ac:dyDescent="0.3">
      <c r="A78" s="1" t="s">
        <v>55</v>
      </c>
      <c r="B78" s="1" t="s">
        <v>87</v>
      </c>
      <c r="C78" s="1" t="s">
        <v>82</v>
      </c>
      <c r="D78" s="1" t="s">
        <v>49</v>
      </c>
      <c r="E78" s="1" t="s">
        <v>77</v>
      </c>
      <c r="F78" s="1" t="s">
        <v>86</v>
      </c>
      <c r="G78" s="1" t="s">
        <v>40</v>
      </c>
      <c r="H78" s="1" t="s">
        <v>35</v>
      </c>
      <c r="I78" s="1" t="s">
        <v>35</v>
      </c>
      <c r="J78" s="1" t="s">
        <v>39</v>
      </c>
      <c r="K78" s="1" t="s">
        <v>42</v>
      </c>
      <c r="L78" s="1" t="s">
        <v>79</v>
      </c>
      <c r="M78" s="1" t="s">
        <v>44</v>
      </c>
      <c r="N78" s="1" t="s">
        <v>45</v>
      </c>
      <c r="O78" s="1" t="s">
        <v>45</v>
      </c>
      <c r="P78" s="1" t="s">
        <v>46</v>
      </c>
      <c r="Q78" s="1" t="s">
        <v>47</v>
      </c>
      <c r="R78" s="1" t="s">
        <v>48</v>
      </c>
      <c r="S78" s="1" t="s">
        <v>49</v>
      </c>
      <c r="T78" s="1" t="s">
        <v>50</v>
      </c>
      <c r="U78" s="1" t="s">
        <v>51</v>
      </c>
      <c r="V78" s="1" t="s">
        <v>52</v>
      </c>
      <c r="W78" s="1" t="s">
        <v>53</v>
      </c>
      <c r="X78" s="1" t="s">
        <v>54</v>
      </c>
      <c r="Y78" s="1" t="s">
        <v>74</v>
      </c>
      <c r="Z78" s="1" t="s">
        <v>82</v>
      </c>
      <c r="AA78" s="1" t="s">
        <v>36</v>
      </c>
      <c r="AB78" s="1" t="s">
        <v>54</v>
      </c>
      <c r="AC78" s="1" t="s">
        <v>57</v>
      </c>
      <c r="AD78" s="1" t="s">
        <v>58</v>
      </c>
      <c r="AE78" s="1" t="s">
        <v>59</v>
      </c>
      <c r="AF78" s="1" t="s">
        <v>54</v>
      </c>
      <c r="AG78" s="1" t="s">
        <v>75</v>
      </c>
      <c r="AH78" s="1" t="s">
        <v>120</v>
      </c>
    </row>
    <row r="79" spans="1:34" x14ac:dyDescent="0.3">
      <c r="A79" s="1" t="s">
        <v>54</v>
      </c>
      <c r="B79" s="1" t="s">
        <v>41</v>
      </c>
      <c r="C79" s="1" t="s">
        <v>76</v>
      </c>
      <c r="D79" s="1" t="s">
        <v>37</v>
      </c>
      <c r="E79" s="1" t="s">
        <v>77</v>
      </c>
      <c r="F79" s="1" t="s">
        <v>39</v>
      </c>
      <c r="G79" s="1" t="s">
        <v>40</v>
      </c>
      <c r="H79" s="1" t="s">
        <v>35</v>
      </c>
      <c r="I79" s="1" t="s">
        <v>35</v>
      </c>
      <c r="J79" s="1" t="s">
        <v>39</v>
      </c>
      <c r="K79" s="1" t="s">
        <v>42</v>
      </c>
      <c r="L79" s="1" t="s">
        <v>43</v>
      </c>
      <c r="M79" s="1" t="s">
        <v>84</v>
      </c>
      <c r="N79" s="1" t="s">
        <v>45</v>
      </c>
      <c r="O79" s="1" t="s">
        <v>45</v>
      </c>
      <c r="P79" s="1" t="s">
        <v>46</v>
      </c>
      <c r="Q79" s="1" t="s">
        <v>47</v>
      </c>
      <c r="R79" s="1" t="s">
        <v>80</v>
      </c>
      <c r="S79" s="1" t="s">
        <v>49</v>
      </c>
      <c r="T79" s="1" t="s">
        <v>50</v>
      </c>
      <c r="U79" s="1" t="s">
        <v>51</v>
      </c>
      <c r="V79" s="1" t="s">
        <v>52</v>
      </c>
      <c r="W79" s="1" t="s">
        <v>53</v>
      </c>
      <c r="X79" s="1" t="s">
        <v>54</v>
      </c>
      <c r="Y79" s="1" t="s">
        <v>74</v>
      </c>
      <c r="Z79" s="1" t="s">
        <v>82</v>
      </c>
      <c r="AA79" s="1" t="s">
        <v>36</v>
      </c>
      <c r="AB79" s="1" t="s">
        <v>54</v>
      </c>
      <c r="AC79" s="1" t="s">
        <v>57</v>
      </c>
      <c r="AD79" s="1" t="s">
        <v>58</v>
      </c>
      <c r="AE79" s="1" t="s">
        <v>42</v>
      </c>
      <c r="AF79" s="1" t="s">
        <v>54</v>
      </c>
      <c r="AG79" s="1" t="s">
        <v>75</v>
      </c>
      <c r="AH79" s="1" t="s">
        <v>120</v>
      </c>
    </row>
    <row r="80" spans="1:34" x14ac:dyDescent="0.3">
      <c r="A80" s="1" t="s">
        <v>34</v>
      </c>
      <c r="B80" s="1" t="s">
        <v>41</v>
      </c>
      <c r="C80" s="1" t="s">
        <v>76</v>
      </c>
      <c r="D80" s="1" t="s">
        <v>49</v>
      </c>
      <c r="E80" s="1" t="s">
        <v>77</v>
      </c>
      <c r="F80" s="1" t="s">
        <v>39</v>
      </c>
      <c r="G80" s="1" t="s">
        <v>40</v>
      </c>
      <c r="H80" s="1" t="s">
        <v>35</v>
      </c>
      <c r="I80" s="1" t="s">
        <v>94</v>
      </c>
      <c r="J80" s="1" t="s">
        <v>39</v>
      </c>
      <c r="K80" s="1" t="s">
        <v>42</v>
      </c>
      <c r="L80" s="1" t="s">
        <v>88</v>
      </c>
      <c r="M80" s="1" t="s">
        <v>44</v>
      </c>
      <c r="N80" s="1" t="s">
        <v>45</v>
      </c>
      <c r="O80" s="1" t="s">
        <v>45</v>
      </c>
      <c r="P80" s="1" t="s">
        <v>46</v>
      </c>
      <c r="Q80" s="1" t="s">
        <v>93</v>
      </c>
      <c r="R80" s="1" t="s">
        <v>48</v>
      </c>
      <c r="S80" s="1" t="s">
        <v>45</v>
      </c>
      <c r="T80" s="1" t="s">
        <v>50</v>
      </c>
      <c r="U80" s="1" t="s">
        <v>51</v>
      </c>
      <c r="V80" s="1" t="s">
        <v>52</v>
      </c>
      <c r="W80" s="1" t="s">
        <v>95</v>
      </c>
      <c r="X80" s="1" t="s">
        <v>54</v>
      </c>
      <c r="Y80" s="1" t="s">
        <v>74</v>
      </c>
      <c r="Z80" s="1" t="s">
        <v>56</v>
      </c>
      <c r="AA80" s="1" t="s">
        <v>36</v>
      </c>
      <c r="AB80" s="1" t="s">
        <v>54</v>
      </c>
      <c r="AC80" s="1" t="s">
        <v>57</v>
      </c>
      <c r="AD80" s="1" t="s">
        <v>58</v>
      </c>
      <c r="AE80" s="1" t="s">
        <v>42</v>
      </c>
      <c r="AF80" s="1" t="s">
        <v>54</v>
      </c>
      <c r="AG80" s="1" t="s">
        <v>75</v>
      </c>
      <c r="AH80" s="1" t="s">
        <v>120</v>
      </c>
    </row>
    <row r="81" spans="1:34" x14ac:dyDescent="0.3">
      <c r="A81" s="1" t="s">
        <v>91</v>
      </c>
      <c r="B81" s="1" t="s">
        <v>41</v>
      </c>
      <c r="C81" s="1" t="s">
        <v>76</v>
      </c>
      <c r="D81" s="1" t="s">
        <v>37</v>
      </c>
      <c r="E81" s="1" t="s">
        <v>38</v>
      </c>
      <c r="F81" s="1" t="s">
        <v>39</v>
      </c>
      <c r="G81" s="1" t="s">
        <v>40</v>
      </c>
      <c r="H81" s="1" t="s">
        <v>35</v>
      </c>
      <c r="I81" s="1" t="s">
        <v>35</v>
      </c>
      <c r="J81" s="1" t="s">
        <v>39</v>
      </c>
      <c r="K81" s="1" t="s">
        <v>42</v>
      </c>
      <c r="L81" s="1" t="s">
        <v>43</v>
      </c>
      <c r="M81" s="1" t="s">
        <v>44</v>
      </c>
      <c r="N81" s="1" t="s">
        <v>45</v>
      </c>
      <c r="O81" s="1" t="s">
        <v>45</v>
      </c>
      <c r="P81" s="1" t="s">
        <v>46</v>
      </c>
      <c r="Q81" s="1" t="s">
        <v>47</v>
      </c>
      <c r="R81" s="1" t="s">
        <v>48</v>
      </c>
      <c r="S81" s="1" t="s">
        <v>49</v>
      </c>
      <c r="T81" s="1" t="s">
        <v>50</v>
      </c>
      <c r="U81" s="1" t="s">
        <v>51</v>
      </c>
      <c r="V81" s="1" t="s">
        <v>52</v>
      </c>
      <c r="W81" s="1" t="s">
        <v>53</v>
      </c>
      <c r="X81" s="1" t="s">
        <v>54</v>
      </c>
      <c r="Y81" s="1" t="s">
        <v>55</v>
      </c>
      <c r="Z81" s="1" t="s">
        <v>56</v>
      </c>
      <c r="AA81" s="1" t="s">
        <v>36</v>
      </c>
      <c r="AB81" s="1" t="s">
        <v>54</v>
      </c>
      <c r="AC81" s="1" t="s">
        <v>57</v>
      </c>
      <c r="AD81" s="1" t="s">
        <v>58</v>
      </c>
      <c r="AE81" s="1" t="s">
        <v>42</v>
      </c>
      <c r="AF81" s="1" t="s">
        <v>54</v>
      </c>
      <c r="AG81" s="1" t="s">
        <v>60</v>
      </c>
      <c r="AH81" s="1" t="s">
        <v>120</v>
      </c>
    </row>
    <row r="82" spans="1:34" x14ac:dyDescent="0.3">
      <c r="A82" s="1" t="s">
        <v>54</v>
      </c>
      <c r="B82" s="1" t="s">
        <v>41</v>
      </c>
      <c r="C82" s="1" t="s">
        <v>76</v>
      </c>
      <c r="D82" s="1" t="s">
        <v>49</v>
      </c>
      <c r="E82" s="1" t="s">
        <v>77</v>
      </c>
      <c r="F82" s="1" t="s">
        <v>86</v>
      </c>
      <c r="G82" s="1" t="s">
        <v>40</v>
      </c>
      <c r="H82" s="1" t="s">
        <v>41</v>
      </c>
      <c r="I82" s="1" t="s">
        <v>41</v>
      </c>
      <c r="J82" s="1" t="s">
        <v>39</v>
      </c>
      <c r="K82" s="1" t="s">
        <v>42</v>
      </c>
      <c r="L82" s="1" t="s">
        <v>43</v>
      </c>
      <c r="M82" s="1" t="s">
        <v>44</v>
      </c>
      <c r="N82" s="1" t="s">
        <v>45</v>
      </c>
      <c r="O82" s="1" t="s">
        <v>45</v>
      </c>
      <c r="P82" s="1" t="s">
        <v>46</v>
      </c>
      <c r="Q82" s="1" t="s">
        <v>47</v>
      </c>
      <c r="R82" s="1" t="s">
        <v>48</v>
      </c>
      <c r="S82" s="1" t="s">
        <v>45</v>
      </c>
      <c r="T82" s="1" t="s">
        <v>50</v>
      </c>
      <c r="U82" s="1" t="s">
        <v>51</v>
      </c>
      <c r="V82" s="1" t="s">
        <v>52</v>
      </c>
      <c r="W82" s="1" t="s">
        <v>53</v>
      </c>
      <c r="X82" s="1" t="s">
        <v>54</v>
      </c>
      <c r="Y82" s="1" t="s">
        <v>55</v>
      </c>
      <c r="Z82" s="1" t="s">
        <v>56</v>
      </c>
      <c r="AA82" s="1" t="s">
        <v>36</v>
      </c>
      <c r="AB82" s="1" t="s">
        <v>54</v>
      </c>
      <c r="AC82" s="1" t="s">
        <v>57</v>
      </c>
      <c r="AD82" s="1" t="s">
        <v>58</v>
      </c>
      <c r="AE82" s="1" t="s">
        <v>42</v>
      </c>
      <c r="AF82" s="1" t="s">
        <v>54</v>
      </c>
      <c r="AG82" s="1" t="s">
        <v>75</v>
      </c>
      <c r="AH82" s="1" t="s">
        <v>120</v>
      </c>
    </row>
    <row r="83" spans="1:34" x14ac:dyDescent="0.3">
      <c r="A83" s="1" t="s">
        <v>74</v>
      </c>
      <c r="B83" s="1" t="s">
        <v>41</v>
      </c>
      <c r="C83" s="1" t="s">
        <v>76</v>
      </c>
      <c r="D83" s="1" t="s">
        <v>49</v>
      </c>
      <c r="E83" s="1" t="s">
        <v>77</v>
      </c>
      <c r="F83" s="1" t="s">
        <v>39</v>
      </c>
      <c r="G83" s="1" t="s">
        <v>40</v>
      </c>
      <c r="H83" s="1" t="s">
        <v>35</v>
      </c>
      <c r="I83" s="1" t="s">
        <v>94</v>
      </c>
      <c r="J83" s="1" t="s">
        <v>39</v>
      </c>
      <c r="K83" s="1" t="s">
        <v>42</v>
      </c>
      <c r="L83" s="1" t="s">
        <v>43</v>
      </c>
      <c r="M83" s="1" t="s">
        <v>44</v>
      </c>
      <c r="N83" s="1" t="s">
        <v>45</v>
      </c>
      <c r="O83" s="1" t="s">
        <v>45</v>
      </c>
      <c r="P83" s="1" t="s">
        <v>46</v>
      </c>
      <c r="Q83" s="1" t="s">
        <v>47</v>
      </c>
      <c r="R83" s="1" t="s">
        <v>48</v>
      </c>
      <c r="S83" s="1" t="s">
        <v>49</v>
      </c>
      <c r="T83" s="1" t="s">
        <v>50</v>
      </c>
      <c r="U83" s="1" t="s">
        <v>51</v>
      </c>
      <c r="V83" s="1" t="s">
        <v>52</v>
      </c>
      <c r="W83" s="1" t="s">
        <v>53</v>
      </c>
      <c r="X83" s="1" t="s">
        <v>54</v>
      </c>
      <c r="Y83" s="1" t="s">
        <v>74</v>
      </c>
      <c r="Z83" s="1" t="s">
        <v>56</v>
      </c>
      <c r="AA83" s="1" t="s">
        <v>36</v>
      </c>
      <c r="AB83" s="1" t="s">
        <v>54</v>
      </c>
      <c r="AC83" s="1" t="s">
        <v>57</v>
      </c>
      <c r="AD83" s="1" t="s">
        <v>58</v>
      </c>
      <c r="AE83" s="1" t="s">
        <v>42</v>
      </c>
      <c r="AF83" s="1" t="s">
        <v>54</v>
      </c>
      <c r="AG83" s="1" t="s">
        <v>75</v>
      </c>
      <c r="AH83" s="1" t="s">
        <v>120</v>
      </c>
    </row>
    <row r="84" spans="1:34" x14ac:dyDescent="0.3">
      <c r="A84" s="1" t="s">
        <v>85</v>
      </c>
      <c r="B84" s="1" t="s">
        <v>41</v>
      </c>
      <c r="C84" s="1" t="s">
        <v>76</v>
      </c>
      <c r="D84" s="1" t="s">
        <v>37</v>
      </c>
      <c r="E84" s="1" t="s">
        <v>77</v>
      </c>
      <c r="F84" s="1" t="s">
        <v>39</v>
      </c>
      <c r="G84" s="1" t="s">
        <v>40</v>
      </c>
      <c r="H84" s="1" t="s">
        <v>35</v>
      </c>
      <c r="I84" s="1" t="s">
        <v>35</v>
      </c>
      <c r="J84" s="1" t="s">
        <v>39</v>
      </c>
      <c r="K84" s="1" t="s">
        <v>42</v>
      </c>
      <c r="L84" s="1" t="s">
        <v>79</v>
      </c>
      <c r="M84" s="1" t="s">
        <v>44</v>
      </c>
      <c r="N84" s="1" t="s">
        <v>45</v>
      </c>
      <c r="O84" s="1" t="s">
        <v>45</v>
      </c>
      <c r="P84" s="1" t="s">
        <v>103</v>
      </c>
      <c r="Q84" s="1" t="s">
        <v>47</v>
      </c>
      <c r="R84" s="1" t="s">
        <v>80</v>
      </c>
      <c r="S84" s="1" t="s">
        <v>49</v>
      </c>
      <c r="T84" s="1" t="s">
        <v>50</v>
      </c>
      <c r="U84" s="1" t="s">
        <v>51</v>
      </c>
      <c r="V84" s="1" t="s">
        <v>52</v>
      </c>
      <c r="W84" s="1" t="s">
        <v>53</v>
      </c>
      <c r="X84" s="1" t="s">
        <v>54</v>
      </c>
      <c r="Y84" s="1" t="s">
        <v>55</v>
      </c>
      <c r="Z84" s="1" t="s">
        <v>56</v>
      </c>
      <c r="AA84" s="1" t="s">
        <v>36</v>
      </c>
      <c r="AB84" s="1" t="s">
        <v>54</v>
      </c>
      <c r="AC84" s="1" t="s">
        <v>57</v>
      </c>
      <c r="AD84" s="1" t="s">
        <v>58</v>
      </c>
      <c r="AE84" s="1" t="s">
        <v>59</v>
      </c>
      <c r="AF84" s="1" t="s">
        <v>54</v>
      </c>
      <c r="AG84" s="1" t="s">
        <v>71</v>
      </c>
      <c r="AH84" s="1" t="s">
        <v>121</v>
      </c>
    </row>
    <row r="85" spans="1:34" x14ac:dyDescent="0.3">
      <c r="A85" s="1" t="s">
        <v>34</v>
      </c>
      <c r="B85" s="1" t="s">
        <v>61</v>
      </c>
      <c r="C85" s="1" t="s">
        <v>62</v>
      </c>
      <c r="D85" s="1" t="s">
        <v>63</v>
      </c>
      <c r="E85" s="1" t="s">
        <v>64</v>
      </c>
      <c r="F85" s="1" t="s">
        <v>65</v>
      </c>
      <c r="G85" s="1" t="s">
        <v>66</v>
      </c>
      <c r="H85" s="1" t="s">
        <v>61</v>
      </c>
      <c r="I85" s="1" t="s">
        <v>61</v>
      </c>
      <c r="J85" s="1" t="s">
        <v>65</v>
      </c>
      <c r="K85" s="1" t="s">
        <v>67</v>
      </c>
      <c r="L85" s="1" t="s">
        <v>66</v>
      </c>
      <c r="M85" s="1" t="s">
        <v>68</v>
      </c>
      <c r="N85" s="1" t="s">
        <v>63</v>
      </c>
      <c r="O85" s="1" t="s">
        <v>63</v>
      </c>
      <c r="P85" s="1" t="s">
        <v>69</v>
      </c>
      <c r="Q85" s="1" t="s">
        <v>47</v>
      </c>
      <c r="R85" s="1" t="s">
        <v>80</v>
      </c>
      <c r="S85" s="1" t="s">
        <v>49</v>
      </c>
      <c r="T85" s="1" t="s">
        <v>50</v>
      </c>
      <c r="U85" s="1" t="s">
        <v>51</v>
      </c>
      <c r="V85" s="1" t="s">
        <v>81</v>
      </c>
      <c r="W85" s="1" t="s">
        <v>53</v>
      </c>
      <c r="X85" s="1" t="s">
        <v>54</v>
      </c>
      <c r="Y85" s="1" t="s">
        <v>55</v>
      </c>
      <c r="Z85" s="1" t="s">
        <v>82</v>
      </c>
      <c r="AA85" s="1" t="s">
        <v>36</v>
      </c>
      <c r="AB85" s="1" t="s">
        <v>54</v>
      </c>
      <c r="AC85" s="1" t="s">
        <v>57</v>
      </c>
      <c r="AD85" s="1" t="s">
        <v>58</v>
      </c>
      <c r="AE85" s="1" t="s">
        <v>67</v>
      </c>
      <c r="AF85" s="1" t="s">
        <v>72</v>
      </c>
      <c r="AG85" s="1" t="s">
        <v>71</v>
      </c>
      <c r="AH85" s="1" t="s">
        <v>121</v>
      </c>
    </row>
    <row r="86" spans="1:34" x14ac:dyDescent="0.3">
      <c r="A86" s="1" t="s">
        <v>74</v>
      </c>
      <c r="B86" s="1" t="s">
        <v>87</v>
      </c>
      <c r="C86" s="1" t="s">
        <v>82</v>
      </c>
      <c r="D86" s="1" t="s">
        <v>37</v>
      </c>
      <c r="E86" s="1" t="s">
        <v>38</v>
      </c>
      <c r="F86" s="1" t="s">
        <v>39</v>
      </c>
      <c r="G86" s="1" t="s">
        <v>40</v>
      </c>
      <c r="H86" s="1" t="s">
        <v>35</v>
      </c>
      <c r="I86" s="1" t="s">
        <v>41</v>
      </c>
      <c r="J86" s="1" t="s">
        <v>39</v>
      </c>
      <c r="K86" s="1" t="s">
        <v>42</v>
      </c>
      <c r="L86" s="1" t="s">
        <v>40</v>
      </c>
      <c r="M86" s="1" t="s">
        <v>44</v>
      </c>
      <c r="N86" s="1" t="s">
        <v>49</v>
      </c>
      <c r="O86" s="1" t="s">
        <v>45</v>
      </c>
      <c r="P86" s="1" t="s">
        <v>46</v>
      </c>
      <c r="Q86" s="1" t="s">
        <v>47</v>
      </c>
      <c r="R86" s="1" t="s">
        <v>80</v>
      </c>
      <c r="S86" s="1" t="s">
        <v>49</v>
      </c>
      <c r="T86" s="1" t="s">
        <v>50</v>
      </c>
      <c r="U86" s="1" t="s">
        <v>51</v>
      </c>
      <c r="V86" s="1" t="s">
        <v>81</v>
      </c>
      <c r="W86" s="1" t="s">
        <v>53</v>
      </c>
      <c r="X86" s="1" t="s">
        <v>54</v>
      </c>
      <c r="Y86" s="1" t="s">
        <v>55</v>
      </c>
      <c r="Z86" s="1" t="s">
        <v>56</v>
      </c>
      <c r="AA86" s="1" t="s">
        <v>36</v>
      </c>
      <c r="AB86" s="1" t="s">
        <v>54</v>
      </c>
      <c r="AC86" s="1" t="s">
        <v>89</v>
      </c>
      <c r="AD86" s="1" t="s">
        <v>58</v>
      </c>
      <c r="AE86" s="1" t="s">
        <v>42</v>
      </c>
      <c r="AF86" s="1" t="s">
        <v>54</v>
      </c>
      <c r="AG86" s="1" t="s">
        <v>60</v>
      </c>
      <c r="AH86" s="1" t="s">
        <v>120</v>
      </c>
    </row>
    <row r="87" spans="1:34" x14ac:dyDescent="0.3">
      <c r="A87" s="1" t="s">
        <v>54</v>
      </c>
      <c r="B87" s="1" t="s">
        <v>41</v>
      </c>
      <c r="C87" s="1" t="s">
        <v>76</v>
      </c>
      <c r="D87" s="1" t="s">
        <v>37</v>
      </c>
      <c r="E87" s="1" t="s">
        <v>77</v>
      </c>
      <c r="F87" s="1" t="s">
        <v>39</v>
      </c>
      <c r="G87" s="1" t="s">
        <v>40</v>
      </c>
      <c r="H87" s="1" t="s">
        <v>35</v>
      </c>
      <c r="I87" s="1" t="s">
        <v>35</v>
      </c>
      <c r="J87" s="1" t="s">
        <v>92</v>
      </c>
      <c r="K87" s="1" t="s">
        <v>42</v>
      </c>
      <c r="L87" s="1" t="s">
        <v>79</v>
      </c>
      <c r="M87" s="1" t="s">
        <v>44</v>
      </c>
      <c r="N87" s="1" t="s">
        <v>45</v>
      </c>
      <c r="O87" s="1" t="s">
        <v>45</v>
      </c>
      <c r="P87" s="1" t="s">
        <v>103</v>
      </c>
      <c r="Q87" s="1" t="s">
        <v>47</v>
      </c>
      <c r="R87" s="1" t="s">
        <v>48</v>
      </c>
      <c r="S87" s="1" t="s">
        <v>49</v>
      </c>
      <c r="T87" s="1" t="s">
        <v>50</v>
      </c>
      <c r="U87" s="1" t="s">
        <v>51</v>
      </c>
      <c r="V87" s="1" t="s">
        <v>52</v>
      </c>
      <c r="W87" s="1" t="s">
        <v>53</v>
      </c>
      <c r="X87" s="1" t="s">
        <v>54</v>
      </c>
      <c r="Y87" s="1" t="s">
        <v>74</v>
      </c>
      <c r="Z87" s="1" t="s">
        <v>56</v>
      </c>
      <c r="AA87" s="1" t="s">
        <v>36</v>
      </c>
      <c r="AB87" s="1" t="s">
        <v>54</v>
      </c>
      <c r="AC87" s="1" t="s">
        <v>57</v>
      </c>
      <c r="AD87" s="1" t="s">
        <v>58</v>
      </c>
      <c r="AE87" s="1" t="s">
        <v>42</v>
      </c>
      <c r="AF87" s="1" t="s">
        <v>54</v>
      </c>
      <c r="AG87" s="1" t="s">
        <v>75</v>
      </c>
      <c r="AH87" s="1" t="s">
        <v>120</v>
      </c>
    </row>
    <row r="88" spans="1:34" x14ac:dyDescent="0.3">
      <c r="A88" s="1" t="s">
        <v>74</v>
      </c>
      <c r="B88" s="1" t="s">
        <v>41</v>
      </c>
      <c r="C88" s="1" t="s">
        <v>82</v>
      </c>
      <c r="D88" s="1" t="s">
        <v>83</v>
      </c>
      <c r="E88" s="1" t="s">
        <v>38</v>
      </c>
      <c r="F88" s="1" t="s">
        <v>39</v>
      </c>
      <c r="G88" s="1" t="s">
        <v>40</v>
      </c>
      <c r="H88" s="1" t="s">
        <v>35</v>
      </c>
      <c r="I88" s="1" t="s">
        <v>41</v>
      </c>
      <c r="J88" s="1" t="s">
        <v>78</v>
      </c>
      <c r="K88" s="1" t="s">
        <v>42</v>
      </c>
      <c r="L88" s="1" t="s">
        <v>43</v>
      </c>
      <c r="M88" s="1" t="s">
        <v>44</v>
      </c>
      <c r="N88" s="1" t="s">
        <v>49</v>
      </c>
      <c r="O88" s="1" t="s">
        <v>45</v>
      </c>
      <c r="P88" s="1" t="s">
        <v>46</v>
      </c>
      <c r="Q88" s="1" t="s">
        <v>47</v>
      </c>
      <c r="R88" s="1" t="s">
        <v>80</v>
      </c>
      <c r="S88" s="1" t="s">
        <v>49</v>
      </c>
      <c r="T88" s="1" t="s">
        <v>50</v>
      </c>
      <c r="U88" s="1" t="s">
        <v>51</v>
      </c>
      <c r="V88" s="1" t="s">
        <v>52</v>
      </c>
      <c r="W88" s="1" t="s">
        <v>53</v>
      </c>
      <c r="X88" s="1" t="s">
        <v>54</v>
      </c>
      <c r="Y88" s="1" t="s">
        <v>55</v>
      </c>
      <c r="Z88" s="1" t="s">
        <v>82</v>
      </c>
      <c r="AA88" s="1" t="s">
        <v>36</v>
      </c>
      <c r="AB88" s="1" t="s">
        <v>54</v>
      </c>
      <c r="AC88" s="1" t="s">
        <v>57</v>
      </c>
      <c r="AD88" s="1" t="s">
        <v>58</v>
      </c>
      <c r="AE88" s="1" t="s">
        <v>59</v>
      </c>
      <c r="AF88" s="1" t="s">
        <v>54</v>
      </c>
      <c r="AG88" s="1" t="s">
        <v>75</v>
      </c>
      <c r="AH88" s="1" t="s">
        <v>120</v>
      </c>
    </row>
    <row r="89" spans="1:34" x14ac:dyDescent="0.3">
      <c r="A89" s="1" t="s">
        <v>99</v>
      </c>
      <c r="B89" s="1" t="s">
        <v>41</v>
      </c>
      <c r="C89" s="1" t="s">
        <v>76</v>
      </c>
      <c r="D89" s="1" t="s">
        <v>37</v>
      </c>
      <c r="E89" s="1" t="s">
        <v>77</v>
      </c>
      <c r="F89" s="1" t="s">
        <v>86</v>
      </c>
      <c r="G89" s="1" t="s">
        <v>40</v>
      </c>
      <c r="H89" s="1" t="s">
        <v>35</v>
      </c>
      <c r="I89" s="1" t="s">
        <v>87</v>
      </c>
      <c r="J89" s="1" t="s">
        <v>39</v>
      </c>
      <c r="K89" s="1" t="s">
        <v>42</v>
      </c>
      <c r="L89" s="1" t="s">
        <v>43</v>
      </c>
      <c r="M89" s="1" t="s">
        <v>44</v>
      </c>
      <c r="N89" s="1" t="s">
        <v>45</v>
      </c>
      <c r="O89" s="1" t="s">
        <v>45</v>
      </c>
      <c r="P89" s="1" t="s">
        <v>46</v>
      </c>
      <c r="Q89" s="1" t="s">
        <v>47</v>
      </c>
      <c r="R89" s="1" t="s">
        <v>48</v>
      </c>
      <c r="S89" s="1" t="s">
        <v>49</v>
      </c>
      <c r="T89" s="1" t="s">
        <v>50</v>
      </c>
      <c r="U89" s="1" t="s">
        <v>51</v>
      </c>
      <c r="V89" s="1" t="s">
        <v>52</v>
      </c>
      <c r="W89" s="1" t="s">
        <v>53</v>
      </c>
      <c r="X89" s="1" t="s">
        <v>91</v>
      </c>
      <c r="Y89" s="1" t="s">
        <v>74</v>
      </c>
      <c r="Z89" s="1" t="s">
        <v>56</v>
      </c>
      <c r="AA89" s="1" t="s">
        <v>36</v>
      </c>
      <c r="AB89" s="1" t="s">
        <v>54</v>
      </c>
      <c r="AC89" s="1" t="s">
        <v>57</v>
      </c>
      <c r="AD89" s="1" t="s">
        <v>58</v>
      </c>
      <c r="AE89" s="1" t="s">
        <v>42</v>
      </c>
      <c r="AF89" s="1" t="s">
        <v>54</v>
      </c>
      <c r="AG89" s="1" t="s">
        <v>75</v>
      </c>
      <c r="AH89" s="1" t="s">
        <v>120</v>
      </c>
    </row>
    <row r="90" spans="1:34" x14ac:dyDescent="0.3">
      <c r="A90" s="1" t="s">
        <v>91</v>
      </c>
      <c r="B90" s="1" t="s">
        <v>41</v>
      </c>
      <c r="C90" s="1" t="s">
        <v>82</v>
      </c>
      <c r="D90" s="1" t="s">
        <v>37</v>
      </c>
      <c r="E90" s="1" t="s">
        <v>77</v>
      </c>
      <c r="F90" s="1" t="s">
        <v>39</v>
      </c>
      <c r="G90" s="1" t="s">
        <v>40</v>
      </c>
      <c r="H90" s="1" t="s">
        <v>35</v>
      </c>
      <c r="I90" s="1" t="s">
        <v>35</v>
      </c>
      <c r="J90" s="1" t="s">
        <v>39</v>
      </c>
      <c r="K90" s="1" t="s">
        <v>42</v>
      </c>
      <c r="L90" s="1" t="s">
        <v>43</v>
      </c>
      <c r="M90" s="1" t="s">
        <v>44</v>
      </c>
      <c r="N90" s="1" t="s">
        <v>45</v>
      </c>
      <c r="O90" s="1" t="s">
        <v>45</v>
      </c>
      <c r="P90" s="1" t="s">
        <v>46</v>
      </c>
      <c r="Q90" s="1" t="s">
        <v>47</v>
      </c>
      <c r="R90" s="1" t="s">
        <v>48</v>
      </c>
      <c r="S90" s="1" t="s">
        <v>49</v>
      </c>
      <c r="T90" s="1" t="s">
        <v>50</v>
      </c>
      <c r="U90" s="1" t="s">
        <v>51</v>
      </c>
      <c r="V90" s="1" t="s">
        <v>52</v>
      </c>
      <c r="W90" s="1" t="s">
        <v>53</v>
      </c>
      <c r="X90" s="1" t="s">
        <v>54</v>
      </c>
      <c r="Y90" s="1" t="s">
        <v>55</v>
      </c>
      <c r="Z90" s="1" t="s">
        <v>56</v>
      </c>
      <c r="AA90" s="1" t="s">
        <v>36</v>
      </c>
      <c r="AB90" s="1" t="s">
        <v>54</v>
      </c>
      <c r="AC90" s="1" t="s">
        <v>57</v>
      </c>
      <c r="AD90" s="1" t="s">
        <v>58</v>
      </c>
      <c r="AE90" s="1" t="s">
        <v>42</v>
      </c>
      <c r="AF90" s="1" t="s">
        <v>54</v>
      </c>
      <c r="AG90" s="1" t="s">
        <v>75</v>
      </c>
      <c r="AH90" s="1" t="s">
        <v>120</v>
      </c>
    </row>
    <row r="91" spans="1:34" x14ac:dyDescent="0.3">
      <c r="A91" s="1" t="s">
        <v>54</v>
      </c>
      <c r="B91" s="1" t="s">
        <v>35</v>
      </c>
      <c r="C91" s="1" t="s">
        <v>36</v>
      </c>
      <c r="D91" s="1" t="s">
        <v>37</v>
      </c>
      <c r="E91" s="1" t="s">
        <v>77</v>
      </c>
      <c r="F91" s="1" t="s">
        <v>39</v>
      </c>
      <c r="G91" s="1" t="s">
        <v>40</v>
      </c>
      <c r="H91" s="1" t="s">
        <v>35</v>
      </c>
      <c r="I91" s="1" t="s">
        <v>35</v>
      </c>
      <c r="J91" s="1" t="s">
        <v>39</v>
      </c>
      <c r="K91" s="1" t="s">
        <v>42</v>
      </c>
      <c r="L91" s="1" t="s">
        <v>79</v>
      </c>
      <c r="M91" s="1" t="s">
        <v>44</v>
      </c>
      <c r="N91" s="1" t="s">
        <v>45</v>
      </c>
      <c r="O91" s="1" t="s">
        <v>45</v>
      </c>
      <c r="P91" s="1" t="s">
        <v>46</v>
      </c>
      <c r="Q91" s="1" t="s">
        <v>47</v>
      </c>
      <c r="R91" s="1" t="s">
        <v>48</v>
      </c>
      <c r="S91" s="1" t="s">
        <v>49</v>
      </c>
      <c r="T91" s="1" t="s">
        <v>50</v>
      </c>
      <c r="U91" s="1" t="s">
        <v>51</v>
      </c>
      <c r="V91" s="1" t="s">
        <v>52</v>
      </c>
      <c r="W91" s="1" t="s">
        <v>53</v>
      </c>
      <c r="X91" s="1" t="s">
        <v>54</v>
      </c>
      <c r="Y91" s="1" t="s">
        <v>55</v>
      </c>
      <c r="Z91" s="1" t="s">
        <v>56</v>
      </c>
      <c r="AA91" s="1" t="s">
        <v>36</v>
      </c>
      <c r="AB91" s="1" t="s">
        <v>54</v>
      </c>
      <c r="AC91" s="1" t="s">
        <v>57</v>
      </c>
      <c r="AD91" s="1" t="s">
        <v>58</v>
      </c>
      <c r="AE91" s="1" t="s">
        <v>59</v>
      </c>
      <c r="AF91" s="1" t="s">
        <v>54</v>
      </c>
      <c r="AG91" s="1" t="s">
        <v>75</v>
      </c>
      <c r="AH91" s="1" t="s">
        <v>120</v>
      </c>
    </row>
    <row r="92" spans="1:34" x14ac:dyDescent="0.3">
      <c r="A92" s="1" t="s">
        <v>55</v>
      </c>
      <c r="B92" s="1" t="s">
        <v>35</v>
      </c>
      <c r="C92" s="1" t="s">
        <v>36</v>
      </c>
      <c r="D92" s="1" t="s">
        <v>37</v>
      </c>
      <c r="E92" s="1" t="s">
        <v>77</v>
      </c>
      <c r="F92" s="1" t="s">
        <v>39</v>
      </c>
      <c r="G92" s="1" t="s">
        <v>40</v>
      </c>
      <c r="H92" s="1" t="s">
        <v>35</v>
      </c>
      <c r="I92" s="1" t="s">
        <v>35</v>
      </c>
      <c r="J92" s="1" t="s">
        <v>39</v>
      </c>
      <c r="K92" s="1" t="s">
        <v>42</v>
      </c>
      <c r="L92" s="1" t="s">
        <v>43</v>
      </c>
      <c r="M92" s="1" t="s">
        <v>44</v>
      </c>
      <c r="N92" s="1" t="s">
        <v>45</v>
      </c>
      <c r="O92" s="1" t="s">
        <v>45</v>
      </c>
      <c r="P92" s="1" t="s">
        <v>46</v>
      </c>
      <c r="Q92" s="1" t="s">
        <v>47</v>
      </c>
      <c r="R92" s="1" t="s">
        <v>80</v>
      </c>
      <c r="S92" s="1" t="s">
        <v>49</v>
      </c>
      <c r="T92" s="1" t="s">
        <v>50</v>
      </c>
      <c r="U92" s="1" t="s">
        <v>51</v>
      </c>
      <c r="V92" s="1" t="s">
        <v>52</v>
      </c>
      <c r="W92" s="1" t="s">
        <v>53</v>
      </c>
      <c r="X92" s="1" t="s">
        <v>54</v>
      </c>
      <c r="Y92" s="1" t="s">
        <v>55</v>
      </c>
      <c r="Z92" s="1" t="s">
        <v>82</v>
      </c>
      <c r="AA92" s="1" t="s">
        <v>36</v>
      </c>
      <c r="AB92" s="1" t="s">
        <v>54</v>
      </c>
      <c r="AC92" s="1" t="s">
        <v>57</v>
      </c>
      <c r="AD92" s="1" t="s">
        <v>58</v>
      </c>
      <c r="AE92" s="1" t="s">
        <v>59</v>
      </c>
      <c r="AF92" s="1" t="s">
        <v>54</v>
      </c>
      <c r="AG92" s="1" t="s">
        <v>75</v>
      </c>
      <c r="AH92" s="1" t="s">
        <v>120</v>
      </c>
    </row>
    <row r="93" spans="1:34" x14ac:dyDescent="0.3">
      <c r="A93" s="1" t="s">
        <v>91</v>
      </c>
      <c r="B93" s="1" t="s">
        <v>35</v>
      </c>
      <c r="C93" s="1" t="s">
        <v>36</v>
      </c>
      <c r="D93" s="1" t="s">
        <v>49</v>
      </c>
      <c r="E93" s="1" t="s">
        <v>77</v>
      </c>
      <c r="F93" s="1" t="s">
        <v>86</v>
      </c>
      <c r="G93" s="1" t="s">
        <v>40</v>
      </c>
      <c r="H93" s="1" t="s">
        <v>41</v>
      </c>
      <c r="I93" s="1" t="s">
        <v>35</v>
      </c>
      <c r="J93" s="1" t="s">
        <v>39</v>
      </c>
      <c r="K93" s="1" t="s">
        <v>42</v>
      </c>
      <c r="L93" s="1" t="s">
        <v>43</v>
      </c>
      <c r="M93" s="1" t="s">
        <v>44</v>
      </c>
      <c r="N93" s="1" t="s">
        <v>45</v>
      </c>
      <c r="O93" s="1" t="s">
        <v>45</v>
      </c>
      <c r="P93" s="1" t="s">
        <v>46</v>
      </c>
      <c r="Q93" s="1" t="s">
        <v>47</v>
      </c>
      <c r="R93" s="1" t="s">
        <v>48</v>
      </c>
      <c r="S93" s="1" t="s">
        <v>49</v>
      </c>
      <c r="T93" s="1" t="s">
        <v>50</v>
      </c>
      <c r="U93" s="1" t="s">
        <v>51</v>
      </c>
      <c r="V93" s="1" t="s">
        <v>52</v>
      </c>
      <c r="W93" s="1" t="s">
        <v>53</v>
      </c>
      <c r="X93" s="1" t="s">
        <v>54</v>
      </c>
      <c r="Y93" s="1" t="s">
        <v>55</v>
      </c>
      <c r="Z93" s="1" t="s">
        <v>56</v>
      </c>
      <c r="AA93" s="1" t="s">
        <v>36</v>
      </c>
      <c r="AB93" s="1" t="s">
        <v>54</v>
      </c>
      <c r="AC93" s="1" t="s">
        <v>57</v>
      </c>
      <c r="AD93" s="1" t="s">
        <v>58</v>
      </c>
      <c r="AE93" s="1" t="s">
        <v>59</v>
      </c>
      <c r="AF93" s="1" t="s">
        <v>54</v>
      </c>
      <c r="AG93" s="1" t="s">
        <v>75</v>
      </c>
      <c r="AH93" s="1" t="s">
        <v>120</v>
      </c>
    </row>
    <row r="94" spans="1:34" x14ac:dyDescent="0.3">
      <c r="A94" s="1" t="s">
        <v>55</v>
      </c>
      <c r="B94" s="1" t="s">
        <v>35</v>
      </c>
      <c r="C94" s="1" t="s">
        <v>36</v>
      </c>
      <c r="D94" s="1" t="s">
        <v>37</v>
      </c>
      <c r="E94" s="1" t="s">
        <v>77</v>
      </c>
      <c r="F94" s="1" t="s">
        <v>39</v>
      </c>
      <c r="G94" s="1" t="s">
        <v>40</v>
      </c>
      <c r="H94" s="1" t="s">
        <v>35</v>
      </c>
      <c r="I94" s="1" t="s">
        <v>41</v>
      </c>
      <c r="J94" s="1" t="s">
        <v>39</v>
      </c>
      <c r="K94" s="1" t="s">
        <v>42</v>
      </c>
      <c r="L94" s="1" t="s">
        <v>43</v>
      </c>
      <c r="M94" s="1" t="s">
        <v>44</v>
      </c>
      <c r="N94" s="1" t="s">
        <v>45</v>
      </c>
      <c r="O94" s="1" t="s">
        <v>45</v>
      </c>
      <c r="P94" s="1" t="s">
        <v>46</v>
      </c>
      <c r="Q94" s="1" t="s">
        <v>47</v>
      </c>
      <c r="R94" s="1" t="s">
        <v>80</v>
      </c>
      <c r="S94" s="1" t="s">
        <v>49</v>
      </c>
      <c r="T94" s="1" t="s">
        <v>50</v>
      </c>
      <c r="U94" s="1" t="s">
        <v>51</v>
      </c>
      <c r="V94" s="1" t="s">
        <v>52</v>
      </c>
      <c r="W94" s="1" t="s">
        <v>53</v>
      </c>
      <c r="X94" s="1" t="s">
        <v>54</v>
      </c>
      <c r="Y94" s="1" t="s">
        <v>55</v>
      </c>
      <c r="Z94" s="1" t="s">
        <v>82</v>
      </c>
      <c r="AA94" s="1" t="s">
        <v>36</v>
      </c>
      <c r="AB94" s="1" t="s">
        <v>54</v>
      </c>
      <c r="AC94" s="1" t="s">
        <v>57</v>
      </c>
      <c r="AD94" s="1" t="s">
        <v>58</v>
      </c>
      <c r="AE94" s="1" t="s">
        <v>59</v>
      </c>
      <c r="AF94" s="1" t="s">
        <v>54</v>
      </c>
      <c r="AG94" s="1" t="s">
        <v>75</v>
      </c>
      <c r="AH94" s="1" t="s">
        <v>120</v>
      </c>
    </row>
    <row r="95" spans="1:34" x14ac:dyDescent="0.3">
      <c r="A95" s="1" t="s">
        <v>91</v>
      </c>
      <c r="B95" s="1" t="s">
        <v>35</v>
      </c>
      <c r="C95" s="1" t="s">
        <v>36</v>
      </c>
      <c r="D95" s="1" t="s">
        <v>49</v>
      </c>
      <c r="E95" s="1" t="s">
        <v>77</v>
      </c>
      <c r="F95" s="1" t="s">
        <v>39</v>
      </c>
      <c r="G95" s="1" t="s">
        <v>40</v>
      </c>
      <c r="H95" s="1" t="s">
        <v>35</v>
      </c>
      <c r="I95" s="1" t="s">
        <v>35</v>
      </c>
      <c r="J95" s="1" t="s">
        <v>39</v>
      </c>
      <c r="K95" s="1" t="s">
        <v>42</v>
      </c>
      <c r="L95" s="1" t="s">
        <v>79</v>
      </c>
      <c r="M95" s="1" t="s">
        <v>44</v>
      </c>
      <c r="N95" s="1" t="s">
        <v>45</v>
      </c>
      <c r="O95" s="1" t="s">
        <v>45</v>
      </c>
      <c r="P95" s="1" t="s">
        <v>46</v>
      </c>
      <c r="Q95" s="1" t="s">
        <v>47</v>
      </c>
      <c r="R95" s="1" t="s">
        <v>80</v>
      </c>
      <c r="S95" s="1" t="s">
        <v>49</v>
      </c>
      <c r="T95" s="1" t="s">
        <v>50</v>
      </c>
      <c r="U95" s="1" t="s">
        <v>51</v>
      </c>
      <c r="V95" s="1" t="s">
        <v>52</v>
      </c>
      <c r="W95" s="1" t="s">
        <v>53</v>
      </c>
      <c r="X95" s="1" t="s">
        <v>54</v>
      </c>
      <c r="Y95" s="1" t="s">
        <v>55</v>
      </c>
      <c r="Z95" s="1" t="s">
        <v>82</v>
      </c>
      <c r="AA95" s="1" t="s">
        <v>36</v>
      </c>
      <c r="AB95" s="1" t="s">
        <v>54</v>
      </c>
      <c r="AC95" s="1" t="s">
        <v>57</v>
      </c>
      <c r="AD95" s="1" t="s">
        <v>58</v>
      </c>
      <c r="AE95" s="1" t="s">
        <v>59</v>
      </c>
      <c r="AF95" s="1" t="s">
        <v>54</v>
      </c>
      <c r="AG95" s="1" t="s">
        <v>75</v>
      </c>
      <c r="AH95" s="1" t="s">
        <v>120</v>
      </c>
    </row>
    <row r="96" spans="1:34" x14ac:dyDescent="0.3">
      <c r="A96" s="1" t="s">
        <v>91</v>
      </c>
      <c r="B96" s="1" t="s">
        <v>41</v>
      </c>
      <c r="C96" s="1" t="s">
        <v>36</v>
      </c>
      <c r="D96" s="1" t="s">
        <v>83</v>
      </c>
      <c r="E96" s="1" t="s">
        <v>38</v>
      </c>
      <c r="F96" s="1" t="s">
        <v>39</v>
      </c>
      <c r="G96" s="1" t="s">
        <v>40</v>
      </c>
      <c r="H96" s="1" t="s">
        <v>35</v>
      </c>
      <c r="I96" s="1" t="s">
        <v>94</v>
      </c>
      <c r="J96" s="1" t="s">
        <v>39</v>
      </c>
      <c r="K96" s="1" t="s">
        <v>42</v>
      </c>
      <c r="L96" s="1" t="s">
        <v>79</v>
      </c>
      <c r="M96" s="1" t="s">
        <v>44</v>
      </c>
      <c r="N96" s="1" t="s">
        <v>45</v>
      </c>
      <c r="O96" s="1" t="s">
        <v>45</v>
      </c>
      <c r="P96" s="1" t="s">
        <v>50</v>
      </c>
      <c r="Q96" s="1" t="s">
        <v>47</v>
      </c>
      <c r="R96" s="1" t="s">
        <v>80</v>
      </c>
      <c r="S96" s="1" t="s">
        <v>49</v>
      </c>
      <c r="T96" s="1" t="s">
        <v>50</v>
      </c>
      <c r="U96" s="1" t="s">
        <v>51</v>
      </c>
      <c r="V96" s="1" t="s">
        <v>52</v>
      </c>
      <c r="W96" s="1" t="s">
        <v>53</v>
      </c>
      <c r="X96" s="1" t="s">
        <v>54</v>
      </c>
      <c r="Y96" s="1" t="s">
        <v>74</v>
      </c>
      <c r="Z96" s="1" t="s">
        <v>82</v>
      </c>
      <c r="AA96" s="1" t="s">
        <v>36</v>
      </c>
      <c r="AB96" s="1" t="s">
        <v>54</v>
      </c>
      <c r="AC96" s="1" t="s">
        <v>57</v>
      </c>
      <c r="AD96" s="1" t="s">
        <v>58</v>
      </c>
      <c r="AE96" s="1" t="s">
        <v>42</v>
      </c>
      <c r="AF96" s="1" t="s">
        <v>54</v>
      </c>
      <c r="AG96" s="1" t="s">
        <v>75</v>
      </c>
      <c r="AH96" s="1" t="s">
        <v>120</v>
      </c>
    </row>
    <row r="97" spans="1:34" x14ac:dyDescent="0.3">
      <c r="A97" s="1" t="s">
        <v>55</v>
      </c>
      <c r="B97" s="1" t="s">
        <v>35</v>
      </c>
      <c r="C97" s="1" t="s">
        <v>36</v>
      </c>
      <c r="D97" s="1" t="s">
        <v>37</v>
      </c>
      <c r="E97" s="1" t="s">
        <v>77</v>
      </c>
      <c r="F97" s="1" t="s">
        <v>39</v>
      </c>
      <c r="G97" s="1" t="s">
        <v>40</v>
      </c>
      <c r="H97" s="1" t="s">
        <v>35</v>
      </c>
      <c r="I97" s="1" t="s">
        <v>35</v>
      </c>
      <c r="J97" s="1" t="s">
        <v>39</v>
      </c>
      <c r="K97" s="1" t="s">
        <v>42</v>
      </c>
      <c r="L97" s="1" t="s">
        <v>43</v>
      </c>
      <c r="M97" s="1" t="s">
        <v>95</v>
      </c>
      <c r="N97" s="1" t="s">
        <v>45</v>
      </c>
      <c r="O97" s="1" t="s">
        <v>45</v>
      </c>
      <c r="P97" s="1" t="s">
        <v>46</v>
      </c>
      <c r="Q97" s="1" t="s">
        <v>47</v>
      </c>
      <c r="R97" s="1" t="s">
        <v>80</v>
      </c>
      <c r="S97" s="1" t="s">
        <v>49</v>
      </c>
      <c r="T97" s="1" t="s">
        <v>50</v>
      </c>
      <c r="U97" s="1" t="s">
        <v>51</v>
      </c>
      <c r="V97" s="1" t="s">
        <v>81</v>
      </c>
      <c r="W97" s="1" t="s">
        <v>53</v>
      </c>
      <c r="X97" s="1" t="s">
        <v>54</v>
      </c>
      <c r="Y97" s="1" t="s">
        <v>55</v>
      </c>
      <c r="Z97" s="1" t="s">
        <v>82</v>
      </c>
      <c r="AA97" s="1" t="s">
        <v>36</v>
      </c>
      <c r="AB97" s="1" t="s">
        <v>54</v>
      </c>
      <c r="AC97" s="1" t="s">
        <v>57</v>
      </c>
      <c r="AD97" s="1" t="s">
        <v>58</v>
      </c>
      <c r="AE97" s="1" t="s">
        <v>59</v>
      </c>
      <c r="AF97" s="1" t="s">
        <v>54</v>
      </c>
      <c r="AG97" s="1" t="s">
        <v>75</v>
      </c>
      <c r="AH97" s="1" t="s">
        <v>120</v>
      </c>
    </row>
    <row r="98" spans="1:34" x14ac:dyDescent="0.3">
      <c r="A98" s="1" t="s">
        <v>74</v>
      </c>
      <c r="B98" s="1" t="s">
        <v>41</v>
      </c>
      <c r="C98" s="1" t="s">
        <v>76</v>
      </c>
      <c r="D98" s="1" t="s">
        <v>83</v>
      </c>
      <c r="E98" s="1" t="s">
        <v>38</v>
      </c>
      <c r="F98" s="1" t="s">
        <v>39</v>
      </c>
      <c r="G98" s="1" t="s">
        <v>40</v>
      </c>
      <c r="H98" s="1" t="s">
        <v>35</v>
      </c>
      <c r="I98" s="1" t="s">
        <v>105</v>
      </c>
      <c r="J98" s="1" t="s">
        <v>78</v>
      </c>
      <c r="K98" s="1" t="s">
        <v>42</v>
      </c>
      <c r="L98" s="1" t="s">
        <v>40</v>
      </c>
      <c r="M98" s="1" t="s">
        <v>44</v>
      </c>
      <c r="N98" s="1" t="s">
        <v>45</v>
      </c>
      <c r="O98" s="1" t="s">
        <v>49</v>
      </c>
      <c r="P98" s="1" t="s">
        <v>103</v>
      </c>
      <c r="Q98" s="1" t="s">
        <v>47</v>
      </c>
      <c r="R98" s="1" t="s">
        <v>80</v>
      </c>
      <c r="S98" s="1" t="s">
        <v>49</v>
      </c>
      <c r="T98" s="1" t="s">
        <v>50</v>
      </c>
      <c r="U98" s="1" t="s">
        <v>51</v>
      </c>
      <c r="V98" s="1" t="s">
        <v>81</v>
      </c>
      <c r="W98" s="1" t="s">
        <v>53</v>
      </c>
      <c r="X98" s="1" t="s">
        <v>54</v>
      </c>
      <c r="Y98" s="1" t="s">
        <v>55</v>
      </c>
      <c r="Z98" s="1" t="s">
        <v>82</v>
      </c>
      <c r="AA98" s="1" t="s">
        <v>36</v>
      </c>
      <c r="AB98" s="1" t="s">
        <v>54</v>
      </c>
      <c r="AC98" s="1" t="s">
        <v>57</v>
      </c>
      <c r="AD98" s="1" t="s">
        <v>58</v>
      </c>
      <c r="AE98" s="1" t="s">
        <v>42</v>
      </c>
      <c r="AF98" s="1" t="s">
        <v>54</v>
      </c>
      <c r="AG98" s="1" t="s">
        <v>75</v>
      </c>
      <c r="AH98" s="1" t="s">
        <v>120</v>
      </c>
    </row>
    <row r="99" spans="1:34" x14ac:dyDescent="0.3">
      <c r="A99" s="1" t="s">
        <v>74</v>
      </c>
      <c r="B99" s="1" t="s">
        <v>41</v>
      </c>
      <c r="C99" s="1" t="s">
        <v>76</v>
      </c>
      <c r="D99" s="1" t="s">
        <v>37</v>
      </c>
      <c r="E99" s="1" t="s">
        <v>77</v>
      </c>
      <c r="F99" s="1" t="s">
        <v>39</v>
      </c>
      <c r="G99" s="1" t="s">
        <v>40</v>
      </c>
      <c r="H99" s="1" t="s">
        <v>35</v>
      </c>
      <c r="I99" s="1" t="s">
        <v>41</v>
      </c>
      <c r="J99" s="1" t="s">
        <v>39</v>
      </c>
      <c r="K99" s="1" t="s">
        <v>42</v>
      </c>
      <c r="L99" s="1" t="s">
        <v>79</v>
      </c>
      <c r="M99" s="1" t="s">
        <v>44</v>
      </c>
      <c r="N99" s="1" t="s">
        <v>45</v>
      </c>
      <c r="O99" s="1" t="s">
        <v>45</v>
      </c>
      <c r="P99" s="1" t="s">
        <v>46</v>
      </c>
      <c r="Q99" s="1" t="s">
        <v>47</v>
      </c>
      <c r="R99" s="1" t="s">
        <v>48</v>
      </c>
      <c r="S99" s="1" t="s">
        <v>49</v>
      </c>
      <c r="T99" s="1" t="s">
        <v>50</v>
      </c>
      <c r="U99" s="1" t="s">
        <v>51</v>
      </c>
      <c r="V99" s="1" t="s">
        <v>52</v>
      </c>
      <c r="W99" s="1" t="s">
        <v>53</v>
      </c>
      <c r="X99" s="1" t="s">
        <v>54</v>
      </c>
      <c r="Y99" s="1" t="s">
        <v>55</v>
      </c>
      <c r="Z99" s="1" t="s">
        <v>82</v>
      </c>
      <c r="AA99" s="1" t="s">
        <v>36</v>
      </c>
      <c r="AB99" s="1" t="s">
        <v>54</v>
      </c>
      <c r="AC99" s="1" t="s">
        <v>57</v>
      </c>
      <c r="AD99" s="1" t="s">
        <v>58</v>
      </c>
      <c r="AE99" s="1" t="s">
        <v>42</v>
      </c>
      <c r="AF99" s="1" t="s">
        <v>54</v>
      </c>
      <c r="AG99" s="1" t="s">
        <v>75</v>
      </c>
      <c r="AH99" s="1" t="s">
        <v>120</v>
      </c>
    </row>
    <row r="100" spans="1:34" x14ac:dyDescent="0.3">
      <c r="A100" s="1" t="s">
        <v>74</v>
      </c>
      <c r="B100" s="1" t="s">
        <v>94</v>
      </c>
      <c r="C100" s="1" t="s">
        <v>62</v>
      </c>
      <c r="D100" s="1" t="s">
        <v>49</v>
      </c>
      <c r="E100" s="1" t="s">
        <v>77</v>
      </c>
      <c r="F100" s="1" t="s">
        <v>39</v>
      </c>
      <c r="G100" s="1" t="s">
        <v>40</v>
      </c>
      <c r="H100" s="1" t="s">
        <v>35</v>
      </c>
      <c r="I100" s="1" t="s">
        <v>41</v>
      </c>
      <c r="J100" s="1" t="s">
        <v>78</v>
      </c>
      <c r="K100" s="1" t="s">
        <v>59</v>
      </c>
      <c r="L100" s="1" t="s">
        <v>66</v>
      </c>
      <c r="M100" s="1" t="s">
        <v>44</v>
      </c>
      <c r="N100" s="1" t="s">
        <v>45</v>
      </c>
      <c r="O100" s="1" t="s">
        <v>45</v>
      </c>
      <c r="P100" s="1" t="s">
        <v>103</v>
      </c>
      <c r="Q100" s="1" t="s">
        <v>47</v>
      </c>
      <c r="R100" s="1" t="s">
        <v>80</v>
      </c>
      <c r="S100" s="1" t="s">
        <v>49</v>
      </c>
      <c r="T100" s="1" t="s">
        <v>50</v>
      </c>
      <c r="U100" s="1" t="s">
        <v>51</v>
      </c>
      <c r="V100" s="1" t="s">
        <v>81</v>
      </c>
      <c r="W100" s="1" t="s">
        <v>53</v>
      </c>
      <c r="X100" s="1" t="s">
        <v>54</v>
      </c>
      <c r="Y100" s="1" t="s">
        <v>55</v>
      </c>
      <c r="Z100" s="1" t="s">
        <v>82</v>
      </c>
      <c r="AA100" s="1" t="s">
        <v>36</v>
      </c>
      <c r="AB100" s="1" t="s">
        <v>54</v>
      </c>
      <c r="AC100" s="1" t="s">
        <v>57</v>
      </c>
      <c r="AD100" s="1" t="s">
        <v>58</v>
      </c>
      <c r="AE100" s="1" t="s">
        <v>59</v>
      </c>
      <c r="AF100" s="1" t="s">
        <v>54</v>
      </c>
      <c r="AG100" s="1" t="s">
        <v>71</v>
      </c>
      <c r="AH100" s="1" t="s">
        <v>120</v>
      </c>
    </row>
    <row r="101" spans="1:34" x14ac:dyDescent="0.3">
      <c r="A101" s="1" t="s">
        <v>54</v>
      </c>
      <c r="B101" s="1" t="s">
        <v>35</v>
      </c>
      <c r="C101" s="1" t="s">
        <v>36</v>
      </c>
      <c r="D101" s="1" t="s">
        <v>37</v>
      </c>
      <c r="E101" s="1" t="s">
        <v>77</v>
      </c>
      <c r="F101" s="1" t="s">
        <v>86</v>
      </c>
      <c r="G101" s="1" t="s">
        <v>40</v>
      </c>
      <c r="H101" s="1" t="s">
        <v>41</v>
      </c>
      <c r="I101" s="1" t="s">
        <v>35</v>
      </c>
      <c r="J101" s="1" t="s">
        <v>39</v>
      </c>
      <c r="K101" s="1" t="s">
        <v>42</v>
      </c>
      <c r="L101" s="1" t="s">
        <v>43</v>
      </c>
      <c r="M101" s="1" t="s">
        <v>44</v>
      </c>
      <c r="N101" s="1" t="s">
        <v>45</v>
      </c>
      <c r="O101" s="1" t="s">
        <v>45</v>
      </c>
      <c r="P101" s="1" t="s">
        <v>46</v>
      </c>
      <c r="Q101" s="1" t="s">
        <v>47</v>
      </c>
      <c r="R101" s="1" t="s">
        <v>48</v>
      </c>
      <c r="S101" s="1" t="s">
        <v>49</v>
      </c>
      <c r="T101" s="1" t="s">
        <v>50</v>
      </c>
      <c r="U101" s="1" t="s">
        <v>51</v>
      </c>
      <c r="V101" s="1" t="s">
        <v>52</v>
      </c>
      <c r="W101" s="1" t="s">
        <v>53</v>
      </c>
      <c r="X101" s="1" t="s">
        <v>54</v>
      </c>
      <c r="Y101" s="1" t="s">
        <v>55</v>
      </c>
      <c r="Z101" s="1" t="s">
        <v>56</v>
      </c>
      <c r="AA101" s="1" t="s">
        <v>36</v>
      </c>
      <c r="AB101" s="1" t="s">
        <v>54</v>
      </c>
      <c r="AC101" s="1" t="s">
        <v>57</v>
      </c>
      <c r="AD101" s="1" t="s">
        <v>58</v>
      </c>
      <c r="AE101" s="1" t="s">
        <v>59</v>
      </c>
      <c r="AF101" s="1" t="s">
        <v>54</v>
      </c>
      <c r="AG101" s="1" t="s">
        <v>75</v>
      </c>
      <c r="AH101" s="1" t="s">
        <v>120</v>
      </c>
    </row>
    <row r="102" spans="1:34" x14ac:dyDescent="0.3">
      <c r="A102" s="1" t="s">
        <v>34</v>
      </c>
      <c r="B102" s="1" t="s">
        <v>35</v>
      </c>
      <c r="C102" s="1" t="s">
        <v>36</v>
      </c>
      <c r="D102" s="1" t="s">
        <v>37</v>
      </c>
      <c r="E102" s="1" t="s">
        <v>77</v>
      </c>
      <c r="F102" s="1" t="s">
        <v>39</v>
      </c>
      <c r="G102" s="1" t="s">
        <v>40</v>
      </c>
      <c r="H102" s="1" t="s">
        <v>35</v>
      </c>
      <c r="I102" s="1" t="s">
        <v>35</v>
      </c>
      <c r="J102" s="1" t="s">
        <v>39</v>
      </c>
      <c r="K102" s="1" t="s">
        <v>42</v>
      </c>
      <c r="L102" s="1" t="s">
        <v>40</v>
      </c>
      <c r="M102" s="1" t="s">
        <v>44</v>
      </c>
      <c r="N102" s="1" t="s">
        <v>49</v>
      </c>
      <c r="O102" s="1" t="s">
        <v>45</v>
      </c>
      <c r="P102" s="1" t="s">
        <v>46</v>
      </c>
      <c r="Q102" s="1" t="s">
        <v>47</v>
      </c>
      <c r="R102" s="1" t="s">
        <v>48</v>
      </c>
      <c r="S102" s="1" t="s">
        <v>49</v>
      </c>
      <c r="T102" s="1" t="s">
        <v>50</v>
      </c>
      <c r="U102" s="1" t="s">
        <v>51</v>
      </c>
      <c r="V102" s="1" t="s">
        <v>52</v>
      </c>
      <c r="W102" s="1" t="s">
        <v>53</v>
      </c>
      <c r="X102" s="1" t="s">
        <v>54</v>
      </c>
      <c r="Y102" s="1" t="s">
        <v>55</v>
      </c>
      <c r="Z102" s="1" t="s">
        <v>56</v>
      </c>
      <c r="AA102" s="1" t="s">
        <v>36</v>
      </c>
      <c r="AB102" s="1" t="s">
        <v>54</v>
      </c>
      <c r="AC102" s="1" t="s">
        <v>57</v>
      </c>
      <c r="AD102" s="1" t="s">
        <v>58</v>
      </c>
      <c r="AE102" s="1" t="s">
        <v>59</v>
      </c>
      <c r="AF102" s="1" t="s">
        <v>54</v>
      </c>
      <c r="AG102" s="1" t="s">
        <v>60</v>
      </c>
      <c r="AH102" s="1" t="s">
        <v>120</v>
      </c>
    </row>
    <row r="103" spans="1:34" x14ac:dyDescent="0.3">
      <c r="A103" s="1" t="s">
        <v>54</v>
      </c>
      <c r="B103" s="1" t="s">
        <v>41</v>
      </c>
      <c r="C103" s="1" t="s">
        <v>56</v>
      </c>
      <c r="D103" s="1" t="s">
        <v>83</v>
      </c>
      <c r="E103" s="1" t="s">
        <v>38</v>
      </c>
      <c r="F103" s="1" t="s">
        <v>39</v>
      </c>
      <c r="G103" s="1" t="s">
        <v>40</v>
      </c>
      <c r="H103" s="1" t="s">
        <v>41</v>
      </c>
      <c r="I103" s="1" t="s">
        <v>35</v>
      </c>
      <c r="J103" s="1" t="s">
        <v>39</v>
      </c>
      <c r="K103" s="1" t="s">
        <v>42</v>
      </c>
      <c r="L103" s="1" t="s">
        <v>43</v>
      </c>
      <c r="M103" s="1" t="s">
        <v>44</v>
      </c>
      <c r="N103" s="1" t="s">
        <v>45</v>
      </c>
      <c r="O103" s="1" t="s">
        <v>45</v>
      </c>
      <c r="P103" s="1" t="s">
        <v>46</v>
      </c>
      <c r="Q103" s="1" t="s">
        <v>47</v>
      </c>
      <c r="R103" s="1" t="s">
        <v>48</v>
      </c>
      <c r="S103" s="1" t="s">
        <v>49</v>
      </c>
      <c r="T103" s="1" t="s">
        <v>50</v>
      </c>
      <c r="U103" s="1" t="s">
        <v>51</v>
      </c>
      <c r="V103" s="1" t="s">
        <v>52</v>
      </c>
      <c r="W103" s="1" t="s">
        <v>53</v>
      </c>
      <c r="X103" s="1" t="s">
        <v>54</v>
      </c>
      <c r="Y103" s="1" t="s">
        <v>55</v>
      </c>
      <c r="Z103" s="1" t="s">
        <v>56</v>
      </c>
      <c r="AA103" s="1" t="s">
        <v>36</v>
      </c>
      <c r="AB103" s="1" t="s">
        <v>54</v>
      </c>
      <c r="AC103" s="1" t="s">
        <v>57</v>
      </c>
      <c r="AD103" s="1" t="s">
        <v>58</v>
      </c>
      <c r="AE103" s="1" t="s">
        <v>59</v>
      </c>
      <c r="AF103" s="1" t="s">
        <v>54</v>
      </c>
      <c r="AG103" s="1" t="s">
        <v>60</v>
      </c>
      <c r="AH103" s="1" t="s">
        <v>120</v>
      </c>
    </row>
    <row r="104" spans="1:34" x14ac:dyDescent="0.3">
      <c r="A104" s="1" t="s">
        <v>34</v>
      </c>
      <c r="B104" s="1" t="s">
        <v>41</v>
      </c>
      <c r="C104" s="1" t="s">
        <v>76</v>
      </c>
      <c r="D104" s="1" t="s">
        <v>49</v>
      </c>
      <c r="E104" s="1" t="s">
        <v>77</v>
      </c>
      <c r="F104" s="1" t="s">
        <v>39</v>
      </c>
      <c r="G104" s="1" t="s">
        <v>40</v>
      </c>
      <c r="H104" s="1" t="s">
        <v>35</v>
      </c>
      <c r="I104" s="1" t="s">
        <v>35</v>
      </c>
      <c r="J104" s="1" t="s">
        <v>39</v>
      </c>
      <c r="K104" s="1" t="s">
        <v>42</v>
      </c>
      <c r="L104" s="1" t="s">
        <v>43</v>
      </c>
      <c r="M104" s="1" t="s">
        <v>44</v>
      </c>
      <c r="N104" s="1" t="s">
        <v>45</v>
      </c>
      <c r="O104" s="1" t="s">
        <v>45</v>
      </c>
      <c r="P104" s="1" t="s">
        <v>46</v>
      </c>
      <c r="Q104" s="1" t="s">
        <v>47</v>
      </c>
      <c r="R104" s="1" t="s">
        <v>48</v>
      </c>
      <c r="S104" s="1" t="s">
        <v>49</v>
      </c>
      <c r="T104" s="1" t="s">
        <v>50</v>
      </c>
      <c r="U104" s="1" t="s">
        <v>51</v>
      </c>
      <c r="V104" s="1" t="s">
        <v>52</v>
      </c>
      <c r="W104" s="1" t="s">
        <v>53</v>
      </c>
      <c r="X104" s="1" t="s">
        <v>54</v>
      </c>
      <c r="Y104" s="1" t="s">
        <v>74</v>
      </c>
      <c r="Z104" s="1" t="s">
        <v>56</v>
      </c>
      <c r="AA104" s="1" t="s">
        <v>36</v>
      </c>
      <c r="AB104" s="1" t="s">
        <v>54</v>
      </c>
      <c r="AC104" s="1" t="s">
        <v>89</v>
      </c>
      <c r="AD104" s="1" t="s">
        <v>58</v>
      </c>
      <c r="AE104" s="1" t="s">
        <v>42</v>
      </c>
      <c r="AF104" s="1" t="s">
        <v>54</v>
      </c>
      <c r="AG104" s="1" t="s">
        <v>60</v>
      </c>
      <c r="AH104" s="1" t="s">
        <v>120</v>
      </c>
    </row>
    <row r="105" spans="1:34" x14ac:dyDescent="0.3">
      <c r="A105" s="1" t="s">
        <v>85</v>
      </c>
      <c r="B105" s="1" t="s">
        <v>41</v>
      </c>
      <c r="C105" s="1" t="s">
        <v>76</v>
      </c>
      <c r="D105" s="1" t="s">
        <v>37</v>
      </c>
      <c r="E105" s="1" t="s">
        <v>77</v>
      </c>
      <c r="F105" s="1" t="s">
        <v>39</v>
      </c>
      <c r="G105" s="1" t="s">
        <v>40</v>
      </c>
      <c r="H105" s="1" t="s">
        <v>35</v>
      </c>
      <c r="I105" s="1" t="s">
        <v>35</v>
      </c>
      <c r="J105" s="1" t="s">
        <v>78</v>
      </c>
      <c r="K105" s="1" t="s">
        <v>42</v>
      </c>
      <c r="L105" s="1" t="s">
        <v>79</v>
      </c>
      <c r="M105" s="1" t="s">
        <v>106</v>
      </c>
      <c r="N105" s="1" t="s">
        <v>45</v>
      </c>
      <c r="O105" s="1" t="s">
        <v>49</v>
      </c>
      <c r="P105" s="1" t="s">
        <v>103</v>
      </c>
      <c r="Q105" s="1" t="s">
        <v>47</v>
      </c>
      <c r="R105" s="1" t="s">
        <v>48</v>
      </c>
      <c r="S105" s="1" t="s">
        <v>49</v>
      </c>
      <c r="T105" s="1" t="s">
        <v>50</v>
      </c>
      <c r="U105" s="1" t="s">
        <v>51</v>
      </c>
      <c r="V105" s="1" t="s">
        <v>52</v>
      </c>
      <c r="W105" s="1" t="s">
        <v>53</v>
      </c>
      <c r="X105" s="1" t="s">
        <v>54</v>
      </c>
      <c r="Y105" s="1" t="s">
        <v>55</v>
      </c>
      <c r="Z105" s="1" t="s">
        <v>56</v>
      </c>
      <c r="AA105" s="1" t="s">
        <v>36</v>
      </c>
      <c r="AB105" s="1" t="s">
        <v>54</v>
      </c>
      <c r="AC105" s="1" t="s">
        <v>57</v>
      </c>
      <c r="AD105" s="1" t="s">
        <v>58</v>
      </c>
      <c r="AE105" s="1" t="s">
        <v>42</v>
      </c>
      <c r="AF105" s="1" t="s">
        <v>54</v>
      </c>
      <c r="AG105" s="1" t="s">
        <v>75</v>
      </c>
      <c r="AH105" s="1" t="s">
        <v>120</v>
      </c>
    </row>
    <row r="106" spans="1:34" x14ac:dyDescent="0.3">
      <c r="A106" s="1" t="s">
        <v>54</v>
      </c>
      <c r="B106" s="1" t="s">
        <v>35</v>
      </c>
      <c r="C106" s="1" t="s">
        <v>36</v>
      </c>
      <c r="D106" s="1" t="s">
        <v>37</v>
      </c>
      <c r="E106" s="1" t="s">
        <v>77</v>
      </c>
      <c r="F106" s="1" t="s">
        <v>86</v>
      </c>
      <c r="G106" s="1" t="s">
        <v>40</v>
      </c>
      <c r="H106" s="1" t="s">
        <v>41</v>
      </c>
      <c r="I106" s="1" t="s">
        <v>35</v>
      </c>
      <c r="J106" s="1" t="s">
        <v>92</v>
      </c>
      <c r="K106" s="1" t="s">
        <v>42</v>
      </c>
      <c r="L106" s="1" t="s">
        <v>43</v>
      </c>
      <c r="M106" s="1" t="s">
        <v>44</v>
      </c>
      <c r="N106" s="1" t="s">
        <v>45</v>
      </c>
      <c r="O106" s="1" t="s">
        <v>45</v>
      </c>
      <c r="P106" s="1" t="s">
        <v>46</v>
      </c>
      <c r="Q106" s="1" t="s">
        <v>47</v>
      </c>
      <c r="R106" s="1" t="s">
        <v>48</v>
      </c>
      <c r="S106" s="1" t="s">
        <v>49</v>
      </c>
      <c r="T106" s="1" t="s">
        <v>50</v>
      </c>
      <c r="U106" s="1" t="s">
        <v>51</v>
      </c>
      <c r="V106" s="1" t="s">
        <v>52</v>
      </c>
      <c r="W106" s="1" t="s">
        <v>53</v>
      </c>
      <c r="X106" s="1" t="s">
        <v>54</v>
      </c>
      <c r="Y106" s="1" t="s">
        <v>74</v>
      </c>
      <c r="Z106" s="1" t="s">
        <v>82</v>
      </c>
      <c r="AA106" s="1" t="s">
        <v>36</v>
      </c>
      <c r="AB106" s="1" t="s">
        <v>54</v>
      </c>
      <c r="AC106" s="1" t="s">
        <v>57</v>
      </c>
      <c r="AD106" s="1" t="s">
        <v>58</v>
      </c>
      <c r="AE106" s="1" t="s">
        <v>59</v>
      </c>
      <c r="AF106" s="1" t="s">
        <v>54</v>
      </c>
      <c r="AG106" s="1" t="s">
        <v>75</v>
      </c>
      <c r="AH106" s="1" t="s">
        <v>120</v>
      </c>
    </row>
    <row r="107" spans="1:34" x14ac:dyDescent="0.3">
      <c r="A107" s="1" t="s">
        <v>34</v>
      </c>
      <c r="B107" s="1" t="s">
        <v>41</v>
      </c>
      <c r="C107" s="1" t="s">
        <v>76</v>
      </c>
      <c r="D107" s="1" t="s">
        <v>49</v>
      </c>
      <c r="E107" s="1" t="s">
        <v>77</v>
      </c>
      <c r="F107" s="1" t="s">
        <v>39</v>
      </c>
      <c r="G107" s="1" t="s">
        <v>40</v>
      </c>
      <c r="H107" s="1" t="s">
        <v>35</v>
      </c>
      <c r="I107" s="1" t="s">
        <v>94</v>
      </c>
      <c r="J107" s="1" t="s">
        <v>39</v>
      </c>
      <c r="K107" s="1" t="s">
        <v>42</v>
      </c>
      <c r="L107" s="1" t="s">
        <v>79</v>
      </c>
      <c r="M107" s="1" t="s">
        <v>44</v>
      </c>
      <c r="N107" s="1" t="s">
        <v>45</v>
      </c>
      <c r="O107" s="1" t="s">
        <v>45</v>
      </c>
      <c r="P107" s="1" t="s">
        <v>46</v>
      </c>
      <c r="Q107" s="1" t="s">
        <v>93</v>
      </c>
      <c r="R107" s="1" t="s">
        <v>48</v>
      </c>
      <c r="S107" s="1" t="s">
        <v>49</v>
      </c>
      <c r="T107" s="1" t="s">
        <v>50</v>
      </c>
      <c r="U107" s="1" t="s">
        <v>51</v>
      </c>
      <c r="V107" s="1" t="s">
        <v>52</v>
      </c>
      <c r="W107" s="1" t="s">
        <v>53</v>
      </c>
      <c r="X107" s="1" t="s">
        <v>54</v>
      </c>
      <c r="Y107" s="1" t="s">
        <v>55</v>
      </c>
      <c r="Z107" s="1" t="s">
        <v>56</v>
      </c>
      <c r="AA107" s="1" t="s">
        <v>36</v>
      </c>
      <c r="AB107" s="1" t="s">
        <v>54</v>
      </c>
      <c r="AC107" s="1" t="s">
        <v>57</v>
      </c>
      <c r="AD107" s="1" t="s">
        <v>58</v>
      </c>
      <c r="AE107" s="1" t="s">
        <v>42</v>
      </c>
      <c r="AF107" s="1" t="s">
        <v>54</v>
      </c>
      <c r="AG107" s="1" t="s">
        <v>75</v>
      </c>
      <c r="AH107" s="1" t="s">
        <v>120</v>
      </c>
    </row>
    <row r="108" spans="1:34" x14ac:dyDescent="0.3">
      <c r="A108" s="1" t="s">
        <v>74</v>
      </c>
      <c r="B108" s="1" t="s">
        <v>41</v>
      </c>
      <c r="C108" s="1" t="s">
        <v>76</v>
      </c>
      <c r="D108" s="1" t="s">
        <v>37</v>
      </c>
      <c r="E108" s="1" t="s">
        <v>77</v>
      </c>
      <c r="F108" s="1" t="s">
        <v>39</v>
      </c>
      <c r="G108" s="1" t="s">
        <v>40</v>
      </c>
      <c r="H108" s="1" t="s">
        <v>35</v>
      </c>
      <c r="I108" s="1" t="s">
        <v>35</v>
      </c>
      <c r="J108" s="1" t="s">
        <v>39</v>
      </c>
      <c r="K108" s="1" t="s">
        <v>42</v>
      </c>
      <c r="L108" s="1" t="s">
        <v>40</v>
      </c>
      <c r="M108" s="1" t="s">
        <v>84</v>
      </c>
      <c r="N108" s="1" t="s">
        <v>45</v>
      </c>
      <c r="O108" s="1" t="s">
        <v>45</v>
      </c>
      <c r="P108" s="1" t="s">
        <v>46</v>
      </c>
      <c r="Q108" s="1" t="s">
        <v>47</v>
      </c>
      <c r="R108" s="1" t="s">
        <v>80</v>
      </c>
      <c r="S108" s="1" t="s">
        <v>49</v>
      </c>
      <c r="T108" s="1" t="s">
        <v>50</v>
      </c>
      <c r="U108" s="1" t="s">
        <v>51</v>
      </c>
      <c r="V108" s="1" t="s">
        <v>81</v>
      </c>
      <c r="W108" s="1" t="s">
        <v>53</v>
      </c>
      <c r="X108" s="1" t="s">
        <v>54</v>
      </c>
      <c r="Y108" s="1" t="s">
        <v>55</v>
      </c>
      <c r="Z108" s="1" t="s">
        <v>82</v>
      </c>
      <c r="AA108" s="1" t="s">
        <v>36</v>
      </c>
      <c r="AB108" s="1" t="s">
        <v>54</v>
      </c>
      <c r="AC108" s="1" t="s">
        <v>57</v>
      </c>
      <c r="AD108" s="1" t="s">
        <v>58</v>
      </c>
      <c r="AE108" s="1" t="s">
        <v>42</v>
      </c>
      <c r="AF108" s="1" t="s">
        <v>54</v>
      </c>
      <c r="AG108" s="1" t="s">
        <v>75</v>
      </c>
      <c r="AH108" s="1" t="s">
        <v>120</v>
      </c>
    </row>
    <row r="109" spans="1:34" x14ac:dyDescent="0.3">
      <c r="A109" s="1" t="s">
        <v>34</v>
      </c>
      <c r="B109" s="1" t="s">
        <v>41</v>
      </c>
      <c r="C109" s="1" t="s">
        <v>36</v>
      </c>
      <c r="D109" s="1" t="s">
        <v>107</v>
      </c>
      <c r="E109" s="1" t="s">
        <v>38</v>
      </c>
      <c r="F109" s="1" t="s">
        <v>39</v>
      </c>
      <c r="G109" s="1" t="s">
        <v>40</v>
      </c>
      <c r="H109" s="1" t="s">
        <v>35</v>
      </c>
      <c r="I109" s="1" t="s">
        <v>41</v>
      </c>
      <c r="J109" s="1" t="s">
        <v>39</v>
      </c>
      <c r="K109" s="1" t="s">
        <v>97</v>
      </c>
      <c r="L109" s="1" t="s">
        <v>66</v>
      </c>
      <c r="M109" s="1" t="s">
        <v>44</v>
      </c>
      <c r="N109" s="1" t="s">
        <v>45</v>
      </c>
      <c r="O109" s="1" t="s">
        <v>45</v>
      </c>
      <c r="P109" s="1" t="s">
        <v>46</v>
      </c>
      <c r="Q109" s="1" t="s">
        <v>93</v>
      </c>
      <c r="R109" s="1" t="s">
        <v>80</v>
      </c>
      <c r="S109" s="1" t="s">
        <v>49</v>
      </c>
      <c r="T109" s="1" t="s">
        <v>50</v>
      </c>
      <c r="U109" s="1" t="s">
        <v>51</v>
      </c>
      <c r="V109" s="1" t="s">
        <v>52</v>
      </c>
      <c r="W109" s="1" t="s">
        <v>53</v>
      </c>
      <c r="X109" s="1" t="s">
        <v>54</v>
      </c>
      <c r="Y109" s="1" t="s">
        <v>74</v>
      </c>
      <c r="Z109" s="1" t="s">
        <v>56</v>
      </c>
      <c r="AA109" s="1" t="s">
        <v>36</v>
      </c>
      <c r="AB109" s="1" t="s">
        <v>54</v>
      </c>
      <c r="AC109" s="1" t="s">
        <v>57</v>
      </c>
      <c r="AD109" s="1" t="s">
        <v>58</v>
      </c>
      <c r="AE109" s="1" t="s">
        <v>59</v>
      </c>
      <c r="AF109" s="1" t="s">
        <v>54</v>
      </c>
      <c r="AG109" s="1" t="s">
        <v>75</v>
      </c>
      <c r="AH109" s="1" t="s">
        <v>120</v>
      </c>
    </row>
    <row r="110" spans="1:34" x14ac:dyDescent="0.3">
      <c r="A110" s="1" t="s">
        <v>91</v>
      </c>
      <c r="B110" s="1" t="s">
        <v>35</v>
      </c>
      <c r="C110" s="1" t="s">
        <v>36</v>
      </c>
      <c r="D110" s="1" t="s">
        <v>37</v>
      </c>
      <c r="E110" s="1" t="s">
        <v>77</v>
      </c>
      <c r="F110" s="1" t="s">
        <v>39</v>
      </c>
      <c r="G110" s="1" t="s">
        <v>40</v>
      </c>
      <c r="H110" s="1" t="s">
        <v>35</v>
      </c>
      <c r="I110" s="1" t="s">
        <v>35</v>
      </c>
      <c r="J110" s="1" t="s">
        <v>39</v>
      </c>
      <c r="K110" s="1" t="s">
        <v>42</v>
      </c>
      <c r="L110" s="1" t="s">
        <v>79</v>
      </c>
      <c r="M110" s="1" t="s">
        <v>108</v>
      </c>
      <c r="N110" s="1" t="s">
        <v>45</v>
      </c>
      <c r="O110" s="1" t="s">
        <v>45</v>
      </c>
      <c r="P110" s="1" t="s">
        <v>46</v>
      </c>
      <c r="Q110" s="1" t="s">
        <v>47</v>
      </c>
      <c r="R110" s="1" t="s">
        <v>80</v>
      </c>
      <c r="S110" s="1" t="s">
        <v>49</v>
      </c>
      <c r="T110" s="1" t="s">
        <v>50</v>
      </c>
      <c r="U110" s="1" t="s">
        <v>51</v>
      </c>
      <c r="V110" s="1" t="s">
        <v>52</v>
      </c>
      <c r="W110" s="1" t="s">
        <v>53</v>
      </c>
      <c r="X110" s="1" t="s">
        <v>54</v>
      </c>
      <c r="Y110" s="1" t="s">
        <v>74</v>
      </c>
      <c r="Z110" s="1" t="s">
        <v>82</v>
      </c>
      <c r="AA110" s="1" t="s">
        <v>36</v>
      </c>
      <c r="AB110" s="1" t="s">
        <v>54</v>
      </c>
      <c r="AC110" s="1" t="s">
        <v>57</v>
      </c>
      <c r="AD110" s="1" t="s">
        <v>58</v>
      </c>
      <c r="AE110" s="1" t="s">
        <v>59</v>
      </c>
      <c r="AF110" s="1" t="s">
        <v>54</v>
      </c>
      <c r="AG110" s="1" t="s">
        <v>75</v>
      </c>
      <c r="AH110" s="1" t="s">
        <v>120</v>
      </c>
    </row>
    <row r="111" spans="1:34" x14ac:dyDescent="0.3">
      <c r="A111" s="1" t="s">
        <v>74</v>
      </c>
      <c r="B111" s="1" t="s">
        <v>41</v>
      </c>
      <c r="C111" s="1" t="s">
        <v>76</v>
      </c>
      <c r="D111" s="1" t="s">
        <v>49</v>
      </c>
      <c r="E111" s="1" t="s">
        <v>77</v>
      </c>
      <c r="F111" s="1" t="s">
        <v>86</v>
      </c>
      <c r="G111" s="1" t="s">
        <v>40</v>
      </c>
      <c r="H111" s="1" t="s">
        <v>41</v>
      </c>
      <c r="I111" s="1" t="s">
        <v>94</v>
      </c>
      <c r="J111" s="1" t="s">
        <v>39</v>
      </c>
      <c r="K111" s="1" t="s">
        <v>42</v>
      </c>
      <c r="L111" s="1" t="s">
        <v>43</v>
      </c>
      <c r="M111" s="1" t="s">
        <v>53</v>
      </c>
      <c r="N111" s="1" t="s">
        <v>45</v>
      </c>
      <c r="O111" s="1" t="s">
        <v>45</v>
      </c>
      <c r="P111" s="1" t="s">
        <v>46</v>
      </c>
      <c r="Q111" s="1" t="s">
        <v>93</v>
      </c>
      <c r="R111" s="1" t="s">
        <v>48</v>
      </c>
      <c r="S111" s="1" t="s">
        <v>45</v>
      </c>
      <c r="T111" s="1" t="s">
        <v>50</v>
      </c>
      <c r="U111" s="1" t="s">
        <v>51</v>
      </c>
      <c r="V111" s="1" t="s">
        <v>52</v>
      </c>
      <c r="W111" s="1" t="s">
        <v>53</v>
      </c>
      <c r="X111" s="1" t="s">
        <v>54</v>
      </c>
      <c r="Y111" s="1" t="s">
        <v>55</v>
      </c>
      <c r="Z111" s="1" t="s">
        <v>82</v>
      </c>
      <c r="AA111" s="1" t="s">
        <v>36</v>
      </c>
      <c r="AB111" s="1" t="s">
        <v>54</v>
      </c>
      <c r="AC111" s="1" t="s">
        <v>57</v>
      </c>
      <c r="AD111" s="1" t="s">
        <v>58</v>
      </c>
      <c r="AE111" s="1" t="s">
        <v>42</v>
      </c>
      <c r="AF111" s="1" t="s">
        <v>54</v>
      </c>
      <c r="AG111" s="1" t="s">
        <v>75</v>
      </c>
      <c r="AH111" s="1" t="s">
        <v>120</v>
      </c>
    </row>
    <row r="112" spans="1:34" x14ac:dyDescent="0.3">
      <c r="A112" s="1" t="s">
        <v>34</v>
      </c>
      <c r="B112" s="1" t="s">
        <v>41</v>
      </c>
      <c r="C112" s="1" t="s">
        <v>76</v>
      </c>
      <c r="D112" s="1" t="s">
        <v>49</v>
      </c>
      <c r="E112" s="1" t="s">
        <v>77</v>
      </c>
      <c r="F112" s="1" t="s">
        <v>86</v>
      </c>
      <c r="G112" s="1" t="s">
        <v>40</v>
      </c>
      <c r="H112" s="1" t="s">
        <v>41</v>
      </c>
      <c r="I112" s="1" t="s">
        <v>94</v>
      </c>
      <c r="J112" s="1" t="s">
        <v>39</v>
      </c>
      <c r="K112" s="1" t="s">
        <v>42</v>
      </c>
      <c r="L112" s="1" t="s">
        <v>79</v>
      </c>
      <c r="M112" s="1" t="s">
        <v>84</v>
      </c>
      <c r="N112" s="1" t="s">
        <v>45</v>
      </c>
      <c r="O112" s="1" t="s">
        <v>45</v>
      </c>
      <c r="P112" s="1" t="s">
        <v>103</v>
      </c>
      <c r="Q112" s="1" t="s">
        <v>47</v>
      </c>
      <c r="R112" s="1" t="s">
        <v>80</v>
      </c>
      <c r="S112" s="1" t="s">
        <v>49</v>
      </c>
      <c r="T112" s="1" t="s">
        <v>50</v>
      </c>
      <c r="U112" s="1" t="s">
        <v>51</v>
      </c>
      <c r="V112" s="1" t="s">
        <v>81</v>
      </c>
      <c r="W112" s="1" t="s">
        <v>53</v>
      </c>
      <c r="X112" s="1" t="s">
        <v>54</v>
      </c>
      <c r="Y112" s="1" t="s">
        <v>55</v>
      </c>
      <c r="Z112" s="1" t="s">
        <v>82</v>
      </c>
      <c r="AA112" s="1" t="s">
        <v>36</v>
      </c>
      <c r="AB112" s="1" t="s">
        <v>54</v>
      </c>
      <c r="AC112" s="1" t="s">
        <v>57</v>
      </c>
      <c r="AD112" s="1" t="s">
        <v>58</v>
      </c>
      <c r="AE112" s="1" t="s">
        <v>59</v>
      </c>
      <c r="AF112" s="1" t="s">
        <v>54</v>
      </c>
      <c r="AG112" s="1" t="s">
        <v>71</v>
      </c>
      <c r="AH112" s="1" t="s">
        <v>120</v>
      </c>
    </row>
    <row r="113" spans="1:34" x14ac:dyDescent="0.3">
      <c r="A113" s="1" t="s">
        <v>99</v>
      </c>
      <c r="B113" s="1" t="s">
        <v>41</v>
      </c>
      <c r="C113" s="1" t="s">
        <v>76</v>
      </c>
      <c r="D113" s="1" t="s">
        <v>49</v>
      </c>
      <c r="E113" s="1" t="s">
        <v>77</v>
      </c>
      <c r="F113" s="1" t="s">
        <v>39</v>
      </c>
      <c r="G113" s="1" t="s">
        <v>40</v>
      </c>
      <c r="H113" s="1" t="s">
        <v>35</v>
      </c>
      <c r="I113" s="1" t="s">
        <v>35</v>
      </c>
      <c r="J113" s="1" t="s">
        <v>39</v>
      </c>
      <c r="K113" s="1" t="s">
        <v>42</v>
      </c>
      <c r="L113" s="1" t="s">
        <v>79</v>
      </c>
      <c r="M113" s="1" t="s">
        <v>44</v>
      </c>
      <c r="N113" s="1" t="s">
        <v>45</v>
      </c>
      <c r="O113" s="1" t="s">
        <v>45</v>
      </c>
      <c r="P113" s="1" t="s">
        <v>103</v>
      </c>
      <c r="Q113" s="1" t="s">
        <v>47</v>
      </c>
      <c r="R113" s="1" t="s">
        <v>80</v>
      </c>
      <c r="S113" s="1" t="s">
        <v>49</v>
      </c>
      <c r="T113" s="1" t="s">
        <v>50</v>
      </c>
      <c r="U113" s="1" t="s">
        <v>51</v>
      </c>
      <c r="V113" s="1" t="s">
        <v>52</v>
      </c>
      <c r="W113" s="1" t="s">
        <v>53</v>
      </c>
      <c r="X113" s="1" t="s">
        <v>54</v>
      </c>
      <c r="Y113" s="1" t="s">
        <v>74</v>
      </c>
      <c r="Z113" s="1" t="s">
        <v>82</v>
      </c>
      <c r="AA113" s="1" t="s">
        <v>36</v>
      </c>
      <c r="AB113" s="1" t="s">
        <v>54</v>
      </c>
      <c r="AC113" s="1" t="s">
        <v>57</v>
      </c>
      <c r="AD113" s="1" t="s">
        <v>58</v>
      </c>
      <c r="AE113" s="1" t="s">
        <v>59</v>
      </c>
      <c r="AF113" s="1" t="s">
        <v>54</v>
      </c>
      <c r="AG113" s="1" t="s">
        <v>71</v>
      </c>
      <c r="AH113" s="1" t="s">
        <v>120</v>
      </c>
    </row>
    <row r="114" spans="1:34" x14ac:dyDescent="0.3">
      <c r="A114" s="1" t="s">
        <v>34</v>
      </c>
      <c r="B114" s="1" t="s">
        <v>61</v>
      </c>
      <c r="C114" s="1" t="s">
        <v>62</v>
      </c>
      <c r="D114" s="1" t="s">
        <v>63</v>
      </c>
      <c r="E114" s="1" t="s">
        <v>64</v>
      </c>
      <c r="F114" s="1" t="s">
        <v>65</v>
      </c>
      <c r="G114" s="1" t="s">
        <v>66</v>
      </c>
      <c r="H114" s="1" t="s">
        <v>61</v>
      </c>
      <c r="I114" s="1" t="s">
        <v>61</v>
      </c>
      <c r="J114" s="1" t="s">
        <v>65</v>
      </c>
      <c r="K114" s="1" t="s">
        <v>67</v>
      </c>
      <c r="L114" s="1" t="s">
        <v>66</v>
      </c>
      <c r="M114" s="1" t="s">
        <v>68</v>
      </c>
      <c r="N114" s="1" t="s">
        <v>63</v>
      </c>
      <c r="O114" s="1" t="s">
        <v>63</v>
      </c>
      <c r="P114" s="1" t="s">
        <v>69</v>
      </c>
      <c r="Q114" s="1" t="s">
        <v>70</v>
      </c>
      <c r="R114" s="1" t="s">
        <v>71</v>
      </c>
      <c r="S114" s="1" t="s">
        <v>63</v>
      </c>
      <c r="T114" s="1" t="s">
        <v>69</v>
      </c>
      <c r="U114" s="1" t="s">
        <v>69</v>
      </c>
      <c r="V114" s="1" t="s">
        <v>63</v>
      </c>
      <c r="W114" s="1" t="s">
        <v>68</v>
      </c>
      <c r="X114" s="1" t="s">
        <v>72</v>
      </c>
      <c r="Y114" s="1" t="s">
        <v>72</v>
      </c>
      <c r="Z114" s="1" t="s">
        <v>62</v>
      </c>
      <c r="AA114" s="1" t="s">
        <v>62</v>
      </c>
      <c r="AB114" s="1" t="s">
        <v>72</v>
      </c>
      <c r="AC114" s="1" t="s">
        <v>73</v>
      </c>
      <c r="AD114" s="1" t="s">
        <v>73</v>
      </c>
      <c r="AE114" s="1" t="s">
        <v>67</v>
      </c>
      <c r="AF114" s="1" t="s">
        <v>72</v>
      </c>
      <c r="AG114" s="1" t="s">
        <v>71</v>
      </c>
      <c r="AH114" s="1" t="s">
        <v>121</v>
      </c>
    </row>
    <row r="115" spans="1:34" x14ac:dyDescent="0.3">
      <c r="A115" s="1" t="s">
        <v>91</v>
      </c>
      <c r="B115" s="1" t="s">
        <v>41</v>
      </c>
      <c r="C115" s="1" t="s">
        <v>76</v>
      </c>
      <c r="D115" s="1" t="s">
        <v>37</v>
      </c>
      <c r="E115" s="1" t="s">
        <v>77</v>
      </c>
      <c r="F115" s="1" t="s">
        <v>39</v>
      </c>
      <c r="G115" s="1" t="s">
        <v>40</v>
      </c>
      <c r="H115" s="1" t="s">
        <v>35</v>
      </c>
      <c r="I115" s="1" t="s">
        <v>94</v>
      </c>
      <c r="J115" s="1" t="s">
        <v>39</v>
      </c>
      <c r="K115" s="1" t="s">
        <v>42</v>
      </c>
      <c r="L115" s="1" t="s">
        <v>43</v>
      </c>
      <c r="M115" s="1" t="s">
        <v>44</v>
      </c>
      <c r="N115" s="1" t="s">
        <v>45</v>
      </c>
      <c r="O115" s="1" t="s">
        <v>49</v>
      </c>
      <c r="P115" s="1" t="s">
        <v>103</v>
      </c>
      <c r="Q115" s="1" t="s">
        <v>93</v>
      </c>
      <c r="R115" s="1" t="s">
        <v>48</v>
      </c>
      <c r="S115" s="1" t="s">
        <v>49</v>
      </c>
      <c r="T115" s="1" t="s">
        <v>50</v>
      </c>
      <c r="U115" s="1" t="s">
        <v>51</v>
      </c>
      <c r="V115" s="1" t="s">
        <v>52</v>
      </c>
      <c r="W115" s="1" t="s">
        <v>53</v>
      </c>
      <c r="X115" s="1" t="s">
        <v>54</v>
      </c>
      <c r="Y115" s="1" t="s">
        <v>74</v>
      </c>
      <c r="Z115" s="1" t="s">
        <v>56</v>
      </c>
      <c r="AA115" s="1" t="s">
        <v>36</v>
      </c>
      <c r="AB115" s="1" t="s">
        <v>54</v>
      </c>
      <c r="AC115" s="1" t="s">
        <v>57</v>
      </c>
      <c r="AD115" s="1" t="s">
        <v>58</v>
      </c>
      <c r="AE115" s="1" t="s">
        <v>42</v>
      </c>
      <c r="AF115" s="1" t="s">
        <v>54</v>
      </c>
      <c r="AG115" s="1" t="s">
        <v>75</v>
      </c>
      <c r="AH115" s="1" t="s">
        <v>120</v>
      </c>
    </row>
    <row r="116" spans="1:34" x14ac:dyDescent="0.3">
      <c r="A116" s="1" t="s">
        <v>54</v>
      </c>
      <c r="B116" s="1" t="s">
        <v>41</v>
      </c>
      <c r="C116" s="1" t="s">
        <v>36</v>
      </c>
      <c r="D116" s="1" t="s">
        <v>83</v>
      </c>
      <c r="E116" s="1" t="s">
        <v>38</v>
      </c>
      <c r="F116" s="1" t="s">
        <v>39</v>
      </c>
      <c r="G116" s="1" t="s">
        <v>40</v>
      </c>
      <c r="H116" s="1" t="s">
        <v>35</v>
      </c>
      <c r="I116" s="1" t="s">
        <v>35</v>
      </c>
      <c r="J116" s="1" t="s">
        <v>39</v>
      </c>
      <c r="K116" s="1" t="s">
        <v>42</v>
      </c>
      <c r="L116" s="1" t="s">
        <v>43</v>
      </c>
      <c r="M116" s="1" t="s">
        <v>44</v>
      </c>
      <c r="N116" s="1" t="s">
        <v>45</v>
      </c>
      <c r="O116" s="1" t="s">
        <v>45</v>
      </c>
      <c r="P116" s="1" t="s">
        <v>103</v>
      </c>
      <c r="Q116" s="1" t="s">
        <v>47</v>
      </c>
      <c r="R116" s="1" t="s">
        <v>80</v>
      </c>
      <c r="S116" s="1" t="s">
        <v>49</v>
      </c>
      <c r="T116" s="1" t="s">
        <v>50</v>
      </c>
      <c r="U116" s="1" t="s">
        <v>51</v>
      </c>
      <c r="V116" s="1" t="s">
        <v>52</v>
      </c>
      <c r="W116" s="1" t="s">
        <v>53</v>
      </c>
      <c r="X116" s="1" t="s">
        <v>54</v>
      </c>
      <c r="Y116" s="1" t="s">
        <v>55</v>
      </c>
      <c r="Z116" s="1" t="s">
        <v>56</v>
      </c>
      <c r="AA116" s="1" t="s">
        <v>36</v>
      </c>
      <c r="AB116" s="1" t="s">
        <v>54</v>
      </c>
      <c r="AC116" s="1" t="s">
        <v>57</v>
      </c>
      <c r="AD116" s="1" t="s">
        <v>58</v>
      </c>
      <c r="AE116" s="1" t="s">
        <v>59</v>
      </c>
      <c r="AF116" s="1" t="s">
        <v>54</v>
      </c>
      <c r="AG116" s="1" t="s">
        <v>71</v>
      </c>
      <c r="AH116" s="1" t="s">
        <v>120</v>
      </c>
    </row>
    <row r="117" spans="1:34" x14ac:dyDescent="0.3">
      <c r="A117" s="1" t="s">
        <v>91</v>
      </c>
      <c r="B117" s="1" t="s">
        <v>35</v>
      </c>
      <c r="C117" s="1" t="s">
        <v>36</v>
      </c>
      <c r="D117" s="1" t="s">
        <v>37</v>
      </c>
      <c r="E117" s="1" t="s">
        <v>77</v>
      </c>
      <c r="F117" s="1" t="s">
        <v>39</v>
      </c>
      <c r="G117" s="1" t="s">
        <v>40</v>
      </c>
      <c r="H117" s="1" t="s">
        <v>35</v>
      </c>
      <c r="I117" s="1" t="s">
        <v>35</v>
      </c>
      <c r="J117" s="1" t="s">
        <v>39</v>
      </c>
      <c r="K117" s="1" t="s">
        <v>42</v>
      </c>
      <c r="L117" s="1" t="s">
        <v>79</v>
      </c>
      <c r="M117" s="1" t="s">
        <v>44</v>
      </c>
      <c r="N117" s="1" t="s">
        <v>45</v>
      </c>
      <c r="O117" s="1" t="s">
        <v>45</v>
      </c>
      <c r="P117" s="1" t="s">
        <v>46</v>
      </c>
      <c r="Q117" s="1" t="s">
        <v>47</v>
      </c>
      <c r="R117" s="1" t="s">
        <v>80</v>
      </c>
      <c r="S117" s="1" t="s">
        <v>49</v>
      </c>
      <c r="T117" s="1" t="s">
        <v>50</v>
      </c>
      <c r="U117" s="1" t="s">
        <v>51</v>
      </c>
      <c r="V117" s="1" t="s">
        <v>52</v>
      </c>
      <c r="W117" s="1" t="s">
        <v>53</v>
      </c>
      <c r="X117" s="1" t="s">
        <v>54</v>
      </c>
      <c r="Y117" s="1" t="s">
        <v>55</v>
      </c>
      <c r="Z117" s="1" t="s">
        <v>82</v>
      </c>
      <c r="AA117" s="1" t="s">
        <v>36</v>
      </c>
      <c r="AB117" s="1" t="s">
        <v>54</v>
      </c>
      <c r="AC117" s="1" t="s">
        <v>57</v>
      </c>
      <c r="AD117" s="1" t="s">
        <v>58</v>
      </c>
      <c r="AE117" s="1" t="s">
        <v>59</v>
      </c>
      <c r="AF117" s="1" t="s">
        <v>54</v>
      </c>
      <c r="AG117" s="1" t="s">
        <v>75</v>
      </c>
      <c r="AH117" s="1" t="s">
        <v>120</v>
      </c>
    </row>
    <row r="118" spans="1:34" x14ac:dyDescent="0.3">
      <c r="A118" s="1" t="s">
        <v>74</v>
      </c>
      <c r="B118" s="1" t="s">
        <v>41</v>
      </c>
      <c r="C118" s="1" t="s">
        <v>76</v>
      </c>
      <c r="D118" s="1" t="s">
        <v>107</v>
      </c>
      <c r="E118" s="1" t="s">
        <v>38</v>
      </c>
      <c r="F118" s="1" t="s">
        <v>39</v>
      </c>
      <c r="G118" s="1" t="s">
        <v>40</v>
      </c>
      <c r="H118" s="1" t="s">
        <v>35</v>
      </c>
      <c r="I118" s="1" t="s">
        <v>35</v>
      </c>
      <c r="J118" s="1" t="s">
        <v>78</v>
      </c>
      <c r="K118" s="1" t="s">
        <v>42</v>
      </c>
      <c r="L118" s="1" t="s">
        <v>79</v>
      </c>
      <c r="M118" s="1" t="s">
        <v>44</v>
      </c>
      <c r="N118" s="1" t="s">
        <v>45</v>
      </c>
      <c r="O118" s="1" t="s">
        <v>45</v>
      </c>
      <c r="P118" s="1" t="s">
        <v>46</v>
      </c>
      <c r="Q118" s="1" t="s">
        <v>47</v>
      </c>
      <c r="R118" s="1" t="s">
        <v>80</v>
      </c>
      <c r="S118" s="1" t="s">
        <v>49</v>
      </c>
      <c r="T118" s="1" t="s">
        <v>50</v>
      </c>
      <c r="U118" s="1" t="s">
        <v>51</v>
      </c>
      <c r="V118" s="1" t="s">
        <v>52</v>
      </c>
      <c r="W118" s="1" t="s">
        <v>53</v>
      </c>
      <c r="X118" s="1" t="s">
        <v>54</v>
      </c>
      <c r="Y118" s="1" t="s">
        <v>74</v>
      </c>
      <c r="Z118" s="1" t="s">
        <v>82</v>
      </c>
      <c r="AA118" s="1" t="s">
        <v>36</v>
      </c>
      <c r="AB118" s="1" t="s">
        <v>54</v>
      </c>
      <c r="AC118" s="1" t="s">
        <v>57</v>
      </c>
      <c r="AD118" s="1" t="s">
        <v>58</v>
      </c>
      <c r="AE118" s="1" t="s">
        <v>42</v>
      </c>
      <c r="AF118" s="1" t="s">
        <v>54</v>
      </c>
      <c r="AG118" s="1" t="s">
        <v>75</v>
      </c>
      <c r="AH118" s="1" t="s">
        <v>120</v>
      </c>
    </row>
    <row r="119" spans="1:34" x14ac:dyDescent="0.3">
      <c r="A119" s="1" t="s">
        <v>74</v>
      </c>
      <c r="B119" s="1" t="s">
        <v>61</v>
      </c>
      <c r="C119" s="1" t="s">
        <v>62</v>
      </c>
      <c r="D119" s="1" t="s">
        <v>63</v>
      </c>
      <c r="E119" s="1" t="s">
        <v>64</v>
      </c>
      <c r="F119" s="1" t="s">
        <v>65</v>
      </c>
      <c r="G119" s="1" t="s">
        <v>66</v>
      </c>
      <c r="H119" s="1" t="s">
        <v>61</v>
      </c>
      <c r="I119" s="1" t="s">
        <v>61</v>
      </c>
      <c r="J119" s="1" t="s">
        <v>65</v>
      </c>
      <c r="K119" s="1" t="s">
        <v>67</v>
      </c>
      <c r="L119" s="1" t="s">
        <v>66</v>
      </c>
      <c r="M119" s="1" t="s">
        <v>68</v>
      </c>
      <c r="N119" s="1" t="s">
        <v>63</v>
      </c>
      <c r="O119" s="1" t="s">
        <v>63</v>
      </c>
      <c r="P119" s="1" t="s">
        <v>69</v>
      </c>
      <c r="Q119" s="1" t="s">
        <v>70</v>
      </c>
      <c r="R119" s="1" t="s">
        <v>71</v>
      </c>
      <c r="S119" s="1" t="s">
        <v>63</v>
      </c>
      <c r="T119" s="1" t="s">
        <v>69</v>
      </c>
      <c r="U119" s="1" t="s">
        <v>69</v>
      </c>
      <c r="V119" s="1" t="s">
        <v>63</v>
      </c>
      <c r="W119" s="1" t="s">
        <v>68</v>
      </c>
      <c r="X119" s="1" t="s">
        <v>72</v>
      </c>
      <c r="Y119" s="1" t="s">
        <v>72</v>
      </c>
      <c r="Z119" s="1" t="s">
        <v>62</v>
      </c>
      <c r="AA119" s="1" t="s">
        <v>62</v>
      </c>
      <c r="AB119" s="1" t="s">
        <v>72</v>
      </c>
      <c r="AC119" s="1" t="s">
        <v>73</v>
      </c>
      <c r="AD119" s="1" t="s">
        <v>73</v>
      </c>
      <c r="AE119" s="1" t="s">
        <v>67</v>
      </c>
      <c r="AF119" s="1" t="s">
        <v>72</v>
      </c>
      <c r="AG119" s="1" t="s">
        <v>71</v>
      </c>
      <c r="AH119" s="1" t="s">
        <v>120</v>
      </c>
    </row>
    <row r="120" spans="1:34" x14ac:dyDescent="0.3">
      <c r="A120" s="1" t="s">
        <v>91</v>
      </c>
      <c r="B120" s="1" t="s">
        <v>41</v>
      </c>
      <c r="C120" s="1" t="s">
        <v>76</v>
      </c>
      <c r="D120" s="1" t="s">
        <v>37</v>
      </c>
      <c r="E120" s="1" t="s">
        <v>77</v>
      </c>
      <c r="F120" s="1" t="s">
        <v>39</v>
      </c>
      <c r="G120" s="1" t="s">
        <v>40</v>
      </c>
      <c r="H120" s="1" t="s">
        <v>35</v>
      </c>
      <c r="I120" s="1" t="s">
        <v>35</v>
      </c>
      <c r="J120" s="1" t="s">
        <v>78</v>
      </c>
      <c r="K120" s="1" t="s">
        <v>42</v>
      </c>
      <c r="L120" s="1" t="s">
        <v>79</v>
      </c>
      <c r="M120" s="1" t="s">
        <v>44</v>
      </c>
      <c r="N120" s="1" t="s">
        <v>45</v>
      </c>
      <c r="O120" s="1" t="s">
        <v>45</v>
      </c>
      <c r="P120" s="1" t="s">
        <v>103</v>
      </c>
      <c r="Q120" s="1" t="s">
        <v>47</v>
      </c>
      <c r="R120" s="1" t="s">
        <v>80</v>
      </c>
      <c r="S120" s="1" t="s">
        <v>49</v>
      </c>
      <c r="T120" s="1" t="s">
        <v>50</v>
      </c>
      <c r="U120" s="1" t="s">
        <v>51</v>
      </c>
      <c r="V120" s="1" t="s">
        <v>52</v>
      </c>
      <c r="W120" s="1" t="s">
        <v>53</v>
      </c>
      <c r="X120" s="1" t="s">
        <v>54</v>
      </c>
      <c r="Y120" s="1" t="s">
        <v>55</v>
      </c>
      <c r="Z120" s="1" t="s">
        <v>82</v>
      </c>
      <c r="AA120" s="1" t="s">
        <v>36</v>
      </c>
      <c r="AB120" s="1" t="s">
        <v>54</v>
      </c>
      <c r="AC120" s="1" t="s">
        <v>57</v>
      </c>
      <c r="AD120" s="1" t="s">
        <v>58</v>
      </c>
      <c r="AE120" s="1" t="s">
        <v>59</v>
      </c>
      <c r="AF120" s="1" t="s">
        <v>54</v>
      </c>
      <c r="AG120" s="1" t="s">
        <v>71</v>
      </c>
      <c r="AH120" s="1" t="s">
        <v>120</v>
      </c>
    </row>
    <row r="121" spans="1:34" x14ac:dyDescent="0.3">
      <c r="A121" s="1" t="s">
        <v>74</v>
      </c>
      <c r="B121" s="1" t="s">
        <v>41</v>
      </c>
      <c r="C121" s="1" t="s">
        <v>76</v>
      </c>
      <c r="D121" s="1" t="s">
        <v>37</v>
      </c>
      <c r="E121" s="1" t="s">
        <v>77</v>
      </c>
      <c r="F121" s="1" t="s">
        <v>39</v>
      </c>
      <c r="G121" s="1" t="s">
        <v>40</v>
      </c>
      <c r="H121" s="1" t="s">
        <v>35</v>
      </c>
      <c r="I121" s="1" t="s">
        <v>94</v>
      </c>
      <c r="J121" s="1" t="s">
        <v>39</v>
      </c>
      <c r="K121" s="1" t="s">
        <v>42</v>
      </c>
      <c r="L121" s="1" t="s">
        <v>43</v>
      </c>
      <c r="M121" s="1" t="s">
        <v>44</v>
      </c>
      <c r="N121" s="1" t="s">
        <v>45</v>
      </c>
      <c r="O121" s="1" t="s">
        <v>45</v>
      </c>
      <c r="P121" s="1" t="s">
        <v>46</v>
      </c>
      <c r="Q121" s="1" t="s">
        <v>93</v>
      </c>
      <c r="R121" s="1" t="s">
        <v>48</v>
      </c>
      <c r="S121" s="1" t="s">
        <v>49</v>
      </c>
      <c r="T121" s="1" t="s">
        <v>50</v>
      </c>
      <c r="U121" s="1" t="s">
        <v>51</v>
      </c>
      <c r="V121" s="1" t="s">
        <v>52</v>
      </c>
      <c r="W121" s="1" t="s">
        <v>53</v>
      </c>
      <c r="X121" s="1" t="s">
        <v>54</v>
      </c>
      <c r="Y121" s="1" t="s">
        <v>55</v>
      </c>
      <c r="Z121" s="1" t="s">
        <v>56</v>
      </c>
      <c r="AA121" s="1" t="s">
        <v>36</v>
      </c>
      <c r="AB121" s="1" t="s">
        <v>54</v>
      </c>
      <c r="AC121" s="1" t="s">
        <v>57</v>
      </c>
      <c r="AD121" s="1" t="s">
        <v>58</v>
      </c>
      <c r="AE121" s="1" t="s">
        <v>42</v>
      </c>
      <c r="AF121" s="1" t="s">
        <v>54</v>
      </c>
      <c r="AG121" s="1" t="s">
        <v>75</v>
      </c>
      <c r="AH121" s="1" t="s">
        <v>120</v>
      </c>
    </row>
    <row r="122" spans="1:34" x14ac:dyDescent="0.3">
      <c r="A122" s="1" t="s">
        <v>74</v>
      </c>
      <c r="B122" s="1" t="s">
        <v>41</v>
      </c>
      <c r="C122" s="1" t="s">
        <v>76</v>
      </c>
      <c r="D122" s="1" t="s">
        <v>49</v>
      </c>
      <c r="E122" s="1" t="s">
        <v>77</v>
      </c>
      <c r="F122" s="1" t="s">
        <v>39</v>
      </c>
      <c r="G122" s="1" t="s">
        <v>40</v>
      </c>
      <c r="H122" s="1" t="s">
        <v>35</v>
      </c>
      <c r="I122" s="1" t="s">
        <v>35</v>
      </c>
      <c r="J122" s="1" t="s">
        <v>92</v>
      </c>
      <c r="K122" s="1" t="s">
        <v>42</v>
      </c>
      <c r="L122" s="1" t="s">
        <v>43</v>
      </c>
      <c r="M122" s="1" t="s">
        <v>44</v>
      </c>
      <c r="N122" s="1" t="s">
        <v>45</v>
      </c>
      <c r="O122" s="1" t="s">
        <v>45</v>
      </c>
      <c r="P122" s="1" t="s">
        <v>46</v>
      </c>
      <c r="Q122" s="1" t="s">
        <v>47</v>
      </c>
      <c r="R122" s="1" t="s">
        <v>48</v>
      </c>
      <c r="S122" s="1" t="s">
        <v>49</v>
      </c>
      <c r="T122" s="1" t="s">
        <v>50</v>
      </c>
      <c r="U122" s="1" t="s">
        <v>51</v>
      </c>
      <c r="V122" s="1" t="s">
        <v>52</v>
      </c>
      <c r="W122" s="1" t="s">
        <v>53</v>
      </c>
      <c r="X122" s="1" t="s">
        <v>54</v>
      </c>
      <c r="Y122" s="1" t="s">
        <v>55</v>
      </c>
      <c r="Z122" s="1" t="s">
        <v>82</v>
      </c>
      <c r="AA122" s="1" t="s">
        <v>36</v>
      </c>
      <c r="AB122" s="1" t="s">
        <v>54</v>
      </c>
      <c r="AC122" s="1" t="s">
        <v>57</v>
      </c>
      <c r="AD122" s="1" t="s">
        <v>58</v>
      </c>
      <c r="AE122" s="1" t="s">
        <v>42</v>
      </c>
      <c r="AF122" s="1" t="s">
        <v>54</v>
      </c>
      <c r="AG122" s="1" t="s">
        <v>75</v>
      </c>
      <c r="AH122" s="1" t="s">
        <v>120</v>
      </c>
    </row>
    <row r="123" spans="1:34" x14ac:dyDescent="0.3">
      <c r="A123" s="1" t="s">
        <v>54</v>
      </c>
      <c r="B123" s="1" t="s">
        <v>61</v>
      </c>
      <c r="C123" s="1" t="s">
        <v>62</v>
      </c>
      <c r="D123" s="1" t="s">
        <v>63</v>
      </c>
      <c r="E123" s="1" t="s">
        <v>64</v>
      </c>
      <c r="F123" s="1" t="s">
        <v>65</v>
      </c>
      <c r="G123" s="1" t="s">
        <v>66</v>
      </c>
      <c r="H123" s="1" t="s">
        <v>61</v>
      </c>
      <c r="I123" s="1" t="s">
        <v>61</v>
      </c>
      <c r="J123" s="1" t="s">
        <v>65</v>
      </c>
      <c r="K123" s="1" t="s">
        <v>67</v>
      </c>
      <c r="L123" s="1" t="s">
        <v>66</v>
      </c>
      <c r="M123" s="1" t="s">
        <v>68</v>
      </c>
      <c r="N123" s="1" t="s">
        <v>63</v>
      </c>
      <c r="O123" s="1" t="s">
        <v>63</v>
      </c>
      <c r="P123" s="1" t="s">
        <v>69</v>
      </c>
      <c r="Q123" s="1" t="s">
        <v>70</v>
      </c>
      <c r="R123" s="1" t="s">
        <v>71</v>
      </c>
      <c r="S123" s="1" t="s">
        <v>63</v>
      </c>
      <c r="T123" s="1" t="s">
        <v>69</v>
      </c>
      <c r="U123" s="1" t="s">
        <v>69</v>
      </c>
      <c r="V123" s="1" t="s">
        <v>63</v>
      </c>
      <c r="W123" s="1" t="s">
        <v>68</v>
      </c>
      <c r="X123" s="1" t="s">
        <v>72</v>
      </c>
      <c r="Y123" s="1" t="s">
        <v>72</v>
      </c>
      <c r="Z123" s="1" t="s">
        <v>62</v>
      </c>
      <c r="AA123" s="1" t="s">
        <v>62</v>
      </c>
      <c r="AB123" s="1" t="s">
        <v>72</v>
      </c>
      <c r="AC123" s="1" t="s">
        <v>73</v>
      </c>
      <c r="AD123" s="1" t="s">
        <v>73</v>
      </c>
      <c r="AE123" s="1" t="s">
        <v>67</v>
      </c>
      <c r="AF123" s="1" t="s">
        <v>72</v>
      </c>
      <c r="AG123" s="1" t="s">
        <v>71</v>
      </c>
      <c r="AH123" s="1" t="s">
        <v>120</v>
      </c>
    </row>
    <row r="124" spans="1:34" x14ac:dyDescent="0.3">
      <c r="A124" s="1" t="s">
        <v>54</v>
      </c>
      <c r="B124" s="1" t="s">
        <v>41</v>
      </c>
      <c r="C124" s="1" t="s">
        <v>76</v>
      </c>
      <c r="D124" s="1" t="s">
        <v>49</v>
      </c>
      <c r="E124" s="1" t="s">
        <v>77</v>
      </c>
      <c r="F124" s="1" t="s">
        <v>86</v>
      </c>
      <c r="G124" s="1" t="s">
        <v>40</v>
      </c>
      <c r="H124" s="1" t="s">
        <v>41</v>
      </c>
      <c r="I124" s="1" t="s">
        <v>94</v>
      </c>
      <c r="J124" s="1" t="s">
        <v>92</v>
      </c>
      <c r="K124" s="1" t="s">
        <v>42</v>
      </c>
      <c r="L124" s="1" t="s">
        <v>79</v>
      </c>
      <c r="M124" s="1" t="s">
        <v>44</v>
      </c>
      <c r="N124" s="1" t="s">
        <v>45</v>
      </c>
      <c r="O124" s="1" t="s">
        <v>45</v>
      </c>
      <c r="P124" s="1" t="s">
        <v>46</v>
      </c>
      <c r="Q124" s="1" t="s">
        <v>93</v>
      </c>
      <c r="R124" s="1" t="s">
        <v>48</v>
      </c>
      <c r="S124" s="1" t="s">
        <v>49</v>
      </c>
      <c r="T124" s="1" t="s">
        <v>50</v>
      </c>
      <c r="U124" s="1" t="s">
        <v>51</v>
      </c>
      <c r="V124" s="1" t="s">
        <v>52</v>
      </c>
      <c r="W124" s="1" t="s">
        <v>53</v>
      </c>
      <c r="X124" s="1" t="s">
        <v>91</v>
      </c>
      <c r="Y124" s="1" t="s">
        <v>55</v>
      </c>
      <c r="Z124" s="1" t="s">
        <v>82</v>
      </c>
      <c r="AA124" s="1" t="s">
        <v>36</v>
      </c>
      <c r="AB124" s="1" t="s">
        <v>54</v>
      </c>
      <c r="AC124" s="1" t="s">
        <v>57</v>
      </c>
      <c r="AD124" s="1" t="s">
        <v>58</v>
      </c>
      <c r="AE124" s="1" t="s">
        <v>42</v>
      </c>
      <c r="AF124" s="1" t="s">
        <v>54</v>
      </c>
      <c r="AG124" s="1" t="s">
        <v>75</v>
      </c>
      <c r="AH124" s="1" t="s">
        <v>120</v>
      </c>
    </row>
    <row r="125" spans="1:34" x14ac:dyDescent="0.3">
      <c r="A125" s="1" t="s">
        <v>54</v>
      </c>
      <c r="B125" s="1" t="s">
        <v>35</v>
      </c>
      <c r="C125" s="1" t="s">
        <v>36</v>
      </c>
      <c r="D125" s="1" t="s">
        <v>37</v>
      </c>
      <c r="E125" s="1" t="s">
        <v>38</v>
      </c>
      <c r="F125" s="1" t="s">
        <v>39</v>
      </c>
      <c r="G125" s="1" t="s">
        <v>40</v>
      </c>
      <c r="H125" s="1" t="s">
        <v>35</v>
      </c>
      <c r="I125" s="1" t="s">
        <v>41</v>
      </c>
      <c r="J125" s="1" t="s">
        <v>39</v>
      </c>
      <c r="K125" s="1" t="s">
        <v>42</v>
      </c>
      <c r="L125" s="1" t="s">
        <v>43</v>
      </c>
      <c r="M125" s="1" t="s">
        <v>44</v>
      </c>
      <c r="N125" s="1" t="s">
        <v>45</v>
      </c>
      <c r="O125" s="1" t="s">
        <v>45</v>
      </c>
      <c r="P125" s="1" t="s">
        <v>46</v>
      </c>
      <c r="Q125" s="1" t="s">
        <v>47</v>
      </c>
      <c r="R125" s="1" t="s">
        <v>48</v>
      </c>
      <c r="S125" s="1" t="s">
        <v>49</v>
      </c>
      <c r="T125" s="1" t="s">
        <v>50</v>
      </c>
      <c r="U125" s="1" t="s">
        <v>51</v>
      </c>
      <c r="V125" s="1" t="s">
        <v>52</v>
      </c>
      <c r="W125" s="1" t="s">
        <v>53</v>
      </c>
      <c r="X125" s="1" t="s">
        <v>54</v>
      </c>
      <c r="Y125" s="1" t="s">
        <v>55</v>
      </c>
      <c r="Z125" s="1" t="s">
        <v>56</v>
      </c>
      <c r="AA125" s="1" t="s">
        <v>36</v>
      </c>
      <c r="AB125" s="1" t="s">
        <v>54</v>
      </c>
      <c r="AC125" s="1" t="s">
        <v>57</v>
      </c>
      <c r="AD125" s="1" t="s">
        <v>58</v>
      </c>
      <c r="AE125" s="1" t="s">
        <v>59</v>
      </c>
      <c r="AF125" s="1" t="s">
        <v>54</v>
      </c>
      <c r="AG125" s="1" t="s">
        <v>75</v>
      </c>
      <c r="AH125" s="1" t="s">
        <v>120</v>
      </c>
    </row>
    <row r="126" spans="1:34" x14ac:dyDescent="0.3">
      <c r="A126" s="1" t="s">
        <v>91</v>
      </c>
      <c r="B126" s="1" t="s">
        <v>35</v>
      </c>
      <c r="C126" s="1" t="s">
        <v>36</v>
      </c>
      <c r="D126" s="1" t="s">
        <v>37</v>
      </c>
      <c r="E126" s="1" t="s">
        <v>77</v>
      </c>
      <c r="F126" s="1" t="s">
        <v>39</v>
      </c>
      <c r="G126" s="1" t="s">
        <v>40</v>
      </c>
      <c r="H126" s="1" t="s">
        <v>41</v>
      </c>
      <c r="I126" s="1" t="s">
        <v>35</v>
      </c>
      <c r="J126" s="1" t="s">
        <v>39</v>
      </c>
      <c r="K126" s="1" t="s">
        <v>42</v>
      </c>
      <c r="L126" s="1" t="s">
        <v>88</v>
      </c>
      <c r="M126" s="1" t="s">
        <v>44</v>
      </c>
      <c r="N126" s="1" t="s">
        <v>45</v>
      </c>
      <c r="O126" s="1" t="s">
        <v>45</v>
      </c>
      <c r="P126" s="1" t="s">
        <v>46</v>
      </c>
      <c r="Q126" s="1" t="s">
        <v>47</v>
      </c>
      <c r="R126" s="1" t="s">
        <v>48</v>
      </c>
      <c r="S126" s="1" t="s">
        <v>49</v>
      </c>
      <c r="T126" s="1" t="s">
        <v>50</v>
      </c>
      <c r="U126" s="1" t="s">
        <v>51</v>
      </c>
      <c r="V126" s="1" t="s">
        <v>52</v>
      </c>
      <c r="W126" s="1" t="s">
        <v>53</v>
      </c>
      <c r="X126" s="1" t="s">
        <v>54</v>
      </c>
      <c r="Y126" s="1" t="s">
        <v>55</v>
      </c>
      <c r="Z126" s="1" t="s">
        <v>56</v>
      </c>
      <c r="AA126" s="1" t="s">
        <v>36</v>
      </c>
      <c r="AB126" s="1" t="s">
        <v>54</v>
      </c>
      <c r="AC126" s="1" t="s">
        <v>57</v>
      </c>
      <c r="AD126" s="1" t="s">
        <v>58</v>
      </c>
      <c r="AE126" s="1" t="s">
        <v>59</v>
      </c>
      <c r="AF126" s="1" t="s">
        <v>54</v>
      </c>
      <c r="AG126" s="1" t="s">
        <v>75</v>
      </c>
      <c r="AH126" s="1" t="s">
        <v>120</v>
      </c>
    </row>
    <row r="127" spans="1:34" x14ac:dyDescent="0.3">
      <c r="A127" s="1" t="s">
        <v>91</v>
      </c>
      <c r="B127" s="1" t="s">
        <v>35</v>
      </c>
      <c r="C127" s="1" t="s">
        <v>36</v>
      </c>
      <c r="D127" s="1" t="s">
        <v>37</v>
      </c>
      <c r="E127" s="1" t="s">
        <v>77</v>
      </c>
      <c r="F127" s="1" t="s">
        <v>39</v>
      </c>
      <c r="G127" s="1" t="s">
        <v>40</v>
      </c>
      <c r="H127" s="1" t="s">
        <v>35</v>
      </c>
      <c r="I127" s="1" t="s">
        <v>35</v>
      </c>
      <c r="J127" s="1" t="s">
        <v>39</v>
      </c>
      <c r="K127" s="1" t="s">
        <v>42</v>
      </c>
      <c r="L127" s="1" t="s">
        <v>43</v>
      </c>
      <c r="M127" s="1" t="s">
        <v>44</v>
      </c>
      <c r="N127" s="1" t="s">
        <v>45</v>
      </c>
      <c r="O127" s="1" t="s">
        <v>45</v>
      </c>
      <c r="P127" s="1" t="s">
        <v>46</v>
      </c>
      <c r="Q127" s="1" t="s">
        <v>47</v>
      </c>
      <c r="R127" s="1" t="s">
        <v>80</v>
      </c>
      <c r="S127" s="1" t="s">
        <v>49</v>
      </c>
      <c r="T127" s="1" t="s">
        <v>50</v>
      </c>
      <c r="U127" s="1" t="s">
        <v>51</v>
      </c>
      <c r="V127" s="1" t="s">
        <v>52</v>
      </c>
      <c r="W127" s="1" t="s">
        <v>53</v>
      </c>
      <c r="X127" s="1" t="s">
        <v>54</v>
      </c>
      <c r="Y127" s="1" t="s">
        <v>55</v>
      </c>
      <c r="Z127" s="1" t="s">
        <v>56</v>
      </c>
      <c r="AA127" s="1" t="s">
        <v>36</v>
      </c>
      <c r="AB127" s="1" t="s">
        <v>54</v>
      </c>
      <c r="AC127" s="1" t="s">
        <v>57</v>
      </c>
      <c r="AD127" s="1" t="s">
        <v>58</v>
      </c>
      <c r="AE127" s="1" t="s">
        <v>59</v>
      </c>
      <c r="AF127" s="1" t="s">
        <v>54</v>
      </c>
      <c r="AG127" s="1" t="s">
        <v>60</v>
      </c>
      <c r="AH127" s="1" t="s">
        <v>120</v>
      </c>
    </row>
    <row r="128" spans="1:34" x14ac:dyDescent="0.3">
      <c r="A128" s="1" t="s">
        <v>74</v>
      </c>
      <c r="B128" s="1" t="s">
        <v>35</v>
      </c>
      <c r="C128" s="1" t="s">
        <v>36</v>
      </c>
      <c r="D128" s="1" t="s">
        <v>37</v>
      </c>
      <c r="E128" s="1" t="s">
        <v>77</v>
      </c>
      <c r="F128" s="1" t="s">
        <v>39</v>
      </c>
      <c r="G128" s="1" t="s">
        <v>40</v>
      </c>
      <c r="H128" s="1" t="s">
        <v>35</v>
      </c>
      <c r="I128" s="1" t="s">
        <v>35</v>
      </c>
      <c r="J128" s="1" t="s">
        <v>39</v>
      </c>
      <c r="K128" s="1" t="s">
        <v>42</v>
      </c>
      <c r="L128" s="1" t="s">
        <v>43</v>
      </c>
      <c r="M128" s="1" t="s">
        <v>44</v>
      </c>
      <c r="N128" s="1" t="s">
        <v>45</v>
      </c>
      <c r="O128" s="1" t="s">
        <v>45</v>
      </c>
      <c r="P128" s="1" t="s">
        <v>46</v>
      </c>
      <c r="Q128" s="1" t="s">
        <v>47</v>
      </c>
      <c r="R128" s="1" t="s">
        <v>48</v>
      </c>
      <c r="S128" s="1" t="s">
        <v>49</v>
      </c>
      <c r="T128" s="1" t="s">
        <v>50</v>
      </c>
      <c r="U128" s="1" t="s">
        <v>51</v>
      </c>
      <c r="V128" s="1" t="s">
        <v>52</v>
      </c>
      <c r="W128" s="1" t="s">
        <v>53</v>
      </c>
      <c r="X128" s="1" t="s">
        <v>54</v>
      </c>
      <c r="Y128" s="1" t="s">
        <v>55</v>
      </c>
      <c r="Z128" s="1" t="s">
        <v>82</v>
      </c>
      <c r="AA128" s="1" t="s">
        <v>36</v>
      </c>
      <c r="AB128" s="1" t="s">
        <v>54</v>
      </c>
      <c r="AC128" s="1" t="s">
        <v>57</v>
      </c>
      <c r="AD128" s="1" t="s">
        <v>58</v>
      </c>
      <c r="AE128" s="1" t="s">
        <v>59</v>
      </c>
      <c r="AF128" s="1" t="s">
        <v>54</v>
      </c>
      <c r="AG128" s="1" t="s">
        <v>75</v>
      </c>
      <c r="AH128" s="1" t="s">
        <v>120</v>
      </c>
    </row>
    <row r="129" spans="1:34" x14ac:dyDescent="0.3">
      <c r="A129" s="1" t="s">
        <v>99</v>
      </c>
      <c r="B129" s="1" t="s">
        <v>41</v>
      </c>
      <c r="C129" s="1" t="s">
        <v>76</v>
      </c>
      <c r="D129" s="1" t="s">
        <v>49</v>
      </c>
      <c r="E129" s="1" t="s">
        <v>77</v>
      </c>
      <c r="F129" s="1" t="s">
        <v>39</v>
      </c>
      <c r="G129" s="1" t="s">
        <v>40</v>
      </c>
      <c r="H129" s="1" t="s">
        <v>35</v>
      </c>
      <c r="I129" s="1" t="s">
        <v>94</v>
      </c>
      <c r="J129" s="1" t="s">
        <v>39</v>
      </c>
      <c r="K129" s="1" t="s">
        <v>42</v>
      </c>
      <c r="L129" s="1" t="s">
        <v>43</v>
      </c>
      <c r="M129" s="1" t="s">
        <v>44</v>
      </c>
      <c r="N129" s="1" t="s">
        <v>45</v>
      </c>
      <c r="O129" s="1" t="s">
        <v>45</v>
      </c>
      <c r="P129" s="1" t="s">
        <v>46</v>
      </c>
      <c r="Q129" s="1" t="s">
        <v>47</v>
      </c>
      <c r="R129" s="1" t="s">
        <v>48</v>
      </c>
      <c r="S129" s="1" t="s">
        <v>49</v>
      </c>
      <c r="T129" s="1" t="s">
        <v>50</v>
      </c>
      <c r="U129" s="1" t="s">
        <v>51</v>
      </c>
      <c r="V129" s="1" t="s">
        <v>52</v>
      </c>
      <c r="W129" s="1" t="s">
        <v>53</v>
      </c>
      <c r="X129" s="1" t="s">
        <v>54</v>
      </c>
      <c r="Y129" s="1" t="s">
        <v>55</v>
      </c>
      <c r="Z129" s="1" t="s">
        <v>56</v>
      </c>
      <c r="AA129" s="1" t="s">
        <v>36</v>
      </c>
      <c r="AB129" s="1" t="s">
        <v>54</v>
      </c>
      <c r="AC129" s="1" t="s">
        <v>57</v>
      </c>
      <c r="AD129" s="1" t="s">
        <v>58</v>
      </c>
      <c r="AE129" s="1" t="s">
        <v>42</v>
      </c>
      <c r="AF129" s="1" t="s">
        <v>54</v>
      </c>
      <c r="AG129" s="1" t="s">
        <v>60</v>
      </c>
      <c r="AH129" s="1" t="s">
        <v>120</v>
      </c>
    </row>
    <row r="130" spans="1:34" x14ac:dyDescent="0.3">
      <c r="A130" s="1" t="s">
        <v>99</v>
      </c>
      <c r="B130" s="1" t="s">
        <v>61</v>
      </c>
      <c r="C130" s="1" t="s">
        <v>62</v>
      </c>
      <c r="D130" s="1" t="s">
        <v>63</v>
      </c>
      <c r="E130" s="1" t="s">
        <v>64</v>
      </c>
      <c r="F130" s="1" t="s">
        <v>65</v>
      </c>
      <c r="G130" s="1" t="s">
        <v>66</v>
      </c>
      <c r="H130" s="1" t="s">
        <v>61</v>
      </c>
      <c r="I130" s="1" t="s">
        <v>61</v>
      </c>
      <c r="J130" s="1" t="s">
        <v>65</v>
      </c>
      <c r="K130" s="1" t="s">
        <v>67</v>
      </c>
      <c r="L130" s="1" t="s">
        <v>66</v>
      </c>
      <c r="M130" s="1" t="s">
        <v>68</v>
      </c>
      <c r="N130" s="1" t="s">
        <v>63</v>
      </c>
      <c r="O130" s="1" t="s">
        <v>63</v>
      </c>
      <c r="P130" s="1" t="s">
        <v>69</v>
      </c>
      <c r="Q130" s="1" t="s">
        <v>70</v>
      </c>
      <c r="R130" s="1" t="s">
        <v>71</v>
      </c>
      <c r="S130" s="1" t="s">
        <v>63</v>
      </c>
      <c r="T130" s="1" t="s">
        <v>69</v>
      </c>
      <c r="U130" s="1" t="s">
        <v>69</v>
      </c>
      <c r="V130" s="1" t="s">
        <v>63</v>
      </c>
      <c r="W130" s="1" t="s">
        <v>68</v>
      </c>
      <c r="X130" s="1" t="s">
        <v>72</v>
      </c>
      <c r="Y130" s="1" t="s">
        <v>72</v>
      </c>
      <c r="Z130" s="1" t="s">
        <v>62</v>
      </c>
      <c r="AA130" s="1" t="s">
        <v>62</v>
      </c>
      <c r="AB130" s="1" t="s">
        <v>72</v>
      </c>
      <c r="AC130" s="1" t="s">
        <v>73</v>
      </c>
      <c r="AD130" s="1" t="s">
        <v>73</v>
      </c>
      <c r="AE130" s="1" t="s">
        <v>67</v>
      </c>
      <c r="AF130" s="1" t="s">
        <v>72</v>
      </c>
      <c r="AG130" s="1" t="s">
        <v>71</v>
      </c>
      <c r="AH130" s="1" t="s">
        <v>120</v>
      </c>
    </row>
    <row r="131" spans="1:34" x14ac:dyDescent="0.3">
      <c r="A131" s="1" t="s">
        <v>99</v>
      </c>
      <c r="B131" s="1" t="s">
        <v>35</v>
      </c>
      <c r="C131" s="1" t="s">
        <v>36</v>
      </c>
      <c r="D131" s="1" t="s">
        <v>37</v>
      </c>
      <c r="E131" s="1" t="s">
        <v>77</v>
      </c>
      <c r="F131" s="1" t="s">
        <v>39</v>
      </c>
      <c r="G131" s="1" t="s">
        <v>40</v>
      </c>
      <c r="H131" s="1" t="s">
        <v>35</v>
      </c>
      <c r="I131" s="1" t="s">
        <v>35</v>
      </c>
      <c r="J131" s="1" t="s">
        <v>39</v>
      </c>
      <c r="K131" s="1" t="s">
        <v>42</v>
      </c>
      <c r="L131" s="1" t="s">
        <v>43</v>
      </c>
      <c r="M131" s="1" t="s">
        <v>44</v>
      </c>
      <c r="N131" s="1" t="s">
        <v>45</v>
      </c>
      <c r="O131" s="1" t="s">
        <v>45</v>
      </c>
      <c r="P131" s="1" t="s">
        <v>46</v>
      </c>
      <c r="Q131" s="1" t="s">
        <v>47</v>
      </c>
      <c r="R131" s="1" t="s">
        <v>48</v>
      </c>
      <c r="S131" s="1" t="s">
        <v>49</v>
      </c>
      <c r="T131" s="1" t="s">
        <v>50</v>
      </c>
      <c r="U131" s="1" t="s">
        <v>51</v>
      </c>
      <c r="V131" s="1" t="s">
        <v>52</v>
      </c>
      <c r="W131" s="1" t="s">
        <v>53</v>
      </c>
      <c r="X131" s="1" t="s">
        <v>54</v>
      </c>
      <c r="Y131" s="1" t="s">
        <v>74</v>
      </c>
      <c r="Z131" s="1" t="s">
        <v>56</v>
      </c>
      <c r="AA131" s="1" t="s">
        <v>36</v>
      </c>
      <c r="AB131" s="1" t="s">
        <v>54</v>
      </c>
      <c r="AC131" s="1" t="s">
        <v>57</v>
      </c>
      <c r="AD131" s="1" t="s">
        <v>58</v>
      </c>
      <c r="AE131" s="1" t="s">
        <v>59</v>
      </c>
      <c r="AF131" s="1" t="s">
        <v>54</v>
      </c>
      <c r="AG131" s="1" t="s">
        <v>75</v>
      </c>
      <c r="AH131" s="1" t="s">
        <v>120</v>
      </c>
    </row>
    <row r="132" spans="1:34" x14ac:dyDescent="0.3">
      <c r="A132" s="1" t="s">
        <v>74</v>
      </c>
      <c r="B132" s="1" t="s">
        <v>41</v>
      </c>
      <c r="C132" s="1" t="s">
        <v>76</v>
      </c>
      <c r="D132" s="1" t="s">
        <v>37</v>
      </c>
      <c r="E132" s="1" t="s">
        <v>77</v>
      </c>
      <c r="F132" s="1" t="s">
        <v>39</v>
      </c>
      <c r="G132" s="1" t="s">
        <v>40</v>
      </c>
      <c r="H132" s="1" t="s">
        <v>35</v>
      </c>
      <c r="I132" s="1" t="s">
        <v>41</v>
      </c>
      <c r="J132" s="1" t="s">
        <v>86</v>
      </c>
      <c r="K132" s="1" t="s">
        <v>42</v>
      </c>
      <c r="L132" s="1" t="s">
        <v>43</v>
      </c>
      <c r="M132" s="1" t="s">
        <v>106</v>
      </c>
      <c r="N132" s="1" t="s">
        <v>45</v>
      </c>
      <c r="O132" s="1" t="s">
        <v>45</v>
      </c>
      <c r="P132" s="1" t="s">
        <v>46</v>
      </c>
      <c r="Q132" s="1" t="s">
        <v>47</v>
      </c>
      <c r="R132" s="1" t="s">
        <v>80</v>
      </c>
      <c r="S132" s="1" t="s">
        <v>49</v>
      </c>
      <c r="T132" s="1" t="s">
        <v>50</v>
      </c>
      <c r="U132" s="1" t="s">
        <v>51</v>
      </c>
      <c r="V132" s="1" t="s">
        <v>52</v>
      </c>
      <c r="W132" s="1" t="s">
        <v>53</v>
      </c>
      <c r="X132" s="1" t="s">
        <v>54</v>
      </c>
      <c r="Y132" s="1" t="s">
        <v>55</v>
      </c>
      <c r="Z132" s="1" t="s">
        <v>82</v>
      </c>
      <c r="AA132" s="1" t="s">
        <v>36</v>
      </c>
      <c r="AB132" s="1" t="s">
        <v>54</v>
      </c>
      <c r="AC132" s="1" t="s">
        <v>57</v>
      </c>
      <c r="AD132" s="1" t="s">
        <v>58</v>
      </c>
      <c r="AE132" s="1" t="s">
        <v>42</v>
      </c>
      <c r="AF132" s="1" t="s">
        <v>54</v>
      </c>
      <c r="AG132" s="1" t="s">
        <v>60</v>
      </c>
      <c r="AH132" s="1" t="s">
        <v>120</v>
      </c>
    </row>
    <row r="133" spans="1:34" x14ac:dyDescent="0.3">
      <c r="A133" s="1" t="s">
        <v>99</v>
      </c>
      <c r="B133" s="1" t="s">
        <v>61</v>
      </c>
      <c r="C133" s="1" t="s">
        <v>62</v>
      </c>
      <c r="D133" s="1" t="s">
        <v>63</v>
      </c>
      <c r="E133" s="1" t="s">
        <v>64</v>
      </c>
      <c r="F133" s="1" t="s">
        <v>65</v>
      </c>
      <c r="G133" s="1" t="s">
        <v>66</v>
      </c>
      <c r="H133" s="1" t="s">
        <v>61</v>
      </c>
      <c r="I133" s="1" t="s">
        <v>61</v>
      </c>
      <c r="J133" s="1" t="s">
        <v>65</v>
      </c>
      <c r="K133" s="1" t="s">
        <v>67</v>
      </c>
      <c r="L133" s="1" t="s">
        <v>66</v>
      </c>
      <c r="M133" s="1" t="s">
        <v>68</v>
      </c>
      <c r="N133" s="1" t="s">
        <v>63</v>
      </c>
      <c r="O133" s="1" t="s">
        <v>63</v>
      </c>
      <c r="P133" s="1" t="s">
        <v>69</v>
      </c>
      <c r="Q133" s="1" t="s">
        <v>70</v>
      </c>
      <c r="R133" s="1" t="s">
        <v>71</v>
      </c>
      <c r="S133" s="1" t="s">
        <v>63</v>
      </c>
      <c r="T133" s="1" t="s">
        <v>69</v>
      </c>
      <c r="U133" s="1" t="s">
        <v>69</v>
      </c>
      <c r="V133" s="1" t="s">
        <v>63</v>
      </c>
      <c r="W133" s="1" t="s">
        <v>68</v>
      </c>
      <c r="X133" s="1" t="s">
        <v>72</v>
      </c>
      <c r="Y133" s="1" t="s">
        <v>72</v>
      </c>
      <c r="Z133" s="1" t="s">
        <v>62</v>
      </c>
      <c r="AA133" s="1" t="s">
        <v>62</v>
      </c>
      <c r="AB133" s="1" t="s">
        <v>72</v>
      </c>
      <c r="AC133" s="1" t="s">
        <v>73</v>
      </c>
      <c r="AD133" s="1" t="s">
        <v>73</v>
      </c>
      <c r="AE133" s="1" t="s">
        <v>67</v>
      </c>
      <c r="AF133" s="1" t="s">
        <v>72</v>
      </c>
      <c r="AG133" s="1" t="s">
        <v>71</v>
      </c>
      <c r="AH133" s="1" t="s">
        <v>120</v>
      </c>
    </row>
    <row r="134" spans="1:34" x14ac:dyDescent="0.3">
      <c r="A134" s="1" t="s">
        <v>91</v>
      </c>
      <c r="B134" s="1" t="s">
        <v>41</v>
      </c>
      <c r="C134" s="1" t="s">
        <v>76</v>
      </c>
      <c r="D134" s="1" t="s">
        <v>49</v>
      </c>
      <c r="E134" s="1" t="s">
        <v>77</v>
      </c>
      <c r="F134" s="1" t="s">
        <v>86</v>
      </c>
      <c r="G134" s="1" t="s">
        <v>40</v>
      </c>
      <c r="H134" s="1" t="s">
        <v>41</v>
      </c>
      <c r="I134" s="1" t="s">
        <v>94</v>
      </c>
      <c r="J134" s="1" t="s">
        <v>39</v>
      </c>
      <c r="K134" s="1" t="s">
        <v>42</v>
      </c>
      <c r="L134" s="1" t="s">
        <v>43</v>
      </c>
      <c r="M134" s="1" t="s">
        <v>44</v>
      </c>
      <c r="N134" s="1" t="s">
        <v>45</v>
      </c>
      <c r="O134" s="1" t="s">
        <v>45</v>
      </c>
      <c r="P134" s="1" t="s">
        <v>46</v>
      </c>
      <c r="Q134" s="1" t="s">
        <v>47</v>
      </c>
      <c r="R134" s="1" t="s">
        <v>48</v>
      </c>
      <c r="S134" s="1" t="s">
        <v>49</v>
      </c>
      <c r="T134" s="1" t="s">
        <v>50</v>
      </c>
      <c r="U134" s="1" t="s">
        <v>51</v>
      </c>
      <c r="V134" s="1" t="s">
        <v>52</v>
      </c>
      <c r="W134" s="1" t="s">
        <v>53</v>
      </c>
      <c r="X134" s="1" t="s">
        <v>91</v>
      </c>
      <c r="Y134" s="1" t="s">
        <v>74</v>
      </c>
      <c r="Z134" s="1" t="s">
        <v>56</v>
      </c>
      <c r="AA134" s="1" t="s">
        <v>36</v>
      </c>
      <c r="AB134" s="1" t="s">
        <v>54</v>
      </c>
      <c r="AC134" s="1" t="s">
        <v>57</v>
      </c>
      <c r="AD134" s="1" t="s">
        <v>58</v>
      </c>
      <c r="AE134" s="1" t="s">
        <v>42</v>
      </c>
      <c r="AF134" s="1" t="s">
        <v>54</v>
      </c>
      <c r="AG134" s="1" t="s">
        <v>75</v>
      </c>
      <c r="AH134" s="1" t="s">
        <v>120</v>
      </c>
    </row>
    <row r="135" spans="1:34" x14ac:dyDescent="0.3">
      <c r="A135" s="1" t="s">
        <v>91</v>
      </c>
      <c r="B135" s="1" t="s">
        <v>41</v>
      </c>
      <c r="C135" s="1" t="s">
        <v>76</v>
      </c>
      <c r="D135" s="1" t="s">
        <v>49</v>
      </c>
      <c r="E135" s="1" t="s">
        <v>77</v>
      </c>
      <c r="F135" s="1" t="s">
        <v>86</v>
      </c>
      <c r="G135" s="1" t="s">
        <v>40</v>
      </c>
      <c r="H135" s="1" t="s">
        <v>41</v>
      </c>
      <c r="I135" s="1" t="s">
        <v>35</v>
      </c>
      <c r="J135" s="1" t="s">
        <v>39</v>
      </c>
      <c r="K135" s="1" t="s">
        <v>42</v>
      </c>
      <c r="L135" s="1" t="s">
        <v>43</v>
      </c>
      <c r="M135" s="1" t="s">
        <v>44</v>
      </c>
      <c r="N135" s="1" t="s">
        <v>45</v>
      </c>
      <c r="O135" s="1" t="s">
        <v>45</v>
      </c>
      <c r="P135" s="1" t="s">
        <v>46</v>
      </c>
      <c r="Q135" s="1" t="s">
        <v>47</v>
      </c>
      <c r="R135" s="1" t="s">
        <v>48</v>
      </c>
      <c r="S135" s="1" t="s">
        <v>49</v>
      </c>
      <c r="T135" s="1" t="s">
        <v>50</v>
      </c>
      <c r="U135" s="1" t="s">
        <v>51</v>
      </c>
      <c r="V135" s="1" t="s">
        <v>52</v>
      </c>
      <c r="W135" s="1" t="s">
        <v>53</v>
      </c>
      <c r="X135" s="1" t="s">
        <v>54</v>
      </c>
      <c r="Y135" s="1" t="s">
        <v>74</v>
      </c>
      <c r="Z135" s="1" t="s">
        <v>56</v>
      </c>
      <c r="AA135" s="1" t="s">
        <v>36</v>
      </c>
      <c r="AB135" s="1" t="s">
        <v>54</v>
      </c>
      <c r="AC135" s="1" t="s">
        <v>57</v>
      </c>
      <c r="AD135" s="1" t="s">
        <v>58</v>
      </c>
      <c r="AE135" s="1" t="s">
        <v>42</v>
      </c>
      <c r="AF135" s="1" t="s">
        <v>54</v>
      </c>
      <c r="AG135" s="1" t="s">
        <v>75</v>
      </c>
      <c r="AH135" s="1" t="s">
        <v>120</v>
      </c>
    </row>
    <row r="136" spans="1:34" x14ac:dyDescent="0.3">
      <c r="A136" s="1" t="s">
        <v>85</v>
      </c>
      <c r="B136" s="1" t="s">
        <v>41</v>
      </c>
      <c r="C136" s="1" t="s">
        <v>76</v>
      </c>
      <c r="D136" s="1" t="s">
        <v>83</v>
      </c>
      <c r="E136" s="1" t="s">
        <v>38</v>
      </c>
      <c r="F136" s="1" t="s">
        <v>39</v>
      </c>
      <c r="G136" s="1" t="s">
        <v>40</v>
      </c>
      <c r="H136" s="1" t="s">
        <v>35</v>
      </c>
      <c r="I136" s="1" t="s">
        <v>94</v>
      </c>
      <c r="J136" s="1" t="s">
        <v>39</v>
      </c>
      <c r="K136" s="1" t="s">
        <v>42</v>
      </c>
      <c r="L136" s="1" t="s">
        <v>43</v>
      </c>
      <c r="M136" s="1" t="s">
        <v>44</v>
      </c>
      <c r="N136" s="1" t="s">
        <v>45</v>
      </c>
      <c r="O136" s="1" t="s">
        <v>45</v>
      </c>
      <c r="P136" s="1" t="s">
        <v>46</v>
      </c>
      <c r="Q136" s="1" t="s">
        <v>47</v>
      </c>
      <c r="R136" s="1" t="s">
        <v>48</v>
      </c>
      <c r="S136" s="1" t="s">
        <v>49</v>
      </c>
      <c r="T136" s="1" t="s">
        <v>50</v>
      </c>
      <c r="U136" s="1" t="s">
        <v>51</v>
      </c>
      <c r="V136" s="1" t="s">
        <v>52</v>
      </c>
      <c r="W136" s="1" t="s">
        <v>53</v>
      </c>
      <c r="X136" s="1" t="s">
        <v>54</v>
      </c>
      <c r="Y136" s="1" t="s">
        <v>74</v>
      </c>
      <c r="Z136" s="1" t="s">
        <v>56</v>
      </c>
      <c r="AA136" s="1" t="s">
        <v>36</v>
      </c>
      <c r="AB136" s="1" t="s">
        <v>54</v>
      </c>
      <c r="AC136" s="1" t="s">
        <v>57</v>
      </c>
      <c r="AD136" s="1" t="s">
        <v>58</v>
      </c>
      <c r="AE136" s="1" t="s">
        <v>42</v>
      </c>
      <c r="AF136" s="1" t="s">
        <v>54</v>
      </c>
      <c r="AG136" s="1" t="s">
        <v>60</v>
      </c>
      <c r="AH136" s="1" t="s">
        <v>120</v>
      </c>
    </row>
    <row r="137" spans="1:34" x14ac:dyDescent="0.3">
      <c r="A137" s="1" t="s">
        <v>55</v>
      </c>
      <c r="B137" s="1" t="s">
        <v>35</v>
      </c>
      <c r="C137" s="1" t="s">
        <v>62</v>
      </c>
      <c r="D137" s="1" t="s">
        <v>37</v>
      </c>
      <c r="E137" s="1" t="s">
        <v>77</v>
      </c>
      <c r="F137" s="1" t="s">
        <v>39</v>
      </c>
      <c r="G137" s="1" t="s">
        <v>40</v>
      </c>
      <c r="H137" s="1" t="s">
        <v>35</v>
      </c>
      <c r="I137" s="1" t="s">
        <v>41</v>
      </c>
      <c r="J137" s="1" t="s">
        <v>39</v>
      </c>
      <c r="K137" s="1" t="s">
        <v>42</v>
      </c>
      <c r="L137" s="1" t="s">
        <v>43</v>
      </c>
      <c r="M137" s="1" t="s">
        <v>44</v>
      </c>
      <c r="N137" s="1" t="s">
        <v>45</v>
      </c>
      <c r="O137" s="1" t="s">
        <v>45</v>
      </c>
      <c r="P137" s="1" t="s">
        <v>103</v>
      </c>
      <c r="Q137" s="1" t="s">
        <v>47</v>
      </c>
      <c r="R137" s="1" t="s">
        <v>80</v>
      </c>
      <c r="S137" s="1" t="s">
        <v>49</v>
      </c>
      <c r="T137" s="1" t="s">
        <v>50</v>
      </c>
      <c r="U137" s="1" t="s">
        <v>51</v>
      </c>
      <c r="V137" s="1" t="s">
        <v>52</v>
      </c>
      <c r="W137" s="1" t="s">
        <v>53</v>
      </c>
      <c r="X137" s="1" t="s">
        <v>54</v>
      </c>
      <c r="Y137" s="1" t="s">
        <v>55</v>
      </c>
      <c r="Z137" s="1" t="s">
        <v>82</v>
      </c>
      <c r="AA137" s="1" t="s">
        <v>36</v>
      </c>
      <c r="AB137" s="1" t="s">
        <v>54</v>
      </c>
      <c r="AC137" s="1" t="s">
        <v>57</v>
      </c>
      <c r="AD137" s="1" t="s">
        <v>58</v>
      </c>
      <c r="AE137" s="1" t="s">
        <v>59</v>
      </c>
      <c r="AF137" s="1" t="s">
        <v>54</v>
      </c>
      <c r="AG137" s="1" t="s">
        <v>71</v>
      </c>
      <c r="AH137" s="1" t="s">
        <v>120</v>
      </c>
    </row>
    <row r="138" spans="1:34" x14ac:dyDescent="0.3">
      <c r="A138" s="1" t="s">
        <v>99</v>
      </c>
      <c r="B138" s="1" t="s">
        <v>41</v>
      </c>
      <c r="C138" s="1" t="s">
        <v>82</v>
      </c>
      <c r="D138" s="1" t="s">
        <v>37</v>
      </c>
      <c r="E138" s="1" t="s">
        <v>77</v>
      </c>
      <c r="F138" s="1" t="s">
        <v>39</v>
      </c>
      <c r="G138" s="1" t="s">
        <v>40</v>
      </c>
      <c r="H138" s="1" t="s">
        <v>35</v>
      </c>
      <c r="I138" s="1" t="s">
        <v>35</v>
      </c>
      <c r="J138" s="1" t="s">
        <v>92</v>
      </c>
      <c r="K138" s="1" t="s">
        <v>42</v>
      </c>
      <c r="L138" s="1" t="s">
        <v>79</v>
      </c>
      <c r="M138" s="1" t="s">
        <v>44</v>
      </c>
      <c r="N138" s="1" t="s">
        <v>45</v>
      </c>
      <c r="O138" s="1" t="s">
        <v>45</v>
      </c>
      <c r="P138" s="1" t="s">
        <v>46</v>
      </c>
      <c r="Q138" s="1" t="s">
        <v>47</v>
      </c>
      <c r="R138" s="1" t="s">
        <v>48</v>
      </c>
      <c r="S138" s="1" t="s">
        <v>49</v>
      </c>
      <c r="T138" s="1" t="s">
        <v>50</v>
      </c>
      <c r="U138" s="1" t="s">
        <v>51</v>
      </c>
      <c r="V138" s="1" t="s">
        <v>52</v>
      </c>
      <c r="W138" s="1" t="s">
        <v>53</v>
      </c>
      <c r="X138" s="1" t="s">
        <v>54</v>
      </c>
      <c r="Y138" s="1" t="s">
        <v>74</v>
      </c>
      <c r="Z138" s="1" t="s">
        <v>56</v>
      </c>
      <c r="AA138" s="1" t="s">
        <v>36</v>
      </c>
      <c r="AB138" s="1" t="s">
        <v>54</v>
      </c>
      <c r="AC138" s="1" t="s">
        <v>57</v>
      </c>
      <c r="AD138" s="1" t="s">
        <v>58</v>
      </c>
      <c r="AE138" s="1" t="s">
        <v>42</v>
      </c>
      <c r="AF138" s="1" t="s">
        <v>54</v>
      </c>
      <c r="AG138" s="1" t="s">
        <v>75</v>
      </c>
      <c r="AH138" s="1" t="s">
        <v>120</v>
      </c>
    </row>
    <row r="139" spans="1:34" x14ac:dyDescent="0.3">
      <c r="A139" s="1" t="s">
        <v>34</v>
      </c>
      <c r="B139" s="1" t="s">
        <v>41</v>
      </c>
      <c r="C139" s="1" t="s">
        <v>76</v>
      </c>
      <c r="D139" s="1" t="s">
        <v>83</v>
      </c>
      <c r="E139" s="1" t="s">
        <v>38</v>
      </c>
      <c r="F139" s="1" t="s">
        <v>39</v>
      </c>
      <c r="G139" s="1" t="s">
        <v>40</v>
      </c>
      <c r="H139" s="1" t="s">
        <v>35</v>
      </c>
      <c r="I139" s="1" t="s">
        <v>35</v>
      </c>
      <c r="J139" s="1" t="s">
        <v>39</v>
      </c>
      <c r="K139" s="1" t="s">
        <v>42</v>
      </c>
      <c r="L139" s="1" t="s">
        <v>43</v>
      </c>
      <c r="M139" s="1" t="s">
        <v>44</v>
      </c>
      <c r="N139" s="1" t="s">
        <v>45</v>
      </c>
      <c r="O139" s="1" t="s">
        <v>45</v>
      </c>
      <c r="P139" s="1" t="s">
        <v>46</v>
      </c>
      <c r="Q139" s="1" t="s">
        <v>47</v>
      </c>
      <c r="R139" s="1" t="s">
        <v>80</v>
      </c>
      <c r="S139" s="1" t="s">
        <v>49</v>
      </c>
      <c r="T139" s="1" t="s">
        <v>50</v>
      </c>
      <c r="U139" s="1" t="s">
        <v>51</v>
      </c>
      <c r="V139" s="1" t="s">
        <v>52</v>
      </c>
      <c r="W139" s="1" t="s">
        <v>53</v>
      </c>
      <c r="X139" s="1" t="s">
        <v>54</v>
      </c>
      <c r="Y139" s="1" t="s">
        <v>55</v>
      </c>
      <c r="Z139" s="1" t="s">
        <v>56</v>
      </c>
      <c r="AA139" s="1" t="s">
        <v>36</v>
      </c>
      <c r="AB139" s="1" t="s">
        <v>54</v>
      </c>
      <c r="AC139" s="1" t="s">
        <v>57</v>
      </c>
      <c r="AD139" s="1" t="s">
        <v>58</v>
      </c>
      <c r="AE139" s="1" t="s">
        <v>59</v>
      </c>
      <c r="AF139" s="1" t="s">
        <v>54</v>
      </c>
      <c r="AG139" s="1" t="s">
        <v>75</v>
      </c>
      <c r="AH139" s="1" t="s">
        <v>120</v>
      </c>
    </row>
    <row r="140" spans="1:34" x14ac:dyDescent="0.3">
      <c r="A140" s="1" t="s">
        <v>55</v>
      </c>
      <c r="B140" s="1" t="s">
        <v>41</v>
      </c>
      <c r="C140" s="1" t="s">
        <v>76</v>
      </c>
      <c r="D140" s="1" t="s">
        <v>37</v>
      </c>
      <c r="E140" s="1" t="s">
        <v>77</v>
      </c>
      <c r="F140" s="1" t="s">
        <v>39</v>
      </c>
      <c r="G140" s="1" t="s">
        <v>40</v>
      </c>
      <c r="H140" s="1" t="s">
        <v>35</v>
      </c>
      <c r="I140" s="1" t="s">
        <v>35</v>
      </c>
      <c r="J140" s="1" t="s">
        <v>39</v>
      </c>
      <c r="K140" s="1" t="s">
        <v>42</v>
      </c>
      <c r="L140" s="1" t="s">
        <v>43</v>
      </c>
      <c r="M140" s="1" t="s">
        <v>44</v>
      </c>
      <c r="N140" s="1" t="s">
        <v>45</v>
      </c>
      <c r="O140" s="1" t="s">
        <v>45</v>
      </c>
      <c r="P140" s="1" t="s">
        <v>46</v>
      </c>
      <c r="Q140" s="1" t="s">
        <v>47</v>
      </c>
      <c r="R140" s="1" t="s">
        <v>80</v>
      </c>
      <c r="S140" s="1" t="s">
        <v>49</v>
      </c>
      <c r="T140" s="1" t="s">
        <v>50</v>
      </c>
      <c r="U140" s="1" t="s">
        <v>51</v>
      </c>
      <c r="V140" s="1" t="s">
        <v>52</v>
      </c>
      <c r="W140" s="1" t="s">
        <v>53</v>
      </c>
      <c r="X140" s="1" t="s">
        <v>54</v>
      </c>
      <c r="Y140" s="1" t="s">
        <v>74</v>
      </c>
      <c r="Z140" s="1" t="s">
        <v>56</v>
      </c>
      <c r="AA140" s="1" t="s">
        <v>36</v>
      </c>
      <c r="AB140" s="1" t="s">
        <v>54</v>
      </c>
      <c r="AC140" s="1" t="s">
        <v>57</v>
      </c>
      <c r="AD140" s="1" t="s">
        <v>58</v>
      </c>
      <c r="AE140" s="1" t="s">
        <v>42</v>
      </c>
      <c r="AF140" s="1" t="s">
        <v>54</v>
      </c>
      <c r="AG140" s="1" t="s">
        <v>60</v>
      </c>
      <c r="AH140" s="1" t="s">
        <v>120</v>
      </c>
    </row>
    <row r="141" spans="1:34" x14ac:dyDescent="0.3">
      <c r="A141" s="1" t="s">
        <v>91</v>
      </c>
      <c r="B141" s="1" t="s">
        <v>41</v>
      </c>
      <c r="C141" s="1" t="s">
        <v>76</v>
      </c>
      <c r="D141" s="1" t="s">
        <v>49</v>
      </c>
      <c r="E141" s="1" t="s">
        <v>77</v>
      </c>
      <c r="F141" s="1" t="s">
        <v>39</v>
      </c>
      <c r="G141" s="1" t="s">
        <v>40</v>
      </c>
      <c r="H141" s="1" t="s">
        <v>35</v>
      </c>
      <c r="I141" s="1" t="s">
        <v>35</v>
      </c>
      <c r="J141" s="1" t="s">
        <v>39</v>
      </c>
      <c r="K141" s="1" t="s">
        <v>42</v>
      </c>
      <c r="L141" s="1" t="s">
        <v>43</v>
      </c>
      <c r="M141" s="1" t="s">
        <v>44</v>
      </c>
      <c r="N141" s="1" t="s">
        <v>45</v>
      </c>
      <c r="O141" s="1" t="s">
        <v>45</v>
      </c>
      <c r="P141" s="1" t="s">
        <v>46</v>
      </c>
      <c r="Q141" s="1" t="s">
        <v>47</v>
      </c>
      <c r="R141" s="1" t="s">
        <v>48</v>
      </c>
      <c r="S141" s="1" t="s">
        <v>49</v>
      </c>
      <c r="T141" s="1" t="s">
        <v>50</v>
      </c>
      <c r="U141" s="1" t="s">
        <v>51</v>
      </c>
      <c r="V141" s="1" t="s">
        <v>52</v>
      </c>
      <c r="W141" s="1" t="s">
        <v>95</v>
      </c>
      <c r="X141" s="1" t="s">
        <v>54</v>
      </c>
      <c r="Y141" s="1" t="s">
        <v>55</v>
      </c>
      <c r="Z141" s="1" t="s">
        <v>56</v>
      </c>
      <c r="AA141" s="1" t="s">
        <v>36</v>
      </c>
      <c r="AB141" s="1" t="s">
        <v>54</v>
      </c>
      <c r="AC141" s="1" t="s">
        <v>57</v>
      </c>
      <c r="AD141" s="1" t="s">
        <v>58</v>
      </c>
      <c r="AE141" s="1" t="s">
        <v>42</v>
      </c>
      <c r="AF141" s="1" t="s">
        <v>91</v>
      </c>
      <c r="AG141" s="1" t="s">
        <v>75</v>
      </c>
      <c r="AH141" s="1" t="s">
        <v>120</v>
      </c>
    </row>
    <row r="142" spans="1:34" x14ac:dyDescent="0.3">
      <c r="A142" s="1" t="s">
        <v>74</v>
      </c>
      <c r="B142" s="1" t="s">
        <v>41</v>
      </c>
      <c r="C142" s="1" t="s">
        <v>82</v>
      </c>
      <c r="D142" s="1" t="s">
        <v>83</v>
      </c>
      <c r="E142" s="1" t="s">
        <v>38</v>
      </c>
      <c r="F142" s="1" t="s">
        <v>39</v>
      </c>
      <c r="G142" s="1" t="s">
        <v>40</v>
      </c>
      <c r="H142" s="1" t="s">
        <v>35</v>
      </c>
      <c r="I142" s="1" t="s">
        <v>41</v>
      </c>
      <c r="J142" s="1" t="s">
        <v>78</v>
      </c>
      <c r="K142" s="1" t="s">
        <v>42</v>
      </c>
      <c r="L142" s="1" t="s">
        <v>79</v>
      </c>
      <c r="M142" s="1" t="s">
        <v>44</v>
      </c>
      <c r="N142" s="1" t="s">
        <v>49</v>
      </c>
      <c r="O142" s="1" t="s">
        <v>45</v>
      </c>
      <c r="P142" s="1" t="s">
        <v>46</v>
      </c>
      <c r="Q142" s="1" t="s">
        <v>47</v>
      </c>
      <c r="R142" s="1" t="s">
        <v>80</v>
      </c>
      <c r="S142" s="1" t="s">
        <v>49</v>
      </c>
      <c r="T142" s="1" t="s">
        <v>50</v>
      </c>
      <c r="U142" s="1" t="s">
        <v>51</v>
      </c>
      <c r="V142" s="1" t="s">
        <v>52</v>
      </c>
      <c r="W142" s="1" t="s">
        <v>53</v>
      </c>
      <c r="X142" s="1" t="s">
        <v>54</v>
      </c>
      <c r="Y142" s="1" t="s">
        <v>55</v>
      </c>
      <c r="Z142" s="1" t="s">
        <v>82</v>
      </c>
      <c r="AA142" s="1" t="s">
        <v>36</v>
      </c>
      <c r="AB142" s="1" t="s">
        <v>54</v>
      </c>
      <c r="AC142" s="1" t="s">
        <v>57</v>
      </c>
      <c r="AD142" s="1" t="s">
        <v>58</v>
      </c>
      <c r="AE142" s="1" t="s">
        <v>59</v>
      </c>
      <c r="AF142" s="1" t="s">
        <v>54</v>
      </c>
      <c r="AG142" s="1" t="s">
        <v>75</v>
      </c>
      <c r="AH142" s="1" t="s">
        <v>120</v>
      </c>
    </row>
    <row r="143" spans="1:34" x14ac:dyDescent="0.3">
      <c r="A143" s="1" t="s">
        <v>34</v>
      </c>
      <c r="B143" s="1" t="s">
        <v>41</v>
      </c>
      <c r="C143" s="1" t="s">
        <v>82</v>
      </c>
      <c r="D143" s="1" t="s">
        <v>49</v>
      </c>
      <c r="E143" s="1" t="s">
        <v>77</v>
      </c>
      <c r="F143" s="1" t="s">
        <v>39</v>
      </c>
      <c r="G143" s="1" t="s">
        <v>40</v>
      </c>
      <c r="H143" s="1" t="s">
        <v>35</v>
      </c>
      <c r="I143" s="1" t="s">
        <v>35</v>
      </c>
      <c r="J143" s="1" t="s">
        <v>39</v>
      </c>
      <c r="K143" s="1" t="s">
        <v>42</v>
      </c>
      <c r="L143" s="1" t="s">
        <v>43</v>
      </c>
      <c r="M143" s="1" t="s">
        <v>44</v>
      </c>
      <c r="N143" s="1" t="s">
        <v>45</v>
      </c>
      <c r="O143" s="1" t="s">
        <v>45</v>
      </c>
      <c r="P143" s="1" t="s">
        <v>46</v>
      </c>
      <c r="Q143" s="1" t="s">
        <v>47</v>
      </c>
      <c r="R143" s="1" t="s">
        <v>80</v>
      </c>
      <c r="S143" s="1" t="s">
        <v>49</v>
      </c>
      <c r="T143" s="1" t="s">
        <v>50</v>
      </c>
      <c r="U143" s="1" t="s">
        <v>51</v>
      </c>
      <c r="V143" s="1" t="s">
        <v>52</v>
      </c>
      <c r="W143" s="1" t="s">
        <v>53</v>
      </c>
      <c r="X143" s="1" t="s">
        <v>54</v>
      </c>
      <c r="Y143" s="1" t="s">
        <v>55</v>
      </c>
      <c r="Z143" s="1" t="s">
        <v>56</v>
      </c>
      <c r="AA143" s="1" t="s">
        <v>36</v>
      </c>
      <c r="AB143" s="1" t="s">
        <v>54</v>
      </c>
      <c r="AC143" s="1" t="s">
        <v>57</v>
      </c>
      <c r="AD143" s="1" t="s">
        <v>58</v>
      </c>
      <c r="AE143" s="1" t="s">
        <v>59</v>
      </c>
      <c r="AF143" s="1" t="s">
        <v>54</v>
      </c>
      <c r="AG143" s="1" t="s">
        <v>75</v>
      </c>
      <c r="AH143" s="1" t="s">
        <v>120</v>
      </c>
    </row>
    <row r="144" spans="1:34" x14ac:dyDescent="0.3">
      <c r="A144" s="1" t="s">
        <v>34</v>
      </c>
      <c r="B144" s="1" t="s">
        <v>35</v>
      </c>
      <c r="C144" s="1" t="s">
        <v>36</v>
      </c>
      <c r="D144" s="1" t="s">
        <v>37</v>
      </c>
      <c r="E144" s="1" t="s">
        <v>77</v>
      </c>
      <c r="F144" s="1" t="s">
        <v>39</v>
      </c>
      <c r="G144" s="1" t="s">
        <v>40</v>
      </c>
      <c r="H144" s="1" t="s">
        <v>35</v>
      </c>
      <c r="I144" s="1" t="s">
        <v>35</v>
      </c>
      <c r="J144" s="1" t="s">
        <v>39</v>
      </c>
      <c r="K144" s="1" t="s">
        <v>42</v>
      </c>
      <c r="L144" s="1" t="s">
        <v>43</v>
      </c>
      <c r="M144" s="1" t="s">
        <v>44</v>
      </c>
      <c r="N144" s="1" t="s">
        <v>45</v>
      </c>
      <c r="O144" s="1" t="s">
        <v>45</v>
      </c>
      <c r="P144" s="1" t="s">
        <v>46</v>
      </c>
      <c r="Q144" s="1" t="s">
        <v>47</v>
      </c>
      <c r="R144" s="1" t="s">
        <v>48</v>
      </c>
      <c r="S144" s="1" t="s">
        <v>49</v>
      </c>
      <c r="T144" s="1" t="s">
        <v>50</v>
      </c>
      <c r="U144" s="1" t="s">
        <v>51</v>
      </c>
      <c r="V144" s="1" t="s">
        <v>52</v>
      </c>
      <c r="W144" s="1" t="s">
        <v>53</v>
      </c>
      <c r="X144" s="1" t="s">
        <v>54</v>
      </c>
      <c r="Y144" s="1" t="s">
        <v>74</v>
      </c>
      <c r="Z144" s="1" t="s">
        <v>56</v>
      </c>
      <c r="AA144" s="1" t="s">
        <v>36</v>
      </c>
      <c r="AB144" s="1" t="s">
        <v>54</v>
      </c>
      <c r="AC144" s="1" t="s">
        <v>57</v>
      </c>
      <c r="AD144" s="1" t="s">
        <v>58</v>
      </c>
      <c r="AE144" s="1" t="s">
        <v>42</v>
      </c>
      <c r="AF144" s="1" t="s">
        <v>54</v>
      </c>
      <c r="AG144" s="1" t="s">
        <v>75</v>
      </c>
      <c r="AH144" s="1" t="s">
        <v>120</v>
      </c>
    </row>
    <row r="145" spans="1:34" x14ac:dyDescent="0.3">
      <c r="A145" s="1" t="s">
        <v>91</v>
      </c>
      <c r="B145" s="1" t="s">
        <v>94</v>
      </c>
      <c r="C145" s="1" t="s">
        <v>62</v>
      </c>
      <c r="D145" s="1" t="s">
        <v>107</v>
      </c>
      <c r="E145" s="1" t="s">
        <v>38</v>
      </c>
      <c r="F145" s="1" t="s">
        <v>39</v>
      </c>
      <c r="G145" s="1" t="s">
        <v>40</v>
      </c>
      <c r="H145" s="1" t="s">
        <v>35</v>
      </c>
      <c r="I145" s="1" t="s">
        <v>41</v>
      </c>
      <c r="J145" s="1" t="s">
        <v>78</v>
      </c>
      <c r="K145" s="1" t="s">
        <v>59</v>
      </c>
      <c r="L145" s="1" t="s">
        <v>66</v>
      </c>
      <c r="M145" s="1" t="s">
        <v>44</v>
      </c>
      <c r="N145" s="1" t="s">
        <v>45</v>
      </c>
      <c r="O145" s="1" t="s">
        <v>45</v>
      </c>
      <c r="P145" s="1" t="s">
        <v>103</v>
      </c>
      <c r="Q145" s="1" t="s">
        <v>47</v>
      </c>
      <c r="R145" s="1" t="s">
        <v>80</v>
      </c>
      <c r="S145" s="1" t="s">
        <v>49</v>
      </c>
      <c r="T145" s="1" t="s">
        <v>50</v>
      </c>
      <c r="U145" s="1" t="s">
        <v>51</v>
      </c>
      <c r="V145" s="1" t="s">
        <v>52</v>
      </c>
      <c r="W145" s="1" t="s">
        <v>53</v>
      </c>
      <c r="X145" s="1" t="s">
        <v>54</v>
      </c>
      <c r="Y145" s="1" t="s">
        <v>55</v>
      </c>
      <c r="Z145" s="1" t="s">
        <v>56</v>
      </c>
      <c r="AA145" s="1" t="s">
        <v>36</v>
      </c>
      <c r="AB145" s="1" t="s">
        <v>54</v>
      </c>
      <c r="AC145" s="1" t="s">
        <v>57</v>
      </c>
      <c r="AD145" s="1" t="s">
        <v>58</v>
      </c>
      <c r="AE145" s="1" t="s">
        <v>59</v>
      </c>
      <c r="AF145" s="1" t="s">
        <v>54</v>
      </c>
      <c r="AG145" s="1" t="s">
        <v>71</v>
      </c>
      <c r="AH145" s="1" t="s">
        <v>120</v>
      </c>
    </row>
    <row r="146" spans="1:34" x14ac:dyDescent="0.3">
      <c r="A146" s="1" t="s">
        <v>54</v>
      </c>
      <c r="B146" s="1" t="s">
        <v>41</v>
      </c>
      <c r="C146" s="1" t="s">
        <v>76</v>
      </c>
      <c r="D146" s="1" t="s">
        <v>83</v>
      </c>
      <c r="E146" s="1" t="s">
        <v>38</v>
      </c>
      <c r="F146" s="1" t="s">
        <v>39</v>
      </c>
      <c r="G146" s="1" t="s">
        <v>40</v>
      </c>
      <c r="H146" s="1" t="s">
        <v>35</v>
      </c>
      <c r="I146" s="1" t="s">
        <v>94</v>
      </c>
      <c r="J146" s="1" t="s">
        <v>39</v>
      </c>
      <c r="K146" s="1" t="s">
        <v>42</v>
      </c>
      <c r="L146" s="1" t="s">
        <v>43</v>
      </c>
      <c r="M146" s="1" t="s">
        <v>44</v>
      </c>
      <c r="N146" s="1" t="s">
        <v>45</v>
      </c>
      <c r="O146" s="1" t="s">
        <v>45</v>
      </c>
      <c r="P146" s="1" t="s">
        <v>46</v>
      </c>
      <c r="Q146" s="1" t="s">
        <v>47</v>
      </c>
      <c r="R146" s="1" t="s">
        <v>48</v>
      </c>
      <c r="S146" s="1" t="s">
        <v>49</v>
      </c>
      <c r="T146" s="1" t="s">
        <v>50</v>
      </c>
      <c r="U146" s="1" t="s">
        <v>51</v>
      </c>
      <c r="V146" s="1" t="s">
        <v>52</v>
      </c>
      <c r="W146" s="1" t="s">
        <v>53</v>
      </c>
      <c r="X146" s="1" t="s">
        <v>54</v>
      </c>
      <c r="Y146" s="1" t="s">
        <v>55</v>
      </c>
      <c r="Z146" s="1" t="s">
        <v>56</v>
      </c>
      <c r="AA146" s="1" t="s">
        <v>36</v>
      </c>
      <c r="AB146" s="1" t="s">
        <v>54</v>
      </c>
      <c r="AC146" s="1" t="s">
        <v>57</v>
      </c>
      <c r="AD146" s="1" t="s">
        <v>58</v>
      </c>
      <c r="AE146" s="1" t="s">
        <v>42</v>
      </c>
      <c r="AF146" s="1" t="s">
        <v>54</v>
      </c>
      <c r="AG146" s="1" t="s">
        <v>75</v>
      </c>
      <c r="AH146" s="1" t="s">
        <v>120</v>
      </c>
    </row>
    <row r="147" spans="1:34" x14ac:dyDescent="0.3">
      <c r="A147" s="1" t="s">
        <v>74</v>
      </c>
      <c r="B147" s="1" t="s">
        <v>61</v>
      </c>
      <c r="C147" s="1" t="s">
        <v>62</v>
      </c>
      <c r="D147" s="1" t="s">
        <v>63</v>
      </c>
      <c r="E147" s="1" t="s">
        <v>64</v>
      </c>
      <c r="F147" s="1" t="s">
        <v>65</v>
      </c>
      <c r="G147" s="1" t="s">
        <v>66</v>
      </c>
      <c r="H147" s="1" t="s">
        <v>61</v>
      </c>
      <c r="I147" s="1" t="s">
        <v>61</v>
      </c>
      <c r="J147" s="1" t="s">
        <v>65</v>
      </c>
      <c r="K147" s="1" t="s">
        <v>67</v>
      </c>
      <c r="L147" s="1" t="s">
        <v>66</v>
      </c>
      <c r="M147" s="1" t="s">
        <v>68</v>
      </c>
      <c r="N147" s="1" t="s">
        <v>63</v>
      </c>
      <c r="O147" s="1" t="s">
        <v>63</v>
      </c>
      <c r="P147" s="1" t="s">
        <v>69</v>
      </c>
      <c r="Q147" s="1" t="s">
        <v>70</v>
      </c>
      <c r="R147" s="1" t="s">
        <v>71</v>
      </c>
      <c r="S147" s="1" t="s">
        <v>63</v>
      </c>
      <c r="T147" s="1" t="s">
        <v>69</v>
      </c>
      <c r="U147" s="1" t="s">
        <v>69</v>
      </c>
      <c r="V147" s="1" t="s">
        <v>63</v>
      </c>
      <c r="W147" s="1" t="s">
        <v>68</v>
      </c>
      <c r="X147" s="1" t="s">
        <v>72</v>
      </c>
      <c r="Y147" s="1" t="s">
        <v>72</v>
      </c>
      <c r="Z147" s="1" t="s">
        <v>62</v>
      </c>
      <c r="AA147" s="1" t="s">
        <v>62</v>
      </c>
      <c r="AB147" s="1" t="s">
        <v>72</v>
      </c>
      <c r="AC147" s="1" t="s">
        <v>73</v>
      </c>
      <c r="AD147" s="1" t="s">
        <v>73</v>
      </c>
      <c r="AE147" s="1" t="s">
        <v>67</v>
      </c>
      <c r="AF147" s="1" t="s">
        <v>72</v>
      </c>
      <c r="AG147" s="1" t="s">
        <v>71</v>
      </c>
      <c r="AH147" s="1" t="s">
        <v>120</v>
      </c>
    </row>
    <row r="148" spans="1:34" x14ac:dyDescent="0.3">
      <c r="A148" s="1" t="s">
        <v>54</v>
      </c>
      <c r="B148" s="1" t="s">
        <v>41</v>
      </c>
      <c r="C148" s="1" t="s">
        <v>36</v>
      </c>
      <c r="D148" s="1" t="s">
        <v>83</v>
      </c>
      <c r="E148" s="1" t="s">
        <v>38</v>
      </c>
      <c r="F148" s="1" t="s">
        <v>39</v>
      </c>
      <c r="G148" s="1" t="s">
        <v>40</v>
      </c>
      <c r="H148" s="1" t="s">
        <v>35</v>
      </c>
      <c r="I148" s="1" t="s">
        <v>41</v>
      </c>
      <c r="J148" s="1" t="s">
        <v>78</v>
      </c>
      <c r="K148" s="1" t="s">
        <v>59</v>
      </c>
      <c r="L148" s="1" t="s">
        <v>66</v>
      </c>
      <c r="M148" s="1" t="s">
        <v>44</v>
      </c>
      <c r="N148" s="1" t="s">
        <v>49</v>
      </c>
      <c r="O148" s="1" t="s">
        <v>45</v>
      </c>
      <c r="P148" s="1" t="s">
        <v>103</v>
      </c>
      <c r="Q148" s="1" t="s">
        <v>47</v>
      </c>
      <c r="R148" s="1" t="s">
        <v>80</v>
      </c>
      <c r="S148" s="1" t="s">
        <v>49</v>
      </c>
      <c r="T148" s="1" t="s">
        <v>50</v>
      </c>
      <c r="U148" s="1" t="s">
        <v>51</v>
      </c>
      <c r="V148" s="1" t="s">
        <v>52</v>
      </c>
      <c r="W148" s="1" t="s">
        <v>53</v>
      </c>
      <c r="X148" s="1" t="s">
        <v>54</v>
      </c>
      <c r="Y148" s="1" t="s">
        <v>55</v>
      </c>
      <c r="Z148" s="1" t="s">
        <v>82</v>
      </c>
      <c r="AA148" s="1" t="s">
        <v>36</v>
      </c>
      <c r="AB148" s="1" t="s">
        <v>54</v>
      </c>
      <c r="AC148" s="1" t="s">
        <v>57</v>
      </c>
      <c r="AD148" s="1" t="s">
        <v>58</v>
      </c>
      <c r="AE148" s="1" t="s">
        <v>59</v>
      </c>
      <c r="AF148" s="1" t="s">
        <v>54</v>
      </c>
      <c r="AG148" s="1" t="s">
        <v>71</v>
      </c>
      <c r="AH148" s="1" t="s">
        <v>120</v>
      </c>
    </row>
    <row r="149" spans="1:34" x14ac:dyDescent="0.3">
      <c r="A149" s="1" t="s">
        <v>54</v>
      </c>
      <c r="B149" s="1" t="s">
        <v>87</v>
      </c>
      <c r="C149" s="1" t="s">
        <v>82</v>
      </c>
      <c r="D149" s="1" t="s">
        <v>83</v>
      </c>
      <c r="E149" s="1" t="s">
        <v>38</v>
      </c>
      <c r="F149" s="1" t="s">
        <v>39</v>
      </c>
      <c r="G149" s="1" t="s">
        <v>40</v>
      </c>
      <c r="H149" s="1" t="s">
        <v>35</v>
      </c>
      <c r="I149" s="1" t="s">
        <v>41</v>
      </c>
      <c r="J149" s="1" t="s">
        <v>39</v>
      </c>
      <c r="K149" s="1" t="s">
        <v>42</v>
      </c>
      <c r="L149" s="1" t="s">
        <v>43</v>
      </c>
      <c r="M149" s="1" t="s">
        <v>44</v>
      </c>
      <c r="N149" s="1" t="s">
        <v>45</v>
      </c>
      <c r="O149" s="1" t="s">
        <v>45</v>
      </c>
      <c r="P149" s="1" t="s">
        <v>46</v>
      </c>
      <c r="Q149" s="1" t="s">
        <v>47</v>
      </c>
      <c r="R149" s="1" t="s">
        <v>48</v>
      </c>
      <c r="S149" s="1" t="s">
        <v>49</v>
      </c>
      <c r="T149" s="1" t="s">
        <v>50</v>
      </c>
      <c r="U149" s="1" t="s">
        <v>51</v>
      </c>
      <c r="V149" s="1" t="s">
        <v>52</v>
      </c>
      <c r="W149" s="1" t="s">
        <v>53</v>
      </c>
      <c r="X149" s="1" t="s">
        <v>54</v>
      </c>
      <c r="Y149" s="1" t="s">
        <v>55</v>
      </c>
      <c r="Z149" s="1" t="s">
        <v>56</v>
      </c>
      <c r="AA149" s="1" t="s">
        <v>36</v>
      </c>
      <c r="AB149" s="1" t="s">
        <v>54</v>
      </c>
      <c r="AC149" s="1" t="s">
        <v>57</v>
      </c>
      <c r="AD149" s="1" t="s">
        <v>58</v>
      </c>
      <c r="AE149" s="1" t="s">
        <v>59</v>
      </c>
      <c r="AF149" s="1" t="s">
        <v>54</v>
      </c>
      <c r="AG149" s="1" t="s">
        <v>75</v>
      </c>
      <c r="AH149" s="1" t="s">
        <v>120</v>
      </c>
    </row>
    <row r="150" spans="1:34" x14ac:dyDescent="0.3">
      <c r="A150" s="1" t="s">
        <v>99</v>
      </c>
      <c r="B150" s="1" t="s">
        <v>41</v>
      </c>
      <c r="C150" s="1" t="s">
        <v>76</v>
      </c>
      <c r="D150" s="1" t="s">
        <v>49</v>
      </c>
      <c r="E150" s="1" t="s">
        <v>77</v>
      </c>
      <c r="F150" s="1" t="s">
        <v>39</v>
      </c>
      <c r="G150" s="1" t="s">
        <v>40</v>
      </c>
      <c r="H150" s="1" t="s">
        <v>35</v>
      </c>
      <c r="I150" s="1" t="s">
        <v>35</v>
      </c>
      <c r="J150" s="1" t="s">
        <v>39</v>
      </c>
      <c r="K150" s="1" t="s">
        <v>42</v>
      </c>
      <c r="L150" s="1" t="s">
        <v>79</v>
      </c>
      <c r="M150" s="1" t="s">
        <v>44</v>
      </c>
      <c r="N150" s="1" t="s">
        <v>45</v>
      </c>
      <c r="O150" s="1" t="s">
        <v>45</v>
      </c>
      <c r="P150" s="1" t="s">
        <v>46</v>
      </c>
      <c r="Q150" s="1" t="s">
        <v>47</v>
      </c>
      <c r="R150" s="1" t="s">
        <v>48</v>
      </c>
      <c r="S150" s="1" t="s">
        <v>49</v>
      </c>
      <c r="T150" s="1" t="s">
        <v>50</v>
      </c>
      <c r="U150" s="1" t="s">
        <v>51</v>
      </c>
      <c r="V150" s="1" t="s">
        <v>52</v>
      </c>
      <c r="W150" s="1" t="s">
        <v>53</v>
      </c>
      <c r="X150" s="1" t="s">
        <v>54</v>
      </c>
      <c r="Y150" s="1" t="s">
        <v>55</v>
      </c>
      <c r="Z150" s="1" t="s">
        <v>56</v>
      </c>
      <c r="AA150" s="1" t="s">
        <v>36</v>
      </c>
      <c r="AB150" s="1" t="s">
        <v>54</v>
      </c>
      <c r="AC150" s="1" t="s">
        <v>57</v>
      </c>
      <c r="AD150" s="1" t="s">
        <v>58</v>
      </c>
      <c r="AE150" s="1" t="s">
        <v>42</v>
      </c>
      <c r="AF150" s="1" t="s">
        <v>54</v>
      </c>
      <c r="AG150" s="1" t="s">
        <v>75</v>
      </c>
      <c r="AH150" s="1" t="s">
        <v>120</v>
      </c>
    </row>
    <row r="151" spans="1:34" x14ac:dyDescent="0.3">
      <c r="A151" s="1" t="s">
        <v>34</v>
      </c>
      <c r="B151" s="1" t="s">
        <v>35</v>
      </c>
      <c r="C151" s="1" t="s">
        <v>36</v>
      </c>
      <c r="D151" s="1" t="s">
        <v>37</v>
      </c>
      <c r="E151" s="1" t="s">
        <v>38</v>
      </c>
      <c r="F151" s="1" t="s">
        <v>39</v>
      </c>
      <c r="G151" s="1" t="s">
        <v>40</v>
      </c>
      <c r="H151" s="1" t="s">
        <v>35</v>
      </c>
      <c r="I151" s="1" t="s">
        <v>41</v>
      </c>
      <c r="J151" s="1" t="s">
        <v>92</v>
      </c>
      <c r="K151" s="1" t="s">
        <v>42</v>
      </c>
      <c r="L151" s="1" t="s">
        <v>43</v>
      </c>
      <c r="M151" s="1" t="s">
        <v>44</v>
      </c>
      <c r="N151" s="1" t="s">
        <v>45</v>
      </c>
      <c r="O151" s="1" t="s">
        <v>45</v>
      </c>
      <c r="P151" s="1" t="s">
        <v>50</v>
      </c>
      <c r="Q151" s="1" t="s">
        <v>47</v>
      </c>
      <c r="R151" s="1" t="s">
        <v>80</v>
      </c>
      <c r="S151" s="1" t="s">
        <v>49</v>
      </c>
      <c r="T151" s="1" t="s">
        <v>50</v>
      </c>
      <c r="U151" s="1" t="s">
        <v>51</v>
      </c>
      <c r="V151" s="1" t="s">
        <v>52</v>
      </c>
      <c r="W151" s="1" t="s">
        <v>53</v>
      </c>
      <c r="X151" s="1" t="s">
        <v>54</v>
      </c>
      <c r="Y151" s="1" t="s">
        <v>55</v>
      </c>
      <c r="Z151" s="1" t="s">
        <v>82</v>
      </c>
      <c r="AA151" s="1" t="s">
        <v>36</v>
      </c>
      <c r="AB151" s="1" t="s">
        <v>54</v>
      </c>
      <c r="AC151" s="1" t="s">
        <v>57</v>
      </c>
      <c r="AD151" s="1" t="s">
        <v>58</v>
      </c>
      <c r="AE151" s="1" t="s">
        <v>59</v>
      </c>
      <c r="AF151" s="1" t="s">
        <v>54</v>
      </c>
      <c r="AG151" s="1" t="s">
        <v>75</v>
      </c>
      <c r="AH151" s="1" t="s">
        <v>120</v>
      </c>
    </row>
    <row r="152" spans="1:34" x14ac:dyDescent="0.3">
      <c r="A152" s="1" t="s">
        <v>85</v>
      </c>
      <c r="B152" s="1" t="s">
        <v>41</v>
      </c>
      <c r="C152" s="1" t="s">
        <v>36</v>
      </c>
      <c r="D152" s="1" t="s">
        <v>49</v>
      </c>
      <c r="E152" s="1" t="s">
        <v>77</v>
      </c>
      <c r="F152" s="1" t="s">
        <v>39</v>
      </c>
      <c r="G152" s="1" t="s">
        <v>40</v>
      </c>
      <c r="H152" s="1" t="s">
        <v>41</v>
      </c>
      <c r="I152" s="1" t="s">
        <v>35</v>
      </c>
      <c r="J152" s="1" t="s">
        <v>39</v>
      </c>
      <c r="K152" s="1" t="s">
        <v>42</v>
      </c>
      <c r="L152" s="1" t="s">
        <v>43</v>
      </c>
      <c r="M152" s="1" t="s">
        <v>53</v>
      </c>
      <c r="N152" s="1" t="s">
        <v>45</v>
      </c>
      <c r="O152" s="1" t="s">
        <v>45</v>
      </c>
      <c r="P152" s="1" t="s">
        <v>46</v>
      </c>
      <c r="Q152" s="1" t="s">
        <v>93</v>
      </c>
      <c r="R152" s="1" t="s">
        <v>48</v>
      </c>
      <c r="S152" s="1" t="s">
        <v>49</v>
      </c>
      <c r="T152" s="1" t="s">
        <v>50</v>
      </c>
      <c r="U152" s="1" t="s">
        <v>51</v>
      </c>
      <c r="V152" s="1" t="s">
        <v>52</v>
      </c>
      <c r="W152" s="1" t="s">
        <v>53</v>
      </c>
      <c r="X152" s="1" t="s">
        <v>54</v>
      </c>
      <c r="Y152" s="1" t="s">
        <v>55</v>
      </c>
      <c r="Z152" s="1" t="s">
        <v>56</v>
      </c>
      <c r="AA152" s="1" t="s">
        <v>36</v>
      </c>
      <c r="AB152" s="1" t="s">
        <v>54</v>
      </c>
      <c r="AC152" s="1" t="s">
        <v>57</v>
      </c>
      <c r="AD152" s="1" t="s">
        <v>58</v>
      </c>
      <c r="AE152" s="1" t="s">
        <v>42</v>
      </c>
      <c r="AF152" s="1" t="s">
        <v>54</v>
      </c>
      <c r="AG152" s="1" t="s">
        <v>60</v>
      </c>
      <c r="AH152" s="1" t="s">
        <v>120</v>
      </c>
    </row>
    <row r="153" spans="1:34" x14ac:dyDescent="0.3">
      <c r="A153" s="1" t="s">
        <v>54</v>
      </c>
      <c r="B153" s="1" t="s">
        <v>35</v>
      </c>
      <c r="C153" s="1" t="s">
        <v>36</v>
      </c>
      <c r="D153" s="1" t="s">
        <v>37</v>
      </c>
      <c r="E153" s="1" t="s">
        <v>38</v>
      </c>
      <c r="F153" s="1" t="s">
        <v>39</v>
      </c>
      <c r="G153" s="1" t="s">
        <v>40</v>
      </c>
      <c r="H153" s="1" t="s">
        <v>35</v>
      </c>
      <c r="I153" s="1" t="s">
        <v>35</v>
      </c>
      <c r="J153" s="1" t="s">
        <v>39</v>
      </c>
      <c r="K153" s="1" t="s">
        <v>42</v>
      </c>
      <c r="L153" s="1" t="s">
        <v>43</v>
      </c>
      <c r="M153" s="1" t="s">
        <v>44</v>
      </c>
      <c r="N153" s="1" t="s">
        <v>45</v>
      </c>
      <c r="O153" s="1" t="s">
        <v>45</v>
      </c>
      <c r="P153" s="1" t="s">
        <v>46</v>
      </c>
      <c r="Q153" s="1" t="s">
        <v>47</v>
      </c>
      <c r="R153" s="1" t="s">
        <v>48</v>
      </c>
      <c r="S153" s="1" t="s">
        <v>49</v>
      </c>
      <c r="T153" s="1" t="s">
        <v>50</v>
      </c>
      <c r="U153" s="1" t="s">
        <v>51</v>
      </c>
      <c r="V153" s="1" t="s">
        <v>52</v>
      </c>
      <c r="W153" s="1" t="s">
        <v>53</v>
      </c>
      <c r="X153" s="1" t="s">
        <v>54</v>
      </c>
      <c r="Y153" s="1" t="s">
        <v>55</v>
      </c>
      <c r="Z153" s="1" t="s">
        <v>56</v>
      </c>
      <c r="AA153" s="1" t="s">
        <v>36</v>
      </c>
      <c r="AB153" s="1" t="s">
        <v>54</v>
      </c>
      <c r="AC153" s="1" t="s">
        <v>57</v>
      </c>
      <c r="AD153" s="1" t="s">
        <v>58</v>
      </c>
      <c r="AE153" s="1" t="s">
        <v>59</v>
      </c>
      <c r="AF153" s="1" t="s">
        <v>54</v>
      </c>
      <c r="AG153" s="1" t="s">
        <v>75</v>
      </c>
      <c r="AH153" s="1" t="s">
        <v>120</v>
      </c>
    </row>
    <row r="154" spans="1:34" x14ac:dyDescent="0.3">
      <c r="A154" s="1" t="s">
        <v>99</v>
      </c>
      <c r="B154" s="1" t="s">
        <v>35</v>
      </c>
      <c r="C154" s="1" t="s">
        <v>36</v>
      </c>
      <c r="D154" s="1" t="s">
        <v>83</v>
      </c>
      <c r="E154" s="1" t="s">
        <v>38</v>
      </c>
      <c r="F154" s="1" t="s">
        <v>39</v>
      </c>
      <c r="G154" s="1" t="s">
        <v>40</v>
      </c>
      <c r="H154" s="1" t="s">
        <v>35</v>
      </c>
      <c r="I154" s="1" t="s">
        <v>41</v>
      </c>
      <c r="J154" s="1" t="s">
        <v>39</v>
      </c>
      <c r="K154" s="1" t="s">
        <v>42</v>
      </c>
      <c r="L154" s="1" t="s">
        <v>43</v>
      </c>
      <c r="M154" s="1" t="s">
        <v>44</v>
      </c>
      <c r="N154" s="1" t="s">
        <v>45</v>
      </c>
      <c r="O154" s="1" t="s">
        <v>45</v>
      </c>
      <c r="P154" s="1" t="s">
        <v>46</v>
      </c>
      <c r="Q154" s="1" t="s">
        <v>47</v>
      </c>
      <c r="R154" s="1" t="s">
        <v>48</v>
      </c>
      <c r="S154" s="1" t="s">
        <v>49</v>
      </c>
      <c r="T154" s="1" t="s">
        <v>50</v>
      </c>
      <c r="U154" s="1" t="s">
        <v>51</v>
      </c>
      <c r="V154" s="1" t="s">
        <v>52</v>
      </c>
      <c r="W154" s="1" t="s">
        <v>53</v>
      </c>
      <c r="X154" s="1" t="s">
        <v>54</v>
      </c>
      <c r="Y154" s="1" t="s">
        <v>55</v>
      </c>
      <c r="Z154" s="1" t="s">
        <v>56</v>
      </c>
      <c r="AA154" s="1" t="s">
        <v>36</v>
      </c>
      <c r="AB154" s="1" t="s">
        <v>54</v>
      </c>
      <c r="AC154" s="1" t="s">
        <v>57</v>
      </c>
      <c r="AD154" s="1" t="s">
        <v>58</v>
      </c>
      <c r="AE154" s="1" t="s">
        <v>59</v>
      </c>
      <c r="AF154" s="1" t="s">
        <v>54</v>
      </c>
      <c r="AG154" s="1" t="s">
        <v>75</v>
      </c>
      <c r="AH154" s="1" t="s">
        <v>120</v>
      </c>
    </row>
    <row r="155" spans="1:34" x14ac:dyDescent="0.3">
      <c r="A155" s="1" t="s">
        <v>74</v>
      </c>
      <c r="B155" s="1" t="s">
        <v>41</v>
      </c>
      <c r="C155" s="1" t="s">
        <v>76</v>
      </c>
      <c r="D155" s="1" t="s">
        <v>83</v>
      </c>
      <c r="E155" s="1" t="s">
        <v>38</v>
      </c>
      <c r="F155" s="1" t="s">
        <v>86</v>
      </c>
      <c r="G155" s="1" t="s">
        <v>40</v>
      </c>
      <c r="H155" s="1" t="s">
        <v>41</v>
      </c>
      <c r="I155" s="1" t="s">
        <v>35</v>
      </c>
      <c r="J155" s="1" t="s">
        <v>39</v>
      </c>
      <c r="K155" s="1" t="s">
        <v>42</v>
      </c>
      <c r="L155" s="1" t="s">
        <v>79</v>
      </c>
      <c r="M155" s="1" t="s">
        <v>44</v>
      </c>
      <c r="N155" s="1" t="s">
        <v>45</v>
      </c>
      <c r="O155" s="1" t="s">
        <v>45</v>
      </c>
      <c r="P155" s="1" t="s">
        <v>46</v>
      </c>
      <c r="Q155" s="1" t="s">
        <v>93</v>
      </c>
      <c r="R155" s="1" t="s">
        <v>48</v>
      </c>
      <c r="S155" s="1" t="s">
        <v>49</v>
      </c>
      <c r="T155" s="1" t="s">
        <v>50</v>
      </c>
      <c r="U155" s="1" t="s">
        <v>51</v>
      </c>
      <c r="V155" s="1" t="s">
        <v>52</v>
      </c>
      <c r="W155" s="1" t="s">
        <v>53</v>
      </c>
      <c r="X155" s="1" t="s">
        <v>54</v>
      </c>
      <c r="Y155" s="1" t="s">
        <v>55</v>
      </c>
      <c r="Z155" s="1" t="s">
        <v>82</v>
      </c>
      <c r="AA155" s="1" t="s">
        <v>36</v>
      </c>
      <c r="AB155" s="1" t="s">
        <v>54</v>
      </c>
      <c r="AC155" s="1" t="s">
        <v>57</v>
      </c>
      <c r="AD155" s="1" t="s">
        <v>58</v>
      </c>
      <c r="AE155" s="1" t="s">
        <v>42</v>
      </c>
      <c r="AF155" s="1" t="s">
        <v>54</v>
      </c>
      <c r="AG155" s="1" t="s">
        <v>60</v>
      </c>
      <c r="AH155" s="1" t="s">
        <v>120</v>
      </c>
    </row>
    <row r="156" spans="1:34" x14ac:dyDescent="0.3">
      <c r="A156" s="1" t="s">
        <v>54</v>
      </c>
      <c r="B156" s="1" t="s">
        <v>41</v>
      </c>
      <c r="C156" s="1" t="s">
        <v>76</v>
      </c>
      <c r="D156" s="1" t="s">
        <v>83</v>
      </c>
      <c r="E156" s="1" t="s">
        <v>38</v>
      </c>
      <c r="F156" s="1" t="s">
        <v>39</v>
      </c>
      <c r="G156" s="1" t="s">
        <v>40</v>
      </c>
      <c r="H156" s="1" t="s">
        <v>35</v>
      </c>
      <c r="I156" s="1" t="s">
        <v>41</v>
      </c>
      <c r="J156" s="1" t="s">
        <v>78</v>
      </c>
      <c r="K156" s="1" t="s">
        <v>59</v>
      </c>
      <c r="L156" s="1" t="s">
        <v>66</v>
      </c>
      <c r="M156" s="1" t="s">
        <v>44</v>
      </c>
      <c r="N156" s="1" t="s">
        <v>45</v>
      </c>
      <c r="O156" s="1" t="s">
        <v>45</v>
      </c>
      <c r="P156" s="1" t="s">
        <v>103</v>
      </c>
      <c r="Q156" s="1" t="s">
        <v>47</v>
      </c>
      <c r="R156" s="1" t="s">
        <v>80</v>
      </c>
      <c r="S156" s="1" t="s">
        <v>49</v>
      </c>
      <c r="T156" s="1" t="s">
        <v>50</v>
      </c>
      <c r="U156" s="1" t="s">
        <v>51</v>
      </c>
      <c r="V156" s="1" t="s">
        <v>81</v>
      </c>
      <c r="W156" s="1" t="s">
        <v>53</v>
      </c>
      <c r="X156" s="1" t="s">
        <v>54</v>
      </c>
      <c r="Y156" s="1" t="s">
        <v>55</v>
      </c>
      <c r="Z156" s="1" t="s">
        <v>82</v>
      </c>
      <c r="AA156" s="1" t="s">
        <v>36</v>
      </c>
      <c r="AB156" s="1" t="s">
        <v>54</v>
      </c>
      <c r="AC156" s="1" t="s">
        <v>57</v>
      </c>
      <c r="AD156" s="1" t="s">
        <v>58</v>
      </c>
      <c r="AE156" s="1" t="s">
        <v>59</v>
      </c>
      <c r="AF156" s="1" t="s">
        <v>54</v>
      </c>
      <c r="AG156" s="1" t="s">
        <v>71</v>
      </c>
      <c r="AH156" s="1" t="s">
        <v>120</v>
      </c>
    </row>
    <row r="157" spans="1:34" x14ac:dyDescent="0.3">
      <c r="A157" s="1" t="s">
        <v>74</v>
      </c>
      <c r="B157" s="1" t="s">
        <v>61</v>
      </c>
      <c r="C157" s="1" t="s">
        <v>62</v>
      </c>
      <c r="D157" s="1" t="s">
        <v>63</v>
      </c>
      <c r="E157" s="1" t="s">
        <v>64</v>
      </c>
      <c r="F157" s="1" t="s">
        <v>65</v>
      </c>
      <c r="G157" s="1" t="s">
        <v>66</v>
      </c>
      <c r="H157" s="1" t="s">
        <v>61</v>
      </c>
      <c r="I157" s="1" t="s">
        <v>61</v>
      </c>
      <c r="J157" s="1" t="s">
        <v>65</v>
      </c>
      <c r="K157" s="1" t="s">
        <v>67</v>
      </c>
      <c r="L157" s="1" t="s">
        <v>66</v>
      </c>
      <c r="M157" s="1" t="s">
        <v>68</v>
      </c>
      <c r="N157" s="1" t="s">
        <v>63</v>
      </c>
      <c r="O157" s="1" t="s">
        <v>63</v>
      </c>
      <c r="P157" s="1" t="s">
        <v>69</v>
      </c>
      <c r="Q157" s="1" t="s">
        <v>70</v>
      </c>
      <c r="R157" s="1" t="s">
        <v>71</v>
      </c>
      <c r="S157" s="1" t="s">
        <v>63</v>
      </c>
      <c r="T157" s="1" t="s">
        <v>69</v>
      </c>
      <c r="U157" s="1" t="s">
        <v>69</v>
      </c>
      <c r="V157" s="1" t="s">
        <v>63</v>
      </c>
      <c r="W157" s="1" t="s">
        <v>68</v>
      </c>
      <c r="X157" s="1" t="s">
        <v>72</v>
      </c>
      <c r="Y157" s="1" t="s">
        <v>72</v>
      </c>
      <c r="Z157" s="1" t="s">
        <v>62</v>
      </c>
      <c r="AA157" s="1" t="s">
        <v>62</v>
      </c>
      <c r="AB157" s="1" t="s">
        <v>72</v>
      </c>
      <c r="AC157" s="1" t="s">
        <v>73</v>
      </c>
      <c r="AD157" s="1" t="s">
        <v>73</v>
      </c>
      <c r="AE157" s="1" t="s">
        <v>67</v>
      </c>
      <c r="AF157" s="1" t="s">
        <v>72</v>
      </c>
      <c r="AG157" s="1" t="s">
        <v>71</v>
      </c>
      <c r="AH157" s="1" t="s">
        <v>120</v>
      </c>
    </row>
    <row r="158" spans="1:34" x14ac:dyDescent="0.3">
      <c r="A158" s="1" t="s">
        <v>99</v>
      </c>
      <c r="B158" s="1" t="s">
        <v>41</v>
      </c>
      <c r="C158" s="1" t="s">
        <v>76</v>
      </c>
      <c r="D158" s="1" t="s">
        <v>107</v>
      </c>
      <c r="E158" s="1" t="s">
        <v>38</v>
      </c>
      <c r="F158" s="1" t="s">
        <v>39</v>
      </c>
      <c r="G158" s="1" t="s">
        <v>40</v>
      </c>
      <c r="H158" s="1" t="s">
        <v>35</v>
      </c>
      <c r="I158" s="1" t="s">
        <v>41</v>
      </c>
      <c r="J158" s="1" t="s">
        <v>39</v>
      </c>
      <c r="K158" s="1" t="s">
        <v>42</v>
      </c>
      <c r="L158" s="1" t="s">
        <v>43</v>
      </c>
      <c r="M158" s="1" t="s">
        <v>44</v>
      </c>
      <c r="N158" s="1" t="s">
        <v>45</v>
      </c>
      <c r="O158" s="1" t="s">
        <v>45</v>
      </c>
      <c r="P158" s="1" t="s">
        <v>103</v>
      </c>
      <c r="Q158" s="1" t="s">
        <v>47</v>
      </c>
      <c r="R158" s="1" t="s">
        <v>80</v>
      </c>
      <c r="S158" s="1" t="s">
        <v>49</v>
      </c>
      <c r="T158" s="1" t="s">
        <v>50</v>
      </c>
      <c r="U158" s="1" t="s">
        <v>51</v>
      </c>
      <c r="V158" s="1" t="s">
        <v>52</v>
      </c>
      <c r="W158" s="1" t="s">
        <v>53</v>
      </c>
      <c r="X158" s="1" t="s">
        <v>54</v>
      </c>
      <c r="Y158" s="1" t="s">
        <v>55</v>
      </c>
      <c r="Z158" s="1" t="s">
        <v>82</v>
      </c>
      <c r="AA158" s="1" t="s">
        <v>36</v>
      </c>
      <c r="AB158" s="1" t="s">
        <v>54</v>
      </c>
      <c r="AC158" s="1" t="s">
        <v>57</v>
      </c>
      <c r="AD158" s="1" t="s">
        <v>58</v>
      </c>
      <c r="AE158" s="1" t="s">
        <v>59</v>
      </c>
      <c r="AF158" s="1" t="s">
        <v>54</v>
      </c>
      <c r="AG158" s="1" t="s">
        <v>71</v>
      </c>
      <c r="AH158" s="1" t="s">
        <v>121</v>
      </c>
    </row>
    <row r="159" spans="1:34" x14ac:dyDescent="0.3">
      <c r="A159" s="1" t="s">
        <v>74</v>
      </c>
      <c r="B159" s="1" t="s">
        <v>61</v>
      </c>
      <c r="C159" s="1" t="s">
        <v>62</v>
      </c>
      <c r="D159" s="1" t="s">
        <v>63</v>
      </c>
      <c r="E159" s="1" t="s">
        <v>64</v>
      </c>
      <c r="F159" s="1" t="s">
        <v>65</v>
      </c>
      <c r="G159" s="1" t="s">
        <v>66</v>
      </c>
      <c r="H159" s="1" t="s">
        <v>61</v>
      </c>
      <c r="I159" s="1" t="s">
        <v>61</v>
      </c>
      <c r="J159" s="1" t="s">
        <v>65</v>
      </c>
      <c r="K159" s="1" t="s">
        <v>67</v>
      </c>
      <c r="L159" s="1" t="s">
        <v>66</v>
      </c>
      <c r="M159" s="1" t="s">
        <v>68</v>
      </c>
      <c r="N159" s="1" t="s">
        <v>63</v>
      </c>
      <c r="O159" s="1" t="s">
        <v>63</v>
      </c>
      <c r="P159" s="1" t="s">
        <v>69</v>
      </c>
      <c r="Q159" s="1" t="s">
        <v>70</v>
      </c>
      <c r="R159" s="1" t="s">
        <v>71</v>
      </c>
      <c r="S159" s="1" t="s">
        <v>63</v>
      </c>
      <c r="T159" s="1" t="s">
        <v>69</v>
      </c>
      <c r="U159" s="1" t="s">
        <v>69</v>
      </c>
      <c r="V159" s="1" t="s">
        <v>63</v>
      </c>
      <c r="W159" s="1" t="s">
        <v>68</v>
      </c>
      <c r="X159" s="1" t="s">
        <v>72</v>
      </c>
      <c r="Y159" s="1" t="s">
        <v>72</v>
      </c>
      <c r="Z159" s="1" t="s">
        <v>62</v>
      </c>
      <c r="AA159" s="1" t="s">
        <v>62</v>
      </c>
      <c r="AB159" s="1" t="s">
        <v>72</v>
      </c>
      <c r="AC159" s="1" t="s">
        <v>73</v>
      </c>
      <c r="AD159" s="1" t="s">
        <v>73</v>
      </c>
      <c r="AE159" s="1" t="s">
        <v>67</v>
      </c>
      <c r="AF159" s="1" t="s">
        <v>72</v>
      </c>
      <c r="AG159" s="1" t="s">
        <v>71</v>
      </c>
      <c r="AH159" s="1" t="s">
        <v>120</v>
      </c>
    </row>
    <row r="160" spans="1:34" x14ac:dyDescent="0.3">
      <c r="A160" s="1" t="s">
        <v>91</v>
      </c>
      <c r="B160" s="1" t="s">
        <v>41</v>
      </c>
      <c r="C160" s="1" t="s">
        <v>76</v>
      </c>
      <c r="D160" s="1" t="s">
        <v>37</v>
      </c>
      <c r="E160" s="1" t="s">
        <v>38</v>
      </c>
      <c r="F160" s="1" t="s">
        <v>39</v>
      </c>
      <c r="G160" s="1" t="s">
        <v>40</v>
      </c>
      <c r="H160" s="1" t="s">
        <v>35</v>
      </c>
      <c r="I160" s="1" t="s">
        <v>41</v>
      </c>
      <c r="J160" s="1" t="s">
        <v>78</v>
      </c>
      <c r="K160" s="1" t="s">
        <v>42</v>
      </c>
      <c r="L160" s="1" t="s">
        <v>79</v>
      </c>
      <c r="M160" s="1" t="s">
        <v>44</v>
      </c>
      <c r="N160" s="1" t="s">
        <v>45</v>
      </c>
      <c r="O160" s="1" t="s">
        <v>45</v>
      </c>
      <c r="P160" s="1" t="s">
        <v>103</v>
      </c>
      <c r="Q160" s="1" t="s">
        <v>47</v>
      </c>
      <c r="R160" s="1" t="s">
        <v>80</v>
      </c>
      <c r="S160" s="1" t="s">
        <v>49</v>
      </c>
      <c r="T160" s="1" t="s">
        <v>50</v>
      </c>
      <c r="U160" s="1" t="s">
        <v>51</v>
      </c>
      <c r="V160" s="1" t="s">
        <v>81</v>
      </c>
      <c r="W160" s="1" t="s">
        <v>53</v>
      </c>
      <c r="X160" s="1" t="s">
        <v>54</v>
      </c>
      <c r="Y160" s="1" t="s">
        <v>55</v>
      </c>
      <c r="Z160" s="1" t="s">
        <v>82</v>
      </c>
      <c r="AA160" s="1" t="s">
        <v>36</v>
      </c>
      <c r="AB160" s="1" t="s">
        <v>54</v>
      </c>
      <c r="AC160" s="1" t="s">
        <v>57</v>
      </c>
      <c r="AD160" s="1" t="s">
        <v>58</v>
      </c>
      <c r="AE160" s="1" t="s">
        <v>59</v>
      </c>
      <c r="AF160" s="1" t="s">
        <v>54</v>
      </c>
      <c r="AG160" s="1" t="s">
        <v>71</v>
      </c>
      <c r="AH160" s="1" t="s">
        <v>120</v>
      </c>
    </row>
    <row r="161" spans="1:34" x14ac:dyDescent="0.3">
      <c r="A161" s="1" t="s">
        <v>74</v>
      </c>
      <c r="B161" s="1" t="s">
        <v>61</v>
      </c>
      <c r="C161" s="1" t="s">
        <v>62</v>
      </c>
      <c r="D161" s="1" t="s">
        <v>63</v>
      </c>
      <c r="E161" s="1" t="s">
        <v>64</v>
      </c>
      <c r="F161" s="1" t="s">
        <v>65</v>
      </c>
      <c r="G161" s="1" t="s">
        <v>66</v>
      </c>
      <c r="H161" s="1" t="s">
        <v>61</v>
      </c>
      <c r="I161" s="1" t="s">
        <v>61</v>
      </c>
      <c r="J161" s="1" t="s">
        <v>65</v>
      </c>
      <c r="K161" s="1" t="s">
        <v>67</v>
      </c>
      <c r="L161" s="1" t="s">
        <v>66</v>
      </c>
      <c r="M161" s="1" t="s">
        <v>68</v>
      </c>
      <c r="N161" s="1" t="s">
        <v>63</v>
      </c>
      <c r="O161" s="1" t="s">
        <v>63</v>
      </c>
      <c r="P161" s="1" t="s">
        <v>69</v>
      </c>
      <c r="Q161" s="1" t="s">
        <v>47</v>
      </c>
      <c r="R161" s="1" t="s">
        <v>80</v>
      </c>
      <c r="S161" s="1" t="s">
        <v>49</v>
      </c>
      <c r="T161" s="1" t="s">
        <v>50</v>
      </c>
      <c r="U161" s="1" t="s">
        <v>51</v>
      </c>
      <c r="V161" s="1" t="s">
        <v>81</v>
      </c>
      <c r="W161" s="1" t="s">
        <v>53</v>
      </c>
      <c r="X161" s="1" t="s">
        <v>54</v>
      </c>
      <c r="Y161" s="1" t="s">
        <v>55</v>
      </c>
      <c r="Z161" s="1" t="s">
        <v>82</v>
      </c>
      <c r="AA161" s="1" t="s">
        <v>36</v>
      </c>
      <c r="AB161" s="1" t="s">
        <v>54</v>
      </c>
      <c r="AC161" s="1" t="s">
        <v>57</v>
      </c>
      <c r="AD161" s="1" t="s">
        <v>58</v>
      </c>
      <c r="AE161" s="1" t="s">
        <v>67</v>
      </c>
      <c r="AF161" s="1" t="s">
        <v>72</v>
      </c>
      <c r="AG161" s="1" t="s">
        <v>71</v>
      </c>
      <c r="AH161" s="1" t="s">
        <v>120</v>
      </c>
    </row>
    <row r="162" spans="1:34" x14ac:dyDescent="0.3">
      <c r="A162" s="1" t="s">
        <v>99</v>
      </c>
      <c r="B162" s="1" t="s">
        <v>61</v>
      </c>
      <c r="C162" s="1" t="s">
        <v>62</v>
      </c>
      <c r="D162" s="1" t="s">
        <v>63</v>
      </c>
      <c r="E162" s="1" t="s">
        <v>64</v>
      </c>
      <c r="F162" s="1" t="s">
        <v>65</v>
      </c>
      <c r="G162" s="1" t="s">
        <v>66</v>
      </c>
      <c r="H162" s="1" t="s">
        <v>61</v>
      </c>
      <c r="I162" s="1" t="s">
        <v>61</v>
      </c>
      <c r="J162" s="1" t="s">
        <v>65</v>
      </c>
      <c r="K162" s="1" t="s">
        <v>67</v>
      </c>
      <c r="L162" s="1" t="s">
        <v>66</v>
      </c>
      <c r="M162" s="1" t="s">
        <v>68</v>
      </c>
      <c r="N162" s="1" t="s">
        <v>63</v>
      </c>
      <c r="O162" s="1" t="s">
        <v>63</v>
      </c>
      <c r="P162" s="1" t="s">
        <v>69</v>
      </c>
      <c r="Q162" s="1" t="s">
        <v>70</v>
      </c>
      <c r="R162" s="1" t="s">
        <v>71</v>
      </c>
      <c r="S162" s="1" t="s">
        <v>63</v>
      </c>
      <c r="T162" s="1" t="s">
        <v>69</v>
      </c>
      <c r="U162" s="1" t="s">
        <v>69</v>
      </c>
      <c r="V162" s="1" t="s">
        <v>63</v>
      </c>
      <c r="W162" s="1" t="s">
        <v>68</v>
      </c>
      <c r="X162" s="1" t="s">
        <v>72</v>
      </c>
      <c r="Y162" s="1" t="s">
        <v>72</v>
      </c>
      <c r="Z162" s="1" t="s">
        <v>62</v>
      </c>
      <c r="AA162" s="1" t="s">
        <v>62</v>
      </c>
      <c r="AB162" s="1" t="s">
        <v>72</v>
      </c>
      <c r="AC162" s="1" t="s">
        <v>73</v>
      </c>
      <c r="AD162" s="1" t="s">
        <v>73</v>
      </c>
      <c r="AE162" s="1" t="s">
        <v>67</v>
      </c>
      <c r="AF162" s="1" t="s">
        <v>72</v>
      </c>
      <c r="AG162" s="1" t="s">
        <v>71</v>
      </c>
      <c r="AH162" s="1" t="s">
        <v>120</v>
      </c>
    </row>
    <row r="163" spans="1:34" x14ac:dyDescent="0.3">
      <c r="A163" s="1" t="s">
        <v>74</v>
      </c>
      <c r="B163" s="1" t="s">
        <v>41</v>
      </c>
      <c r="C163" s="1" t="s">
        <v>76</v>
      </c>
      <c r="D163" s="1" t="s">
        <v>37</v>
      </c>
      <c r="E163" s="1" t="s">
        <v>38</v>
      </c>
      <c r="F163" s="1" t="s">
        <v>39</v>
      </c>
      <c r="G163" s="1" t="s">
        <v>40</v>
      </c>
      <c r="H163" s="1" t="s">
        <v>35</v>
      </c>
      <c r="I163" s="1" t="s">
        <v>41</v>
      </c>
      <c r="J163" s="1" t="s">
        <v>39</v>
      </c>
      <c r="K163" s="1" t="s">
        <v>42</v>
      </c>
      <c r="L163" s="1" t="s">
        <v>79</v>
      </c>
      <c r="M163" s="1" t="s">
        <v>44</v>
      </c>
      <c r="N163" s="1" t="s">
        <v>45</v>
      </c>
      <c r="O163" s="1" t="s">
        <v>45</v>
      </c>
      <c r="P163" s="1" t="s">
        <v>46</v>
      </c>
      <c r="Q163" s="1" t="s">
        <v>47</v>
      </c>
      <c r="R163" s="1" t="s">
        <v>80</v>
      </c>
      <c r="S163" s="1" t="s">
        <v>49</v>
      </c>
      <c r="T163" s="1" t="s">
        <v>50</v>
      </c>
      <c r="U163" s="1" t="s">
        <v>51</v>
      </c>
      <c r="V163" s="1" t="s">
        <v>81</v>
      </c>
      <c r="W163" s="1" t="s">
        <v>53</v>
      </c>
      <c r="X163" s="1" t="s">
        <v>54</v>
      </c>
      <c r="Y163" s="1" t="s">
        <v>55</v>
      </c>
      <c r="Z163" s="1" t="s">
        <v>82</v>
      </c>
      <c r="AA163" s="1" t="s">
        <v>36</v>
      </c>
      <c r="AB163" s="1" t="s">
        <v>54</v>
      </c>
      <c r="AC163" s="1" t="s">
        <v>57</v>
      </c>
      <c r="AD163" s="1" t="s">
        <v>58</v>
      </c>
      <c r="AE163" s="1" t="s">
        <v>42</v>
      </c>
      <c r="AF163" s="1" t="s">
        <v>91</v>
      </c>
      <c r="AG163" s="1" t="s">
        <v>75</v>
      </c>
      <c r="AH163" s="1" t="s">
        <v>120</v>
      </c>
    </row>
    <row r="164" spans="1:34" x14ac:dyDescent="0.3">
      <c r="A164" s="1" t="s">
        <v>54</v>
      </c>
      <c r="B164" s="1" t="s">
        <v>35</v>
      </c>
      <c r="C164" s="1" t="s">
        <v>36</v>
      </c>
      <c r="D164" s="1" t="s">
        <v>37</v>
      </c>
      <c r="E164" s="1" t="s">
        <v>77</v>
      </c>
      <c r="F164" s="1" t="s">
        <v>39</v>
      </c>
      <c r="G164" s="1" t="s">
        <v>40</v>
      </c>
      <c r="H164" s="1" t="s">
        <v>35</v>
      </c>
      <c r="I164" s="1" t="s">
        <v>41</v>
      </c>
      <c r="J164" s="1" t="s">
        <v>39</v>
      </c>
      <c r="K164" s="1" t="s">
        <v>42</v>
      </c>
      <c r="L164" s="1" t="s">
        <v>79</v>
      </c>
      <c r="M164" s="1" t="s">
        <v>44</v>
      </c>
      <c r="N164" s="1" t="s">
        <v>45</v>
      </c>
      <c r="O164" s="1" t="s">
        <v>45</v>
      </c>
      <c r="P164" s="1" t="s">
        <v>46</v>
      </c>
      <c r="Q164" s="1" t="s">
        <v>47</v>
      </c>
      <c r="R164" s="1" t="s">
        <v>80</v>
      </c>
      <c r="S164" s="1" t="s">
        <v>49</v>
      </c>
      <c r="T164" s="1" t="s">
        <v>50</v>
      </c>
      <c r="U164" s="1" t="s">
        <v>51</v>
      </c>
      <c r="V164" s="1" t="s">
        <v>81</v>
      </c>
      <c r="W164" s="1" t="s">
        <v>53</v>
      </c>
      <c r="X164" s="1" t="s">
        <v>54</v>
      </c>
      <c r="Y164" s="1" t="s">
        <v>55</v>
      </c>
      <c r="Z164" s="1" t="s">
        <v>82</v>
      </c>
      <c r="AA164" s="1" t="s">
        <v>36</v>
      </c>
      <c r="AB164" s="1" t="s">
        <v>54</v>
      </c>
      <c r="AC164" s="1" t="s">
        <v>57</v>
      </c>
      <c r="AD164" s="1" t="s">
        <v>58</v>
      </c>
      <c r="AE164" s="1" t="s">
        <v>42</v>
      </c>
      <c r="AF164" s="1" t="s">
        <v>54</v>
      </c>
      <c r="AG164" s="1" t="s">
        <v>75</v>
      </c>
      <c r="AH164" s="1" t="s">
        <v>120</v>
      </c>
    </row>
    <row r="165" spans="1:34" x14ac:dyDescent="0.3">
      <c r="A165" s="1" t="s">
        <v>54</v>
      </c>
      <c r="B165" s="1" t="s">
        <v>35</v>
      </c>
      <c r="C165" s="1" t="s">
        <v>36</v>
      </c>
      <c r="D165" s="1" t="s">
        <v>37</v>
      </c>
      <c r="E165" s="1" t="s">
        <v>38</v>
      </c>
      <c r="F165" s="1" t="s">
        <v>39</v>
      </c>
      <c r="G165" s="1" t="s">
        <v>40</v>
      </c>
      <c r="H165" s="1" t="s">
        <v>35</v>
      </c>
      <c r="I165" s="1" t="s">
        <v>35</v>
      </c>
      <c r="J165" s="1" t="s">
        <v>39</v>
      </c>
      <c r="K165" s="1" t="s">
        <v>42</v>
      </c>
      <c r="L165" s="1" t="s">
        <v>79</v>
      </c>
      <c r="M165" s="1" t="s">
        <v>44</v>
      </c>
      <c r="N165" s="1" t="s">
        <v>45</v>
      </c>
      <c r="O165" s="1" t="s">
        <v>45</v>
      </c>
      <c r="P165" s="1" t="s">
        <v>46</v>
      </c>
      <c r="Q165" s="1" t="s">
        <v>47</v>
      </c>
      <c r="R165" s="1" t="s">
        <v>80</v>
      </c>
      <c r="S165" s="1" t="s">
        <v>49</v>
      </c>
      <c r="T165" s="1" t="s">
        <v>50</v>
      </c>
      <c r="U165" s="1" t="s">
        <v>51</v>
      </c>
      <c r="V165" s="1" t="s">
        <v>81</v>
      </c>
      <c r="W165" s="1" t="s">
        <v>53</v>
      </c>
      <c r="X165" s="1" t="s">
        <v>54</v>
      </c>
      <c r="Y165" s="1" t="s">
        <v>55</v>
      </c>
      <c r="Z165" s="1" t="s">
        <v>82</v>
      </c>
      <c r="AA165" s="1" t="s">
        <v>36</v>
      </c>
      <c r="AB165" s="1" t="s">
        <v>54</v>
      </c>
      <c r="AC165" s="1" t="s">
        <v>57</v>
      </c>
      <c r="AD165" s="1" t="s">
        <v>58</v>
      </c>
      <c r="AE165" s="1" t="s">
        <v>59</v>
      </c>
      <c r="AF165" s="1" t="s">
        <v>54</v>
      </c>
      <c r="AG165" s="1" t="s">
        <v>75</v>
      </c>
      <c r="AH165" s="1" t="s">
        <v>120</v>
      </c>
    </row>
    <row r="166" spans="1:34" x14ac:dyDescent="0.3">
      <c r="A166" s="1" t="s">
        <v>55</v>
      </c>
      <c r="B166" s="1" t="s">
        <v>41</v>
      </c>
      <c r="C166" s="1" t="s">
        <v>76</v>
      </c>
      <c r="D166" s="1" t="s">
        <v>37</v>
      </c>
      <c r="E166" s="1" t="s">
        <v>38</v>
      </c>
      <c r="F166" s="1" t="s">
        <v>39</v>
      </c>
      <c r="G166" s="1" t="s">
        <v>40</v>
      </c>
      <c r="H166" s="1" t="s">
        <v>35</v>
      </c>
      <c r="I166" s="1" t="s">
        <v>35</v>
      </c>
      <c r="J166" s="1" t="s">
        <v>39</v>
      </c>
      <c r="K166" s="1" t="s">
        <v>42</v>
      </c>
      <c r="L166" s="1" t="s">
        <v>79</v>
      </c>
      <c r="M166" s="1" t="s">
        <v>44</v>
      </c>
      <c r="N166" s="1" t="s">
        <v>45</v>
      </c>
      <c r="O166" s="1" t="s">
        <v>45</v>
      </c>
      <c r="P166" s="1" t="s">
        <v>46</v>
      </c>
      <c r="Q166" s="1" t="s">
        <v>47</v>
      </c>
      <c r="R166" s="1" t="s">
        <v>80</v>
      </c>
      <c r="S166" s="1" t="s">
        <v>49</v>
      </c>
      <c r="T166" s="1" t="s">
        <v>50</v>
      </c>
      <c r="U166" s="1" t="s">
        <v>51</v>
      </c>
      <c r="V166" s="1" t="s">
        <v>52</v>
      </c>
      <c r="W166" s="1" t="s">
        <v>53</v>
      </c>
      <c r="X166" s="1" t="s">
        <v>54</v>
      </c>
      <c r="Y166" s="1" t="s">
        <v>74</v>
      </c>
      <c r="Z166" s="1" t="s">
        <v>56</v>
      </c>
      <c r="AA166" s="1" t="s">
        <v>36</v>
      </c>
      <c r="AB166" s="1" t="s">
        <v>54</v>
      </c>
      <c r="AC166" s="1" t="s">
        <v>57</v>
      </c>
      <c r="AD166" s="1" t="s">
        <v>58</v>
      </c>
      <c r="AE166" s="1" t="s">
        <v>42</v>
      </c>
      <c r="AF166" s="1" t="s">
        <v>54</v>
      </c>
      <c r="AG166" s="1" t="s">
        <v>75</v>
      </c>
      <c r="AH166" s="1" t="s">
        <v>120</v>
      </c>
    </row>
    <row r="167" spans="1:34" x14ac:dyDescent="0.3">
      <c r="A167" s="1" t="s">
        <v>74</v>
      </c>
      <c r="B167" s="1" t="s">
        <v>41</v>
      </c>
      <c r="C167" s="1" t="s">
        <v>76</v>
      </c>
      <c r="D167" s="1" t="s">
        <v>83</v>
      </c>
      <c r="E167" s="1" t="s">
        <v>38</v>
      </c>
      <c r="F167" s="1" t="s">
        <v>39</v>
      </c>
      <c r="G167" s="1" t="s">
        <v>40</v>
      </c>
      <c r="H167" s="1" t="s">
        <v>35</v>
      </c>
      <c r="I167" s="1" t="s">
        <v>35</v>
      </c>
      <c r="J167" s="1" t="s">
        <v>39</v>
      </c>
      <c r="K167" s="1" t="s">
        <v>42</v>
      </c>
      <c r="L167" s="1" t="s">
        <v>43</v>
      </c>
      <c r="M167" s="1" t="s">
        <v>44</v>
      </c>
      <c r="N167" s="1" t="s">
        <v>45</v>
      </c>
      <c r="O167" s="1" t="s">
        <v>45</v>
      </c>
      <c r="P167" s="1" t="s">
        <v>46</v>
      </c>
      <c r="Q167" s="1" t="s">
        <v>47</v>
      </c>
      <c r="R167" s="1" t="s">
        <v>48</v>
      </c>
      <c r="S167" s="1" t="s">
        <v>49</v>
      </c>
      <c r="T167" s="1" t="s">
        <v>50</v>
      </c>
      <c r="U167" s="1" t="s">
        <v>51</v>
      </c>
      <c r="V167" s="1" t="s">
        <v>52</v>
      </c>
      <c r="W167" s="1" t="s">
        <v>53</v>
      </c>
      <c r="X167" s="1" t="s">
        <v>54</v>
      </c>
      <c r="Y167" s="1" t="s">
        <v>55</v>
      </c>
      <c r="Z167" s="1" t="s">
        <v>82</v>
      </c>
      <c r="AA167" s="1" t="s">
        <v>36</v>
      </c>
      <c r="AB167" s="1" t="s">
        <v>54</v>
      </c>
      <c r="AC167" s="1" t="s">
        <v>57</v>
      </c>
      <c r="AD167" s="1" t="s">
        <v>58</v>
      </c>
      <c r="AE167" s="1" t="s">
        <v>42</v>
      </c>
      <c r="AF167" s="1" t="s">
        <v>54</v>
      </c>
      <c r="AG167" s="1" t="s">
        <v>75</v>
      </c>
      <c r="AH167" s="1" t="s">
        <v>120</v>
      </c>
    </row>
    <row r="168" spans="1:34" x14ac:dyDescent="0.3">
      <c r="A168" s="1" t="s">
        <v>91</v>
      </c>
      <c r="B168" s="1" t="s">
        <v>35</v>
      </c>
      <c r="C168" s="1" t="s">
        <v>36</v>
      </c>
      <c r="D168" s="1" t="s">
        <v>83</v>
      </c>
      <c r="E168" s="1" t="s">
        <v>38</v>
      </c>
      <c r="F168" s="1" t="s">
        <v>39</v>
      </c>
      <c r="G168" s="1" t="s">
        <v>40</v>
      </c>
      <c r="H168" s="1" t="s">
        <v>35</v>
      </c>
      <c r="I168" s="1" t="s">
        <v>41</v>
      </c>
      <c r="J168" s="1" t="s">
        <v>39</v>
      </c>
      <c r="K168" s="1" t="s">
        <v>42</v>
      </c>
      <c r="L168" s="1" t="s">
        <v>43</v>
      </c>
      <c r="M168" s="1" t="s">
        <v>44</v>
      </c>
      <c r="N168" s="1" t="s">
        <v>49</v>
      </c>
      <c r="O168" s="1" t="s">
        <v>45</v>
      </c>
      <c r="P168" s="1" t="s">
        <v>103</v>
      </c>
      <c r="Q168" s="1" t="s">
        <v>47</v>
      </c>
      <c r="R168" s="1" t="s">
        <v>48</v>
      </c>
      <c r="S168" s="1" t="s">
        <v>49</v>
      </c>
      <c r="T168" s="1" t="s">
        <v>50</v>
      </c>
      <c r="U168" s="1" t="s">
        <v>51</v>
      </c>
      <c r="V168" s="1" t="s">
        <v>52</v>
      </c>
      <c r="W168" s="1" t="s">
        <v>53</v>
      </c>
      <c r="X168" s="1" t="s">
        <v>54</v>
      </c>
      <c r="Y168" s="1" t="s">
        <v>55</v>
      </c>
      <c r="Z168" s="1" t="s">
        <v>56</v>
      </c>
      <c r="AA168" s="1" t="s">
        <v>36</v>
      </c>
      <c r="AB168" s="1" t="s">
        <v>54</v>
      </c>
      <c r="AC168" s="1" t="s">
        <v>57</v>
      </c>
      <c r="AD168" s="1" t="s">
        <v>58</v>
      </c>
      <c r="AE168" s="1" t="s">
        <v>59</v>
      </c>
      <c r="AF168" s="1" t="s">
        <v>54</v>
      </c>
      <c r="AG168" s="1" t="s">
        <v>75</v>
      </c>
      <c r="AH168" s="1" t="s">
        <v>120</v>
      </c>
    </row>
    <row r="169" spans="1:34" x14ac:dyDescent="0.3">
      <c r="A169" s="1" t="s">
        <v>99</v>
      </c>
      <c r="B169" s="1" t="s">
        <v>41</v>
      </c>
      <c r="C169" s="1" t="s">
        <v>76</v>
      </c>
      <c r="D169" s="1" t="s">
        <v>49</v>
      </c>
      <c r="E169" s="1" t="s">
        <v>77</v>
      </c>
      <c r="F169" s="1" t="s">
        <v>39</v>
      </c>
      <c r="G169" s="1" t="s">
        <v>40</v>
      </c>
      <c r="H169" s="1" t="s">
        <v>35</v>
      </c>
      <c r="I169" s="1" t="s">
        <v>94</v>
      </c>
      <c r="J169" s="1" t="s">
        <v>39</v>
      </c>
      <c r="K169" s="1" t="s">
        <v>42</v>
      </c>
      <c r="L169" s="1" t="s">
        <v>43</v>
      </c>
      <c r="M169" s="1" t="s">
        <v>44</v>
      </c>
      <c r="N169" s="1" t="s">
        <v>45</v>
      </c>
      <c r="O169" s="1" t="s">
        <v>45</v>
      </c>
      <c r="P169" s="1" t="s">
        <v>46</v>
      </c>
      <c r="Q169" s="1" t="s">
        <v>47</v>
      </c>
      <c r="R169" s="1" t="s">
        <v>48</v>
      </c>
      <c r="S169" s="1" t="s">
        <v>49</v>
      </c>
      <c r="T169" s="1" t="s">
        <v>50</v>
      </c>
      <c r="U169" s="1" t="s">
        <v>51</v>
      </c>
      <c r="V169" s="1" t="s">
        <v>52</v>
      </c>
      <c r="W169" s="1" t="s">
        <v>53</v>
      </c>
      <c r="X169" s="1" t="s">
        <v>54</v>
      </c>
      <c r="Y169" s="1" t="s">
        <v>74</v>
      </c>
      <c r="Z169" s="1" t="s">
        <v>56</v>
      </c>
      <c r="AA169" s="1" t="s">
        <v>36</v>
      </c>
      <c r="AB169" s="1" t="s">
        <v>54</v>
      </c>
      <c r="AC169" s="1" t="s">
        <v>57</v>
      </c>
      <c r="AD169" s="1" t="s">
        <v>58</v>
      </c>
      <c r="AE169" s="1" t="s">
        <v>42</v>
      </c>
      <c r="AF169" s="1" t="s">
        <v>54</v>
      </c>
      <c r="AG169" s="1" t="s">
        <v>75</v>
      </c>
      <c r="AH169" s="1" t="s">
        <v>120</v>
      </c>
    </row>
    <row r="170" spans="1:34" x14ac:dyDescent="0.3">
      <c r="A170" s="1" t="s">
        <v>55</v>
      </c>
      <c r="B170" s="1" t="s">
        <v>41</v>
      </c>
      <c r="C170" s="1" t="s">
        <v>76</v>
      </c>
      <c r="D170" s="1" t="s">
        <v>37</v>
      </c>
      <c r="E170" s="1" t="s">
        <v>77</v>
      </c>
      <c r="F170" s="1" t="s">
        <v>39</v>
      </c>
      <c r="G170" s="1" t="s">
        <v>40</v>
      </c>
      <c r="H170" s="1" t="s">
        <v>35</v>
      </c>
      <c r="I170" s="1" t="s">
        <v>35</v>
      </c>
      <c r="J170" s="1" t="s">
        <v>39</v>
      </c>
      <c r="K170" s="1" t="s">
        <v>42</v>
      </c>
      <c r="L170" s="1" t="s">
        <v>43</v>
      </c>
      <c r="M170" s="1" t="s">
        <v>44</v>
      </c>
      <c r="N170" s="1" t="s">
        <v>45</v>
      </c>
      <c r="O170" s="1" t="s">
        <v>45</v>
      </c>
      <c r="P170" s="1" t="s">
        <v>46</v>
      </c>
      <c r="Q170" s="1" t="s">
        <v>47</v>
      </c>
      <c r="R170" s="1" t="s">
        <v>48</v>
      </c>
      <c r="S170" s="1" t="s">
        <v>49</v>
      </c>
      <c r="T170" s="1" t="s">
        <v>50</v>
      </c>
      <c r="U170" s="1" t="s">
        <v>51</v>
      </c>
      <c r="V170" s="1" t="s">
        <v>52</v>
      </c>
      <c r="W170" s="1" t="s">
        <v>53</v>
      </c>
      <c r="X170" s="1" t="s">
        <v>54</v>
      </c>
      <c r="Y170" s="1" t="s">
        <v>55</v>
      </c>
      <c r="Z170" s="1" t="s">
        <v>56</v>
      </c>
      <c r="AA170" s="1" t="s">
        <v>36</v>
      </c>
      <c r="AB170" s="1" t="s">
        <v>54</v>
      </c>
      <c r="AC170" s="1" t="s">
        <v>57</v>
      </c>
      <c r="AD170" s="1" t="s">
        <v>58</v>
      </c>
      <c r="AE170" s="1" t="s">
        <v>42</v>
      </c>
      <c r="AF170" s="1" t="s">
        <v>54</v>
      </c>
      <c r="AG170" s="1" t="s">
        <v>75</v>
      </c>
      <c r="AH170" s="1" t="s">
        <v>120</v>
      </c>
    </row>
    <row r="171" spans="1:34" x14ac:dyDescent="0.3">
      <c r="A171" s="1" t="s">
        <v>54</v>
      </c>
      <c r="B171" s="1" t="s">
        <v>35</v>
      </c>
      <c r="C171" s="1" t="s">
        <v>36</v>
      </c>
      <c r="D171" s="1" t="s">
        <v>37</v>
      </c>
      <c r="E171" s="1" t="s">
        <v>77</v>
      </c>
      <c r="F171" s="1" t="s">
        <v>86</v>
      </c>
      <c r="G171" s="1" t="s">
        <v>40</v>
      </c>
      <c r="H171" s="1" t="s">
        <v>41</v>
      </c>
      <c r="I171" s="1" t="s">
        <v>41</v>
      </c>
      <c r="J171" s="1" t="s">
        <v>39</v>
      </c>
      <c r="K171" s="1" t="s">
        <v>42</v>
      </c>
      <c r="L171" s="1" t="s">
        <v>43</v>
      </c>
      <c r="M171" s="1" t="s">
        <v>44</v>
      </c>
      <c r="N171" s="1" t="s">
        <v>45</v>
      </c>
      <c r="O171" s="1" t="s">
        <v>45</v>
      </c>
      <c r="P171" s="1" t="s">
        <v>46</v>
      </c>
      <c r="Q171" s="1" t="s">
        <v>47</v>
      </c>
      <c r="R171" s="1" t="s">
        <v>48</v>
      </c>
      <c r="S171" s="1" t="s">
        <v>49</v>
      </c>
      <c r="T171" s="1" t="s">
        <v>50</v>
      </c>
      <c r="U171" s="1" t="s">
        <v>51</v>
      </c>
      <c r="V171" s="1" t="s">
        <v>52</v>
      </c>
      <c r="W171" s="1" t="s">
        <v>53</v>
      </c>
      <c r="X171" s="1" t="s">
        <v>54</v>
      </c>
      <c r="Y171" s="1" t="s">
        <v>55</v>
      </c>
      <c r="Z171" s="1" t="s">
        <v>56</v>
      </c>
      <c r="AA171" s="1" t="s">
        <v>36</v>
      </c>
      <c r="AB171" s="1" t="s">
        <v>54</v>
      </c>
      <c r="AC171" s="1" t="s">
        <v>57</v>
      </c>
      <c r="AD171" s="1" t="s">
        <v>58</v>
      </c>
      <c r="AE171" s="1" t="s">
        <v>59</v>
      </c>
      <c r="AF171" s="1" t="s">
        <v>54</v>
      </c>
      <c r="AG171" s="1" t="s">
        <v>75</v>
      </c>
      <c r="AH171" s="1" t="s">
        <v>120</v>
      </c>
    </row>
    <row r="172" spans="1:34" x14ac:dyDescent="0.3">
      <c r="A172" s="1" t="s">
        <v>55</v>
      </c>
      <c r="B172" s="1" t="s">
        <v>41</v>
      </c>
      <c r="C172" s="1" t="s">
        <v>76</v>
      </c>
      <c r="D172" s="1" t="s">
        <v>37</v>
      </c>
      <c r="E172" s="1" t="s">
        <v>77</v>
      </c>
      <c r="F172" s="1" t="s">
        <v>39</v>
      </c>
      <c r="G172" s="1" t="s">
        <v>40</v>
      </c>
      <c r="H172" s="1" t="s">
        <v>35</v>
      </c>
      <c r="I172" s="1" t="s">
        <v>94</v>
      </c>
      <c r="J172" s="1" t="s">
        <v>39</v>
      </c>
      <c r="K172" s="1" t="s">
        <v>42</v>
      </c>
      <c r="L172" s="1" t="s">
        <v>43</v>
      </c>
      <c r="M172" s="1" t="s">
        <v>44</v>
      </c>
      <c r="N172" s="1" t="s">
        <v>45</v>
      </c>
      <c r="O172" s="1" t="s">
        <v>45</v>
      </c>
      <c r="P172" s="1" t="s">
        <v>46</v>
      </c>
      <c r="Q172" s="1" t="s">
        <v>47</v>
      </c>
      <c r="R172" s="1" t="s">
        <v>48</v>
      </c>
      <c r="S172" s="1" t="s">
        <v>49</v>
      </c>
      <c r="T172" s="1" t="s">
        <v>50</v>
      </c>
      <c r="U172" s="1" t="s">
        <v>51</v>
      </c>
      <c r="V172" s="1" t="s">
        <v>52</v>
      </c>
      <c r="W172" s="1" t="s">
        <v>53</v>
      </c>
      <c r="X172" s="1" t="s">
        <v>54</v>
      </c>
      <c r="Y172" s="1" t="s">
        <v>74</v>
      </c>
      <c r="Z172" s="1" t="s">
        <v>82</v>
      </c>
      <c r="AA172" s="1" t="s">
        <v>36</v>
      </c>
      <c r="AB172" s="1" t="s">
        <v>54</v>
      </c>
      <c r="AC172" s="1" t="s">
        <v>57</v>
      </c>
      <c r="AD172" s="1" t="s">
        <v>58</v>
      </c>
      <c r="AE172" s="1" t="s">
        <v>42</v>
      </c>
      <c r="AF172" s="1" t="s">
        <v>54</v>
      </c>
      <c r="AG172" s="1" t="s">
        <v>75</v>
      </c>
      <c r="AH172" s="1" t="s">
        <v>120</v>
      </c>
    </row>
    <row r="173" spans="1:34" x14ac:dyDescent="0.3">
      <c r="A173" s="1" t="s">
        <v>54</v>
      </c>
      <c r="B173" s="1" t="s">
        <v>41</v>
      </c>
      <c r="C173" s="1" t="s">
        <v>76</v>
      </c>
      <c r="D173" s="1" t="s">
        <v>37</v>
      </c>
      <c r="E173" s="1" t="s">
        <v>77</v>
      </c>
      <c r="F173" s="1" t="s">
        <v>39</v>
      </c>
      <c r="G173" s="1" t="s">
        <v>40</v>
      </c>
      <c r="H173" s="1" t="s">
        <v>35</v>
      </c>
      <c r="I173" s="1" t="s">
        <v>35</v>
      </c>
      <c r="J173" s="1" t="s">
        <v>39</v>
      </c>
      <c r="K173" s="1" t="s">
        <v>42</v>
      </c>
      <c r="L173" s="1" t="s">
        <v>43</v>
      </c>
      <c r="M173" s="1" t="s">
        <v>44</v>
      </c>
      <c r="N173" s="1" t="s">
        <v>45</v>
      </c>
      <c r="O173" s="1" t="s">
        <v>45</v>
      </c>
      <c r="P173" s="1" t="s">
        <v>46</v>
      </c>
      <c r="Q173" s="1" t="s">
        <v>47</v>
      </c>
      <c r="R173" s="1" t="s">
        <v>48</v>
      </c>
      <c r="S173" s="1" t="s">
        <v>49</v>
      </c>
      <c r="T173" s="1" t="s">
        <v>50</v>
      </c>
      <c r="U173" s="1" t="s">
        <v>51</v>
      </c>
      <c r="V173" s="1" t="s">
        <v>52</v>
      </c>
      <c r="W173" s="1" t="s">
        <v>53</v>
      </c>
      <c r="X173" s="1" t="s">
        <v>54</v>
      </c>
      <c r="Y173" s="1" t="s">
        <v>55</v>
      </c>
      <c r="Z173" s="1" t="s">
        <v>56</v>
      </c>
      <c r="AA173" s="1" t="s">
        <v>36</v>
      </c>
      <c r="AB173" s="1" t="s">
        <v>54</v>
      </c>
      <c r="AC173" s="1" t="s">
        <v>57</v>
      </c>
      <c r="AD173" s="1" t="s">
        <v>58</v>
      </c>
      <c r="AE173" s="1" t="s">
        <v>42</v>
      </c>
      <c r="AF173" s="1" t="s">
        <v>54</v>
      </c>
      <c r="AG173" s="1" t="s">
        <v>75</v>
      </c>
      <c r="AH173" s="1" t="s">
        <v>120</v>
      </c>
    </row>
    <row r="174" spans="1:34" x14ac:dyDescent="0.3">
      <c r="A174" s="1" t="s">
        <v>54</v>
      </c>
      <c r="B174" s="1" t="s">
        <v>61</v>
      </c>
      <c r="C174" s="1" t="s">
        <v>62</v>
      </c>
      <c r="D174" s="1" t="s">
        <v>63</v>
      </c>
      <c r="E174" s="1" t="s">
        <v>64</v>
      </c>
      <c r="F174" s="1" t="s">
        <v>65</v>
      </c>
      <c r="G174" s="1" t="s">
        <v>66</v>
      </c>
      <c r="H174" s="1" t="s">
        <v>61</v>
      </c>
      <c r="I174" s="1" t="s">
        <v>61</v>
      </c>
      <c r="J174" s="1" t="s">
        <v>65</v>
      </c>
      <c r="K174" s="1" t="s">
        <v>67</v>
      </c>
      <c r="L174" s="1" t="s">
        <v>66</v>
      </c>
      <c r="M174" s="1" t="s">
        <v>68</v>
      </c>
      <c r="N174" s="1" t="s">
        <v>63</v>
      </c>
      <c r="O174" s="1" t="s">
        <v>63</v>
      </c>
      <c r="P174" s="1" t="s">
        <v>69</v>
      </c>
      <c r="Q174" s="1" t="s">
        <v>70</v>
      </c>
      <c r="R174" s="1" t="s">
        <v>71</v>
      </c>
      <c r="S174" s="1" t="s">
        <v>63</v>
      </c>
      <c r="T174" s="1" t="s">
        <v>69</v>
      </c>
      <c r="U174" s="1" t="s">
        <v>69</v>
      </c>
      <c r="V174" s="1" t="s">
        <v>63</v>
      </c>
      <c r="W174" s="1" t="s">
        <v>68</v>
      </c>
      <c r="X174" s="1" t="s">
        <v>72</v>
      </c>
      <c r="Y174" s="1" t="s">
        <v>72</v>
      </c>
      <c r="Z174" s="1" t="s">
        <v>62</v>
      </c>
      <c r="AA174" s="1" t="s">
        <v>62</v>
      </c>
      <c r="AB174" s="1" t="s">
        <v>72</v>
      </c>
      <c r="AC174" s="1" t="s">
        <v>73</v>
      </c>
      <c r="AD174" s="1" t="s">
        <v>73</v>
      </c>
      <c r="AE174" s="1" t="s">
        <v>67</v>
      </c>
      <c r="AF174" s="1" t="s">
        <v>72</v>
      </c>
      <c r="AG174" s="1" t="s">
        <v>71</v>
      </c>
      <c r="AH174" s="1" t="s">
        <v>120</v>
      </c>
    </row>
    <row r="175" spans="1:34" x14ac:dyDescent="0.3">
      <c r="A175" s="1" t="s">
        <v>74</v>
      </c>
      <c r="B175" s="1" t="s">
        <v>61</v>
      </c>
      <c r="C175" s="1" t="s">
        <v>62</v>
      </c>
      <c r="D175" s="1" t="s">
        <v>63</v>
      </c>
      <c r="E175" s="1" t="s">
        <v>64</v>
      </c>
      <c r="F175" s="1" t="s">
        <v>65</v>
      </c>
      <c r="G175" s="1" t="s">
        <v>66</v>
      </c>
      <c r="H175" s="1" t="s">
        <v>61</v>
      </c>
      <c r="I175" s="1" t="s">
        <v>61</v>
      </c>
      <c r="J175" s="1" t="s">
        <v>65</v>
      </c>
      <c r="K175" s="1" t="s">
        <v>67</v>
      </c>
      <c r="L175" s="1" t="s">
        <v>66</v>
      </c>
      <c r="M175" s="1" t="s">
        <v>68</v>
      </c>
      <c r="N175" s="1" t="s">
        <v>63</v>
      </c>
      <c r="O175" s="1" t="s">
        <v>63</v>
      </c>
      <c r="P175" s="1" t="s">
        <v>69</v>
      </c>
      <c r="Q175" s="1" t="s">
        <v>70</v>
      </c>
      <c r="R175" s="1" t="s">
        <v>71</v>
      </c>
      <c r="S175" s="1" t="s">
        <v>63</v>
      </c>
      <c r="T175" s="1" t="s">
        <v>69</v>
      </c>
      <c r="U175" s="1" t="s">
        <v>69</v>
      </c>
      <c r="V175" s="1" t="s">
        <v>63</v>
      </c>
      <c r="W175" s="1" t="s">
        <v>68</v>
      </c>
      <c r="X175" s="1" t="s">
        <v>72</v>
      </c>
      <c r="Y175" s="1" t="s">
        <v>72</v>
      </c>
      <c r="Z175" s="1" t="s">
        <v>62</v>
      </c>
      <c r="AA175" s="1" t="s">
        <v>62</v>
      </c>
      <c r="AB175" s="1" t="s">
        <v>72</v>
      </c>
      <c r="AC175" s="1" t="s">
        <v>73</v>
      </c>
      <c r="AD175" s="1" t="s">
        <v>73</v>
      </c>
      <c r="AE175" s="1" t="s">
        <v>67</v>
      </c>
      <c r="AF175" s="1" t="s">
        <v>72</v>
      </c>
      <c r="AG175" s="1" t="s">
        <v>71</v>
      </c>
      <c r="AH175" s="1" t="s">
        <v>120</v>
      </c>
    </row>
    <row r="176" spans="1:34" x14ac:dyDescent="0.3">
      <c r="A176" s="1" t="s">
        <v>34</v>
      </c>
      <c r="B176" s="1" t="s">
        <v>41</v>
      </c>
      <c r="C176" s="1" t="s">
        <v>76</v>
      </c>
      <c r="D176" s="1" t="s">
        <v>37</v>
      </c>
      <c r="E176" s="1" t="s">
        <v>77</v>
      </c>
      <c r="F176" s="1" t="s">
        <v>39</v>
      </c>
      <c r="G176" s="1" t="s">
        <v>40</v>
      </c>
      <c r="H176" s="1" t="s">
        <v>35</v>
      </c>
      <c r="I176" s="1" t="s">
        <v>41</v>
      </c>
      <c r="J176" s="1" t="s">
        <v>39</v>
      </c>
      <c r="K176" s="1" t="s">
        <v>42</v>
      </c>
      <c r="L176" s="1" t="s">
        <v>43</v>
      </c>
      <c r="M176" s="1" t="s">
        <v>44</v>
      </c>
      <c r="N176" s="1" t="s">
        <v>45</v>
      </c>
      <c r="O176" s="1" t="s">
        <v>45</v>
      </c>
      <c r="P176" s="1" t="s">
        <v>103</v>
      </c>
      <c r="Q176" s="1" t="s">
        <v>47</v>
      </c>
      <c r="R176" s="1" t="s">
        <v>80</v>
      </c>
      <c r="S176" s="1" t="s">
        <v>49</v>
      </c>
      <c r="T176" s="1" t="s">
        <v>50</v>
      </c>
      <c r="U176" s="1" t="s">
        <v>51</v>
      </c>
      <c r="V176" s="1" t="s">
        <v>52</v>
      </c>
      <c r="W176" s="1" t="s">
        <v>53</v>
      </c>
      <c r="X176" s="1" t="s">
        <v>54</v>
      </c>
      <c r="Y176" s="1" t="s">
        <v>55</v>
      </c>
      <c r="Z176" s="1" t="s">
        <v>82</v>
      </c>
      <c r="AA176" s="1" t="s">
        <v>36</v>
      </c>
      <c r="AB176" s="1" t="s">
        <v>54</v>
      </c>
      <c r="AC176" s="1" t="s">
        <v>57</v>
      </c>
      <c r="AD176" s="1" t="s">
        <v>58</v>
      </c>
      <c r="AE176" s="1" t="s">
        <v>59</v>
      </c>
      <c r="AF176" s="1" t="s">
        <v>54</v>
      </c>
      <c r="AG176" s="1" t="s">
        <v>71</v>
      </c>
      <c r="AH176" s="1" t="s">
        <v>120</v>
      </c>
    </row>
    <row r="177" spans="1:34" x14ac:dyDescent="0.3">
      <c r="A177" s="1" t="s">
        <v>99</v>
      </c>
      <c r="B177" s="1" t="s">
        <v>41</v>
      </c>
      <c r="C177" s="1" t="s">
        <v>76</v>
      </c>
      <c r="D177" s="1" t="s">
        <v>37</v>
      </c>
      <c r="E177" s="1" t="s">
        <v>77</v>
      </c>
      <c r="F177" s="1" t="s">
        <v>86</v>
      </c>
      <c r="G177" s="1" t="s">
        <v>40</v>
      </c>
      <c r="H177" s="1" t="s">
        <v>41</v>
      </c>
      <c r="I177" s="1" t="s">
        <v>35</v>
      </c>
      <c r="J177" s="1" t="s">
        <v>92</v>
      </c>
      <c r="K177" s="1" t="s">
        <v>42</v>
      </c>
      <c r="L177" s="1" t="s">
        <v>79</v>
      </c>
      <c r="M177" s="1" t="s">
        <v>44</v>
      </c>
      <c r="N177" s="1" t="s">
        <v>45</v>
      </c>
      <c r="O177" s="1" t="s">
        <v>45</v>
      </c>
      <c r="P177" s="1" t="s">
        <v>46</v>
      </c>
      <c r="Q177" s="1" t="s">
        <v>93</v>
      </c>
      <c r="R177" s="1" t="s">
        <v>48</v>
      </c>
      <c r="S177" s="1" t="s">
        <v>49</v>
      </c>
      <c r="T177" s="1" t="s">
        <v>50</v>
      </c>
      <c r="U177" s="1" t="s">
        <v>51</v>
      </c>
      <c r="V177" s="1" t="s">
        <v>52</v>
      </c>
      <c r="W177" s="1" t="s">
        <v>53</v>
      </c>
      <c r="X177" s="1" t="s">
        <v>91</v>
      </c>
      <c r="Y177" s="1" t="s">
        <v>74</v>
      </c>
      <c r="Z177" s="1" t="s">
        <v>56</v>
      </c>
      <c r="AA177" s="1" t="s">
        <v>36</v>
      </c>
      <c r="AB177" s="1" t="s">
        <v>54</v>
      </c>
      <c r="AC177" s="1" t="s">
        <v>57</v>
      </c>
      <c r="AD177" s="1" t="s">
        <v>58</v>
      </c>
      <c r="AE177" s="1" t="s">
        <v>42</v>
      </c>
      <c r="AF177" s="1" t="s">
        <v>54</v>
      </c>
      <c r="AG177" s="1" t="s">
        <v>75</v>
      </c>
      <c r="AH177" s="1" t="s">
        <v>120</v>
      </c>
    </row>
    <row r="178" spans="1:34" x14ac:dyDescent="0.3">
      <c r="A178" s="1" t="s">
        <v>85</v>
      </c>
      <c r="B178" s="1" t="s">
        <v>41</v>
      </c>
      <c r="C178" s="1" t="s">
        <v>76</v>
      </c>
      <c r="D178" s="1" t="s">
        <v>83</v>
      </c>
      <c r="E178" s="1" t="s">
        <v>38</v>
      </c>
      <c r="F178" s="1" t="s">
        <v>39</v>
      </c>
      <c r="G178" s="1" t="s">
        <v>40</v>
      </c>
      <c r="H178" s="1" t="s">
        <v>35</v>
      </c>
      <c r="I178" s="1" t="s">
        <v>94</v>
      </c>
      <c r="J178" s="1" t="s">
        <v>39</v>
      </c>
      <c r="K178" s="1" t="s">
        <v>42</v>
      </c>
      <c r="L178" s="1" t="s">
        <v>43</v>
      </c>
      <c r="M178" s="1" t="s">
        <v>44</v>
      </c>
      <c r="N178" s="1" t="s">
        <v>45</v>
      </c>
      <c r="O178" s="1" t="s">
        <v>45</v>
      </c>
      <c r="P178" s="1" t="s">
        <v>46</v>
      </c>
      <c r="Q178" s="1" t="s">
        <v>47</v>
      </c>
      <c r="R178" s="1" t="s">
        <v>48</v>
      </c>
      <c r="S178" s="1" t="s">
        <v>49</v>
      </c>
      <c r="T178" s="1" t="s">
        <v>50</v>
      </c>
      <c r="U178" s="1" t="s">
        <v>51</v>
      </c>
      <c r="V178" s="1" t="s">
        <v>52</v>
      </c>
      <c r="W178" s="1" t="s">
        <v>53</v>
      </c>
      <c r="X178" s="1" t="s">
        <v>54</v>
      </c>
      <c r="Y178" s="1" t="s">
        <v>74</v>
      </c>
      <c r="Z178" s="1" t="s">
        <v>56</v>
      </c>
      <c r="AA178" s="1" t="s">
        <v>36</v>
      </c>
      <c r="AB178" s="1" t="s">
        <v>54</v>
      </c>
      <c r="AC178" s="1" t="s">
        <v>57</v>
      </c>
      <c r="AD178" s="1" t="s">
        <v>58</v>
      </c>
      <c r="AE178" s="1" t="s">
        <v>42</v>
      </c>
      <c r="AF178" s="1" t="s">
        <v>54</v>
      </c>
      <c r="AG178" s="1" t="s">
        <v>75</v>
      </c>
      <c r="AH178" s="1" t="s">
        <v>120</v>
      </c>
    </row>
    <row r="179" spans="1:34" x14ac:dyDescent="0.3">
      <c r="A179" s="1" t="s">
        <v>34</v>
      </c>
      <c r="B179" s="1" t="s">
        <v>35</v>
      </c>
      <c r="C179" s="1" t="s">
        <v>36</v>
      </c>
      <c r="D179" s="1" t="s">
        <v>49</v>
      </c>
      <c r="E179" s="1" t="s">
        <v>77</v>
      </c>
      <c r="F179" s="1" t="s">
        <v>39</v>
      </c>
      <c r="G179" s="1" t="s">
        <v>40</v>
      </c>
      <c r="H179" s="1" t="s">
        <v>35</v>
      </c>
      <c r="I179" s="1" t="s">
        <v>35</v>
      </c>
      <c r="J179" s="1" t="s">
        <v>39</v>
      </c>
      <c r="K179" s="1" t="s">
        <v>42</v>
      </c>
      <c r="L179" s="1" t="s">
        <v>43</v>
      </c>
      <c r="M179" s="1" t="s">
        <v>44</v>
      </c>
      <c r="N179" s="1" t="s">
        <v>45</v>
      </c>
      <c r="O179" s="1" t="s">
        <v>45</v>
      </c>
      <c r="P179" s="1" t="s">
        <v>50</v>
      </c>
      <c r="Q179" s="1" t="s">
        <v>93</v>
      </c>
      <c r="R179" s="1" t="s">
        <v>48</v>
      </c>
      <c r="S179" s="1" t="s">
        <v>49</v>
      </c>
      <c r="T179" s="1" t="s">
        <v>50</v>
      </c>
      <c r="U179" s="1" t="s">
        <v>51</v>
      </c>
      <c r="V179" s="1" t="s">
        <v>52</v>
      </c>
      <c r="W179" s="1" t="s">
        <v>53</v>
      </c>
      <c r="X179" s="1" t="s">
        <v>54</v>
      </c>
      <c r="Y179" s="1" t="s">
        <v>55</v>
      </c>
      <c r="Z179" s="1" t="s">
        <v>56</v>
      </c>
      <c r="AA179" s="1" t="s">
        <v>36</v>
      </c>
      <c r="AB179" s="1" t="s">
        <v>54</v>
      </c>
      <c r="AC179" s="1" t="s">
        <v>57</v>
      </c>
      <c r="AD179" s="1" t="s">
        <v>58</v>
      </c>
      <c r="AE179" s="1" t="s">
        <v>59</v>
      </c>
      <c r="AF179" s="1" t="s">
        <v>54</v>
      </c>
      <c r="AG179" s="1" t="s">
        <v>60</v>
      </c>
      <c r="AH179" s="1" t="s">
        <v>120</v>
      </c>
    </row>
    <row r="180" spans="1:34" x14ac:dyDescent="0.3">
      <c r="A180" s="1" t="s">
        <v>74</v>
      </c>
      <c r="B180" s="1" t="s">
        <v>41</v>
      </c>
      <c r="C180" s="1" t="s">
        <v>76</v>
      </c>
      <c r="D180" s="1" t="s">
        <v>83</v>
      </c>
      <c r="E180" s="1" t="s">
        <v>38</v>
      </c>
      <c r="F180" s="1" t="s">
        <v>39</v>
      </c>
      <c r="G180" s="1" t="s">
        <v>40</v>
      </c>
      <c r="H180" s="1" t="s">
        <v>35</v>
      </c>
      <c r="I180" s="1" t="s">
        <v>35</v>
      </c>
      <c r="J180" s="1" t="s">
        <v>39</v>
      </c>
      <c r="K180" s="1" t="s">
        <v>59</v>
      </c>
      <c r="L180" s="1" t="s">
        <v>66</v>
      </c>
      <c r="M180" s="1" t="s">
        <v>44</v>
      </c>
      <c r="N180" s="1" t="s">
        <v>49</v>
      </c>
      <c r="O180" s="1" t="s">
        <v>45</v>
      </c>
      <c r="P180" s="1" t="s">
        <v>46</v>
      </c>
      <c r="Q180" s="1" t="s">
        <v>47</v>
      </c>
      <c r="R180" s="1" t="s">
        <v>80</v>
      </c>
      <c r="S180" s="1" t="s">
        <v>49</v>
      </c>
      <c r="T180" s="1" t="s">
        <v>50</v>
      </c>
      <c r="U180" s="1" t="s">
        <v>51</v>
      </c>
      <c r="V180" s="1" t="s">
        <v>81</v>
      </c>
      <c r="W180" s="1" t="s">
        <v>53</v>
      </c>
      <c r="X180" s="1" t="s">
        <v>54</v>
      </c>
      <c r="Y180" s="1" t="s">
        <v>55</v>
      </c>
      <c r="Z180" s="1" t="s">
        <v>82</v>
      </c>
      <c r="AA180" s="1" t="s">
        <v>36</v>
      </c>
      <c r="AB180" s="1" t="s">
        <v>54</v>
      </c>
      <c r="AC180" s="1" t="s">
        <v>57</v>
      </c>
      <c r="AD180" s="1" t="s">
        <v>58</v>
      </c>
      <c r="AE180" s="1" t="s">
        <v>42</v>
      </c>
      <c r="AF180" s="1" t="s">
        <v>54</v>
      </c>
      <c r="AG180" s="1" t="s">
        <v>75</v>
      </c>
      <c r="AH180" s="1" t="s">
        <v>120</v>
      </c>
    </row>
    <row r="181" spans="1:34" x14ac:dyDescent="0.3">
      <c r="A181" s="1" t="s">
        <v>34</v>
      </c>
      <c r="B181" s="1" t="s">
        <v>35</v>
      </c>
      <c r="C181" s="1" t="s">
        <v>36</v>
      </c>
      <c r="D181" s="1" t="s">
        <v>37</v>
      </c>
      <c r="E181" s="1" t="s">
        <v>77</v>
      </c>
      <c r="F181" s="1" t="s">
        <v>39</v>
      </c>
      <c r="G181" s="1" t="s">
        <v>40</v>
      </c>
      <c r="H181" s="1" t="s">
        <v>35</v>
      </c>
      <c r="I181" s="1" t="s">
        <v>41</v>
      </c>
      <c r="J181" s="1" t="s">
        <v>39</v>
      </c>
      <c r="K181" s="1" t="s">
        <v>42</v>
      </c>
      <c r="L181" s="1" t="s">
        <v>40</v>
      </c>
      <c r="M181" s="1" t="s">
        <v>44</v>
      </c>
      <c r="N181" s="1" t="s">
        <v>81</v>
      </c>
      <c r="O181" s="1" t="s">
        <v>81</v>
      </c>
      <c r="P181" s="1" t="s">
        <v>104</v>
      </c>
      <c r="Q181" s="1" t="s">
        <v>47</v>
      </c>
      <c r="R181" s="1" t="s">
        <v>48</v>
      </c>
      <c r="S181" s="1" t="s">
        <v>49</v>
      </c>
      <c r="T181" s="1" t="s">
        <v>50</v>
      </c>
      <c r="U181" s="1" t="s">
        <v>51</v>
      </c>
      <c r="V181" s="1" t="s">
        <v>52</v>
      </c>
      <c r="W181" s="1" t="s">
        <v>53</v>
      </c>
      <c r="X181" s="1" t="s">
        <v>54</v>
      </c>
      <c r="Y181" s="1" t="s">
        <v>55</v>
      </c>
      <c r="Z181" s="1" t="s">
        <v>56</v>
      </c>
      <c r="AA181" s="1" t="s">
        <v>36</v>
      </c>
      <c r="AB181" s="1" t="s">
        <v>54</v>
      </c>
      <c r="AC181" s="1" t="s">
        <v>57</v>
      </c>
      <c r="AD181" s="1" t="s">
        <v>58</v>
      </c>
      <c r="AE181" s="1" t="s">
        <v>59</v>
      </c>
      <c r="AF181" s="1" t="s">
        <v>54</v>
      </c>
      <c r="AG181" s="1" t="s">
        <v>75</v>
      </c>
      <c r="AH181" s="1" t="s">
        <v>120</v>
      </c>
    </row>
    <row r="182" spans="1:34" x14ac:dyDescent="0.3">
      <c r="A182" s="1" t="s">
        <v>99</v>
      </c>
      <c r="B182" s="1" t="s">
        <v>35</v>
      </c>
      <c r="C182" s="1" t="s">
        <v>36</v>
      </c>
      <c r="D182" s="1" t="s">
        <v>37</v>
      </c>
      <c r="E182" s="1" t="s">
        <v>77</v>
      </c>
      <c r="F182" s="1" t="s">
        <v>39</v>
      </c>
      <c r="G182" s="1" t="s">
        <v>40</v>
      </c>
      <c r="H182" s="1" t="s">
        <v>35</v>
      </c>
      <c r="I182" s="1" t="s">
        <v>35</v>
      </c>
      <c r="J182" s="1" t="s">
        <v>39</v>
      </c>
      <c r="K182" s="1" t="s">
        <v>42</v>
      </c>
      <c r="L182" s="1" t="s">
        <v>43</v>
      </c>
      <c r="M182" s="1" t="s">
        <v>44</v>
      </c>
      <c r="N182" s="1" t="s">
        <v>45</v>
      </c>
      <c r="O182" s="1" t="s">
        <v>45</v>
      </c>
      <c r="P182" s="1" t="s">
        <v>46</v>
      </c>
      <c r="Q182" s="1" t="s">
        <v>47</v>
      </c>
      <c r="R182" s="1" t="s">
        <v>48</v>
      </c>
      <c r="S182" s="1" t="s">
        <v>49</v>
      </c>
      <c r="T182" s="1" t="s">
        <v>50</v>
      </c>
      <c r="U182" s="1" t="s">
        <v>51</v>
      </c>
      <c r="V182" s="1" t="s">
        <v>52</v>
      </c>
      <c r="W182" s="1" t="s">
        <v>53</v>
      </c>
      <c r="X182" s="1" t="s">
        <v>54</v>
      </c>
      <c r="Y182" s="1" t="s">
        <v>74</v>
      </c>
      <c r="Z182" s="1" t="s">
        <v>56</v>
      </c>
      <c r="AA182" s="1" t="s">
        <v>36</v>
      </c>
      <c r="AB182" s="1" t="s">
        <v>54</v>
      </c>
      <c r="AC182" s="1" t="s">
        <v>57</v>
      </c>
      <c r="AD182" s="1" t="s">
        <v>58</v>
      </c>
      <c r="AE182" s="1" t="s">
        <v>59</v>
      </c>
      <c r="AF182" s="1" t="s">
        <v>54</v>
      </c>
      <c r="AG182" s="1" t="s">
        <v>75</v>
      </c>
      <c r="AH182" s="1" t="s">
        <v>120</v>
      </c>
    </row>
    <row r="183" spans="1:34" x14ac:dyDescent="0.3">
      <c r="A183" s="1" t="s">
        <v>91</v>
      </c>
      <c r="B183" s="1" t="s">
        <v>35</v>
      </c>
      <c r="C183" s="1" t="s">
        <v>36</v>
      </c>
      <c r="D183" s="1" t="s">
        <v>37</v>
      </c>
      <c r="E183" s="1" t="s">
        <v>77</v>
      </c>
      <c r="F183" s="1" t="s">
        <v>39</v>
      </c>
      <c r="G183" s="1" t="s">
        <v>40</v>
      </c>
      <c r="H183" s="1" t="s">
        <v>35</v>
      </c>
      <c r="I183" s="1" t="s">
        <v>35</v>
      </c>
      <c r="J183" s="1" t="s">
        <v>39</v>
      </c>
      <c r="K183" s="1" t="s">
        <v>42</v>
      </c>
      <c r="L183" s="1" t="s">
        <v>79</v>
      </c>
      <c r="M183" s="1" t="s">
        <v>44</v>
      </c>
      <c r="N183" s="1" t="s">
        <v>45</v>
      </c>
      <c r="O183" s="1" t="s">
        <v>45</v>
      </c>
      <c r="P183" s="1" t="s">
        <v>46</v>
      </c>
      <c r="Q183" s="1" t="s">
        <v>47</v>
      </c>
      <c r="R183" s="1" t="s">
        <v>80</v>
      </c>
      <c r="S183" s="1" t="s">
        <v>49</v>
      </c>
      <c r="T183" s="1" t="s">
        <v>50</v>
      </c>
      <c r="U183" s="1" t="s">
        <v>51</v>
      </c>
      <c r="V183" s="1" t="s">
        <v>52</v>
      </c>
      <c r="W183" s="1" t="s">
        <v>53</v>
      </c>
      <c r="X183" s="1" t="s">
        <v>54</v>
      </c>
      <c r="Y183" s="1" t="s">
        <v>74</v>
      </c>
      <c r="Z183" s="1" t="s">
        <v>82</v>
      </c>
      <c r="AA183" s="1" t="s">
        <v>36</v>
      </c>
      <c r="AB183" s="1" t="s">
        <v>54</v>
      </c>
      <c r="AC183" s="1" t="s">
        <v>57</v>
      </c>
      <c r="AD183" s="1" t="s">
        <v>58</v>
      </c>
      <c r="AE183" s="1" t="s">
        <v>59</v>
      </c>
      <c r="AF183" s="1" t="s">
        <v>54</v>
      </c>
      <c r="AG183" s="1" t="s">
        <v>75</v>
      </c>
      <c r="AH183" s="1" t="s">
        <v>120</v>
      </c>
    </row>
    <row r="184" spans="1:34" x14ac:dyDescent="0.3">
      <c r="A184" s="1" t="s">
        <v>91</v>
      </c>
      <c r="B184" s="1" t="s">
        <v>41</v>
      </c>
      <c r="C184" s="1" t="s">
        <v>76</v>
      </c>
      <c r="D184" s="1" t="s">
        <v>37</v>
      </c>
      <c r="E184" s="1" t="s">
        <v>77</v>
      </c>
      <c r="F184" s="1" t="s">
        <v>39</v>
      </c>
      <c r="G184" s="1" t="s">
        <v>40</v>
      </c>
      <c r="H184" s="1" t="s">
        <v>35</v>
      </c>
      <c r="I184" s="1" t="s">
        <v>94</v>
      </c>
      <c r="J184" s="1" t="s">
        <v>39</v>
      </c>
      <c r="K184" s="1" t="s">
        <v>42</v>
      </c>
      <c r="L184" s="1" t="s">
        <v>43</v>
      </c>
      <c r="M184" s="1" t="s">
        <v>44</v>
      </c>
      <c r="N184" s="1" t="s">
        <v>45</v>
      </c>
      <c r="O184" s="1" t="s">
        <v>45</v>
      </c>
      <c r="P184" s="1" t="s">
        <v>46</v>
      </c>
      <c r="Q184" s="1" t="s">
        <v>47</v>
      </c>
      <c r="R184" s="1" t="s">
        <v>80</v>
      </c>
      <c r="S184" s="1" t="s">
        <v>49</v>
      </c>
      <c r="T184" s="1" t="s">
        <v>50</v>
      </c>
      <c r="U184" s="1" t="s">
        <v>51</v>
      </c>
      <c r="V184" s="1" t="s">
        <v>52</v>
      </c>
      <c r="W184" s="1" t="s">
        <v>53</v>
      </c>
      <c r="X184" s="1" t="s">
        <v>54</v>
      </c>
      <c r="Y184" s="1" t="s">
        <v>55</v>
      </c>
      <c r="Z184" s="1" t="s">
        <v>56</v>
      </c>
      <c r="AA184" s="1" t="s">
        <v>36</v>
      </c>
      <c r="AB184" s="1" t="s">
        <v>54</v>
      </c>
      <c r="AC184" s="1" t="s">
        <v>57</v>
      </c>
      <c r="AD184" s="1" t="s">
        <v>58</v>
      </c>
      <c r="AE184" s="1" t="s">
        <v>42</v>
      </c>
      <c r="AF184" s="1" t="s">
        <v>54</v>
      </c>
      <c r="AG184" s="1" t="s">
        <v>75</v>
      </c>
      <c r="AH184" s="1" t="s">
        <v>120</v>
      </c>
    </row>
    <row r="185" spans="1:34" x14ac:dyDescent="0.3">
      <c r="A185" s="1" t="s">
        <v>34</v>
      </c>
      <c r="B185" s="1" t="s">
        <v>41</v>
      </c>
      <c r="C185" s="1" t="s">
        <v>76</v>
      </c>
      <c r="D185" s="1" t="s">
        <v>37</v>
      </c>
      <c r="E185" s="1" t="s">
        <v>38</v>
      </c>
      <c r="F185" s="1" t="s">
        <v>39</v>
      </c>
      <c r="G185" s="1" t="s">
        <v>40</v>
      </c>
      <c r="H185" s="1" t="s">
        <v>35</v>
      </c>
      <c r="I185" s="1" t="s">
        <v>94</v>
      </c>
      <c r="J185" s="1" t="s">
        <v>39</v>
      </c>
      <c r="K185" s="1" t="s">
        <v>42</v>
      </c>
      <c r="L185" s="1" t="s">
        <v>79</v>
      </c>
      <c r="M185" s="1" t="s">
        <v>44</v>
      </c>
      <c r="N185" s="1" t="s">
        <v>45</v>
      </c>
      <c r="O185" s="1" t="s">
        <v>45</v>
      </c>
      <c r="P185" s="1" t="s">
        <v>46</v>
      </c>
      <c r="Q185" s="1" t="s">
        <v>93</v>
      </c>
      <c r="R185" s="1" t="s">
        <v>48</v>
      </c>
      <c r="S185" s="1" t="s">
        <v>49</v>
      </c>
      <c r="T185" s="1" t="s">
        <v>50</v>
      </c>
      <c r="U185" s="1" t="s">
        <v>51</v>
      </c>
      <c r="V185" s="1" t="s">
        <v>52</v>
      </c>
      <c r="W185" s="1" t="s">
        <v>53</v>
      </c>
      <c r="X185" s="1" t="s">
        <v>54</v>
      </c>
      <c r="Y185" s="1" t="s">
        <v>55</v>
      </c>
      <c r="Z185" s="1" t="s">
        <v>56</v>
      </c>
      <c r="AA185" s="1" t="s">
        <v>36</v>
      </c>
      <c r="AB185" s="1" t="s">
        <v>54</v>
      </c>
      <c r="AC185" s="1" t="s">
        <v>57</v>
      </c>
      <c r="AD185" s="1" t="s">
        <v>58</v>
      </c>
      <c r="AE185" s="1" t="s">
        <v>59</v>
      </c>
      <c r="AF185" s="1" t="s">
        <v>54</v>
      </c>
      <c r="AG185" s="1" t="s">
        <v>75</v>
      </c>
      <c r="AH185" s="1" t="s">
        <v>120</v>
      </c>
    </row>
    <row r="186" spans="1:34" x14ac:dyDescent="0.3">
      <c r="A186" s="1" t="s">
        <v>74</v>
      </c>
      <c r="B186" s="1" t="s">
        <v>41</v>
      </c>
      <c r="C186" s="1" t="s">
        <v>76</v>
      </c>
      <c r="D186" s="1" t="s">
        <v>107</v>
      </c>
      <c r="E186" s="1" t="s">
        <v>38</v>
      </c>
      <c r="F186" s="1" t="s">
        <v>39</v>
      </c>
      <c r="G186" s="1" t="s">
        <v>40</v>
      </c>
      <c r="H186" s="1" t="s">
        <v>35</v>
      </c>
      <c r="I186" s="1" t="s">
        <v>41</v>
      </c>
      <c r="J186" s="1" t="s">
        <v>92</v>
      </c>
      <c r="K186" s="1" t="s">
        <v>42</v>
      </c>
      <c r="L186" s="1" t="s">
        <v>43</v>
      </c>
      <c r="M186" s="1" t="s">
        <v>44</v>
      </c>
      <c r="N186" s="1" t="s">
        <v>45</v>
      </c>
      <c r="O186" s="1" t="s">
        <v>45</v>
      </c>
      <c r="P186" s="1" t="s">
        <v>46</v>
      </c>
      <c r="Q186" s="1" t="s">
        <v>47</v>
      </c>
      <c r="R186" s="1" t="s">
        <v>80</v>
      </c>
      <c r="S186" s="1" t="s">
        <v>49</v>
      </c>
      <c r="T186" s="1" t="s">
        <v>50</v>
      </c>
      <c r="U186" s="1" t="s">
        <v>51</v>
      </c>
      <c r="V186" s="1" t="s">
        <v>52</v>
      </c>
      <c r="W186" s="1" t="s">
        <v>53</v>
      </c>
      <c r="X186" s="1" t="s">
        <v>54</v>
      </c>
      <c r="Y186" s="1" t="s">
        <v>55</v>
      </c>
      <c r="Z186" s="1" t="s">
        <v>82</v>
      </c>
      <c r="AA186" s="1" t="s">
        <v>36</v>
      </c>
      <c r="AB186" s="1" t="s">
        <v>54</v>
      </c>
      <c r="AC186" s="1" t="s">
        <v>57</v>
      </c>
      <c r="AD186" s="1" t="s">
        <v>58</v>
      </c>
      <c r="AE186" s="1" t="s">
        <v>42</v>
      </c>
      <c r="AF186" s="1" t="s">
        <v>54</v>
      </c>
      <c r="AG186" s="1" t="s">
        <v>75</v>
      </c>
      <c r="AH186" s="1" t="s">
        <v>120</v>
      </c>
    </row>
    <row r="187" spans="1:34" x14ac:dyDescent="0.3">
      <c r="A187" s="1" t="s">
        <v>91</v>
      </c>
      <c r="B187" s="1" t="s">
        <v>61</v>
      </c>
      <c r="C187" s="1" t="s">
        <v>62</v>
      </c>
      <c r="D187" s="1" t="s">
        <v>63</v>
      </c>
      <c r="E187" s="1" t="s">
        <v>64</v>
      </c>
      <c r="F187" s="1" t="s">
        <v>65</v>
      </c>
      <c r="G187" s="1" t="s">
        <v>66</v>
      </c>
      <c r="H187" s="1" t="s">
        <v>61</v>
      </c>
      <c r="I187" s="1" t="s">
        <v>61</v>
      </c>
      <c r="J187" s="1" t="s">
        <v>65</v>
      </c>
      <c r="K187" s="1" t="s">
        <v>67</v>
      </c>
      <c r="L187" s="1" t="s">
        <v>66</v>
      </c>
      <c r="M187" s="1" t="s">
        <v>68</v>
      </c>
      <c r="N187" s="1" t="s">
        <v>63</v>
      </c>
      <c r="O187" s="1" t="s">
        <v>63</v>
      </c>
      <c r="P187" s="1" t="s">
        <v>69</v>
      </c>
      <c r="Q187" s="1" t="s">
        <v>70</v>
      </c>
      <c r="R187" s="1" t="s">
        <v>71</v>
      </c>
      <c r="S187" s="1" t="s">
        <v>63</v>
      </c>
      <c r="T187" s="1" t="s">
        <v>69</v>
      </c>
      <c r="U187" s="1" t="s">
        <v>69</v>
      </c>
      <c r="V187" s="1" t="s">
        <v>63</v>
      </c>
      <c r="W187" s="1" t="s">
        <v>68</v>
      </c>
      <c r="X187" s="1" t="s">
        <v>72</v>
      </c>
      <c r="Y187" s="1" t="s">
        <v>72</v>
      </c>
      <c r="Z187" s="1" t="s">
        <v>62</v>
      </c>
      <c r="AA187" s="1" t="s">
        <v>62</v>
      </c>
      <c r="AB187" s="1" t="s">
        <v>72</v>
      </c>
      <c r="AC187" s="1" t="s">
        <v>73</v>
      </c>
      <c r="AD187" s="1" t="s">
        <v>73</v>
      </c>
      <c r="AE187" s="1" t="s">
        <v>67</v>
      </c>
      <c r="AF187" s="1" t="s">
        <v>72</v>
      </c>
      <c r="AG187" s="1" t="s">
        <v>71</v>
      </c>
      <c r="AH187" s="1" t="s">
        <v>120</v>
      </c>
    </row>
    <row r="188" spans="1:34" x14ac:dyDescent="0.3">
      <c r="A188" s="1" t="s">
        <v>54</v>
      </c>
      <c r="B188" s="1" t="s">
        <v>87</v>
      </c>
      <c r="C188" s="1" t="s">
        <v>82</v>
      </c>
      <c r="D188" s="1" t="s">
        <v>37</v>
      </c>
      <c r="E188" s="1" t="s">
        <v>77</v>
      </c>
      <c r="F188" s="1" t="s">
        <v>39</v>
      </c>
      <c r="G188" s="1" t="s">
        <v>40</v>
      </c>
      <c r="H188" s="1" t="s">
        <v>41</v>
      </c>
      <c r="I188" s="1" t="s">
        <v>41</v>
      </c>
      <c r="J188" s="1" t="s">
        <v>39</v>
      </c>
      <c r="K188" s="1" t="s">
        <v>42</v>
      </c>
      <c r="L188" s="1" t="s">
        <v>40</v>
      </c>
      <c r="M188" s="1" t="s">
        <v>44</v>
      </c>
      <c r="N188" s="1" t="s">
        <v>45</v>
      </c>
      <c r="O188" s="1" t="s">
        <v>45</v>
      </c>
      <c r="P188" s="1" t="s">
        <v>46</v>
      </c>
      <c r="Q188" s="1" t="s">
        <v>47</v>
      </c>
      <c r="R188" s="1" t="s">
        <v>48</v>
      </c>
      <c r="S188" s="1" t="s">
        <v>49</v>
      </c>
      <c r="T188" s="1" t="s">
        <v>50</v>
      </c>
      <c r="U188" s="1" t="s">
        <v>51</v>
      </c>
      <c r="V188" s="1" t="s">
        <v>81</v>
      </c>
      <c r="W188" s="1" t="s">
        <v>53</v>
      </c>
      <c r="X188" s="1" t="s">
        <v>54</v>
      </c>
      <c r="Y188" s="1" t="s">
        <v>74</v>
      </c>
      <c r="Z188" s="1" t="s">
        <v>82</v>
      </c>
      <c r="AA188" s="1" t="s">
        <v>36</v>
      </c>
      <c r="AB188" s="1" t="s">
        <v>54</v>
      </c>
      <c r="AC188" s="1" t="s">
        <v>57</v>
      </c>
      <c r="AD188" s="1" t="s">
        <v>58</v>
      </c>
      <c r="AE188" s="1" t="s">
        <v>59</v>
      </c>
      <c r="AF188" s="1" t="s">
        <v>54</v>
      </c>
      <c r="AG188" s="1" t="s">
        <v>75</v>
      </c>
      <c r="AH188" s="1" t="s">
        <v>120</v>
      </c>
    </row>
    <row r="189" spans="1:34" x14ac:dyDescent="0.3">
      <c r="A189" s="1" t="s">
        <v>55</v>
      </c>
      <c r="B189" s="1" t="s">
        <v>41</v>
      </c>
      <c r="C189" s="1" t="s">
        <v>76</v>
      </c>
      <c r="D189" s="1" t="s">
        <v>83</v>
      </c>
      <c r="E189" s="1" t="s">
        <v>38</v>
      </c>
      <c r="F189" s="1" t="s">
        <v>39</v>
      </c>
      <c r="G189" s="1" t="s">
        <v>40</v>
      </c>
      <c r="H189" s="1" t="s">
        <v>35</v>
      </c>
      <c r="I189" s="1" t="s">
        <v>94</v>
      </c>
      <c r="J189" s="1" t="s">
        <v>92</v>
      </c>
      <c r="K189" s="1" t="s">
        <v>59</v>
      </c>
      <c r="L189" s="1" t="s">
        <v>66</v>
      </c>
      <c r="M189" s="1" t="s">
        <v>44</v>
      </c>
      <c r="N189" s="1" t="s">
        <v>45</v>
      </c>
      <c r="O189" s="1" t="s">
        <v>45</v>
      </c>
      <c r="P189" s="1" t="s">
        <v>46</v>
      </c>
      <c r="Q189" s="1" t="s">
        <v>47</v>
      </c>
      <c r="R189" s="1" t="s">
        <v>80</v>
      </c>
      <c r="S189" s="1" t="s">
        <v>49</v>
      </c>
      <c r="T189" s="1" t="s">
        <v>50</v>
      </c>
      <c r="U189" s="1" t="s">
        <v>51</v>
      </c>
      <c r="V189" s="1" t="s">
        <v>81</v>
      </c>
      <c r="W189" s="1" t="s">
        <v>53</v>
      </c>
      <c r="X189" s="1" t="s">
        <v>54</v>
      </c>
      <c r="Y189" s="1" t="s">
        <v>74</v>
      </c>
      <c r="Z189" s="1" t="s">
        <v>82</v>
      </c>
      <c r="AA189" s="1" t="s">
        <v>36</v>
      </c>
      <c r="AB189" s="1" t="s">
        <v>54</v>
      </c>
      <c r="AC189" s="1" t="s">
        <v>57</v>
      </c>
      <c r="AD189" s="1" t="s">
        <v>58</v>
      </c>
      <c r="AE189" s="1" t="s">
        <v>42</v>
      </c>
      <c r="AF189" s="1" t="s">
        <v>54</v>
      </c>
      <c r="AG189" s="1" t="s">
        <v>75</v>
      </c>
      <c r="AH189" s="1" t="s">
        <v>120</v>
      </c>
    </row>
    <row r="190" spans="1:34" x14ac:dyDescent="0.3">
      <c r="A190" s="1" t="s">
        <v>54</v>
      </c>
      <c r="B190" s="1" t="s">
        <v>35</v>
      </c>
      <c r="C190" s="1" t="s">
        <v>36</v>
      </c>
      <c r="D190" s="1" t="s">
        <v>37</v>
      </c>
      <c r="E190" s="1" t="s">
        <v>38</v>
      </c>
      <c r="F190" s="1" t="s">
        <v>39</v>
      </c>
      <c r="G190" s="1" t="s">
        <v>40</v>
      </c>
      <c r="H190" s="1" t="s">
        <v>35</v>
      </c>
      <c r="I190" s="1" t="s">
        <v>41</v>
      </c>
      <c r="J190" s="1" t="s">
        <v>39</v>
      </c>
      <c r="K190" s="1" t="s">
        <v>59</v>
      </c>
      <c r="L190" s="1" t="s">
        <v>66</v>
      </c>
      <c r="M190" s="1" t="s">
        <v>44</v>
      </c>
      <c r="N190" s="1" t="s">
        <v>45</v>
      </c>
      <c r="O190" s="1" t="s">
        <v>45</v>
      </c>
      <c r="P190" s="1" t="s">
        <v>46</v>
      </c>
      <c r="Q190" s="1" t="s">
        <v>47</v>
      </c>
      <c r="R190" s="1" t="s">
        <v>48</v>
      </c>
      <c r="S190" s="1" t="s">
        <v>49</v>
      </c>
      <c r="T190" s="1" t="s">
        <v>50</v>
      </c>
      <c r="U190" s="1" t="s">
        <v>51</v>
      </c>
      <c r="V190" s="1" t="s">
        <v>52</v>
      </c>
      <c r="W190" s="1" t="s">
        <v>53</v>
      </c>
      <c r="X190" s="1" t="s">
        <v>54</v>
      </c>
      <c r="Y190" s="1" t="s">
        <v>55</v>
      </c>
      <c r="Z190" s="1" t="s">
        <v>56</v>
      </c>
      <c r="AA190" s="1" t="s">
        <v>36</v>
      </c>
      <c r="AB190" s="1" t="s">
        <v>54</v>
      </c>
      <c r="AC190" s="1" t="s">
        <v>57</v>
      </c>
      <c r="AD190" s="1" t="s">
        <v>58</v>
      </c>
      <c r="AE190" s="1" t="s">
        <v>59</v>
      </c>
      <c r="AF190" s="1" t="s">
        <v>54</v>
      </c>
      <c r="AG190" s="1" t="s">
        <v>75</v>
      </c>
      <c r="AH190" s="1" t="s">
        <v>120</v>
      </c>
    </row>
    <row r="191" spans="1:34" x14ac:dyDescent="0.3">
      <c r="A191" s="1" t="s">
        <v>34</v>
      </c>
      <c r="B191" s="1" t="s">
        <v>41</v>
      </c>
      <c r="C191" s="1" t="s">
        <v>76</v>
      </c>
      <c r="D191" s="1" t="s">
        <v>37</v>
      </c>
      <c r="E191" s="1" t="s">
        <v>38</v>
      </c>
      <c r="F191" s="1" t="s">
        <v>39</v>
      </c>
      <c r="G191" s="1" t="s">
        <v>40</v>
      </c>
      <c r="H191" s="1" t="s">
        <v>35</v>
      </c>
      <c r="I191" s="1" t="s">
        <v>87</v>
      </c>
      <c r="J191" s="1" t="s">
        <v>39</v>
      </c>
      <c r="K191" s="1" t="s">
        <v>42</v>
      </c>
      <c r="L191" s="1" t="s">
        <v>43</v>
      </c>
      <c r="M191" s="1" t="s">
        <v>44</v>
      </c>
      <c r="N191" s="1" t="s">
        <v>45</v>
      </c>
      <c r="O191" s="1" t="s">
        <v>45</v>
      </c>
      <c r="P191" s="1" t="s">
        <v>50</v>
      </c>
      <c r="Q191" s="1" t="s">
        <v>47</v>
      </c>
      <c r="R191" s="1" t="s">
        <v>48</v>
      </c>
      <c r="S191" s="1" t="s">
        <v>49</v>
      </c>
      <c r="T191" s="1" t="s">
        <v>50</v>
      </c>
      <c r="U191" s="1" t="s">
        <v>51</v>
      </c>
      <c r="V191" s="1" t="s">
        <v>52</v>
      </c>
      <c r="W191" s="1" t="s">
        <v>53</v>
      </c>
      <c r="X191" s="1" t="s">
        <v>54</v>
      </c>
      <c r="Y191" s="1" t="s">
        <v>74</v>
      </c>
      <c r="Z191" s="1" t="s">
        <v>56</v>
      </c>
      <c r="AA191" s="1" t="s">
        <v>36</v>
      </c>
      <c r="AB191" s="1" t="s">
        <v>54</v>
      </c>
      <c r="AC191" s="1" t="s">
        <v>57</v>
      </c>
      <c r="AD191" s="1" t="s">
        <v>58</v>
      </c>
      <c r="AE191" s="1" t="s">
        <v>42</v>
      </c>
      <c r="AF191" s="1" t="s">
        <v>54</v>
      </c>
      <c r="AG191" s="1" t="s">
        <v>75</v>
      </c>
      <c r="AH191" s="1" t="s">
        <v>120</v>
      </c>
    </row>
    <row r="192" spans="1:34" x14ac:dyDescent="0.3">
      <c r="A192" s="1" t="s">
        <v>55</v>
      </c>
      <c r="B192" s="1" t="s">
        <v>41</v>
      </c>
      <c r="C192" s="1" t="s">
        <v>82</v>
      </c>
      <c r="D192" s="1" t="s">
        <v>83</v>
      </c>
      <c r="E192" s="1" t="s">
        <v>38</v>
      </c>
      <c r="F192" s="1" t="s">
        <v>39</v>
      </c>
      <c r="G192" s="1" t="s">
        <v>40</v>
      </c>
      <c r="H192" s="1" t="s">
        <v>35</v>
      </c>
      <c r="I192" s="1" t="s">
        <v>35</v>
      </c>
      <c r="J192" s="1" t="s">
        <v>39</v>
      </c>
      <c r="K192" s="1" t="s">
        <v>42</v>
      </c>
      <c r="L192" s="1" t="s">
        <v>79</v>
      </c>
      <c r="M192" s="1" t="s">
        <v>106</v>
      </c>
      <c r="N192" s="1" t="s">
        <v>45</v>
      </c>
      <c r="O192" s="1" t="s">
        <v>45</v>
      </c>
      <c r="P192" s="1" t="s">
        <v>46</v>
      </c>
      <c r="Q192" s="1" t="s">
        <v>47</v>
      </c>
      <c r="R192" s="1" t="s">
        <v>48</v>
      </c>
      <c r="S192" s="1" t="s">
        <v>49</v>
      </c>
      <c r="T192" s="1" t="s">
        <v>50</v>
      </c>
      <c r="U192" s="1" t="s">
        <v>51</v>
      </c>
      <c r="V192" s="1" t="s">
        <v>52</v>
      </c>
      <c r="W192" s="1" t="s">
        <v>53</v>
      </c>
      <c r="X192" s="1" t="s">
        <v>54</v>
      </c>
      <c r="Y192" s="1" t="s">
        <v>55</v>
      </c>
      <c r="Z192" s="1" t="s">
        <v>56</v>
      </c>
      <c r="AA192" s="1" t="s">
        <v>36</v>
      </c>
      <c r="AB192" s="1" t="s">
        <v>54</v>
      </c>
      <c r="AC192" s="1" t="s">
        <v>57</v>
      </c>
      <c r="AD192" s="1" t="s">
        <v>58</v>
      </c>
      <c r="AE192" s="1" t="s">
        <v>42</v>
      </c>
      <c r="AF192" s="1" t="s">
        <v>54</v>
      </c>
      <c r="AG192" s="1" t="s">
        <v>75</v>
      </c>
      <c r="AH192" s="1" t="s">
        <v>120</v>
      </c>
    </row>
    <row r="193" spans="1:34" x14ac:dyDescent="0.3">
      <c r="A193" s="1" t="s">
        <v>34</v>
      </c>
      <c r="B193" s="1" t="s">
        <v>41</v>
      </c>
      <c r="C193" s="1" t="s">
        <v>76</v>
      </c>
      <c r="D193" s="1" t="s">
        <v>37</v>
      </c>
      <c r="E193" s="1" t="s">
        <v>38</v>
      </c>
      <c r="F193" s="1" t="s">
        <v>39</v>
      </c>
      <c r="G193" s="1" t="s">
        <v>40</v>
      </c>
      <c r="H193" s="1" t="s">
        <v>35</v>
      </c>
      <c r="I193" s="1" t="s">
        <v>35</v>
      </c>
      <c r="J193" s="1" t="s">
        <v>39</v>
      </c>
      <c r="K193" s="1" t="s">
        <v>42</v>
      </c>
      <c r="L193" s="1" t="s">
        <v>79</v>
      </c>
      <c r="M193" s="1" t="s">
        <v>44</v>
      </c>
      <c r="N193" s="1" t="s">
        <v>45</v>
      </c>
      <c r="O193" s="1" t="s">
        <v>45</v>
      </c>
      <c r="P193" s="1" t="s">
        <v>46</v>
      </c>
      <c r="Q193" s="1" t="s">
        <v>47</v>
      </c>
      <c r="R193" s="1" t="s">
        <v>80</v>
      </c>
      <c r="S193" s="1" t="s">
        <v>49</v>
      </c>
      <c r="T193" s="1" t="s">
        <v>50</v>
      </c>
      <c r="U193" s="1" t="s">
        <v>51</v>
      </c>
      <c r="V193" s="1" t="s">
        <v>52</v>
      </c>
      <c r="W193" s="1" t="s">
        <v>53</v>
      </c>
      <c r="X193" s="1" t="s">
        <v>54</v>
      </c>
      <c r="Y193" s="1" t="s">
        <v>55</v>
      </c>
      <c r="Z193" s="1" t="s">
        <v>82</v>
      </c>
      <c r="AA193" s="1" t="s">
        <v>36</v>
      </c>
      <c r="AB193" s="1" t="s">
        <v>54</v>
      </c>
      <c r="AC193" s="1" t="s">
        <v>57</v>
      </c>
      <c r="AD193" s="1" t="s">
        <v>58</v>
      </c>
      <c r="AE193" s="1" t="s">
        <v>42</v>
      </c>
      <c r="AF193" s="1" t="s">
        <v>54</v>
      </c>
      <c r="AG193" s="1" t="s">
        <v>75</v>
      </c>
      <c r="AH193" s="1" t="s">
        <v>120</v>
      </c>
    </row>
    <row r="194" spans="1:34" x14ac:dyDescent="0.3">
      <c r="A194" s="1" t="s">
        <v>99</v>
      </c>
      <c r="B194" s="1" t="s">
        <v>41</v>
      </c>
      <c r="C194" s="1" t="s">
        <v>56</v>
      </c>
      <c r="D194" s="1" t="s">
        <v>83</v>
      </c>
      <c r="E194" s="1" t="s">
        <v>38</v>
      </c>
      <c r="F194" s="1" t="s">
        <v>39</v>
      </c>
      <c r="G194" s="1" t="s">
        <v>40</v>
      </c>
      <c r="H194" s="1" t="s">
        <v>35</v>
      </c>
      <c r="I194" s="1" t="s">
        <v>41</v>
      </c>
      <c r="J194" s="1" t="s">
        <v>39</v>
      </c>
      <c r="K194" s="1" t="s">
        <v>42</v>
      </c>
      <c r="L194" s="1" t="s">
        <v>40</v>
      </c>
      <c r="M194" s="1" t="s">
        <v>84</v>
      </c>
      <c r="N194" s="1" t="s">
        <v>45</v>
      </c>
      <c r="O194" s="1" t="s">
        <v>45</v>
      </c>
      <c r="P194" s="1" t="s">
        <v>46</v>
      </c>
      <c r="Q194" s="1" t="s">
        <v>47</v>
      </c>
      <c r="R194" s="1" t="s">
        <v>80</v>
      </c>
      <c r="S194" s="1" t="s">
        <v>49</v>
      </c>
      <c r="T194" s="1" t="s">
        <v>50</v>
      </c>
      <c r="U194" s="1" t="s">
        <v>51</v>
      </c>
      <c r="V194" s="1" t="s">
        <v>52</v>
      </c>
      <c r="W194" s="1" t="s">
        <v>53</v>
      </c>
      <c r="X194" s="1" t="s">
        <v>54</v>
      </c>
      <c r="Y194" s="1" t="s">
        <v>55</v>
      </c>
      <c r="Z194" s="1" t="s">
        <v>56</v>
      </c>
      <c r="AA194" s="1" t="s">
        <v>36</v>
      </c>
      <c r="AB194" s="1" t="s">
        <v>54</v>
      </c>
      <c r="AC194" s="1" t="s">
        <v>57</v>
      </c>
      <c r="AD194" s="1" t="s">
        <v>58</v>
      </c>
      <c r="AE194" s="1" t="s">
        <v>59</v>
      </c>
      <c r="AF194" s="1" t="s">
        <v>54</v>
      </c>
      <c r="AG194" s="1" t="s">
        <v>75</v>
      </c>
      <c r="AH194" s="1" t="s">
        <v>120</v>
      </c>
    </row>
    <row r="195" spans="1:34" x14ac:dyDescent="0.3">
      <c r="A195" s="1" t="s">
        <v>91</v>
      </c>
      <c r="B195" s="1" t="s">
        <v>41</v>
      </c>
      <c r="C195" s="1" t="s">
        <v>56</v>
      </c>
      <c r="D195" s="1" t="s">
        <v>83</v>
      </c>
      <c r="E195" s="1" t="s">
        <v>38</v>
      </c>
      <c r="F195" s="1" t="s">
        <v>39</v>
      </c>
      <c r="G195" s="1" t="s">
        <v>40</v>
      </c>
      <c r="H195" s="1" t="s">
        <v>35</v>
      </c>
      <c r="I195" s="1" t="s">
        <v>35</v>
      </c>
      <c r="J195" s="1" t="s">
        <v>39</v>
      </c>
      <c r="K195" s="1" t="s">
        <v>42</v>
      </c>
      <c r="L195" s="1" t="s">
        <v>43</v>
      </c>
      <c r="M195" s="1" t="s">
        <v>44</v>
      </c>
      <c r="N195" s="1" t="s">
        <v>45</v>
      </c>
      <c r="O195" s="1" t="s">
        <v>45</v>
      </c>
      <c r="P195" s="1" t="s">
        <v>46</v>
      </c>
      <c r="Q195" s="1" t="s">
        <v>47</v>
      </c>
      <c r="R195" s="1" t="s">
        <v>80</v>
      </c>
      <c r="S195" s="1" t="s">
        <v>49</v>
      </c>
      <c r="T195" s="1" t="s">
        <v>50</v>
      </c>
      <c r="U195" s="1" t="s">
        <v>51</v>
      </c>
      <c r="V195" s="1" t="s">
        <v>52</v>
      </c>
      <c r="W195" s="1" t="s">
        <v>53</v>
      </c>
      <c r="X195" s="1" t="s">
        <v>54</v>
      </c>
      <c r="Y195" s="1" t="s">
        <v>55</v>
      </c>
      <c r="Z195" s="1" t="s">
        <v>56</v>
      </c>
      <c r="AA195" s="1" t="s">
        <v>36</v>
      </c>
      <c r="AB195" s="1" t="s">
        <v>54</v>
      </c>
      <c r="AC195" s="1" t="s">
        <v>57</v>
      </c>
      <c r="AD195" s="1" t="s">
        <v>58</v>
      </c>
      <c r="AE195" s="1" t="s">
        <v>42</v>
      </c>
      <c r="AF195" s="1" t="s">
        <v>54</v>
      </c>
      <c r="AG195" s="1" t="s">
        <v>60</v>
      </c>
      <c r="AH195" s="1" t="s">
        <v>120</v>
      </c>
    </row>
    <row r="196" spans="1:34" x14ac:dyDescent="0.3">
      <c r="A196" s="1" t="s">
        <v>54</v>
      </c>
      <c r="B196" s="1" t="s">
        <v>41</v>
      </c>
      <c r="C196" s="1" t="s">
        <v>82</v>
      </c>
      <c r="D196" s="1" t="s">
        <v>37</v>
      </c>
      <c r="E196" s="1" t="s">
        <v>38</v>
      </c>
      <c r="F196" s="1" t="s">
        <v>39</v>
      </c>
      <c r="G196" s="1" t="s">
        <v>40</v>
      </c>
      <c r="H196" s="1" t="s">
        <v>35</v>
      </c>
      <c r="I196" s="1" t="s">
        <v>35</v>
      </c>
      <c r="J196" s="1" t="s">
        <v>39</v>
      </c>
      <c r="K196" s="1" t="s">
        <v>42</v>
      </c>
      <c r="L196" s="1" t="s">
        <v>79</v>
      </c>
      <c r="M196" s="1" t="s">
        <v>44</v>
      </c>
      <c r="N196" s="1" t="s">
        <v>45</v>
      </c>
      <c r="O196" s="1" t="s">
        <v>45</v>
      </c>
      <c r="P196" s="1" t="s">
        <v>46</v>
      </c>
      <c r="Q196" s="1" t="s">
        <v>47</v>
      </c>
      <c r="R196" s="1" t="s">
        <v>48</v>
      </c>
      <c r="S196" s="1" t="s">
        <v>49</v>
      </c>
      <c r="T196" s="1" t="s">
        <v>50</v>
      </c>
      <c r="U196" s="1" t="s">
        <v>51</v>
      </c>
      <c r="V196" s="1" t="s">
        <v>52</v>
      </c>
      <c r="W196" s="1" t="s">
        <v>53</v>
      </c>
      <c r="X196" s="1" t="s">
        <v>54</v>
      </c>
      <c r="Y196" s="1" t="s">
        <v>74</v>
      </c>
      <c r="Z196" s="1" t="s">
        <v>56</v>
      </c>
      <c r="AA196" s="1" t="s">
        <v>36</v>
      </c>
      <c r="AB196" s="1" t="s">
        <v>54</v>
      </c>
      <c r="AC196" s="1" t="s">
        <v>57</v>
      </c>
      <c r="AD196" s="1" t="s">
        <v>58</v>
      </c>
      <c r="AE196" s="1" t="s">
        <v>42</v>
      </c>
      <c r="AF196" s="1" t="s">
        <v>54</v>
      </c>
      <c r="AG196" s="1" t="s">
        <v>60</v>
      </c>
      <c r="AH196" s="1" t="s">
        <v>120</v>
      </c>
    </row>
    <row r="197" spans="1:34" x14ac:dyDescent="0.3">
      <c r="A197" s="1" t="s">
        <v>99</v>
      </c>
      <c r="B197" s="1" t="s">
        <v>41</v>
      </c>
      <c r="C197" s="1" t="s">
        <v>56</v>
      </c>
      <c r="D197" s="1" t="s">
        <v>83</v>
      </c>
      <c r="E197" s="1" t="s">
        <v>38</v>
      </c>
      <c r="F197" s="1" t="s">
        <v>39</v>
      </c>
      <c r="G197" s="1" t="s">
        <v>40</v>
      </c>
      <c r="H197" s="1" t="s">
        <v>35</v>
      </c>
      <c r="I197" s="1" t="s">
        <v>35</v>
      </c>
      <c r="J197" s="1" t="s">
        <v>39</v>
      </c>
      <c r="K197" s="1" t="s">
        <v>42</v>
      </c>
      <c r="L197" s="1" t="s">
        <v>79</v>
      </c>
      <c r="M197" s="1" t="s">
        <v>44</v>
      </c>
      <c r="N197" s="1" t="s">
        <v>45</v>
      </c>
      <c r="O197" s="1" t="s">
        <v>45</v>
      </c>
      <c r="P197" s="1" t="s">
        <v>103</v>
      </c>
      <c r="Q197" s="1" t="s">
        <v>47</v>
      </c>
      <c r="R197" s="1" t="s">
        <v>48</v>
      </c>
      <c r="S197" s="1" t="s">
        <v>49</v>
      </c>
      <c r="T197" s="1" t="s">
        <v>50</v>
      </c>
      <c r="U197" s="1" t="s">
        <v>51</v>
      </c>
      <c r="V197" s="1" t="s">
        <v>52</v>
      </c>
      <c r="W197" s="1" t="s">
        <v>53</v>
      </c>
      <c r="X197" s="1" t="s">
        <v>54</v>
      </c>
      <c r="Y197" s="1" t="s">
        <v>55</v>
      </c>
      <c r="Z197" s="1" t="s">
        <v>56</v>
      </c>
      <c r="AA197" s="1" t="s">
        <v>36</v>
      </c>
      <c r="AB197" s="1" t="s">
        <v>54</v>
      </c>
      <c r="AC197" s="1" t="s">
        <v>57</v>
      </c>
      <c r="AD197" s="1" t="s">
        <v>58</v>
      </c>
      <c r="AE197" s="1" t="s">
        <v>59</v>
      </c>
      <c r="AF197" s="1" t="s">
        <v>54</v>
      </c>
      <c r="AG197" s="1" t="s">
        <v>71</v>
      </c>
      <c r="AH197" s="1" t="s">
        <v>120</v>
      </c>
    </row>
    <row r="198" spans="1:34" x14ac:dyDescent="0.3">
      <c r="A198" s="1" t="s">
        <v>109</v>
      </c>
      <c r="B198" s="1" t="s">
        <v>41</v>
      </c>
      <c r="C198" s="1" t="s">
        <v>82</v>
      </c>
      <c r="D198" s="1" t="s">
        <v>83</v>
      </c>
      <c r="E198" s="1" t="s">
        <v>38</v>
      </c>
      <c r="F198" s="1" t="s">
        <v>39</v>
      </c>
      <c r="G198" s="1" t="s">
        <v>110</v>
      </c>
      <c r="H198" s="1" t="s">
        <v>61</v>
      </c>
      <c r="I198" s="1" t="s">
        <v>41</v>
      </c>
      <c r="J198" s="1" t="s">
        <v>39</v>
      </c>
      <c r="K198" s="1" t="s">
        <v>42</v>
      </c>
      <c r="L198" s="1" t="s">
        <v>79</v>
      </c>
      <c r="M198" s="1" t="s">
        <v>44</v>
      </c>
      <c r="N198" s="1" t="s">
        <v>45</v>
      </c>
      <c r="O198" s="1" t="s">
        <v>52</v>
      </c>
      <c r="P198" s="1" t="s">
        <v>50</v>
      </c>
      <c r="Q198" s="1" t="s">
        <v>47</v>
      </c>
      <c r="R198" s="1" t="s">
        <v>48</v>
      </c>
      <c r="S198" s="1" t="s">
        <v>49</v>
      </c>
      <c r="T198" s="1" t="s">
        <v>50</v>
      </c>
      <c r="U198" s="1" t="s">
        <v>51</v>
      </c>
      <c r="V198" s="1" t="s">
        <v>52</v>
      </c>
      <c r="W198" s="1" t="s">
        <v>53</v>
      </c>
      <c r="X198" s="1" t="s">
        <v>54</v>
      </c>
      <c r="Y198" s="1" t="s">
        <v>55</v>
      </c>
      <c r="Z198" s="1" t="s">
        <v>56</v>
      </c>
      <c r="AA198" s="1" t="s">
        <v>36</v>
      </c>
      <c r="AB198" s="1" t="s">
        <v>54</v>
      </c>
      <c r="AC198" s="1" t="s">
        <v>57</v>
      </c>
      <c r="AD198" s="1" t="s">
        <v>58</v>
      </c>
      <c r="AE198" s="1" t="s">
        <v>59</v>
      </c>
      <c r="AF198" s="1" t="s">
        <v>54</v>
      </c>
      <c r="AG198" s="1" t="s">
        <v>75</v>
      </c>
      <c r="AH198" s="1" t="s">
        <v>120</v>
      </c>
    </row>
    <row r="199" spans="1:34" x14ac:dyDescent="0.3">
      <c r="A199" s="1" t="s">
        <v>54</v>
      </c>
      <c r="B199" s="1" t="s">
        <v>61</v>
      </c>
      <c r="C199" s="1" t="s">
        <v>62</v>
      </c>
      <c r="D199" s="1" t="s">
        <v>63</v>
      </c>
      <c r="E199" s="1" t="s">
        <v>64</v>
      </c>
      <c r="F199" s="1" t="s">
        <v>65</v>
      </c>
      <c r="G199" s="1" t="s">
        <v>66</v>
      </c>
      <c r="H199" s="1" t="s">
        <v>61</v>
      </c>
      <c r="I199" s="1" t="s">
        <v>61</v>
      </c>
      <c r="J199" s="1" t="s">
        <v>65</v>
      </c>
      <c r="K199" s="1" t="s">
        <v>67</v>
      </c>
      <c r="L199" s="1" t="s">
        <v>66</v>
      </c>
      <c r="M199" s="1" t="s">
        <v>68</v>
      </c>
      <c r="N199" s="1" t="s">
        <v>63</v>
      </c>
      <c r="O199" s="1" t="s">
        <v>63</v>
      </c>
      <c r="P199" s="1" t="s">
        <v>69</v>
      </c>
      <c r="Q199" s="1" t="s">
        <v>70</v>
      </c>
      <c r="R199" s="1" t="s">
        <v>71</v>
      </c>
      <c r="S199" s="1" t="s">
        <v>63</v>
      </c>
      <c r="T199" s="1" t="s">
        <v>69</v>
      </c>
      <c r="U199" s="1" t="s">
        <v>69</v>
      </c>
      <c r="V199" s="1" t="s">
        <v>63</v>
      </c>
      <c r="W199" s="1" t="s">
        <v>68</v>
      </c>
      <c r="X199" s="1" t="s">
        <v>72</v>
      </c>
      <c r="Y199" s="1" t="s">
        <v>72</v>
      </c>
      <c r="Z199" s="1" t="s">
        <v>62</v>
      </c>
      <c r="AA199" s="1" t="s">
        <v>62</v>
      </c>
      <c r="AB199" s="1" t="s">
        <v>72</v>
      </c>
      <c r="AC199" s="1" t="s">
        <v>73</v>
      </c>
      <c r="AD199" s="1" t="s">
        <v>73</v>
      </c>
      <c r="AE199" s="1" t="s">
        <v>67</v>
      </c>
      <c r="AF199" s="1" t="s">
        <v>72</v>
      </c>
      <c r="AG199" s="1" t="s">
        <v>71</v>
      </c>
      <c r="AH199" s="1" t="s">
        <v>120</v>
      </c>
    </row>
    <row r="200" spans="1:34" x14ac:dyDescent="0.3">
      <c r="A200" s="1" t="s">
        <v>54</v>
      </c>
      <c r="B200" s="1" t="s">
        <v>35</v>
      </c>
      <c r="C200" s="1" t="s">
        <v>36</v>
      </c>
      <c r="D200" s="1" t="s">
        <v>37</v>
      </c>
      <c r="E200" s="1" t="s">
        <v>77</v>
      </c>
      <c r="F200" s="1" t="s">
        <v>39</v>
      </c>
      <c r="G200" s="1" t="s">
        <v>40</v>
      </c>
      <c r="H200" s="1" t="s">
        <v>35</v>
      </c>
      <c r="I200" s="1" t="s">
        <v>35</v>
      </c>
      <c r="J200" s="1" t="s">
        <v>39</v>
      </c>
      <c r="K200" s="1" t="s">
        <v>42</v>
      </c>
      <c r="L200" s="1" t="s">
        <v>43</v>
      </c>
      <c r="M200" s="1" t="s">
        <v>44</v>
      </c>
      <c r="N200" s="1" t="s">
        <v>45</v>
      </c>
      <c r="O200" s="1" t="s">
        <v>45</v>
      </c>
      <c r="P200" s="1" t="s">
        <v>46</v>
      </c>
      <c r="Q200" s="1" t="s">
        <v>47</v>
      </c>
      <c r="R200" s="1" t="s">
        <v>48</v>
      </c>
      <c r="S200" s="1" t="s">
        <v>49</v>
      </c>
      <c r="T200" s="1" t="s">
        <v>50</v>
      </c>
      <c r="U200" s="1" t="s">
        <v>51</v>
      </c>
      <c r="V200" s="1" t="s">
        <v>52</v>
      </c>
      <c r="W200" s="1" t="s">
        <v>53</v>
      </c>
      <c r="X200" s="1" t="s">
        <v>54</v>
      </c>
      <c r="Y200" s="1" t="s">
        <v>55</v>
      </c>
      <c r="Z200" s="1" t="s">
        <v>56</v>
      </c>
      <c r="AA200" s="1" t="s">
        <v>36</v>
      </c>
      <c r="AB200" s="1" t="s">
        <v>54</v>
      </c>
      <c r="AC200" s="1" t="s">
        <v>57</v>
      </c>
      <c r="AD200" s="1" t="s">
        <v>58</v>
      </c>
      <c r="AE200" s="1" t="s">
        <v>59</v>
      </c>
      <c r="AF200" s="1" t="s">
        <v>54</v>
      </c>
      <c r="AG200" s="1" t="s">
        <v>75</v>
      </c>
      <c r="AH200" s="1" t="s">
        <v>120</v>
      </c>
    </row>
    <row r="201" spans="1:34" x14ac:dyDescent="0.3">
      <c r="A201" s="1" t="s">
        <v>55</v>
      </c>
      <c r="B201" s="1" t="s">
        <v>41</v>
      </c>
      <c r="C201" s="1" t="s">
        <v>76</v>
      </c>
      <c r="D201" s="1" t="s">
        <v>37</v>
      </c>
      <c r="E201" s="1" t="s">
        <v>77</v>
      </c>
      <c r="F201" s="1" t="s">
        <v>39</v>
      </c>
      <c r="G201" s="1" t="s">
        <v>40</v>
      </c>
      <c r="H201" s="1" t="s">
        <v>41</v>
      </c>
      <c r="I201" s="1" t="s">
        <v>35</v>
      </c>
      <c r="J201" s="1" t="s">
        <v>39</v>
      </c>
      <c r="K201" s="1" t="s">
        <v>42</v>
      </c>
      <c r="L201" s="1" t="s">
        <v>43</v>
      </c>
      <c r="M201" s="1" t="s">
        <v>44</v>
      </c>
      <c r="N201" s="1" t="s">
        <v>45</v>
      </c>
      <c r="O201" s="1" t="s">
        <v>45</v>
      </c>
      <c r="P201" s="1" t="s">
        <v>46</v>
      </c>
      <c r="Q201" s="1" t="s">
        <v>47</v>
      </c>
      <c r="R201" s="1" t="s">
        <v>80</v>
      </c>
      <c r="S201" s="1" t="s">
        <v>49</v>
      </c>
      <c r="T201" s="1" t="s">
        <v>50</v>
      </c>
      <c r="U201" s="1" t="s">
        <v>51</v>
      </c>
      <c r="V201" s="1" t="s">
        <v>52</v>
      </c>
      <c r="W201" s="1" t="s">
        <v>53</v>
      </c>
      <c r="X201" s="1" t="s">
        <v>54</v>
      </c>
      <c r="Y201" s="1" t="s">
        <v>55</v>
      </c>
      <c r="Z201" s="1" t="s">
        <v>56</v>
      </c>
      <c r="AA201" s="1" t="s">
        <v>36</v>
      </c>
      <c r="AB201" s="1" t="s">
        <v>54</v>
      </c>
      <c r="AC201" s="1" t="s">
        <v>57</v>
      </c>
      <c r="AD201" s="1" t="s">
        <v>58</v>
      </c>
      <c r="AE201" s="1" t="s">
        <v>42</v>
      </c>
      <c r="AF201" s="1" t="s">
        <v>54</v>
      </c>
      <c r="AG201" s="1" t="s">
        <v>75</v>
      </c>
      <c r="AH201" s="1" t="s">
        <v>120</v>
      </c>
    </row>
    <row r="202" spans="1:34" x14ac:dyDescent="0.3">
      <c r="A202" s="1" t="s">
        <v>74</v>
      </c>
      <c r="B202" s="1" t="s">
        <v>87</v>
      </c>
      <c r="C202" s="1" t="s">
        <v>82</v>
      </c>
      <c r="D202" s="1" t="s">
        <v>111</v>
      </c>
      <c r="E202" s="1" t="s">
        <v>38</v>
      </c>
      <c r="F202" s="1" t="s">
        <v>39</v>
      </c>
      <c r="G202" s="1" t="s">
        <v>40</v>
      </c>
      <c r="H202" s="1" t="s">
        <v>35</v>
      </c>
      <c r="I202" s="1" t="s">
        <v>41</v>
      </c>
      <c r="J202" s="1" t="s">
        <v>39</v>
      </c>
      <c r="K202" s="1" t="s">
        <v>59</v>
      </c>
      <c r="L202" s="1" t="s">
        <v>66</v>
      </c>
      <c r="M202" s="1" t="s">
        <v>106</v>
      </c>
      <c r="N202" s="1" t="s">
        <v>52</v>
      </c>
      <c r="O202" s="1" t="s">
        <v>45</v>
      </c>
      <c r="P202" s="1" t="s">
        <v>46</v>
      </c>
      <c r="Q202" s="1" t="s">
        <v>47</v>
      </c>
      <c r="R202" s="1" t="s">
        <v>80</v>
      </c>
      <c r="S202" s="1" t="s">
        <v>49</v>
      </c>
      <c r="T202" s="1" t="s">
        <v>50</v>
      </c>
      <c r="U202" s="1" t="s">
        <v>51</v>
      </c>
      <c r="V202" s="1" t="s">
        <v>81</v>
      </c>
      <c r="W202" s="1" t="s">
        <v>53</v>
      </c>
      <c r="X202" s="1" t="s">
        <v>54</v>
      </c>
      <c r="Y202" s="1" t="s">
        <v>74</v>
      </c>
      <c r="Z202" s="1" t="s">
        <v>56</v>
      </c>
      <c r="AA202" s="1" t="s">
        <v>36</v>
      </c>
      <c r="AB202" s="1" t="s">
        <v>54</v>
      </c>
      <c r="AC202" s="1" t="s">
        <v>57</v>
      </c>
      <c r="AD202" s="1" t="s">
        <v>58</v>
      </c>
      <c r="AE202" s="1" t="s">
        <v>42</v>
      </c>
      <c r="AF202" s="1" t="s">
        <v>54</v>
      </c>
      <c r="AG202" s="1" t="s">
        <v>75</v>
      </c>
      <c r="AH202" s="1" t="s">
        <v>120</v>
      </c>
    </row>
    <row r="203" spans="1:34" x14ac:dyDescent="0.3">
      <c r="A203" s="1" t="s">
        <v>74</v>
      </c>
      <c r="B203" s="1" t="s">
        <v>87</v>
      </c>
      <c r="C203" s="1" t="s">
        <v>82</v>
      </c>
      <c r="D203" s="1" t="s">
        <v>83</v>
      </c>
      <c r="E203" s="1" t="s">
        <v>38</v>
      </c>
      <c r="F203" s="1" t="s">
        <v>39</v>
      </c>
      <c r="G203" s="1" t="s">
        <v>40</v>
      </c>
      <c r="H203" s="1" t="s">
        <v>35</v>
      </c>
      <c r="I203" s="1" t="s">
        <v>94</v>
      </c>
      <c r="J203" s="1" t="s">
        <v>39</v>
      </c>
      <c r="K203" s="1" t="s">
        <v>42</v>
      </c>
      <c r="L203" s="1" t="s">
        <v>88</v>
      </c>
      <c r="M203" s="1" t="s">
        <v>44</v>
      </c>
      <c r="N203" s="1" t="s">
        <v>45</v>
      </c>
      <c r="O203" s="1" t="s">
        <v>45</v>
      </c>
      <c r="P203" s="1" t="s">
        <v>46</v>
      </c>
      <c r="Q203" s="1" t="s">
        <v>47</v>
      </c>
      <c r="R203" s="1" t="s">
        <v>48</v>
      </c>
      <c r="S203" s="1" t="s">
        <v>49</v>
      </c>
      <c r="T203" s="1" t="s">
        <v>50</v>
      </c>
      <c r="U203" s="1" t="s">
        <v>51</v>
      </c>
      <c r="V203" s="1" t="s">
        <v>52</v>
      </c>
      <c r="W203" s="1" t="s">
        <v>53</v>
      </c>
      <c r="X203" s="1" t="s">
        <v>54</v>
      </c>
      <c r="Y203" s="1" t="s">
        <v>55</v>
      </c>
      <c r="Z203" s="1" t="s">
        <v>56</v>
      </c>
      <c r="AA203" s="1" t="s">
        <v>36</v>
      </c>
      <c r="AB203" s="1" t="s">
        <v>54</v>
      </c>
      <c r="AC203" s="1" t="s">
        <v>57</v>
      </c>
      <c r="AD203" s="1" t="s">
        <v>58</v>
      </c>
      <c r="AE203" s="1" t="s">
        <v>59</v>
      </c>
      <c r="AF203" s="1" t="s">
        <v>54</v>
      </c>
      <c r="AG203" s="1" t="s">
        <v>60</v>
      </c>
      <c r="AH203" s="1" t="s">
        <v>120</v>
      </c>
    </row>
    <row r="204" spans="1:34" x14ac:dyDescent="0.3">
      <c r="A204" s="1" t="s">
        <v>109</v>
      </c>
      <c r="B204" s="1" t="s">
        <v>87</v>
      </c>
      <c r="C204" s="1" t="s">
        <v>82</v>
      </c>
      <c r="D204" s="1" t="s">
        <v>37</v>
      </c>
      <c r="E204" s="1" t="s">
        <v>38</v>
      </c>
      <c r="F204" s="1" t="s">
        <v>39</v>
      </c>
      <c r="G204" s="1" t="s">
        <v>40</v>
      </c>
      <c r="H204" s="1" t="s">
        <v>35</v>
      </c>
      <c r="I204" s="1" t="s">
        <v>41</v>
      </c>
      <c r="J204" s="1" t="s">
        <v>39</v>
      </c>
      <c r="K204" s="1" t="s">
        <v>42</v>
      </c>
      <c r="L204" s="1" t="s">
        <v>40</v>
      </c>
      <c r="M204" s="1" t="s">
        <v>53</v>
      </c>
      <c r="N204" s="1" t="s">
        <v>45</v>
      </c>
      <c r="O204" s="1" t="s">
        <v>45</v>
      </c>
      <c r="P204" s="1" t="s">
        <v>46</v>
      </c>
      <c r="Q204" s="1" t="s">
        <v>47</v>
      </c>
      <c r="R204" s="1" t="s">
        <v>80</v>
      </c>
      <c r="S204" s="1" t="s">
        <v>49</v>
      </c>
      <c r="T204" s="1" t="s">
        <v>50</v>
      </c>
      <c r="U204" s="1" t="s">
        <v>51</v>
      </c>
      <c r="V204" s="1" t="s">
        <v>52</v>
      </c>
      <c r="W204" s="1" t="s">
        <v>53</v>
      </c>
      <c r="X204" s="1" t="s">
        <v>54</v>
      </c>
      <c r="Y204" s="1" t="s">
        <v>74</v>
      </c>
      <c r="Z204" s="1" t="s">
        <v>56</v>
      </c>
      <c r="AA204" s="1" t="s">
        <v>36</v>
      </c>
      <c r="AB204" s="1" t="s">
        <v>54</v>
      </c>
      <c r="AC204" s="1" t="s">
        <v>57</v>
      </c>
      <c r="AD204" s="1" t="s">
        <v>58</v>
      </c>
      <c r="AE204" s="1" t="s">
        <v>59</v>
      </c>
      <c r="AF204" s="1" t="s">
        <v>54</v>
      </c>
      <c r="AG204" s="1" t="s">
        <v>75</v>
      </c>
      <c r="AH204" s="1" t="s">
        <v>121</v>
      </c>
    </row>
    <row r="205" spans="1:34" x14ac:dyDescent="0.3">
      <c r="A205" s="1" t="s">
        <v>74</v>
      </c>
      <c r="B205" s="1" t="s">
        <v>41</v>
      </c>
      <c r="C205" s="1" t="s">
        <v>76</v>
      </c>
      <c r="D205" s="1" t="s">
        <v>37</v>
      </c>
      <c r="E205" s="1" t="s">
        <v>38</v>
      </c>
      <c r="F205" s="1" t="s">
        <v>39</v>
      </c>
      <c r="G205" s="1" t="s">
        <v>40</v>
      </c>
      <c r="H205" s="1" t="s">
        <v>35</v>
      </c>
      <c r="I205" s="1" t="s">
        <v>94</v>
      </c>
      <c r="J205" s="1" t="s">
        <v>39</v>
      </c>
      <c r="K205" s="1" t="s">
        <v>42</v>
      </c>
      <c r="L205" s="1" t="s">
        <v>43</v>
      </c>
      <c r="M205" s="1" t="s">
        <v>44</v>
      </c>
      <c r="N205" s="1" t="s">
        <v>45</v>
      </c>
      <c r="O205" s="1" t="s">
        <v>45</v>
      </c>
      <c r="P205" s="1" t="s">
        <v>46</v>
      </c>
      <c r="Q205" s="1" t="s">
        <v>93</v>
      </c>
      <c r="R205" s="1" t="s">
        <v>48</v>
      </c>
      <c r="S205" s="1" t="s">
        <v>49</v>
      </c>
      <c r="T205" s="1" t="s">
        <v>50</v>
      </c>
      <c r="U205" s="1" t="s">
        <v>51</v>
      </c>
      <c r="V205" s="1" t="s">
        <v>52</v>
      </c>
      <c r="W205" s="1" t="s">
        <v>53</v>
      </c>
      <c r="X205" s="1" t="s">
        <v>54</v>
      </c>
      <c r="Y205" s="1" t="s">
        <v>55</v>
      </c>
      <c r="Z205" s="1" t="s">
        <v>82</v>
      </c>
      <c r="AA205" s="1" t="s">
        <v>36</v>
      </c>
      <c r="AB205" s="1" t="s">
        <v>54</v>
      </c>
      <c r="AC205" s="1" t="s">
        <v>57</v>
      </c>
      <c r="AD205" s="1" t="s">
        <v>58</v>
      </c>
      <c r="AE205" s="1" t="s">
        <v>42</v>
      </c>
      <c r="AF205" s="1" t="s">
        <v>54</v>
      </c>
      <c r="AG205" s="1" t="s">
        <v>75</v>
      </c>
      <c r="AH205" s="1" t="s">
        <v>120</v>
      </c>
    </row>
    <row r="206" spans="1:34" x14ac:dyDescent="0.3">
      <c r="A206" s="1" t="s">
        <v>74</v>
      </c>
      <c r="B206" s="1" t="s">
        <v>61</v>
      </c>
      <c r="C206" s="1" t="s">
        <v>62</v>
      </c>
      <c r="D206" s="1" t="s">
        <v>63</v>
      </c>
      <c r="E206" s="1" t="s">
        <v>64</v>
      </c>
      <c r="F206" s="1" t="s">
        <v>65</v>
      </c>
      <c r="G206" s="1" t="s">
        <v>66</v>
      </c>
      <c r="H206" s="1" t="s">
        <v>61</v>
      </c>
      <c r="I206" s="1" t="s">
        <v>61</v>
      </c>
      <c r="J206" s="1" t="s">
        <v>65</v>
      </c>
      <c r="K206" s="1" t="s">
        <v>67</v>
      </c>
      <c r="L206" s="1" t="s">
        <v>66</v>
      </c>
      <c r="M206" s="1" t="s">
        <v>68</v>
      </c>
      <c r="N206" s="1" t="s">
        <v>63</v>
      </c>
      <c r="O206" s="1" t="s">
        <v>63</v>
      </c>
      <c r="P206" s="1" t="s">
        <v>69</v>
      </c>
      <c r="Q206" s="1" t="s">
        <v>70</v>
      </c>
      <c r="R206" s="1" t="s">
        <v>71</v>
      </c>
      <c r="S206" s="1" t="s">
        <v>63</v>
      </c>
      <c r="T206" s="1" t="s">
        <v>69</v>
      </c>
      <c r="U206" s="1" t="s">
        <v>69</v>
      </c>
      <c r="V206" s="1" t="s">
        <v>63</v>
      </c>
      <c r="W206" s="1" t="s">
        <v>68</v>
      </c>
      <c r="X206" s="1" t="s">
        <v>72</v>
      </c>
      <c r="Y206" s="1" t="s">
        <v>72</v>
      </c>
      <c r="Z206" s="1" t="s">
        <v>62</v>
      </c>
      <c r="AA206" s="1" t="s">
        <v>62</v>
      </c>
      <c r="AB206" s="1" t="s">
        <v>72</v>
      </c>
      <c r="AC206" s="1" t="s">
        <v>73</v>
      </c>
      <c r="AD206" s="1" t="s">
        <v>73</v>
      </c>
      <c r="AE206" s="1" t="s">
        <v>67</v>
      </c>
      <c r="AF206" s="1" t="s">
        <v>72</v>
      </c>
      <c r="AG206" s="1" t="s">
        <v>71</v>
      </c>
      <c r="AH206" s="1" t="s">
        <v>120</v>
      </c>
    </row>
    <row r="207" spans="1:34" x14ac:dyDescent="0.3">
      <c r="A207" s="1" t="s">
        <v>99</v>
      </c>
      <c r="B207" s="1" t="s">
        <v>35</v>
      </c>
      <c r="C207" s="1" t="s">
        <v>36</v>
      </c>
      <c r="D207" s="1" t="s">
        <v>37</v>
      </c>
      <c r="E207" s="1" t="s">
        <v>77</v>
      </c>
      <c r="F207" s="1" t="s">
        <v>39</v>
      </c>
      <c r="G207" s="1" t="s">
        <v>40</v>
      </c>
      <c r="H207" s="1" t="s">
        <v>35</v>
      </c>
      <c r="I207" s="1" t="s">
        <v>35</v>
      </c>
      <c r="J207" s="1" t="s">
        <v>39</v>
      </c>
      <c r="K207" s="1" t="s">
        <v>42</v>
      </c>
      <c r="L207" s="1" t="s">
        <v>79</v>
      </c>
      <c r="M207" s="1" t="s">
        <v>44</v>
      </c>
      <c r="N207" s="1" t="s">
        <v>81</v>
      </c>
      <c r="O207" s="1" t="s">
        <v>81</v>
      </c>
      <c r="P207" s="1" t="s">
        <v>50</v>
      </c>
      <c r="Q207" s="1" t="s">
        <v>47</v>
      </c>
      <c r="R207" s="1" t="s">
        <v>80</v>
      </c>
      <c r="S207" s="1" t="s">
        <v>49</v>
      </c>
      <c r="T207" s="1" t="s">
        <v>50</v>
      </c>
      <c r="U207" s="1" t="s">
        <v>51</v>
      </c>
      <c r="V207" s="1" t="s">
        <v>52</v>
      </c>
      <c r="W207" s="1" t="s">
        <v>53</v>
      </c>
      <c r="X207" s="1" t="s">
        <v>54</v>
      </c>
      <c r="Y207" s="1" t="s">
        <v>55</v>
      </c>
      <c r="Z207" s="1" t="s">
        <v>82</v>
      </c>
      <c r="AA207" s="1" t="s">
        <v>36</v>
      </c>
      <c r="AB207" s="1" t="s">
        <v>54</v>
      </c>
      <c r="AC207" s="1" t="s">
        <v>57</v>
      </c>
      <c r="AD207" s="1" t="s">
        <v>58</v>
      </c>
      <c r="AE207" s="1" t="s">
        <v>59</v>
      </c>
      <c r="AF207" s="1" t="s">
        <v>54</v>
      </c>
      <c r="AG207" s="1" t="s">
        <v>98</v>
      </c>
      <c r="AH207" s="1" t="s">
        <v>120</v>
      </c>
    </row>
    <row r="208" spans="1:34" x14ac:dyDescent="0.3">
      <c r="A208" s="1" t="s">
        <v>74</v>
      </c>
      <c r="B208" s="1" t="s">
        <v>61</v>
      </c>
      <c r="C208" s="1" t="s">
        <v>62</v>
      </c>
      <c r="D208" s="1" t="s">
        <v>63</v>
      </c>
      <c r="E208" s="1" t="s">
        <v>64</v>
      </c>
      <c r="F208" s="1" t="s">
        <v>65</v>
      </c>
      <c r="G208" s="1" t="s">
        <v>66</v>
      </c>
      <c r="H208" s="1" t="s">
        <v>61</v>
      </c>
      <c r="I208" s="1" t="s">
        <v>61</v>
      </c>
      <c r="J208" s="1" t="s">
        <v>65</v>
      </c>
      <c r="K208" s="1" t="s">
        <v>67</v>
      </c>
      <c r="L208" s="1" t="s">
        <v>66</v>
      </c>
      <c r="M208" s="1" t="s">
        <v>68</v>
      </c>
      <c r="N208" s="1" t="s">
        <v>63</v>
      </c>
      <c r="O208" s="1" t="s">
        <v>63</v>
      </c>
      <c r="P208" s="1" t="s">
        <v>69</v>
      </c>
      <c r="Q208" s="1" t="s">
        <v>70</v>
      </c>
      <c r="R208" s="1" t="s">
        <v>71</v>
      </c>
      <c r="S208" s="1" t="s">
        <v>63</v>
      </c>
      <c r="T208" s="1" t="s">
        <v>69</v>
      </c>
      <c r="U208" s="1" t="s">
        <v>69</v>
      </c>
      <c r="V208" s="1" t="s">
        <v>63</v>
      </c>
      <c r="W208" s="1" t="s">
        <v>68</v>
      </c>
      <c r="X208" s="1" t="s">
        <v>72</v>
      </c>
      <c r="Y208" s="1" t="s">
        <v>72</v>
      </c>
      <c r="Z208" s="1" t="s">
        <v>62</v>
      </c>
      <c r="AA208" s="1" t="s">
        <v>62</v>
      </c>
      <c r="AB208" s="1" t="s">
        <v>72</v>
      </c>
      <c r="AC208" s="1" t="s">
        <v>73</v>
      </c>
      <c r="AD208" s="1" t="s">
        <v>73</v>
      </c>
      <c r="AE208" s="1" t="s">
        <v>67</v>
      </c>
      <c r="AF208" s="1" t="s">
        <v>72</v>
      </c>
      <c r="AG208" s="1" t="s">
        <v>71</v>
      </c>
      <c r="AH208" s="1" t="s">
        <v>120</v>
      </c>
    </row>
    <row r="209" spans="1:34" x14ac:dyDescent="0.3">
      <c r="A209" s="1" t="s">
        <v>99</v>
      </c>
      <c r="B209" s="1" t="s">
        <v>61</v>
      </c>
      <c r="C209" s="1" t="s">
        <v>62</v>
      </c>
      <c r="D209" s="1" t="s">
        <v>63</v>
      </c>
      <c r="E209" s="1" t="s">
        <v>64</v>
      </c>
      <c r="F209" s="1" t="s">
        <v>65</v>
      </c>
      <c r="G209" s="1" t="s">
        <v>66</v>
      </c>
      <c r="H209" s="1" t="s">
        <v>61</v>
      </c>
      <c r="I209" s="1" t="s">
        <v>61</v>
      </c>
      <c r="J209" s="1" t="s">
        <v>65</v>
      </c>
      <c r="K209" s="1" t="s">
        <v>67</v>
      </c>
      <c r="L209" s="1" t="s">
        <v>66</v>
      </c>
      <c r="M209" s="1" t="s">
        <v>68</v>
      </c>
      <c r="N209" s="1" t="s">
        <v>63</v>
      </c>
      <c r="O209" s="1" t="s">
        <v>63</v>
      </c>
      <c r="P209" s="1" t="s">
        <v>69</v>
      </c>
      <c r="Q209" s="1" t="s">
        <v>70</v>
      </c>
      <c r="R209" s="1" t="s">
        <v>71</v>
      </c>
      <c r="S209" s="1" t="s">
        <v>63</v>
      </c>
      <c r="T209" s="1" t="s">
        <v>69</v>
      </c>
      <c r="U209" s="1" t="s">
        <v>69</v>
      </c>
      <c r="V209" s="1" t="s">
        <v>63</v>
      </c>
      <c r="W209" s="1" t="s">
        <v>68</v>
      </c>
      <c r="X209" s="1" t="s">
        <v>72</v>
      </c>
      <c r="Y209" s="1" t="s">
        <v>72</v>
      </c>
      <c r="Z209" s="1" t="s">
        <v>62</v>
      </c>
      <c r="AA209" s="1" t="s">
        <v>62</v>
      </c>
      <c r="AB209" s="1" t="s">
        <v>72</v>
      </c>
      <c r="AC209" s="1" t="s">
        <v>73</v>
      </c>
      <c r="AD209" s="1" t="s">
        <v>73</v>
      </c>
      <c r="AE209" s="1" t="s">
        <v>67</v>
      </c>
      <c r="AF209" s="1" t="s">
        <v>72</v>
      </c>
      <c r="AG209" s="1" t="s">
        <v>71</v>
      </c>
      <c r="AH209" s="1" t="s">
        <v>120</v>
      </c>
    </row>
    <row r="210" spans="1:34" x14ac:dyDescent="0.3">
      <c r="A210" s="1" t="s">
        <v>91</v>
      </c>
      <c r="B210" s="1" t="s">
        <v>87</v>
      </c>
      <c r="C210" s="1" t="s">
        <v>82</v>
      </c>
      <c r="D210" s="1" t="s">
        <v>37</v>
      </c>
      <c r="E210" s="1" t="s">
        <v>77</v>
      </c>
      <c r="F210" s="1" t="s">
        <v>39</v>
      </c>
      <c r="G210" s="1" t="s">
        <v>40</v>
      </c>
      <c r="H210" s="1" t="s">
        <v>35</v>
      </c>
      <c r="I210" s="1" t="s">
        <v>41</v>
      </c>
      <c r="J210" s="1" t="s">
        <v>39</v>
      </c>
      <c r="K210" s="1" t="s">
        <v>42</v>
      </c>
      <c r="L210" s="1" t="s">
        <v>40</v>
      </c>
      <c r="M210" s="1" t="s">
        <v>44</v>
      </c>
      <c r="N210" s="1" t="s">
        <v>45</v>
      </c>
      <c r="O210" s="1" t="s">
        <v>45</v>
      </c>
      <c r="P210" s="1" t="s">
        <v>46</v>
      </c>
      <c r="Q210" s="1" t="s">
        <v>47</v>
      </c>
      <c r="R210" s="1" t="s">
        <v>48</v>
      </c>
      <c r="S210" s="1" t="s">
        <v>49</v>
      </c>
      <c r="T210" s="1" t="s">
        <v>50</v>
      </c>
      <c r="U210" s="1" t="s">
        <v>51</v>
      </c>
      <c r="V210" s="1" t="s">
        <v>52</v>
      </c>
      <c r="W210" s="1" t="s">
        <v>53</v>
      </c>
      <c r="X210" s="1" t="s">
        <v>54</v>
      </c>
      <c r="Y210" s="1" t="s">
        <v>74</v>
      </c>
      <c r="Z210" s="1" t="s">
        <v>56</v>
      </c>
      <c r="AA210" s="1" t="s">
        <v>36</v>
      </c>
      <c r="AB210" s="1" t="s">
        <v>54</v>
      </c>
      <c r="AC210" s="1" t="s">
        <v>57</v>
      </c>
      <c r="AD210" s="1" t="s">
        <v>58</v>
      </c>
      <c r="AE210" s="1" t="s">
        <v>59</v>
      </c>
      <c r="AF210" s="1" t="s">
        <v>54</v>
      </c>
      <c r="AG210" s="1" t="s">
        <v>75</v>
      </c>
      <c r="AH210" s="1" t="s">
        <v>120</v>
      </c>
    </row>
    <row r="211" spans="1:34" x14ac:dyDescent="0.3">
      <c r="A211" s="1" t="s">
        <v>91</v>
      </c>
      <c r="B211" s="1" t="s">
        <v>41</v>
      </c>
      <c r="C211" s="1" t="s">
        <v>76</v>
      </c>
      <c r="D211" s="1" t="s">
        <v>37</v>
      </c>
      <c r="E211" s="1" t="s">
        <v>77</v>
      </c>
      <c r="F211" s="1" t="s">
        <v>86</v>
      </c>
      <c r="G211" s="1" t="s">
        <v>40</v>
      </c>
      <c r="H211" s="1" t="s">
        <v>41</v>
      </c>
      <c r="I211" s="1" t="s">
        <v>90</v>
      </c>
      <c r="J211" s="1" t="s">
        <v>39</v>
      </c>
      <c r="K211" s="1" t="s">
        <v>42</v>
      </c>
      <c r="L211" s="1" t="s">
        <v>43</v>
      </c>
      <c r="M211" s="1" t="s">
        <v>44</v>
      </c>
      <c r="N211" s="1" t="s">
        <v>45</v>
      </c>
      <c r="O211" s="1" t="s">
        <v>45</v>
      </c>
      <c r="P211" s="1" t="s">
        <v>46</v>
      </c>
      <c r="Q211" s="1" t="s">
        <v>47</v>
      </c>
      <c r="R211" s="1" t="s">
        <v>80</v>
      </c>
      <c r="S211" s="1" t="s">
        <v>49</v>
      </c>
      <c r="T211" s="1" t="s">
        <v>50</v>
      </c>
      <c r="U211" s="1" t="s">
        <v>51</v>
      </c>
      <c r="V211" s="1" t="s">
        <v>81</v>
      </c>
      <c r="W211" s="1" t="s">
        <v>53</v>
      </c>
      <c r="X211" s="1" t="s">
        <v>54</v>
      </c>
      <c r="Y211" s="1" t="s">
        <v>55</v>
      </c>
      <c r="Z211" s="1" t="s">
        <v>56</v>
      </c>
      <c r="AA211" s="1" t="s">
        <v>36</v>
      </c>
      <c r="AB211" s="1" t="s">
        <v>54</v>
      </c>
      <c r="AC211" s="1" t="s">
        <v>57</v>
      </c>
      <c r="AD211" s="1" t="s">
        <v>58</v>
      </c>
      <c r="AE211" s="1" t="s">
        <v>42</v>
      </c>
      <c r="AF211" s="1" t="s">
        <v>54</v>
      </c>
      <c r="AG211" s="1" t="s">
        <v>75</v>
      </c>
      <c r="AH211" s="1" t="s">
        <v>120</v>
      </c>
    </row>
    <row r="212" spans="1:34" x14ac:dyDescent="0.3">
      <c r="A212" s="1" t="s">
        <v>74</v>
      </c>
      <c r="B212" s="1" t="s">
        <v>41</v>
      </c>
      <c r="C212" s="1" t="s">
        <v>76</v>
      </c>
      <c r="D212" s="1" t="s">
        <v>37</v>
      </c>
      <c r="E212" s="1" t="s">
        <v>77</v>
      </c>
      <c r="F212" s="1" t="s">
        <v>39</v>
      </c>
      <c r="G212" s="1" t="s">
        <v>40</v>
      </c>
      <c r="H212" s="1" t="s">
        <v>35</v>
      </c>
      <c r="I212" s="1" t="s">
        <v>94</v>
      </c>
      <c r="J212" s="1" t="s">
        <v>78</v>
      </c>
      <c r="K212" s="1" t="s">
        <v>42</v>
      </c>
      <c r="L212" s="1" t="s">
        <v>43</v>
      </c>
      <c r="M212" s="1" t="s">
        <v>44</v>
      </c>
      <c r="N212" s="1" t="s">
        <v>45</v>
      </c>
      <c r="O212" s="1" t="s">
        <v>45</v>
      </c>
      <c r="P212" s="1" t="s">
        <v>46</v>
      </c>
      <c r="Q212" s="1" t="s">
        <v>47</v>
      </c>
      <c r="R212" s="1" t="s">
        <v>48</v>
      </c>
      <c r="S212" s="1" t="s">
        <v>49</v>
      </c>
      <c r="T212" s="1" t="s">
        <v>50</v>
      </c>
      <c r="U212" s="1" t="s">
        <v>51</v>
      </c>
      <c r="V212" s="1" t="s">
        <v>52</v>
      </c>
      <c r="W212" s="1" t="s">
        <v>53</v>
      </c>
      <c r="X212" s="1" t="s">
        <v>54</v>
      </c>
      <c r="Y212" s="1" t="s">
        <v>74</v>
      </c>
      <c r="Z212" s="1" t="s">
        <v>56</v>
      </c>
      <c r="AA212" s="1" t="s">
        <v>36</v>
      </c>
      <c r="AB212" s="1" t="s">
        <v>54</v>
      </c>
      <c r="AC212" s="1" t="s">
        <v>57</v>
      </c>
      <c r="AD212" s="1" t="s">
        <v>58</v>
      </c>
      <c r="AE212" s="1" t="s">
        <v>42</v>
      </c>
      <c r="AF212" s="1" t="s">
        <v>54</v>
      </c>
      <c r="AG212" s="1" t="s">
        <v>60</v>
      </c>
      <c r="AH212" s="1" t="s">
        <v>120</v>
      </c>
    </row>
    <row r="213" spans="1:34" x14ac:dyDescent="0.3">
      <c r="A213" s="1" t="s">
        <v>91</v>
      </c>
      <c r="B213" s="1" t="s">
        <v>41</v>
      </c>
      <c r="C213" s="1" t="s">
        <v>76</v>
      </c>
      <c r="D213" s="1" t="s">
        <v>37</v>
      </c>
      <c r="E213" s="1" t="s">
        <v>77</v>
      </c>
      <c r="F213" s="1" t="s">
        <v>86</v>
      </c>
      <c r="G213" s="1" t="s">
        <v>40</v>
      </c>
      <c r="H213" s="1" t="s">
        <v>41</v>
      </c>
      <c r="I213" s="1" t="s">
        <v>94</v>
      </c>
      <c r="J213" s="1" t="s">
        <v>78</v>
      </c>
      <c r="K213" s="1" t="s">
        <v>42</v>
      </c>
      <c r="L213" s="1" t="s">
        <v>43</v>
      </c>
      <c r="M213" s="1" t="s">
        <v>44</v>
      </c>
      <c r="N213" s="1" t="s">
        <v>45</v>
      </c>
      <c r="O213" s="1" t="s">
        <v>45</v>
      </c>
      <c r="P213" s="1" t="s">
        <v>46</v>
      </c>
      <c r="Q213" s="1" t="s">
        <v>47</v>
      </c>
      <c r="R213" s="1" t="s">
        <v>48</v>
      </c>
      <c r="S213" s="1" t="s">
        <v>49</v>
      </c>
      <c r="T213" s="1" t="s">
        <v>50</v>
      </c>
      <c r="U213" s="1" t="s">
        <v>51</v>
      </c>
      <c r="V213" s="1" t="s">
        <v>52</v>
      </c>
      <c r="W213" s="1" t="s">
        <v>53</v>
      </c>
      <c r="X213" s="1" t="s">
        <v>54</v>
      </c>
      <c r="Y213" s="1" t="s">
        <v>74</v>
      </c>
      <c r="Z213" s="1" t="s">
        <v>56</v>
      </c>
      <c r="AA213" s="1" t="s">
        <v>36</v>
      </c>
      <c r="AB213" s="1" t="s">
        <v>54</v>
      </c>
      <c r="AC213" s="1" t="s">
        <v>57</v>
      </c>
      <c r="AD213" s="1" t="s">
        <v>58</v>
      </c>
      <c r="AE213" s="1" t="s">
        <v>42</v>
      </c>
      <c r="AF213" s="1" t="s">
        <v>54</v>
      </c>
      <c r="AG213" s="1" t="s">
        <v>75</v>
      </c>
      <c r="AH213" s="1" t="s">
        <v>120</v>
      </c>
    </row>
    <row r="214" spans="1:34" x14ac:dyDescent="0.3">
      <c r="A214" s="1" t="s">
        <v>34</v>
      </c>
      <c r="B214" s="1" t="s">
        <v>41</v>
      </c>
      <c r="C214" s="1" t="s">
        <v>76</v>
      </c>
      <c r="D214" s="1" t="s">
        <v>37</v>
      </c>
      <c r="E214" s="1" t="s">
        <v>77</v>
      </c>
      <c r="F214" s="1" t="s">
        <v>86</v>
      </c>
      <c r="G214" s="1" t="s">
        <v>40</v>
      </c>
      <c r="H214" s="1" t="s">
        <v>41</v>
      </c>
      <c r="I214" s="1" t="s">
        <v>94</v>
      </c>
      <c r="J214" s="1" t="s">
        <v>39</v>
      </c>
      <c r="K214" s="1" t="s">
        <v>42</v>
      </c>
      <c r="L214" s="1" t="s">
        <v>43</v>
      </c>
      <c r="M214" s="1" t="s">
        <v>44</v>
      </c>
      <c r="N214" s="1" t="s">
        <v>45</v>
      </c>
      <c r="O214" s="1" t="s">
        <v>45</v>
      </c>
      <c r="P214" s="1" t="s">
        <v>46</v>
      </c>
      <c r="Q214" s="1" t="s">
        <v>47</v>
      </c>
      <c r="R214" s="1" t="s">
        <v>48</v>
      </c>
      <c r="S214" s="1" t="s">
        <v>49</v>
      </c>
      <c r="T214" s="1" t="s">
        <v>50</v>
      </c>
      <c r="U214" s="1" t="s">
        <v>51</v>
      </c>
      <c r="V214" s="1" t="s">
        <v>52</v>
      </c>
      <c r="W214" s="1" t="s">
        <v>53</v>
      </c>
      <c r="X214" s="1" t="s">
        <v>91</v>
      </c>
      <c r="Y214" s="1" t="s">
        <v>55</v>
      </c>
      <c r="Z214" s="1" t="s">
        <v>56</v>
      </c>
      <c r="AA214" s="1" t="s">
        <v>36</v>
      </c>
      <c r="AB214" s="1" t="s">
        <v>54</v>
      </c>
      <c r="AC214" s="1" t="s">
        <v>57</v>
      </c>
      <c r="AD214" s="1" t="s">
        <v>58</v>
      </c>
      <c r="AE214" s="1" t="s">
        <v>42</v>
      </c>
      <c r="AF214" s="1" t="s">
        <v>54</v>
      </c>
      <c r="AG214" s="1" t="s">
        <v>60</v>
      </c>
      <c r="AH214" s="1" t="s">
        <v>120</v>
      </c>
    </row>
    <row r="215" spans="1:34" x14ac:dyDescent="0.3">
      <c r="A215" s="1" t="s">
        <v>91</v>
      </c>
      <c r="B215" s="1" t="s">
        <v>41</v>
      </c>
      <c r="C215" s="1" t="s">
        <v>76</v>
      </c>
      <c r="D215" s="1" t="s">
        <v>49</v>
      </c>
      <c r="E215" s="1" t="s">
        <v>77</v>
      </c>
      <c r="F215" s="1" t="s">
        <v>86</v>
      </c>
      <c r="G215" s="1" t="s">
        <v>40</v>
      </c>
      <c r="H215" s="1" t="s">
        <v>41</v>
      </c>
      <c r="I215" s="1" t="s">
        <v>94</v>
      </c>
      <c r="J215" s="1" t="s">
        <v>39</v>
      </c>
      <c r="K215" s="1" t="s">
        <v>42</v>
      </c>
      <c r="L215" s="1" t="s">
        <v>43</v>
      </c>
      <c r="M215" s="1" t="s">
        <v>44</v>
      </c>
      <c r="N215" s="1" t="s">
        <v>45</v>
      </c>
      <c r="O215" s="1" t="s">
        <v>45</v>
      </c>
      <c r="P215" s="1" t="s">
        <v>46</v>
      </c>
      <c r="Q215" s="1" t="s">
        <v>47</v>
      </c>
      <c r="R215" s="1" t="s">
        <v>48</v>
      </c>
      <c r="S215" s="1" t="s">
        <v>49</v>
      </c>
      <c r="T215" s="1" t="s">
        <v>50</v>
      </c>
      <c r="U215" s="1" t="s">
        <v>51</v>
      </c>
      <c r="V215" s="1" t="s">
        <v>52</v>
      </c>
      <c r="W215" s="1" t="s">
        <v>53</v>
      </c>
      <c r="X215" s="1" t="s">
        <v>54</v>
      </c>
      <c r="Y215" s="1" t="s">
        <v>55</v>
      </c>
      <c r="Z215" s="1" t="s">
        <v>56</v>
      </c>
      <c r="AA215" s="1" t="s">
        <v>36</v>
      </c>
      <c r="AB215" s="1" t="s">
        <v>54</v>
      </c>
      <c r="AC215" s="1" t="s">
        <v>57</v>
      </c>
      <c r="AD215" s="1" t="s">
        <v>58</v>
      </c>
      <c r="AE215" s="1" t="s">
        <v>42</v>
      </c>
      <c r="AF215" s="1" t="s">
        <v>54</v>
      </c>
      <c r="AG215" s="1" t="s">
        <v>60</v>
      </c>
      <c r="AH215" s="1" t="s">
        <v>120</v>
      </c>
    </row>
    <row r="216" spans="1:34" x14ac:dyDescent="0.3">
      <c r="A216" s="1" t="s">
        <v>99</v>
      </c>
      <c r="B216" s="1" t="s">
        <v>41</v>
      </c>
      <c r="C216" s="1" t="s">
        <v>82</v>
      </c>
      <c r="D216" s="1" t="s">
        <v>83</v>
      </c>
      <c r="E216" s="1" t="s">
        <v>38</v>
      </c>
      <c r="F216" s="1" t="s">
        <v>39</v>
      </c>
      <c r="G216" s="1" t="s">
        <v>40</v>
      </c>
      <c r="H216" s="1" t="s">
        <v>35</v>
      </c>
      <c r="I216" s="1" t="s">
        <v>35</v>
      </c>
      <c r="J216" s="1" t="s">
        <v>92</v>
      </c>
      <c r="K216" s="1" t="s">
        <v>42</v>
      </c>
      <c r="L216" s="1" t="s">
        <v>43</v>
      </c>
      <c r="M216" s="1" t="s">
        <v>44</v>
      </c>
      <c r="N216" s="1" t="s">
        <v>45</v>
      </c>
      <c r="O216" s="1" t="s">
        <v>45</v>
      </c>
      <c r="P216" s="1" t="s">
        <v>46</v>
      </c>
      <c r="Q216" s="1" t="s">
        <v>47</v>
      </c>
      <c r="R216" s="1" t="s">
        <v>80</v>
      </c>
      <c r="S216" s="1" t="s">
        <v>49</v>
      </c>
      <c r="T216" s="1" t="s">
        <v>50</v>
      </c>
      <c r="U216" s="1" t="s">
        <v>51</v>
      </c>
      <c r="V216" s="1" t="s">
        <v>52</v>
      </c>
      <c r="W216" s="1" t="s">
        <v>53</v>
      </c>
      <c r="X216" s="1" t="s">
        <v>54</v>
      </c>
      <c r="Y216" s="1" t="s">
        <v>55</v>
      </c>
      <c r="Z216" s="1" t="s">
        <v>56</v>
      </c>
      <c r="AA216" s="1" t="s">
        <v>36</v>
      </c>
      <c r="AB216" s="1" t="s">
        <v>54</v>
      </c>
      <c r="AC216" s="1" t="s">
        <v>57</v>
      </c>
      <c r="AD216" s="1" t="s">
        <v>58</v>
      </c>
      <c r="AE216" s="1" t="s">
        <v>59</v>
      </c>
      <c r="AF216" s="1" t="s">
        <v>54</v>
      </c>
      <c r="AG216" s="1" t="s">
        <v>75</v>
      </c>
      <c r="AH216" s="1" t="s">
        <v>120</v>
      </c>
    </row>
    <row r="217" spans="1:34" x14ac:dyDescent="0.3">
      <c r="A217" s="1" t="s">
        <v>99</v>
      </c>
      <c r="B217" s="1" t="s">
        <v>41</v>
      </c>
      <c r="C217" s="1" t="s">
        <v>76</v>
      </c>
      <c r="D217" s="1" t="s">
        <v>49</v>
      </c>
      <c r="E217" s="1" t="s">
        <v>77</v>
      </c>
      <c r="F217" s="1" t="s">
        <v>86</v>
      </c>
      <c r="G217" s="1" t="s">
        <v>40</v>
      </c>
      <c r="H217" s="1" t="s">
        <v>41</v>
      </c>
      <c r="I217" s="1" t="s">
        <v>94</v>
      </c>
      <c r="J217" s="1" t="s">
        <v>39</v>
      </c>
      <c r="K217" s="1" t="s">
        <v>42</v>
      </c>
      <c r="L217" s="1" t="s">
        <v>43</v>
      </c>
      <c r="M217" s="1" t="s">
        <v>44</v>
      </c>
      <c r="N217" s="1" t="s">
        <v>45</v>
      </c>
      <c r="O217" s="1" t="s">
        <v>45</v>
      </c>
      <c r="P217" s="1" t="s">
        <v>46</v>
      </c>
      <c r="Q217" s="1" t="s">
        <v>47</v>
      </c>
      <c r="R217" s="1" t="s">
        <v>48</v>
      </c>
      <c r="S217" s="1" t="s">
        <v>49</v>
      </c>
      <c r="T217" s="1" t="s">
        <v>50</v>
      </c>
      <c r="U217" s="1" t="s">
        <v>51</v>
      </c>
      <c r="V217" s="1" t="s">
        <v>52</v>
      </c>
      <c r="W217" s="1" t="s">
        <v>53</v>
      </c>
      <c r="X217" s="1" t="s">
        <v>54</v>
      </c>
      <c r="Y217" s="1" t="s">
        <v>55</v>
      </c>
      <c r="Z217" s="1" t="s">
        <v>56</v>
      </c>
      <c r="AA217" s="1" t="s">
        <v>76</v>
      </c>
      <c r="AB217" s="1" t="s">
        <v>54</v>
      </c>
      <c r="AC217" s="1" t="s">
        <v>57</v>
      </c>
      <c r="AD217" s="1" t="s">
        <v>58</v>
      </c>
      <c r="AE217" s="1" t="s">
        <v>42</v>
      </c>
      <c r="AF217" s="1" t="s">
        <v>54</v>
      </c>
      <c r="AG217" s="1" t="s">
        <v>60</v>
      </c>
      <c r="AH217" s="1" t="s">
        <v>120</v>
      </c>
    </row>
    <row r="218" spans="1:34" x14ac:dyDescent="0.3">
      <c r="A218" s="1" t="s">
        <v>85</v>
      </c>
      <c r="B218" s="1" t="s">
        <v>41</v>
      </c>
      <c r="C218" s="1" t="s">
        <v>76</v>
      </c>
      <c r="D218" s="1" t="s">
        <v>49</v>
      </c>
      <c r="E218" s="1" t="s">
        <v>77</v>
      </c>
      <c r="F218" s="1" t="s">
        <v>86</v>
      </c>
      <c r="G218" s="1" t="s">
        <v>40</v>
      </c>
      <c r="H218" s="1" t="s">
        <v>41</v>
      </c>
      <c r="I218" s="1" t="s">
        <v>35</v>
      </c>
      <c r="J218" s="1" t="s">
        <v>92</v>
      </c>
      <c r="K218" s="1" t="s">
        <v>42</v>
      </c>
      <c r="L218" s="1" t="s">
        <v>43</v>
      </c>
      <c r="M218" s="1" t="s">
        <v>44</v>
      </c>
      <c r="N218" s="1" t="s">
        <v>45</v>
      </c>
      <c r="O218" s="1" t="s">
        <v>45</v>
      </c>
      <c r="P218" s="1" t="s">
        <v>46</v>
      </c>
      <c r="Q218" s="1" t="s">
        <v>47</v>
      </c>
      <c r="R218" s="1" t="s">
        <v>80</v>
      </c>
      <c r="S218" s="1" t="s">
        <v>49</v>
      </c>
      <c r="T218" s="1" t="s">
        <v>50</v>
      </c>
      <c r="U218" s="1" t="s">
        <v>51</v>
      </c>
      <c r="V218" s="1" t="s">
        <v>52</v>
      </c>
      <c r="W218" s="1" t="s">
        <v>53</v>
      </c>
      <c r="X218" s="1" t="s">
        <v>54</v>
      </c>
      <c r="Y218" s="1" t="s">
        <v>55</v>
      </c>
      <c r="Z218" s="1" t="s">
        <v>56</v>
      </c>
      <c r="AA218" s="1" t="s">
        <v>36</v>
      </c>
      <c r="AB218" s="1" t="s">
        <v>54</v>
      </c>
      <c r="AC218" s="1" t="s">
        <v>57</v>
      </c>
      <c r="AD218" s="1" t="s">
        <v>58</v>
      </c>
      <c r="AE218" s="1" t="s">
        <v>42</v>
      </c>
      <c r="AF218" s="1" t="s">
        <v>54</v>
      </c>
      <c r="AG218" s="1" t="s">
        <v>60</v>
      </c>
      <c r="AH218" s="1" t="s">
        <v>120</v>
      </c>
    </row>
    <row r="219" spans="1:34" x14ac:dyDescent="0.3">
      <c r="A219" s="1" t="s">
        <v>54</v>
      </c>
      <c r="B219" s="1" t="s">
        <v>41</v>
      </c>
      <c r="C219" s="1" t="s">
        <v>76</v>
      </c>
      <c r="D219" s="1" t="s">
        <v>49</v>
      </c>
      <c r="E219" s="1" t="s">
        <v>77</v>
      </c>
      <c r="F219" s="1" t="s">
        <v>39</v>
      </c>
      <c r="G219" s="1" t="s">
        <v>40</v>
      </c>
      <c r="H219" s="1" t="s">
        <v>35</v>
      </c>
      <c r="I219" s="1" t="s">
        <v>35</v>
      </c>
      <c r="J219" s="1" t="s">
        <v>92</v>
      </c>
      <c r="K219" s="1" t="s">
        <v>42</v>
      </c>
      <c r="L219" s="1" t="s">
        <v>79</v>
      </c>
      <c r="M219" s="1" t="s">
        <v>44</v>
      </c>
      <c r="N219" s="1" t="s">
        <v>45</v>
      </c>
      <c r="O219" s="1" t="s">
        <v>45</v>
      </c>
      <c r="P219" s="1" t="s">
        <v>46</v>
      </c>
      <c r="Q219" s="1" t="s">
        <v>47</v>
      </c>
      <c r="R219" s="1" t="s">
        <v>48</v>
      </c>
      <c r="S219" s="1" t="s">
        <v>49</v>
      </c>
      <c r="T219" s="1" t="s">
        <v>50</v>
      </c>
      <c r="U219" s="1" t="s">
        <v>51</v>
      </c>
      <c r="V219" s="1" t="s">
        <v>52</v>
      </c>
      <c r="W219" s="1" t="s">
        <v>53</v>
      </c>
      <c r="X219" s="1" t="s">
        <v>54</v>
      </c>
      <c r="Y219" s="1" t="s">
        <v>55</v>
      </c>
      <c r="Z219" s="1" t="s">
        <v>56</v>
      </c>
      <c r="AA219" s="1" t="s">
        <v>36</v>
      </c>
      <c r="AB219" s="1" t="s">
        <v>54</v>
      </c>
      <c r="AC219" s="1" t="s">
        <v>57</v>
      </c>
      <c r="AD219" s="1" t="s">
        <v>58</v>
      </c>
      <c r="AE219" s="1" t="s">
        <v>42</v>
      </c>
      <c r="AF219" s="1" t="s">
        <v>54</v>
      </c>
      <c r="AG219" s="1" t="s">
        <v>75</v>
      </c>
      <c r="AH219" s="1" t="s">
        <v>120</v>
      </c>
    </row>
    <row r="220" spans="1:34" x14ac:dyDescent="0.3">
      <c r="A220" s="1" t="s">
        <v>74</v>
      </c>
      <c r="B220" s="1" t="s">
        <v>61</v>
      </c>
      <c r="C220" s="1" t="s">
        <v>62</v>
      </c>
      <c r="D220" s="1" t="s">
        <v>63</v>
      </c>
      <c r="E220" s="1" t="s">
        <v>64</v>
      </c>
      <c r="F220" s="1" t="s">
        <v>65</v>
      </c>
      <c r="G220" s="1" t="s">
        <v>66</v>
      </c>
      <c r="H220" s="1" t="s">
        <v>61</v>
      </c>
      <c r="I220" s="1" t="s">
        <v>61</v>
      </c>
      <c r="J220" s="1" t="s">
        <v>65</v>
      </c>
      <c r="K220" s="1" t="s">
        <v>67</v>
      </c>
      <c r="L220" s="1" t="s">
        <v>66</v>
      </c>
      <c r="M220" s="1" t="s">
        <v>68</v>
      </c>
      <c r="N220" s="1" t="s">
        <v>63</v>
      </c>
      <c r="O220" s="1" t="s">
        <v>63</v>
      </c>
      <c r="P220" s="1" t="s">
        <v>69</v>
      </c>
      <c r="Q220" s="1" t="s">
        <v>70</v>
      </c>
      <c r="R220" s="1" t="s">
        <v>71</v>
      </c>
      <c r="S220" s="1" t="s">
        <v>63</v>
      </c>
      <c r="T220" s="1" t="s">
        <v>69</v>
      </c>
      <c r="U220" s="1" t="s">
        <v>69</v>
      </c>
      <c r="V220" s="1" t="s">
        <v>63</v>
      </c>
      <c r="W220" s="1" t="s">
        <v>68</v>
      </c>
      <c r="X220" s="1" t="s">
        <v>72</v>
      </c>
      <c r="Y220" s="1" t="s">
        <v>72</v>
      </c>
      <c r="Z220" s="1" t="s">
        <v>62</v>
      </c>
      <c r="AA220" s="1" t="s">
        <v>62</v>
      </c>
      <c r="AB220" s="1" t="s">
        <v>72</v>
      </c>
      <c r="AC220" s="1" t="s">
        <v>73</v>
      </c>
      <c r="AD220" s="1" t="s">
        <v>73</v>
      </c>
      <c r="AE220" s="1" t="s">
        <v>67</v>
      </c>
      <c r="AF220" s="1" t="s">
        <v>72</v>
      </c>
      <c r="AG220" s="1" t="s">
        <v>71</v>
      </c>
      <c r="AH220" s="1" t="s">
        <v>120</v>
      </c>
    </row>
    <row r="221" spans="1:34" x14ac:dyDescent="0.3">
      <c r="A221" s="1" t="s">
        <v>74</v>
      </c>
      <c r="B221" s="1" t="s">
        <v>61</v>
      </c>
      <c r="C221" s="1" t="s">
        <v>62</v>
      </c>
      <c r="D221" s="1" t="s">
        <v>63</v>
      </c>
      <c r="E221" s="1" t="s">
        <v>64</v>
      </c>
      <c r="F221" s="1" t="s">
        <v>65</v>
      </c>
      <c r="G221" s="1" t="s">
        <v>66</v>
      </c>
      <c r="H221" s="1" t="s">
        <v>61</v>
      </c>
      <c r="I221" s="1" t="s">
        <v>61</v>
      </c>
      <c r="J221" s="1" t="s">
        <v>65</v>
      </c>
      <c r="K221" s="1" t="s">
        <v>67</v>
      </c>
      <c r="L221" s="1" t="s">
        <v>66</v>
      </c>
      <c r="M221" s="1" t="s">
        <v>68</v>
      </c>
      <c r="N221" s="1" t="s">
        <v>63</v>
      </c>
      <c r="O221" s="1" t="s">
        <v>63</v>
      </c>
      <c r="P221" s="1" t="s">
        <v>69</v>
      </c>
      <c r="Q221" s="1" t="s">
        <v>47</v>
      </c>
      <c r="R221" s="1" t="s">
        <v>80</v>
      </c>
      <c r="S221" s="1" t="s">
        <v>49</v>
      </c>
      <c r="T221" s="1" t="s">
        <v>50</v>
      </c>
      <c r="U221" s="1" t="s">
        <v>51</v>
      </c>
      <c r="V221" s="1" t="s">
        <v>81</v>
      </c>
      <c r="W221" s="1" t="s">
        <v>53</v>
      </c>
      <c r="X221" s="1" t="s">
        <v>54</v>
      </c>
      <c r="Y221" s="1" t="s">
        <v>55</v>
      </c>
      <c r="Z221" s="1" t="s">
        <v>82</v>
      </c>
      <c r="AA221" s="1" t="s">
        <v>36</v>
      </c>
      <c r="AB221" s="1" t="s">
        <v>54</v>
      </c>
      <c r="AC221" s="1" t="s">
        <v>57</v>
      </c>
      <c r="AD221" s="1" t="s">
        <v>58</v>
      </c>
      <c r="AE221" s="1" t="s">
        <v>67</v>
      </c>
      <c r="AF221" s="1" t="s">
        <v>72</v>
      </c>
      <c r="AG221" s="1" t="s">
        <v>71</v>
      </c>
      <c r="AH221" s="1" t="s">
        <v>120</v>
      </c>
    </row>
    <row r="222" spans="1:34" x14ac:dyDescent="0.3">
      <c r="A222" s="1" t="s">
        <v>74</v>
      </c>
      <c r="B222" s="1" t="s">
        <v>61</v>
      </c>
      <c r="C222" s="1" t="s">
        <v>62</v>
      </c>
      <c r="D222" s="1" t="s">
        <v>63</v>
      </c>
      <c r="E222" s="1" t="s">
        <v>64</v>
      </c>
      <c r="F222" s="1" t="s">
        <v>65</v>
      </c>
      <c r="G222" s="1" t="s">
        <v>66</v>
      </c>
      <c r="H222" s="1" t="s">
        <v>61</v>
      </c>
      <c r="I222" s="1" t="s">
        <v>61</v>
      </c>
      <c r="J222" s="1" t="s">
        <v>65</v>
      </c>
      <c r="K222" s="1" t="s">
        <v>67</v>
      </c>
      <c r="L222" s="1" t="s">
        <v>66</v>
      </c>
      <c r="M222" s="1" t="s">
        <v>68</v>
      </c>
      <c r="N222" s="1" t="s">
        <v>63</v>
      </c>
      <c r="O222" s="1" t="s">
        <v>63</v>
      </c>
      <c r="P222" s="1" t="s">
        <v>69</v>
      </c>
      <c r="Q222" s="1" t="s">
        <v>70</v>
      </c>
      <c r="R222" s="1" t="s">
        <v>71</v>
      </c>
      <c r="S222" s="1" t="s">
        <v>63</v>
      </c>
      <c r="T222" s="1" t="s">
        <v>69</v>
      </c>
      <c r="U222" s="1" t="s">
        <v>69</v>
      </c>
      <c r="V222" s="1" t="s">
        <v>63</v>
      </c>
      <c r="W222" s="1" t="s">
        <v>68</v>
      </c>
      <c r="X222" s="1" t="s">
        <v>72</v>
      </c>
      <c r="Y222" s="1" t="s">
        <v>72</v>
      </c>
      <c r="Z222" s="1" t="s">
        <v>62</v>
      </c>
      <c r="AA222" s="1" t="s">
        <v>62</v>
      </c>
      <c r="AB222" s="1" t="s">
        <v>72</v>
      </c>
      <c r="AC222" s="1" t="s">
        <v>73</v>
      </c>
      <c r="AD222" s="1" t="s">
        <v>73</v>
      </c>
      <c r="AE222" s="1" t="s">
        <v>67</v>
      </c>
      <c r="AF222" s="1" t="s">
        <v>72</v>
      </c>
      <c r="AG222" s="1" t="s">
        <v>71</v>
      </c>
      <c r="AH222" s="1" t="s">
        <v>120</v>
      </c>
    </row>
    <row r="223" spans="1:34" x14ac:dyDescent="0.3">
      <c r="A223" s="1" t="s">
        <v>74</v>
      </c>
      <c r="B223" s="1" t="s">
        <v>61</v>
      </c>
      <c r="C223" s="1" t="s">
        <v>62</v>
      </c>
      <c r="D223" s="1" t="s">
        <v>63</v>
      </c>
      <c r="E223" s="1" t="s">
        <v>64</v>
      </c>
      <c r="F223" s="1" t="s">
        <v>65</v>
      </c>
      <c r="G223" s="1" t="s">
        <v>66</v>
      </c>
      <c r="H223" s="1" t="s">
        <v>61</v>
      </c>
      <c r="I223" s="1" t="s">
        <v>61</v>
      </c>
      <c r="J223" s="1" t="s">
        <v>65</v>
      </c>
      <c r="K223" s="1" t="s">
        <v>67</v>
      </c>
      <c r="L223" s="1" t="s">
        <v>66</v>
      </c>
      <c r="M223" s="1" t="s">
        <v>68</v>
      </c>
      <c r="N223" s="1" t="s">
        <v>63</v>
      </c>
      <c r="O223" s="1" t="s">
        <v>63</v>
      </c>
      <c r="P223" s="1" t="s">
        <v>69</v>
      </c>
      <c r="Q223" s="1" t="s">
        <v>70</v>
      </c>
      <c r="R223" s="1" t="s">
        <v>71</v>
      </c>
      <c r="S223" s="1" t="s">
        <v>63</v>
      </c>
      <c r="T223" s="1" t="s">
        <v>69</v>
      </c>
      <c r="U223" s="1" t="s">
        <v>69</v>
      </c>
      <c r="V223" s="1" t="s">
        <v>63</v>
      </c>
      <c r="W223" s="1" t="s">
        <v>68</v>
      </c>
      <c r="X223" s="1" t="s">
        <v>72</v>
      </c>
      <c r="Y223" s="1" t="s">
        <v>72</v>
      </c>
      <c r="Z223" s="1" t="s">
        <v>62</v>
      </c>
      <c r="AA223" s="1" t="s">
        <v>62</v>
      </c>
      <c r="AB223" s="1" t="s">
        <v>72</v>
      </c>
      <c r="AC223" s="1" t="s">
        <v>73</v>
      </c>
      <c r="AD223" s="1" t="s">
        <v>73</v>
      </c>
      <c r="AE223" s="1" t="s">
        <v>67</v>
      </c>
      <c r="AF223" s="1" t="s">
        <v>72</v>
      </c>
      <c r="AG223" s="1" t="s">
        <v>71</v>
      </c>
      <c r="AH223" s="1" t="s">
        <v>120</v>
      </c>
    </row>
    <row r="224" spans="1:34" x14ac:dyDescent="0.3">
      <c r="A224" s="1" t="s">
        <v>74</v>
      </c>
      <c r="B224" s="1" t="s">
        <v>61</v>
      </c>
      <c r="C224" s="1" t="s">
        <v>62</v>
      </c>
      <c r="D224" s="1" t="s">
        <v>63</v>
      </c>
      <c r="E224" s="1" t="s">
        <v>64</v>
      </c>
      <c r="F224" s="1" t="s">
        <v>65</v>
      </c>
      <c r="G224" s="1" t="s">
        <v>66</v>
      </c>
      <c r="H224" s="1" t="s">
        <v>61</v>
      </c>
      <c r="I224" s="1" t="s">
        <v>61</v>
      </c>
      <c r="J224" s="1" t="s">
        <v>65</v>
      </c>
      <c r="K224" s="1" t="s">
        <v>67</v>
      </c>
      <c r="L224" s="1" t="s">
        <v>66</v>
      </c>
      <c r="M224" s="1" t="s">
        <v>68</v>
      </c>
      <c r="N224" s="1" t="s">
        <v>63</v>
      </c>
      <c r="O224" s="1" t="s">
        <v>63</v>
      </c>
      <c r="P224" s="1" t="s">
        <v>69</v>
      </c>
      <c r="Q224" s="1" t="s">
        <v>70</v>
      </c>
      <c r="R224" s="1" t="s">
        <v>71</v>
      </c>
      <c r="S224" s="1" t="s">
        <v>63</v>
      </c>
      <c r="T224" s="1" t="s">
        <v>69</v>
      </c>
      <c r="U224" s="1" t="s">
        <v>69</v>
      </c>
      <c r="V224" s="1" t="s">
        <v>63</v>
      </c>
      <c r="W224" s="1" t="s">
        <v>68</v>
      </c>
      <c r="X224" s="1" t="s">
        <v>72</v>
      </c>
      <c r="Y224" s="1" t="s">
        <v>72</v>
      </c>
      <c r="Z224" s="1" t="s">
        <v>62</v>
      </c>
      <c r="AA224" s="1" t="s">
        <v>62</v>
      </c>
      <c r="AB224" s="1" t="s">
        <v>72</v>
      </c>
      <c r="AC224" s="1" t="s">
        <v>73</v>
      </c>
      <c r="AD224" s="1" t="s">
        <v>73</v>
      </c>
      <c r="AE224" s="1" t="s">
        <v>67</v>
      </c>
      <c r="AF224" s="1" t="s">
        <v>72</v>
      </c>
      <c r="AG224" s="1" t="s">
        <v>71</v>
      </c>
      <c r="AH224" s="1" t="s">
        <v>120</v>
      </c>
    </row>
    <row r="225" spans="1:34" x14ac:dyDescent="0.3">
      <c r="A225" s="1" t="s">
        <v>74</v>
      </c>
      <c r="B225" s="1" t="s">
        <v>61</v>
      </c>
      <c r="C225" s="1" t="s">
        <v>62</v>
      </c>
      <c r="D225" s="1" t="s">
        <v>63</v>
      </c>
      <c r="E225" s="1" t="s">
        <v>64</v>
      </c>
      <c r="F225" s="1" t="s">
        <v>65</v>
      </c>
      <c r="G225" s="1" t="s">
        <v>66</v>
      </c>
      <c r="H225" s="1" t="s">
        <v>61</v>
      </c>
      <c r="I225" s="1" t="s">
        <v>61</v>
      </c>
      <c r="J225" s="1" t="s">
        <v>65</v>
      </c>
      <c r="K225" s="1" t="s">
        <v>67</v>
      </c>
      <c r="L225" s="1" t="s">
        <v>66</v>
      </c>
      <c r="M225" s="1" t="s">
        <v>68</v>
      </c>
      <c r="N225" s="1" t="s">
        <v>63</v>
      </c>
      <c r="O225" s="1" t="s">
        <v>63</v>
      </c>
      <c r="P225" s="1" t="s">
        <v>69</v>
      </c>
      <c r="Q225" s="1" t="s">
        <v>70</v>
      </c>
      <c r="R225" s="1" t="s">
        <v>71</v>
      </c>
      <c r="S225" s="1" t="s">
        <v>63</v>
      </c>
      <c r="T225" s="1" t="s">
        <v>69</v>
      </c>
      <c r="U225" s="1" t="s">
        <v>69</v>
      </c>
      <c r="V225" s="1" t="s">
        <v>63</v>
      </c>
      <c r="W225" s="1" t="s">
        <v>68</v>
      </c>
      <c r="X225" s="1" t="s">
        <v>72</v>
      </c>
      <c r="Y225" s="1" t="s">
        <v>72</v>
      </c>
      <c r="Z225" s="1" t="s">
        <v>62</v>
      </c>
      <c r="AA225" s="1" t="s">
        <v>62</v>
      </c>
      <c r="AB225" s="1" t="s">
        <v>72</v>
      </c>
      <c r="AC225" s="1" t="s">
        <v>73</v>
      </c>
      <c r="AD225" s="1" t="s">
        <v>73</v>
      </c>
      <c r="AE225" s="1" t="s">
        <v>67</v>
      </c>
      <c r="AF225" s="1" t="s">
        <v>72</v>
      </c>
      <c r="AG225" s="1" t="s">
        <v>71</v>
      </c>
      <c r="AH225" s="1" t="s">
        <v>120</v>
      </c>
    </row>
    <row r="226" spans="1:34" x14ac:dyDescent="0.3">
      <c r="A226" s="1" t="s">
        <v>74</v>
      </c>
      <c r="B226" s="1" t="s">
        <v>61</v>
      </c>
      <c r="C226" s="1" t="s">
        <v>62</v>
      </c>
      <c r="D226" s="1" t="s">
        <v>63</v>
      </c>
      <c r="E226" s="1" t="s">
        <v>64</v>
      </c>
      <c r="F226" s="1" t="s">
        <v>65</v>
      </c>
      <c r="G226" s="1" t="s">
        <v>66</v>
      </c>
      <c r="H226" s="1" t="s">
        <v>61</v>
      </c>
      <c r="I226" s="1" t="s">
        <v>61</v>
      </c>
      <c r="J226" s="1" t="s">
        <v>65</v>
      </c>
      <c r="K226" s="1" t="s">
        <v>67</v>
      </c>
      <c r="L226" s="1" t="s">
        <v>66</v>
      </c>
      <c r="M226" s="1" t="s">
        <v>68</v>
      </c>
      <c r="N226" s="1" t="s">
        <v>63</v>
      </c>
      <c r="O226" s="1" t="s">
        <v>63</v>
      </c>
      <c r="P226" s="1" t="s">
        <v>69</v>
      </c>
      <c r="Q226" s="1" t="s">
        <v>70</v>
      </c>
      <c r="R226" s="1" t="s">
        <v>71</v>
      </c>
      <c r="S226" s="1" t="s">
        <v>63</v>
      </c>
      <c r="T226" s="1" t="s">
        <v>69</v>
      </c>
      <c r="U226" s="1" t="s">
        <v>69</v>
      </c>
      <c r="V226" s="1" t="s">
        <v>63</v>
      </c>
      <c r="W226" s="1" t="s">
        <v>68</v>
      </c>
      <c r="X226" s="1" t="s">
        <v>72</v>
      </c>
      <c r="Y226" s="1" t="s">
        <v>72</v>
      </c>
      <c r="Z226" s="1" t="s">
        <v>62</v>
      </c>
      <c r="AA226" s="1" t="s">
        <v>62</v>
      </c>
      <c r="AB226" s="1" t="s">
        <v>72</v>
      </c>
      <c r="AC226" s="1" t="s">
        <v>73</v>
      </c>
      <c r="AD226" s="1" t="s">
        <v>73</v>
      </c>
      <c r="AE226" s="1" t="s">
        <v>67</v>
      </c>
      <c r="AF226" s="1" t="s">
        <v>72</v>
      </c>
      <c r="AG226" s="1" t="s">
        <v>71</v>
      </c>
      <c r="AH226" s="1" t="s">
        <v>120</v>
      </c>
    </row>
    <row r="227" spans="1:34" x14ac:dyDescent="0.3">
      <c r="A227" s="1" t="s">
        <v>99</v>
      </c>
      <c r="B227" s="1" t="s">
        <v>41</v>
      </c>
      <c r="C227" s="1" t="s">
        <v>76</v>
      </c>
      <c r="D227" s="1" t="s">
        <v>37</v>
      </c>
      <c r="E227" s="1" t="s">
        <v>77</v>
      </c>
      <c r="F227" s="1" t="s">
        <v>86</v>
      </c>
      <c r="G227" s="1" t="s">
        <v>40</v>
      </c>
      <c r="H227" s="1" t="s">
        <v>35</v>
      </c>
      <c r="I227" s="1" t="s">
        <v>90</v>
      </c>
      <c r="J227" s="1" t="s">
        <v>39</v>
      </c>
      <c r="K227" s="1" t="s">
        <v>42</v>
      </c>
      <c r="L227" s="1" t="s">
        <v>43</v>
      </c>
      <c r="M227" s="1" t="s">
        <v>44</v>
      </c>
      <c r="N227" s="1" t="s">
        <v>45</v>
      </c>
      <c r="O227" s="1" t="s">
        <v>45</v>
      </c>
      <c r="P227" s="1" t="s">
        <v>46</v>
      </c>
      <c r="Q227" s="1" t="s">
        <v>47</v>
      </c>
      <c r="R227" s="1" t="s">
        <v>48</v>
      </c>
      <c r="S227" s="1" t="s">
        <v>49</v>
      </c>
      <c r="T227" s="1" t="s">
        <v>50</v>
      </c>
      <c r="U227" s="1" t="s">
        <v>51</v>
      </c>
      <c r="V227" s="1" t="s">
        <v>52</v>
      </c>
      <c r="W227" s="1" t="s">
        <v>53</v>
      </c>
      <c r="X227" s="1" t="s">
        <v>54</v>
      </c>
      <c r="Y227" s="1" t="s">
        <v>74</v>
      </c>
      <c r="Z227" s="1" t="s">
        <v>56</v>
      </c>
      <c r="AA227" s="1" t="s">
        <v>36</v>
      </c>
      <c r="AB227" s="1" t="s">
        <v>54</v>
      </c>
      <c r="AC227" s="1" t="s">
        <v>57</v>
      </c>
      <c r="AD227" s="1" t="s">
        <v>58</v>
      </c>
      <c r="AE227" s="1" t="s">
        <v>42</v>
      </c>
      <c r="AF227" s="1" t="s">
        <v>54</v>
      </c>
      <c r="AG227" s="1" t="s">
        <v>60</v>
      </c>
      <c r="AH227" s="1" t="s">
        <v>120</v>
      </c>
    </row>
    <row r="228" spans="1:34" x14ac:dyDescent="0.3">
      <c r="A228" s="1" t="s">
        <v>74</v>
      </c>
      <c r="B228" s="1" t="s">
        <v>94</v>
      </c>
      <c r="C228" s="1" t="s">
        <v>62</v>
      </c>
      <c r="D228" s="1" t="s">
        <v>63</v>
      </c>
      <c r="E228" s="1" t="s">
        <v>64</v>
      </c>
      <c r="F228" s="1" t="s">
        <v>65</v>
      </c>
      <c r="G228" s="1" t="s">
        <v>66</v>
      </c>
      <c r="H228" s="1" t="s">
        <v>61</v>
      </c>
      <c r="I228" s="1" t="s">
        <v>61</v>
      </c>
      <c r="J228" s="1" t="s">
        <v>65</v>
      </c>
      <c r="K228" s="1" t="s">
        <v>67</v>
      </c>
      <c r="L228" s="1" t="s">
        <v>66</v>
      </c>
      <c r="M228" s="1" t="s">
        <v>68</v>
      </c>
      <c r="N228" s="1" t="s">
        <v>63</v>
      </c>
      <c r="O228" s="1" t="s">
        <v>63</v>
      </c>
      <c r="P228" s="1" t="s">
        <v>69</v>
      </c>
      <c r="Q228" s="1" t="s">
        <v>70</v>
      </c>
      <c r="R228" s="1" t="s">
        <v>71</v>
      </c>
      <c r="S228" s="1" t="s">
        <v>63</v>
      </c>
      <c r="T228" s="1" t="s">
        <v>69</v>
      </c>
      <c r="U228" s="1" t="s">
        <v>69</v>
      </c>
      <c r="V228" s="1" t="s">
        <v>63</v>
      </c>
      <c r="W228" s="1" t="s">
        <v>68</v>
      </c>
      <c r="X228" s="1" t="s">
        <v>72</v>
      </c>
      <c r="Y228" s="1" t="s">
        <v>72</v>
      </c>
      <c r="Z228" s="1" t="s">
        <v>62</v>
      </c>
      <c r="AA228" s="1" t="s">
        <v>62</v>
      </c>
      <c r="AB228" s="1" t="s">
        <v>72</v>
      </c>
      <c r="AC228" s="1" t="s">
        <v>73</v>
      </c>
      <c r="AD228" s="1" t="s">
        <v>73</v>
      </c>
      <c r="AE228" s="1" t="s">
        <v>67</v>
      </c>
      <c r="AF228" s="1" t="s">
        <v>72</v>
      </c>
      <c r="AG228" s="1" t="s">
        <v>71</v>
      </c>
      <c r="AH228" s="1" t="s">
        <v>120</v>
      </c>
    </row>
    <row r="229" spans="1:34" x14ac:dyDescent="0.3">
      <c r="A229" s="1" t="s">
        <v>91</v>
      </c>
      <c r="B229" s="1" t="s">
        <v>87</v>
      </c>
      <c r="C229" s="1" t="s">
        <v>62</v>
      </c>
      <c r="D229" s="1" t="s">
        <v>49</v>
      </c>
      <c r="E229" s="1" t="s">
        <v>77</v>
      </c>
      <c r="F229" s="1" t="s">
        <v>39</v>
      </c>
      <c r="G229" s="1" t="s">
        <v>40</v>
      </c>
      <c r="H229" s="1" t="s">
        <v>35</v>
      </c>
      <c r="I229" s="1" t="s">
        <v>41</v>
      </c>
      <c r="J229" s="1" t="s">
        <v>78</v>
      </c>
      <c r="K229" s="1" t="s">
        <v>42</v>
      </c>
      <c r="L229" s="1" t="s">
        <v>43</v>
      </c>
      <c r="M229" s="1" t="s">
        <v>44</v>
      </c>
      <c r="N229" s="1" t="s">
        <v>45</v>
      </c>
      <c r="O229" s="1" t="s">
        <v>45</v>
      </c>
      <c r="P229" s="1" t="s">
        <v>103</v>
      </c>
      <c r="Q229" s="1" t="s">
        <v>47</v>
      </c>
      <c r="R229" s="1" t="s">
        <v>80</v>
      </c>
      <c r="S229" s="1" t="s">
        <v>49</v>
      </c>
      <c r="T229" s="1" t="s">
        <v>50</v>
      </c>
      <c r="U229" s="1" t="s">
        <v>51</v>
      </c>
      <c r="V229" s="1" t="s">
        <v>52</v>
      </c>
      <c r="W229" s="1" t="s">
        <v>53</v>
      </c>
      <c r="X229" s="1" t="s">
        <v>54</v>
      </c>
      <c r="Y229" s="1" t="s">
        <v>74</v>
      </c>
      <c r="Z229" s="1" t="s">
        <v>56</v>
      </c>
      <c r="AA229" s="1" t="s">
        <v>36</v>
      </c>
      <c r="AB229" s="1" t="s">
        <v>54</v>
      </c>
      <c r="AC229" s="1" t="s">
        <v>57</v>
      </c>
      <c r="AD229" s="1" t="s">
        <v>58</v>
      </c>
      <c r="AE229" s="1" t="s">
        <v>59</v>
      </c>
      <c r="AF229" s="1" t="s">
        <v>54</v>
      </c>
      <c r="AG229" s="1" t="s">
        <v>71</v>
      </c>
      <c r="AH229" s="1" t="s">
        <v>120</v>
      </c>
    </row>
    <row r="230" spans="1:34" x14ac:dyDescent="0.3">
      <c r="A230" s="1" t="s">
        <v>74</v>
      </c>
      <c r="B230" s="1" t="s">
        <v>87</v>
      </c>
      <c r="C230" s="1" t="s">
        <v>82</v>
      </c>
      <c r="D230" s="1" t="s">
        <v>49</v>
      </c>
      <c r="E230" s="1" t="s">
        <v>77</v>
      </c>
      <c r="F230" s="1" t="s">
        <v>86</v>
      </c>
      <c r="G230" s="1" t="s">
        <v>40</v>
      </c>
      <c r="H230" s="1" t="s">
        <v>41</v>
      </c>
      <c r="I230" s="1" t="s">
        <v>94</v>
      </c>
      <c r="J230" s="1" t="s">
        <v>92</v>
      </c>
      <c r="K230" s="1" t="s">
        <v>42</v>
      </c>
      <c r="L230" s="1" t="s">
        <v>88</v>
      </c>
      <c r="M230" s="1" t="s">
        <v>44</v>
      </c>
      <c r="N230" s="1" t="s">
        <v>45</v>
      </c>
      <c r="O230" s="1" t="s">
        <v>45</v>
      </c>
      <c r="P230" s="1" t="s">
        <v>46</v>
      </c>
      <c r="Q230" s="1" t="s">
        <v>47</v>
      </c>
      <c r="R230" s="1" t="s">
        <v>48</v>
      </c>
      <c r="S230" s="1" t="s">
        <v>45</v>
      </c>
      <c r="T230" s="1" t="s">
        <v>50</v>
      </c>
      <c r="U230" s="1" t="s">
        <v>51</v>
      </c>
      <c r="V230" s="1" t="s">
        <v>52</v>
      </c>
      <c r="W230" s="1" t="s">
        <v>53</v>
      </c>
      <c r="X230" s="1" t="s">
        <v>54</v>
      </c>
      <c r="Y230" s="1" t="s">
        <v>55</v>
      </c>
      <c r="Z230" s="1" t="s">
        <v>82</v>
      </c>
      <c r="AA230" s="1" t="s">
        <v>36</v>
      </c>
      <c r="AB230" s="1" t="s">
        <v>54</v>
      </c>
      <c r="AC230" s="1" t="s">
        <v>57</v>
      </c>
      <c r="AD230" s="1" t="s">
        <v>58</v>
      </c>
      <c r="AE230" s="1" t="s">
        <v>59</v>
      </c>
      <c r="AF230" s="1" t="s">
        <v>54</v>
      </c>
      <c r="AG230" s="1" t="s">
        <v>75</v>
      </c>
      <c r="AH230" s="1" t="s">
        <v>120</v>
      </c>
    </row>
    <row r="231" spans="1:34" x14ac:dyDescent="0.3">
      <c r="A231" s="1" t="s">
        <v>54</v>
      </c>
      <c r="B231" s="1" t="s">
        <v>35</v>
      </c>
      <c r="C231" s="1" t="s">
        <v>36</v>
      </c>
      <c r="D231" s="1" t="s">
        <v>37</v>
      </c>
      <c r="E231" s="1" t="s">
        <v>77</v>
      </c>
      <c r="F231" s="1" t="s">
        <v>39</v>
      </c>
      <c r="G231" s="1" t="s">
        <v>40</v>
      </c>
      <c r="H231" s="1" t="s">
        <v>35</v>
      </c>
      <c r="I231" s="1" t="s">
        <v>94</v>
      </c>
      <c r="J231" s="1" t="s">
        <v>39</v>
      </c>
      <c r="K231" s="1" t="s">
        <v>42</v>
      </c>
      <c r="L231" s="1" t="s">
        <v>43</v>
      </c>
      <c r="M231" s="1" t="s">
        <v>44</v>
      </c>
      <c r="N231" s="1" t="s">
        <v>45</v>
      </c>
      <c r="O231" s="1" t="s">
        <v>45</v>
      </c>
      <c r="P231" s="1" t="s">
        <v>46</v>
      </c>
      <c r="Q231" s="1" t="s">
        <v>47</v>
      </c>
      <c r="R231" s="1" t="s">
        <v>48</v>
      </c>
      <c r="S231" s="1" t="s">
        <v>49</v>
      </c>
      <c r="T231" s="1" t="s">
        <v>50</v>
      </c>
      <c r="U231" s="1" t="s">
        <v>51</v>
      </c>
      <c r="V231" s="1" t="s">
        <v>52</v>
      </c>
      <c r="W231" s="1" t="s">
        <v>53</v>
      </c>
      <c r="X231" s="1" t="s">
        <v>54</v>
      </c>
      <c r="Y231" s="1" t="s">
        <v>55</v>
      </c>
      <c r="Z231" s="1" t="s">
        <v>56</v>
      </c>
      <c r="AA231" s="1" t="s">
        <v>36</v>
      </c>
      <c r="AB231" s="1" t="s">
        <v>54</v>
      </c>
      <c r="AC231" s="1" t="s">
        <v>57</v>
      </c>
      <c r="AD231" s="1" t="s">
        <v>58</v>
      </c>
      <c r="AE231" s="1" t="s">
        <v>59</v>
      </c>
      <c r="AF231" s="1" t="s">
        <v>54</v>
      </c>
      <c r="AG231" s="1" t="s">
        <v>60</v>
      </c>
      <c r="AH231" s="1" t="s">
        <v>120</v>
      </c>
    </row>
    <row r="232" spans="1:34" x14ac:dyDescent="0.3">
      <c r="A232" s="1" t="s">
        <v>55</v>
      </c>
      <c r="B232" s="1" t="s">
        <v>41</v>
      </c>
      <c r="C232" s="1" t="s">
        <v>76</v>
      </c>
      <c r="D232" s="1" t="s">
        <v>37</v>
      </c>
      <c r="E232" s="1" t="s">
        <v>38</v>
      </c>
      <c r="F232" s="1" t="s">
        <v>39</v>
      </c>
      <c r="G232" s="1" t="s">
        <v>40</v>
      </c>
      <c r="H232" s="1" t="s">
        <v>35</v>
      </c>
      <c r="I232" s="1" t="s">
        <v>94</v>
      </c>
      <c r="J232" s="1" t="s">
        <v>39</v>
      </c>
      <c r="K232" s="1" t="s">
        <v>42</v>
      </c>
      <c r="L232" s="1" t="s">
        <v>43</v>
      </c>
      <c r="M232" s="1" t="s">
        <v>44</v>
      </c>
      <c r="N232" s="1" t="s">
        <v>45</v>
      </c>
      <c r="O232" s="1" t="s">
        <v>45</v>
      </c>
      <c r="P232" s="1" t="s">
        <v>46</v>
      </c>
      <c r="Q232" s="1" t="s">
        <v>47</v>
      </c>
      <c r="R232" s="1" t="s">
        <v>80</v>
      </c>
      <c r="S232" s="1" t="s">
        <v>49</v>
      </c>
      <c r="T232" s="1" t="s">
        <v>50</v>
      </c>
      <c r="U232" s="1" t="s">
        <v>51</v>
      </c>
      <c r="V232" s="1" t="s">
        <v>52</v>
      </c>
      <c r="W232" s="1" t="s">
        <v>53</v>
      </c>
      <c r="X232" s="1" t="s">
        <v>54</v>
      </c>
      <c r="Y232" s="1" t="s">
        <v>55</v>
      </c>
      <c r="Z232" s="1" t="s">
        <v>56</v>
      </c>
      <c r="AA232" s="1" t="s">
        <v>36</v>
      </c>
      <c r="AB232" s="1" t="s">
        <v>54</v>
      </c>
      <c r="AC232" s="1" t="s">
        <v>57</v>
      </c>
      <c r="AD232" s="1" t="s">
        <v>58</v>
      </c>
      <c r="AE232" s="1" t="s">
        <v>42</v>
      </c>
      <c r="AF232" s="1" t="s">
        <v>54</v>
      </c>
      <c r="AG232" s="1" t="s">
        <v>75</v>
      </c>
      <c r="AH232" s="1" t="s">
        <v>120</v>
      </c>
    </row>
    <row r="233" spans="1:34" x14ac:dyDescent="0.3">
      <c r="A233" s="1" t="s">
        <v>99</v>
      </c>
      <c r="B233" s="1" t="s">
        <v>94</v>
      </c>
      <c r="C233" s="1" t="s">
        <v>82</v>
      </c>
      <c r="D233" s="1" t="s">
        <v>37</v>
      </c>
      <c r="E233" s="1" t="s">
        <v>38</v>
      </c>
      <c r="F233" s="1" t="s">
        <v>39</v>
      </c>
      <c r="G233" s="1" t="s">
        <v>40</v>
      </c>
      <c r="H233" s="1" t="s">
        <v>35</v>
      </c>
      <c r="I233" s="1" t="s">
        <v>35</v>
      </c>
      <c r="J233" s="1" t="s">
        <v>39</v>
      </c>
      <c r="K233" s="1" t="s">
        <v>42</v>
      </c>
      <c r="L233" s="1" t="s">
        <v>43</v>
      </c>
      <c r="M233" s="1" t="s">
        <v>44</v>
      </c>
      <c r="N233" s="1" t="s">
        <v>45</v>
      </c>
      <c r="O233" s="1" t="s">
        <v>45</v>
      </c>
      <c r="P233" s="1" t="s">
        <v>46</v>
      </c>
      <c r="Q233" s="1" t="s">
        <v>93</v>
      </c>
      <c r="R233" s="1" t="s">
        <v>48</v>
      </c>
      <c r="S233" s="1" t="s">
        <v>49</v>
      </c>
      <c r="T233" s="1" t="s">
        <v>50</v>
      </c>
      <c r="U233" s="1" t="s">
        <v>51</v>
      </c>
      <c r="V233" s="1" t="s">
        <v>52</v>
      </c>
      <c r="W233" s="1" t="s">
        <v>53</v>
      </c>
      <c r="X233" s="1" t="s">
        <v>54</v>
      </c>
      <c r="Y233" s="1" t="s">
        <v>55</v>
      </c>
      <c r="Z233" s="1" t="s">
        <v>56</v>
      </c>
      <c r="AA233" s="1" t="s">
        <v>36</v>
      </c>
      <c r="AB233" s="1" t="s">
        <v>54</v>
      </c>
      <c r="AC233" s="1" t="s">
        <v>57</v>
      </c>
      <c r="AD233" s="1" t="s">
        <v>58</v>
      </c>
      <c r="AE233" s="1" t="s">
        <v>59</v>
      </c>
      <c r="AF233" s="1" t="s">
        <v>54</v>
      </c>
      <c r="AG233" s="1" t="s">
        <v>75</v>
      </c>
      <c r="AH233" s="1" t="s">
        <v>120</v>
      </c>
    </row>
    <row r="234" spans="1:34" x14ac:dyDescent="0.3">
      <c r="A234" s="1" t="s">
        <v>85</v>
      </c>
      <c r="B234" s="1" t="s">
        <v>41</v>
      </c>
      <c r="C234" s="1" t="s">
        <v>76</v>
      </c>
      <c r="D234" s="1" t="s">
        <v>37</v>
      </c>
      <c r="E234" s="1" t="s">
        <v>38</v>
      </c>
      <c r="F234" s="1" t="s">
        <v>39</v>
      </c>
      <c r="G234" s="1" t="s">
        <v>40</v>
      </c>
      <c r="H234" s="1" t="s">
        <v>41</v>
      </c>
      <c r="I234" s="1" t="s">
        <v>35</v>
      </c>
      <c r="J234" s="1" t="s">
        <v>92</v>
      </c>
      <c r="K234" s="1" t="s">
        <v>42</v>
      </c>
      <c r="L234" s="1" t="s">
        <v>79</v>
      </c>
      <c r="M234" s="1" t="s">
        <v>44</v>
      </c>
      <c r="N234" s="1" t="s">
        <v>45</v>
      </c>
      <c r="O234" s="1" t="s">
        <v>45</v>
      </c>
      <c r="P234" s="1" t="s">
        <v>46</v>
      </c>
      <c r="Q234" s="1" t="s">
        <v>47</v>
      </c>
      <c r="R234" s="1" t="s">
        <v>48</v>
      </c>
      <c r="S234" s="1" t="s">
        <v>49</v>
      </c>
      <c r="T234" s="1" t="s">
        <v>50</v>
      </c>
      <c r="U234" s="1" t="s">
        <v>51</v>
      </c>
      <c r="V234" s="1" t="s">
        <v>52</v>
      </c>
      <c r="W234" s="1" t="s">
        <v>53</v>
      </c>
      <c r="X234" s="1" t="s">
        <v>54</v>
      </c>
      <c r="Y234" s="1" t="s">
        <v>74</v>
      </c>
      <c r="Z234" s="1" t="s">
        <v>56</v>
      </c>
      <c r="AA234" s="1" t="s">
        <v>36</v>
      </c>
      <c r="AB234" s="1" t="s">
        <v>54</v>
      </c>
      <c r="AC234" s="1" t="s">
        <v>57</v>
      </c>
      <c r="AD234" s="1" t="s">
        <v>58</v>
      </c>
      <c r="AE234" s="1" t="s">
        <v>42</v>
      </c>
      <c r="AF234" s="1" t="s">
        <v>54</v>
      </c>
      <c r="AG234" s="1" t="s">
        <v>60</v>
      </c>
      <c r="AH234" s="1" t="s">
        <v>120</v>
      </c>
    </row>
    <row r="235" spans="1:34" x14ac:dyDescent="0.3">
      <c r="A235" s="1" t="s">
        <v>91</v>
      </c>
      <c r="B235" s="1" t="s">
        <v>41</v>
      </c>
      <c r="C235" s="1" t="s">
        <v>76</v>
      </c>
      <c r="D235" s="1" t="s">
        <v>45</v>
      </c>
      <c r="E235" s="1" t="s">
        <v>77</v>
      </c>
      <c r="F235" s="1" t="s">
        <v>39</v>
      </c>
      <c r="G235" s="1" t="s">
        <v>40</v>
      </c>
      <c r="H235" s="1" t="s">
        <v>41</v>
      </c>
      <c r="I235" s="1" t="s">
        <v>35</v>
      </c>
      <c r="J235" s="1" t="s">
        <v>39</v>
      </c>
      <c r="K235" s="1" t="s">
        <v>42</v>
      </c>
      <c r="L235" s="1" t="s">
        <v>88</v>
      </c>
      <c r="M235" s="1" t="s">
        <v>44</v>
      </c>
      <c r="N235" s="1" t="s">
        <v>45</v>
      </c>
      <c r="O235" s="1" t="s">
        <v>45</v>
      </c>
      <c r="P235" s="1" t="s">
        <v>46</v>
      </c>
      <c r="Q235" s="1" t="s">
        <v>47</v>
      </c>
      <c r="R235" s="1" t="s">
        <v>48</v>
      </c>
      <c r="S235" s="1" t="s">
        <v>45</v>
      </c>
      <c r="T235" s="1" t="s">
        <v>50</v>
      </c>
      <c r="U235" s="1" t="s">
        <v>51</v>
      </c>
      <c r="V235" s="1" t="s">
        <v>52</v>
      </c>
      <c r="W235" s="1" t="s">
        <v>53</v>
      </c>
      <c r="X235" s="1" t="s">
        <v>54</v>
      </c>
      <c r="Y235" s="1" t="s">
        <v>55</v>
      </c>
      <c r="Z235" s="1" t="s">
        <v>56</v>
      </c>
      <c r="AA235" s="1" t="s">
        <v>36</v>
      </c>
      <c r="AB235" s="1" t="s">
        <v>54</v>
      </c>
      <c r="AC235" s="1" t="s">
        <v>57</v>
      </c>
      <c r="AD235" s="1" t="s">
        <v>58</v>
      </c>
      <c r="AE235" s="1" t="s">
        <v>59</v>
      </c>
      <c r="AF235" s="1" t="s">
        <v>54</v>
      </c>
      <c r="AG235" s="1" t="s">
        <v>60</v>
      </c>
      <c r="AH235" s="1" t="s">
        <v>120</v>
      </c>
    </row>
    <row r="236" spans="1:34" x14ac:dyDescent="0.3">
      <c r="A236" s="1" t="s">
        <v>55</v>
      </c>
      <c r="B236" s="1" t="s">
        <v>41</v>
      </c>
      <c r="C236" s="1" t="s">
        <v>76</v>
      </c>
      <c r="D236" s="1" t="s">
        <v>37</v>
      </c>
      <c r="E236" s="1" t="s">
        <v>77</v>
      </c>
      <c r="F236" s="1" t="s">
        <v>39</v>
      </c>
      <c r="G236" s="1" t="s">
        <v>40</v>
      </c>
      <c r="H236" s="1" t="s">
        <v>35</v>
      </c>
      <c r="I236" s="1" t="s">
        <v>90</v>
      </c>
      <c r="J236" s="1" t="s">
        <v>92</v>
      </c>
      <c r="K236" s="1" t="s">
        <v>42</v>
      </c>
      <c r="L236" s="1" t="s">
        <v>79</v>
      </c>
      <c r="M236" s="1" t="s">
        <v>106</v>
      </c>
      <c r="N236" s="1" t="s">
        <v>45</v>
      </c>
      <c r="O236" s="1" t="s">
        <v>45</v>
      </c>
      <c r="P236" s="1" t="s">
        <v>46</v>
      </c>
      <c r="Q236" s="1" t="s">
        <v>47</v>
      </c>
      <c r="R236" s="1" t="s">
        <v>80</v>
      </c>
      <c r="S236" s="1" t="s">
        <v>49</v>
      </c>
      <c r="T236" s="1" t="s">
        <v>50</v>
      </c>
      <c r="U236" s="1" t="s">
        <v>51</v>
      </c>
      <c r="V236" s="1" t="s">
        <v>52</v>
      </c>
      <c r="W236" s="1" t="s">
        <v>53</v>
      </c>
      <c r="X236" s="1" t="s">
        <v>54</v>
      </c>
      <c r="Y236" s="1" t="s">
        <v>74</v>
      </c>
      <c r="Z236" s="1" t="s">
        <v>82</v>
      </c>
      <c r="AA236" s="1" t="s">
        <v>36</v>
      </c>
      <c r="AB236" s="1" t="s">
        <v>54</v>
      </c>
      <c r="AC236" s="1" t="s">
        <v>57</v>
      </c>
      <c r="AD236" s="1" t="s">
        <v>58</v>
      </c>
      <c r="AE236" s="1" t="s">
        <v>42</v>
      </c>
      <c r="AF236" s="1" t="s">
        <v>54</v>
      </c>
      <c r="AG236" s="1" t="s">
        <v>60</v>
      </c>
      <c r="AH236" s="1" t="s">
        <v>120</v>
      </c>
    </row>
    <row r="237" spans="1:34" x14ac:dyDescent="0.3">
      <c r="A237" s="1" t="s">
        <v>74</v>
      </c>
      <c r="B237" s="1" t="s">
        <v>41</v>
      </c>
      <c r="C237" s="1" t="s">
        <v>76</v>
      </c>
      <c r="D237" s="1" t="s">
        <v>49</v>
      </c>
      <c r="E237" s="1" t="s">
        <v>77</v>
      </c>
      <c r="F237" s="1" t="s">
        <v>86</v>
      </c>
      <c r="G237" s="1" t="s">
        <v>40</v>
      </c>
      <c r="H237" s="1" t="s">
        <v>41</v>
      </c>
      <c r="I237" s="1" t="s">
        <v>94</v>
      </c>
      <c r="J237" s="1" t="s">
        <v>39</v>
      </c>
      <c r="K237" s="1" t="s">
        <v>42</v>
      </c>
      <c r="L237" s="1" t="s">
        <v>88</v>
      </c>
      <c r="M237" s="1" t="s">
        <v>44</v>
      </c>
      <c r="N237" s="1" t="s">
        <v>45</v>
      </c>
      <c r="O237" s="1" t="s">
        <v>45</v>
      </c>
      <c r="P237" s="1" t="s">
        <v>46</v>
      </c>
      <c r="Q237" s="1" t="s">
        <v>93</v>
      </c>
      <c r="R237" s="1" t="s">
        <v>48</v>
      </c>
      <c r="S237" s="1" t="s">
        <v>49</v>
      </c>
      <c r="T237" s="1" t="s">
        <v>50</v>
      </c>
      <c r="U237" s="1" t="s">
        <v>51</v>
      </c>
      <c r="V237" s="1" t="s">
        <v>52</v>
      </c>
      <c r="W237" s="1" t="s">
        <v>53</v>
      </c>
      <c r="X237" s="1" t="s">
        <v>54</v>
      </c>
      <c r="Y237" s="1" t="s">
        <v>74</v>
      </c>
      <c r="Z237" s="1" t="s">
        <v>82</v>
      </c>
      <c r="AA237" s="1" t="s">
        <v>36</v>
      </c>
      <c r="AB237" s="1" t="s">
        <v>54</v>
      </c>
      <c r="AC237" s="1" t="s">
        <v>57</v>
      </c>
      <c r="AD237" s="1" t="s">
        <v>58</v>
      </c>
      <c r="AE237" s="1" t="s">
        <v>59</v>
      </c>
      <c r="AF237" s="1" t="s">
        <v>54</v>
      </c>
      <c r="AG237" s="1" t="s">
        <v>75</v>
      </c>
      <c r="AH237" s="1" t="s">
        <v>120</v>
      </c>
    </row>
    <row r="238" spans="1:34" x14ac:dyDescent="0.3">
      <c r="A238" s="1" t="s">
        <v>91</v>
      </c>
      <c r="B238" s="1" t="s">
        <v>35</v>
      </c>
      <c r="C238" s="1" t="s">
        <v>36</v>
      </c>
      <c r="D238" s="1" t="s">
        <v>83</v>
      </c>
      <c r="E238" s="1" t="s">
        <v>38</v>
      </c>
      <c r="F238" s="1" t="s">
        <v>39</v>
      </c>
      <c r="G238" s="1" t="s">
        <v>40</v>
      </c>
      <c r="H238" s="1" t="s">
        <v>35</v>
      </c>
      <c r="I238" s="1" t="s">
        <v>35</v>
      </c>
      <c r="J238" s="1" t="s">
        <v>39</v>
      </c>
      <c r="K238" s="1" t="s">
        <v>42</v>
      </c>
      <c r="L238" s="1" t="s">
        <v>43</v>
      </c>
      <c r="M238" s="1" t="s">
        <v>44</v>
      </c>
      <c r="N238" s="1" t="s">
        <v>45</v>
      </c>
      <c r="O238" s="1" t="s">
        <v>45</v>
      </c>
      <c r="P238" s="1" t="s">
        <v>46</v>
      </c>
      <c r="Q238" s="1" t="s">
        <v>47</v>
      </c>
      <c r="R238" s="1" t="s">
        <v>48</v>
      </c>
      <c r="S238" s="1" t="s">
        <v>49</v>
      </c>
      <c r="T238" s="1" t="s">
        <v>50</v>
      </c>
      <c r="U238" s="1" t="s">
        <v>51</v>
      </c>
      <c r="V238" s="1" t="s">
        <v>52</v>
      </c>
      <c r="W238" s="1" t="s">
        <v>53</v>
      </c>
      <c r="X238" s="1" t="s">
        <v>54</v>
      </c>
      <c r="Y238" s="1" t="s">
        <v>55</v>
      </c>
      <c r="Z238" s="1" t="s">
        <v>56</v>
      </c>
      <c r="AA238" s="1" t="s">
        <v>36</v>
      </c>
      <c r="AB238" s="1" t="s">
        <v>54</v>
      </c>
      <c r="AC238" s="1" t="s">
        <v>57</v>
      </c>
      <c r="AD238" s="1" t="s">
        <v>58</v>
      </c>
      <c r="AE238" s="1" t="s">
        <v>59</v>
      </c>
      <c r="AF238" s="1" t="s">
        <v>54</v>
      </c>
      <c r="AG238" s="1" t="s">
        <v>75</v>
      </c>
      <c r="AH238" s="1" t="s">
        <v>120</v>
      </c>
    </row>
    <row r="239" spans="1:34" x14ac:dyDescent="0.3">
      <c r="A239" s="1" t="s">
        <v>34</v>
      </c>
      <c r="B239" s="1" t="s">
        <v>41</v>
      </c>
      <c r="C239" s="1" t="s">
        <v>76</v>
      </c>
      <c r="D239" s="1" t="s">
        <v>37</v>
      </c>
      <c r="E239" s="1" t="s">
        <v>77</v>
      </c>
      <c r="F239" s="1" t="s">
        <v>86</v>
      </c>
      <c r="G239" s="1" t="s">
        <v>40</v>
      </c>
      <c r="H239" s="1" t="s">
        <v>41</v>
      </c>
      <c r="I239" s="1" t="s">
        <v>94</v>
      </c>
      <c r="J239" s="1" t="s">
        <v>78</v>
      </c>
      <c r="K239" s="1" t="s">
        <v>42</v>
      </c>
      <c r="L239" s="1" t="s">
        <v>43</v>
      </c>
      <c r="M239" s="1" t="s">
        <v>44</v>
      </c>
      <c r="N239" s="1" t="s">
        <v>45</v>
      </c>
      <c r="O239" s="1" t="s">
        <v>45</v>
      </c>
      <c r="P239" s="1" t="s">
        <v>46</v>
      </c>
      <c r="Q239" s="1" t="s">
        <v>47</v>
      </c>
      <c r="R239" s="1" t="s">
        <v>48</v>
      </c>
      <c r="S239" s="1" t="s">
        <v>49</v>
      </c>
      <c r="T239" s="1" t="s">
        <v>50</v>
      </c>
      <c r="U239" s="1" t="s">
        <v>51</v>
      </c>
      <c r="V239" s="1" t="s">
        <v>52</v>
      </c>
      <c r="W239" s="1" t="s">
        <v>53</v>
      </c>
      <c r="X239" s="1" t="s">
        <v>54</v>
      </c>
      <c r="Y239" s="1" t="s">
        <v>74</v>
      </c>
      <c r="Z239" s="1" t="s">
        <v>56</v>
      </c>
      <c r="AA239" s="1" t="s">
        <v>36</v>
      </c>
      <c r="AB239" s="1" t="s">
        <v>54</v>
      </c>
      <c r="AC239" s="1" t="s">
        <v>57</v>
      </c>
      <c r="AD239" s="1" t="s">
        <v>58</v>
      </c>
      <c r="AE239" s="1" t="s">
        <v>59</v>
      </c>
      <c r="AF239" s="1" t="s">
        <v>54</v>
      </c>
      <c r="AG239" s="1" t="s">
        <v>60</v>
      </c>
      <c r="AH239" s="1" t="s">
        <v>120</v>
      </c>
    </row>
    <row r="240" spans="1:34" x14ac:dyDescent="0.3">
      <c r="A240" s="1" t="s">
        <v>91</v>
      </c>
      <c r="B240" s="1" t="s">
        <v>35</v>
      </c>
      <c r="C240" s="1" t="s">
        <v>62</v>
      </c>
      <c r="D240" s="1" t="s">
        <v>49</v>
      </c>
      <c r="E240" s="1" t="s">
        <v>77</v>
      </c>
      <c r="F240" s="1" t="s">
        <v>39</v>
      </c>
      <c r="G240" s="1" t="s">
        <v>40</v>
      </c>
      <c r="H240" s="1" t="s">
        <v>35</v>
      </c>
      <c r="I240" s="1" t="s">
        <v>35</v>
      </c>
      <c r="J240" s="1" t="s">
        <v>39</v>
      </c>
      <c r="K240" s="1" t="s">
        <v>59</v>
      </c>
      <c r="L240" s="1" t="s">
        <v>66</v>
      </c>
      <c r="M240" s="1" t="s">
        <v>44</v>
      </c>
      <c r="N240" s="1" t="s">
        <v>45</v>
      </c>
      <c r="O240" s="1" t="s">
        <v>45</v>
      </c>
      <c r="P240" s="1" t="s">
        <v>103</v>
      </c>
      <c r="Q240" s="1" t="s">
        <v>47</v>
      </c>
      <c r="R240" s="1" t="s">
        <v>80</v>
      </c>
      <c r="S240" s="1" t="s">
        <v>49</v>
      </c>
      <c r="T240" s="1" t="s">
        <v>50</v>
      </c>
      <c r="U240" s="1" t="s">
        <v>51</v>
      </c>
      <c r="V240" s="1" t="s">
        <v>52</v>
      </c>
      <c r="W240" s="1" t="s">
        <v>53</v>
      </c>
      <c r="X240" s="1" t="s">
        <v>54</v>
      </c>
      <c r="Y240" s="1" t="s">
        <v>55</v>
      </c>
      <c r="Z240" s="1" t="s">
        <v>56</v>
      </c>
      <c r="AA240" s="1" t="s">
        <v>36</v>
      </c>
      <c r="AB240" s="1" t="s">
        <v>54</v>
      </c>
      <c r="AC240" s="1" t="s">
        <v>57</v>
      </c>
      <c r="AD240" s="1" t="s">
        <v>58</v>
      </c>
      <c r="AE240" s="1" t="s">
        <v>59</v>
      </c>
      <c r="AF240" s="1" t="s">
        <v>54</v>
      </c>
      <c r="AG240" s="1" t="s">
        <v>71</v>
      </c>
      <c r="AH240" s="1" t="s">
        <v>120</v>
      </c>
    </row>
    <row r="241" spans="1:34" x14ac:dyDescent="0.3">
      <c r="A241" s="1" t="s">
        <v>91</v>
      </c>
      <c r="B241" s="1" t="s">
        <v>41</v>
      </c>
      <c r="C241" s="1" t="s">
        <v>76</v>
      </c>
      <c r="D241" s="1" t="s">
        <v>49</v>
      </c>
      <c r="E241" s="1" t="s">
        <v>77</v>
      </c>
      <c r="F241" s="1" t="s">
        <v>86</v>
      </c>
      <c r="G241" s="1" t="s">
        <v>40</v>
      </c>
      <c r="H241" s="1" t="s">
        <v>41</v>
      </c>
      <c r="I241" s="1" t="s">
        <v>94</v>
      </c>
      <c r="J241" s="1" t="s">
        <v>39</v>
      </c>
      <c r="K241" s="1" t="s">
        <v>42</v>
      </c>
      <c r="L241" s="1" t="s">
        <v>43</v>
      </c>
      <c r="M241" s="1" t="s">
        <v>44</v>
      </c>
      <c r="N241" s="1" t="s">
        <v>45</v>
      </c>
      <c r="O241" s="1" t="s">
        <v>45</v>
      </c>
      <c r="P241" s="1" t="s">
        <v>46</v>
      </c>
      <c r="Q241" s="1" t="s">
        <v>93</v>
      </c>
      <c r="R241" s="1" t="s">
        <v>48</v>
      </c>
      <c r="S241" s="1" t="s">
        <v>49</v>
      </c>
      <c r="T241" s="1" t="s">
        <v>50</v>
      </c>
      <c r="U241" s="1" t="s">
        <v>51</v>
      </c>
      <c r="V241" s="1" t="s">
        <v>52</v>
      </c>
      <c r="W241" s="1" t="s">
        <v>53</v>
      </c>
      <c r="X241" s="1" t="s">
        <v>54</v>
      </c>
      <c r="Y241" s="1" t="s">
        <v>74</v>
      </c>
      <c r="Z241" s="1" t="s">
        <v>56</v>
      </c>
      <c r="AA241" s="1" t="s">
        <v>36</v>
      </c>
      <c r="AB241" s="1" t="s">
        <v>54</v>
      </c>
      <c r="AC241" s="1" t="s">
        <v>57</v>
      </c>
      <c r="AD241" s="1" t="s">
        <v>58</v>
      </c>
      <c r="AE241" s="1" t="s">
        <v>42</v>
      </c>
      <c r="AF241" s="1" t="s">
        <v>54</v>
      </c>
      <c r="AG241" s="1" t="s">
        <v>75</v>
      </c>
      <c r="AH241" s="1" t="s">
        <v>120</v>
      </c>
    </row>
    <row r="242" spans="1:34" x14ac:dyDescent="0.3">
      <c r="A242" s="1" t="s">
        <v>74</v>
      </c>
      <c r="B242" s="1" t="s">
        <v>87</v>
      </c>
      <c r="C242" s="1" t="s">
        <v>82</v>
      </c>
      <c r="D242" s="1" t="s">
        <v>49</v>
      </c>
      <c r="E242" s="1" t="s">
        <v>77</v>
      </c>
      <c r="F242" s="1" t="s">
        <v>39</v>
      </c>
      <c r="G242" s="1" t="s">
        <v>40</v>
      </c>
      <c r="H242" s="1" t="s">
        <v>35</v>
      </c>
      <c r="I242" s="1" t="s">
        <v>94</v>
      </c>
      <c r="J242" s="1" t="s">
        <v>39</v>
      </c>
      <c r="K242" s="1" t="s">
        <v>42</v>
      </c>
      <c r="L242" s="1" t="s">
        <v>43</v>
      </c>
      <c r="M242" s="1" t="s">
        <v>44</v>
      </c>
      <c r="N242" s="1" t="s">
        <v>45</v>
      </c>
      <c r="O242" s="1" t="s">
        <v>45</v>
      </c>
      <c r="P242" s="1" t="s">
        <v>46</v>
      </c>
      <c r="Q242" s="1" t="s">
        <v>47</v>
      </c>
      <c r="R242" s="1" t="s">
        <v>80</v>
      </c>
      <c r="S242" s="1" t="s">
        <v>49</v>
      </c>
      <c r="T242" s="1" t="s">
        <v>50</v>
      </c>
      <c r="U242" s="1" t="s">
        <v>51</v>
      </c>
      <c r="V242" s="1" t="s">
        <v>52</v>
      </c>
      <c r="W242" s="1" t="s">
        <v>53</v>
      </c>
      <c r="X242" s="1" t="s">
        <v>54</v>
      </c>
      <c r="Y242" s="1" t="s">
        <v>55</v>
      </c>
      <c r="Z242" s="1" t="s">
        <v>82</v>
      </c>
      <c r="AA242" s="1" t="s">
        <v>36</v>
      </c>
      <c r="AB242" s="1" t="s">
        <v>54</v>
      </c>
      <c r="AC242" s="1" t="s">
        <v>57</v>
      </c>
      <c r="AD242" s="1" t="s">
        <v>58</v>
      </c>
      <c r="AE242" s="1" t="s">
        <v>59</v>
      </c>
      <c r="AF242" s="1" t="s">
        <v>54</v>
      </c>
      <c r="AG242" s="1" t="s">
        <v>75</v>
      </c>
      <c r="AH242" s="1" t="s">
        <v>120</v>
      </c>
    </row>
    <row r="243" spans="1:34" x14ac:dyDescent="0.3">
      <c r="A243" s="1" t="s">
        <v>85</v>
      </c>
      <c r="B243" s="1" t="s">
        <v>41</v>
      </c>
      <c r="C243" s="1" t="s">
        <v>76</v>
      </c>
      <c r="D243" s="1" t="s">
        <v>37</v>
      </c>
      <c r="E243" s="1" t="s">
        <v>38</v>
      </c>
      <c r="F243" s="1" t="s">
        <v>86</v>
      </c>
      <c r="G243" s="1" t="s">
        <v>40</v>
      </c>
      <c r="H243" s="1" t="s">
        <v>35</v>
      </c>
      <c r="I243" s="1" t="s">
        <v>90</v>
      </c>
      <c r="J243" s="1" t="s">
        <v>39</v>
      </c>
      <c r="K243" s="1" t="s">
        <v>42</v>
      </c>
      <c r="L243" s="1" t="s">
        <v>43</v>
      </c>
      <c r="M243" s="1" t="s">
        <v>44</v>
      </c>
      <c r="N243" s="1" t="s">
        <v>45</v>
      </c>
      <c r="O243" s="1" t="s">
        <v>45</v>
      </c>
      <c r="P243" s="1" t="s">
        <v>46</v>
      </c>
      <c r="Q243" s="1" t="s">
        <v>47</v>
      </c>
      <c r="R243" s="1" t="s">
        <v>80</v>
      </c>
      <c r="S243" s="1" t="s">
        <v>49</v>
      </c>
      <c r="T243" s="1" t="s">
        <v>50</v>
      </c>
      <c r="U243" s="1" t="s">
        <v>51</v>
      </c>
      <c r="V243" s="1" t="s">
        <v>52</v>
      </c>
      <c r="W243" s="1" t="s">
        <v>53</v>
      </c>
      <c r="X243" s="1" t="s">
        <v>54</v>
      </c>
      <c r="Y243" s="1" t="s">
        <v>74</v>
      </c>
      <c r="Z243" s="1" t="s">
        <v>56</v>
      </c>
      <c r="AA243" s="1" t="s">
        <v>36</v>
      </c>
      <c r="AB243" s="1" t="s">
        <v>54</v>
      </c>
      <c r="AC243" s="1" t="s">
        <v>57</v>
      </c>
      <c r="AD243" s="1" t="s">
        <v>58</v>
      </c>
      <c r="AE243" s="1" t="s">
        <v>42</v>
      </c>
      <c r="AF243" s="1" t="s">
        <v>54</v>
      </c>
      <c r="AG243" s="1" t="s">
        <v>60</v>
      </c>
      <c r="AH243" s="1" t="s">
        <v>120</v>
      </c>
    </row>
    <row r="244" spans="1:34" x14ac:dyDescent="0.3">
      <c r="A244" s="1" t="s">
        <v>54</v>
      </c>
      <c r="B244" s="1" t="s">
        <v>41</v>
      </c>
      <c r="C244" s="1" t="s">
        <v>76</v>
      </c>
      <c r="D244" s="1" t="s">
        <v>83</v>
      </c>
      <c r="E244" s="1" t="s">
        <v>38</v>
      </c>
      <c r="F244" s="1" t="s">
        <v>39</v>
      </c>
      <c r="G244" s="1" t="s">
        <v>40</v>
      </c>
      <c r="H244" s="1" t="s">
        <v>35</v>
      </c>
      <c r="I244" s="1" t="s">
        <v>35</v>
      </c>
      <c r="J244" s="1" t="s">
        <v>39</v>
      </c>
      <c r="K244" s="1" t="s">
        <v>42</v>
      </c>
      <c r="L244" s="1" t="s">
        <v>43</v>
      </c>
      <c r="M244" s="1" t="s">
        <v>53</v>
      </c>
      <c r="N244" s="1" t="s">
        <v>45</v>
      </c>
      <c r="O244" s="1" t="s">
        <v>45</v>
      </c>
      <c r="P244" s="1" t="s">
        <v>46</v>
      </c>
      <c r="Q244" s="1" t="s">
        <v>47</v>
      </c>
      <c r="R244" s="1" t="s">
        <v>48</v>
      </c>
      <c r="S244" s="1" t="s">
        <v>49</v>
      </c>
      <c r="T244" s="1" t="s">
        <v>50</v>
      </c>
      <c r="U244" s="1" t="s">
        <v>51</v>
      </c>
      <c r="V244" s="1" t="s">
        <v>52</v>
      </c>
      <c r="W244" s="1" t="s">
        <v>53</v>
      </c>
      <c r="X244" s="1" t="s">
        <v>54</v>
      </c>
      <c r="Y244" s="1" t="s">
        <v>74</v>
      </c>
      <c r="Z244" s="1" t="s">
        <v>56</v>
      </c>
      <c r="AA244" s="1" t="s">
        <v>36</v>
      </c>
      <c r="AB244" s="1" t="s">
        <v>54</v>
      </c>
      <c r="AC244" s="1" t="s">
        <v>57</v>
      </c>
      <c r="AD244" s="1" t="s">
        <v>58</v>
      </c>
      <c r="AE244" s="1" t="s">
        <v>59</v>
      </c>
      <c r="AF244" s="1" t="s">
        <v>54</v>
      </c>
      <c r="AG244" s="1" t="s">
        <v>75</v>
      </c>
      <c r="AH244" s="1" t="s">
        <v>120</v>
      </c>
    </row>
    <row r="245" spans="1:34" x14ac:dyDescent="0.3">
      <c r="A245" s="1" t="s">
        <v>74</v>
      </c>
      <c r="B245" s="1" t="s">
        <v>35</v>
      </c>
      <c r="C245" s="1" t="s">
        <v>36</v>
      </c>
      <c r="D245" s="1" t="s">
        <v>37</v>
      </c>
      <c r="E245" s="1" t="s">
        <v>77</v>
      </c>
      <c r="F245" s="1" t="s">
        <v>39</v>
      </c>
      <c r="G245" s="1" t="s">
        <v>40</v>
      </c>
      <c r="H245" s="1" t="s">
        <v>35</v>
      </c>
      <c r="I245" s="1" t="s">
        <v>35</v>
      </c>
      <c r="J245" s="1" t="s">
        <v>39</v>
      </c>
      <c r="K245" s="1" t="s">
        <v>42</v>
      </c>
      <c r="L245" s="1" t="s">
        <v>43</v>
      </c>
      <c r="M245" s="1" t="s">
        <v>44</v>
      </c>
      <c r="N245" s="1" t="s">
        <v>45</v>
      </c>
      <c r="O245" s="1" t="s">
        <v>45</v>
      </c>
      <c r="P245" s="1" t="s">
        <v>46</v>
      </c>
      <c r="Q245" s="1" t="s">
        <v>47</v>
      </c>
      <c r="R245" s="1" t="s">
        <v>80</v>
      </c>
      <c r="S245" s="1" t="s">
        <v>49</v>
      </c>
      <c r="T245" s="1" t="s">
        <v>50</v>
      </c>
      <c r="U245" s="1" t="s">
        <v>51</v>
      </c>
      <c r="V245" s="1" t="s">
        <v>52</v>
      </c>
      <c r="W245" s="1" t="s">
        <v>53</v>
      </c>
      <c r="X245" s="1" t="s">
        <v>54</v>
      </c>
      <c r="Y245" s="1" t="s">
        <v>55</v>
      </c>
      <c r="Z245" s="1" t="s">
        <v>82</v>
      </c>
      <c r="AA245" s="1" t="s">
        <v>36</v>
      </c>
      <c r="AB245" s="1" t="s">
        <v>54</v>
      </c>
      <c r="AC245" s="1" t="s">
        <v>57</v>
      </c>
      <c r="AD245" s="1" t="s">
        <v>58</v>
      </c>
      <c r="AE245" s="1" t="s">
        <v>59</v>
      </c>
      <c r="AF245" s="1" t="s">
        <v>54</v>
      </c>
      <c r="AG245" s="1" t="s">
        <v>75</v>
      </c>
      <c r="AH245" s="1" t="s">
        <v>120</v>
      </c>
    </row>
    <row r="246" spans="1:34" x14ac:dyDescent="0.3">
      <c r="A246" s="1" t="s">
        <v>74</v>
      </c>
      <c r="B246" s="1" t="s">
        <v>87</v>
      </c>
      <c r="C246" s="1" t="s">
        <v>82</v>
      </c>
      <c r="D246" s="1" t="s">
        <v>49</v>
      </c>
      <c r="E246" s="1" t="s">
        <v>77</v>
      </c>
      <c r="F246" s="1" t="s">
        <v>86</v>
      </c>
      <c r="G246" s="1" t="s">
        <v>40</v>
      </c>
      <c r="H246" s="1" t="s">
        <v>41</v>
      </c>
      <c r="I246" s="1" t="s">
        <v>94</v>
      </c>
      <c r="J246" s="1" t="s">
        <v>39</v>
      </c>
      <c r="K246" s="1" t="s">
        <v>42</v>
      </c>
      <c r="L246" s="1" t="s">
        <v>43</v>
      </c>
      <c r="M246" s="1" t="s">
        <v>106</v>
      </c>
      <c r="N246" s="1" t="s">
        <v>49</v>
      </c>
      <c r="O246" s="1" t="s">
        <v>45</v>
      </c>
      <c r="P246" s="1" t="s">
        <v>46</v>
      </c>
      <c r="Q246" s="1" t="s">
        <v>47</v>
      </c>
      <c r="R246" s="1" t="s">
        <v>80</v>
      </c>
      <c r="S246" s="1" t="s">
        <v>49</v>
      </c>
      <c r="T246" s="1" t="s">
        <v>50</v>
      </c>
      <c r="U246" s="1" t="s">
        <v>51</v>
      </c>
      <c r="V246" s="1" t="s">
        <v>81</v>
      </c>
      <c r="W246" s="1" t="s">
        <v>53</v>
      </c>
      <c r="X246" s="1" t="s">
        <v>54</v>
      </c>
      <c r="Y246" s="1" t="s">
        <v>74</v>
      </c>
      <c r="Z246" s="1" t="s">
        <v>82</v>
      </c>
      <c r="AA246" s="1" t="s">
        <v>36</v>
      </c>
      <c r="AB246" s="1" t="s">
        <v>54</v>
      </c>
      <c r="AC246" s="1" t="s">
        <v>57</v>
      </c>
      <c r="AD246" s="1" t="s">
        <v>58</v>
      </c>
      <c r="AE246" s="1" t="s">
        <v>59</v>
      </c>
      <c r="AF246" s="1" t="s">
        <v>54</v>
      </c>
      <c r="AG246" s="1" t="s">
        <v>75</v>
      </c>
      <c r="AH246" s="1" t="s">
        <v>120</v>
      </c>
    </row>
    <row r="247" spans="1:34" x14ac:dyDescent="0.3">
      <c r="A247" s="1" t="s">
        <v>54</v>
      </c>
      <c r="B247" s="1" t="s">
        <v>35</v>
      </c>
      <c r="C247" s="1" t="s">
        <v>36</v>
      </c>
      <c r="D247" s="1" t="s">
        <v>49</v>
      </c>
      <c r="E247" s="1" t="s">
        <v>77</v>
      </c>
      <c r="F247" s="1" t="s">
        <v>86</v>
      </c>
      <c r="G247" s="1" t="s">
        <v>40</v>
      </c>
      <c r="H247" s="1" t="s">
        <v>41</v>
      </c>
      <c r="I247" s="1" t="s">
        <v>35</v>
      </c>
      <c r="J247" s="1" t="s">
        <v>39</v>
      </c>
      <c r="K247" s="1" t="s">
        <v>42</v>
      </c>
      <c r="L247" s="1" t="s">
        <v>43</v>
      </c>
      <c r="M247" s="1" t="s">
        <v>44</v>
      </c>
      <c r="N247" s="1" t="s">
        <v>81</v>
      </c>
      <c r="O247" s="1" t="s">
        <v>81</v>
      </c>
      <c r="P247" s="1" t="s">
        <v>50</v>
      </c>
      <c r="Q247" s="1" t="s">
        <v>47</v>
      </c>
      <c r="R247" s="1" t="s">
        <v>48</v>
      </c>
      <c r="S247" s="1" t="s">
        <v>49</v>
      </c>
      <c r="T247" s="1" t="s">
        <v>50</v>
      </c>
      <c r="U247" s="1" t="s">
        <v>51</v>
      </c>
      <c r="V247" s="1" t="s">
        <v>52</v>
      </c>
      <c r="W247" s="1" t="s">
        <v>53</v>
      </c>
      <c r="X247" s="1" t="s">
        <v>91</v>
      </c>
      <c r="Y247" s="1" t="s">
        <v>74</v>
      </c>
      <c r="Z247" s="1" t="s">
        <v>56</v>
      </c>
      <c r="AA247" s="1" t="s">
        <v>36</v>
      </c>
      <c r="AB247" s="1" t="s">
        <v>54</v>
      </c>
      <c r="AC247" s="1" t="s">
        <v>57</v>
      </c>
      <c r="AD247" s="1" t="s">
        <v>58</v>
      </c>
      <c r="AE247" s="1" t="s">
        <v>59</v>
      </c>
      <c r="AF247" s="1" t="s">
        <v>54</v>
      </c>
      <c r="AG247" s="1" t="s">
        <v>98</v>
      </c>
      <c r="AH247" s="1" t="s">
        <v>120</v>
      </c>
    </row>
    <row r="248" spans="1:34" x14ac:dyDescent="0.3">
      <c r="A248" s="1" t="s">
        <v>54</v>
      </c>
      <c r="B248" s="1" t="s">
        <v>41</v>
      </c>
      <c r="C248" s="1" t="s">
        <v>76</v>
      </c>
      <c r="D248" s="1" t="s">
        <v>49</v>
      </c>
      <c r="E248" s="1" t="s">
        <v>77</v>
      </c>
      <c r="F248" s="1" t="s">
        <v>86</v>
      </c>
      <c r="G248" s="1" t="s">
        <v>40</v>
      </c>
      <c r="H248" s="1" t="s">
        <v>41</v>
      </c>
      <c r="I248" s="1" t="s">
        <v>94</v>
      </c>
      <c r="J248" s="1" t="s">
        <v>78</v>
      </c>
      <c r="K248" s="1" t="s">
        <v>42</v>
      </c>
      <c r="L248" s="1" t="s">
        <v>43</v>
      </c>
      <c r="M248" s="1" t="s">
        <v>44</v>
      </c>
      <c r="N248" s="1" t="s">
        <v>45</v>
      </c>
      <c r="O248" s="1" t="s">
        <v>45</v>
      </c>
      <c r="P248" s="1" t="s">
        <v>46</v>
      </c>
      <c r="Q248" s="1" t="s">
        <v>47</v>
      </c>
      <c r="R248" s="1" t="s">
        <v>48</v>
      </c>
      <c r="S248" s="1" t="s">
        <v>49</v>
      </c>
      <c r="T248" s="1" t="s">
        <v>50</v>
      </c>
      <c r="U248" s="1" t="s">
        <v>51</v>
      </c>
      <c r="V248" s="1" t="s">
        <v>52</v>
      </c>
      <c r="W248" s="1" t="s">
        <v>53</v>
      </c>
      <c r="X248" s="1" t="s">
        <v>54</v>
      </c>
      <c r="Y248" s="1" t="s">
        <v>74</v>
      </c>
      <c r="Z248" s="1" t="s">
        <v>56</v>
      </c>
      <c r="AA248" s="1" t="s">
        <v>36</v>
      </c>
      <c r="AB248" s="1" t="s">
        <v>54</v>
      </c>
      <c r="AC248" s="1" t="s">
        <v>57</v>
      </c>
      <c r="AD248" s="1" t="s">
        <v>58</v>
      </c>
      <c r="AE248" s="1" t="s">
        <v>42</v>
      </c>
      <c r="AF248" s="1" t="s">
        <v>54</v>
      </c>
      <c r="AG248" s="1" t="s">
        <v>75</v>
      </c>
      <c r="AH248" s="1" t="s">
        <v>120</v>
      </c>
    </row>
    <row r="249" spans="1:34" x14ac:dyDescent="0.3">
      <c r="A249" s="1" t="s">
        <v>99</v>
      </c>
      <c r="B249" s="1" t="s">
        <v>35</v>
      </c>
      <c r="C249" s="1" t="s">
        <v>36</v>
      </c>
      <c r="D249" s="1" t="s">
        <v>37</v>
      </c>
      <c r="E249" s="1" t="s">
        <v>77</v>
      </c>
      <c r="F249" s="1" t="s">
        <v>39</v>
      </c>
      <c r="G249" s="1" t="s">
        <v>40</v>
      </c>
      <c r="H249" s="1" t="s">
        <v>35</v>
      </c>
      <c r="I249" s="1" t="s">
        <v>41</v>
      </c>
      <c r="J249" s="1" t="s">
        <v>39</v>
      </c>
      <c r="K249" s="1" t="s">
        <v>42</v>
      </c>
      <c r="L249" s="1" t="s">
        <v>43</v>
      </c>
      <c r="M249" s="1" t="s">
        <v>106</v>
      </c>
      <c r="N249" s="1" t="s">
        <v>45</v>
      </c>
      <c r="O249" s="1" t="s">
        <v>45</v>
      </c>
      <c r="P249" s="1" t="s">
        <v>46</v>
      </c>
      <c r="Q249" s="1" t="s">
        <v>47</v>
      </c>
      <c r="R249" s="1" t="s">
        <v>48</v>
      </c>
      <c r="S249" s="1" t="s">
        <v>49</v>
      </c>
      <c r="T249" s="1" t="s">
        <v>50</v>
      </c>
      <c r="U249" s="1" t="s">
        <v>51</v>
      </c>
      <c r="V249" s="1" t="s">
        <v>52</v>
      </c>
      <c r="W249" s="1" t="s">
        <v>53</v>
      </c>
      <c r="X249" s="1" t="s">
        <v>54</v>
      </c>
      <c r="Y249" s="1" t="s">
        <v>55</v>
      </c>
      <c r="Z249" s="1" t="s">
        <v>82</v>
      </c>
      <c r="AA249" s="1" t="s">
        <v>36</v>
      </c>
      <c r="AB249" s="1" t="s">
        <v>54</v>
      </c>
      <c r="AC249" s="1" t="s">
        <v>57</v>
      </c>
      <c r="AD249" s="1" t="s">
        <v>58</v>
      </c>
      <c r="AE249" s="1" t="s">
        <v>59</v>
      </c>
      <c r="AF249" s="1" t="s">
        <v>54</v>
      </c>
      <c r="AG249" s="1" t="s">
        <v>75</v>
      </c>
      <c r="AH249" s="1" t="s">
        <v>120</v>
      </c>
    </row>
    <row r="250" spans="1:34" x14ac:dyDescent="0.3">
      <c r="A250" s="1" t="s">
        <v>74</v>
      </c>
      <c r="B250" s="1" t="s">
        <v>61</v>
      </c>
      <c r="C250" s="1" t="s">
        <v>62</v>
      </c>
      <c r="D250" s="1" t="s">
        <v>63</v>
      </c>
      <c r="E250" s="1" t="s">
        <v>64</v>
      </c>
      <c r="F250" s="1" t="s">
        <v>65</v>
      </c>
      <c r="G250" s="1" t="s">
        <v>66</v>
      </c>
      <c r="H250" s="1" t="s">
        <v>61</v>
      </c>
      <c r="I250" s="1" t="s">
        <v>61</v>
      </c>
      <c r="J250" s="1" t="s">
        <v>65</v>
      </c>
      <c r="K250" s="1" t="s">
        <v>67</v>
      </c>
      <c r="L250" s="1" t="s">
        <v>66</v>
      </c>
      <c r="M250" s="1" t="s">
        <v>68</v>
      </c>
      <c r="N250" s="1" t="s">
        <v>63</v>
      </c>
      <c r="O250" s="1" t="s">
        <v>63</v>
      </c>
      <c r="P250" s="1" t="s">
        <v>69</v>
      </c>
      <c r="Q250" s="1" t="s">
        <v>70</v>
      </c>
      <c r="R250" s="1" t="s">
        <v>71</v>
      </c>
      <c r="S250" s="1" t="s">
        <v>63</v>
      </c>
      <c r="T250" s="1" t="s">
        <v>69</v>
      </c>
      <c r="U250" s="1" t="s">
        <v>69</v>
      </c>
      <c r="V250" s="1" t="s">
        <v>63</v>
      </c>
      <c r="W250" s="1" t="s">
        <v>68</v>
      </c>
      <c r="X250" s="1" t="s">
        <v>72</v>
      </c>
      <c r="Y250" s="1" t="s">
        <v>72</v>
      </c>
      <c r="Z250" s="1" t="s">
        <v>62</v>
      </c>
      <c r="AA250" s="1" t="s">
        <v>62</v>
      </c>
      <c r="AB250" s="1" t="s">
        <v>72</v>
      </c>
      <c r="AC250" s="1" t="s">
        <v>73</v>
      </c>
      <c r="AD250" s="1" t="s">
        <v>73</v>
      </c>
      <c r="AE250" s="1" t="s">
        <v>67</v>
      </c>
      <c r="AF250" s="1" t="s">
        <v>72</v>
      </c>
      <c r="AG250" s="1" t="s">
        <v>71</v>
      </c>
      <c r="AH250" s="1" t="s">
        <v>120</v>
      </c>
    </row>
    <row r="251" spans="1:34" x14ac:dyDescent="0.3">
      <c r="A251" s="1" t="s">
        <v>99</v>
      </c>
      <c r="B251" s="1" t="s">
        <v>41</v>
      </c>
      <c r="C251" s="1" t="s">
        <v>76</v>
      </c>
      <c r="D251" s="1" t="s">
        <v>49</v>
      </c>
      <c r="E251" s="1" t="s">
        <v>77</v>
      </c>
      <c r="F251" s="1" t="s">
        <v>39</v>
      </c>
      <c r="G251" s="1" t="s">
        <v>40</v>
      </c>
      <c r="H251" s="1" t="s">
        <v>35</v>
      </c>
      <c r="I251" s="1" t="s">
        <v>94</v>
      </c>
      <c r="J251" s="1" t="s">
        <v>39</v>
      </c>
      <c r="K251" s="1" t="s">
        <v>42</v>
      </c>
      <c r="L251" s="1" t="s">
        <v>112</v>
      </c>
      <c r="M251" s="1" t="s">
        <v>44</v>
      </c>
      <c r="N251" s="1" t="s">
        <v>45</v>
      </c>
      <c r="O251" s="1" t="s">
        <v>45</v>
      </c>
      <c r="P251" s="1" t="s">
        <v>46</v>
      </c>
      <c r="Q251" s="1" t="s">
        <v>93</v>
      </c>
      <c r="R251" s="1" t="s">
        <v>48</v>
      </c>
      <c r="S251" s="1" t="s">
        <v>49</v>
      </c>
      <c r="T251" s="1" t="s">
        <v>50</v>
      </c>
      <c r="U251" s="1" t="s">
        <v>51</v>
      </c>
      <c r="V251" s="1" t="s">
        <v>52</v>
      </c>
      <c r="W251" s="1" t="s">
        <v>53</v>
      </c>
      <c r="X251" s="1" t="s">
        <v>54</v>
      </c>
      <c r="Y251" s="1" t="s">
        <v>55</v>
      </c>
      <c r="Z251" s="1" t="s">
        <v>56</v>
      </c>
      <c r="AA251" s="1" t="s">
        <v>36</v>
      </c>
      <c r="AB251" s="1" t="s">
        <v>54</v>
      </c>
      <c r="AC251" s="1" t="s">
        <v>57</v>
      </c>
      <c r="AD251" s="1" t="s">
        <v>58</v>
      </c>
      <c r="AE251" s="1" t="s">
        <v>42</v>
      </c>
      <c r="AF251" s="1" t="s">
        <v>54</v>
      </c>
      <c r="AG251" s="1" t="s">
        <v>75</v>
      </c>
      <c r="AH251" s="1" t="s">
        <v>120</v>
      </c>
    </row>
    <row r="252" spans="1:34" x14ac:dyDescent="0.3">
      <c r="A252" s="1" t="s">
        <v>74</v>
      </c>
      <c r="B252" s="1" t="s">
        <v>61</v>
      </c>
      <c r="C252" s="1" t="s">
        <v>62</v>
      </c>
      <c r="D252" s="1" t="s">
        <v>63</v>
      </c>
      <c r="E252" s="1" t="s">
        <v>64</v>
      </c>
      <c r="F252" s="1" t="s">
        <v>65</v>
      </c>
      <c r="G252" s="1" t="s">
        <v>66</v>
      </c>
      <c r="H252" s="1" t="s">
        <v>61</v>
      </c>
      <c r="I252" s="1" t="s">
        <v>61</v>
      </c>
      <c r="J252" s="1" t="s">
        <v>65</v>
      </c>
      <c r="K252" s="1" t="s">
        <v>67</v>
      </c>
      <c r="L252" s="1" t="s">
        <v>66</v>
      </c>
      <c r="M252" s="1" t="s">
        <v>68</v>
      </c>
      <c r="N252" s="1" t="s">
        <v>63</v>
      </c>
      <c r="O252" s="1" t="s">
        <v>63</v>
      </c>
      <c r="P252" s="1" t="s">
        <v>69</v>
      </c>
      <c r="Q252" s="1" t="s">
        <v>70</v>
      </c>
      <c r="R252" s="1" t="s">
        <v>71</v>
      </c>
      <c r="S252" s="1" t="s">
        <v>63</v>
      </c>
      <c r="T252" s="1" t="s">
        <v>69</v>
      </c>
      <c r="U252" s="1" t="s">
        <v>69</v>
      </c>
      <c r="V252" s="1" t="s">
        <v>63</v>
      </c>
      <c r="W252" s="1" t="s">
        <v>68</v>
      </c>
      <c r="X252" s="1" t="s">
        <v>72</v>
      </c>
      <c r="Y252" s="1" t="s">
        <v>72</v>
      </c>
      <c r="Z252" s="1" t="s">
        <v>62</v>
      </c>
      <c r="AA252" s="1" t="s">
        <v>62</v>
      </c>
      <c r="AB252" s="1" t="s">
        <v>72</v>
      </c>
      <c r="AC252" s="1" t="s">
        <v>73</v>
      </c>
      <c r="AD252" s="1" t="s">
        <v>73</v>
      </c>
      <c r="AE252" s="1" t="s">
        <v>67</v>
      </c>
      <c r="AF252" s="1" t="s">
        <v>72</v>
      </c>
      <c r="AG252" s="1" t="s">
        <v>71</v>
      </c>
      <c r="AH252" s="1" t="s">
        <v>120</v>
      </c>
    </row>
    <row r="253" spans="1:34" x14ac:dyDescent="0.3">
      <c r="A253" s="1" t="s">
        <v>91</v>
      </c>
      <c r="B253" s="1" t="s">
        <v>41</v>
      </c>
      <c r="C253" s="1" t="s">
        <v>76</v>
      </c>
      <c r="D253" s="1" t="s">
        <v>49</v>
      </c>
      <c r="E253" s="1" t="s">
        <v>77</v>
      </c>
      <c r="F253" s="1" t="s">
        <v>39</v>
      </c>
      <c r="G253" s="1" t="s">
        <v>40</v>
      </c>
      <c r="H253" s="1" t="s">
        <v>35</v>
      </c>
      <c r="I253" s="1" t="s">
        <v>35</v>
      </c>
      <c r="J253" s="1" t="s">
        <v>39</v>
      </c>
      <c r="K253" s="1" t="s">
        <v>42</v>
      </c>
      <c r="L253" s="1" t="s">
        <v>43</v>
      </c>
      <c r="M253" s="1" t="s">
        <v>44</v>
      </c>
      <c r="N253" s="1" t="s">
        <v>45</v>
      </c>
      <c r="O253" s="1" t="s">
        <v>45</v>
      </c>
      <c r="P253" s="1" t="s">
        <v>103</v>
      </c>
      <c r="Q253" s="1" t="s">
        <v>47</v>
      </c>
      <c r="R253" s="1" t="s">
        <v>48</v>
      </c>
      <c r="S253" s="1" t="s">
        <v>49</v>
      </c>
      <c r="T253" s="1" t="s">
        <v>50</v>
      </c>
      <c r="U253" s="1" t="s">
        <v>51</v>
      </c>
      <c r="V253" s="1" t="s">
        <v>52</v>
      </c>
      <c r="W253" s="1" t="s">
        <v>53</v>
      </c>
      <c r="X253" s="1" t="s">
        <v>54</v>
      </c>
      <c r="Y253" s="1" t="s">
        <v>55</v>
      </c>
      <c r="Z253" s="1" t="s">
        <v>56</v>
      </c>
      <c r="AA253" s="1" t="s">
        <v>36</v>
      </c>
      <c r="AB253" s="1" t="s">
        <v>54</v>
      </c>
      <c r="AC253" s="1" t="s">
        <v>57</v>
      </c>
      <c r="AD253" s="1" t="s">
        <v>58</v>
      </c>
      <c r="AE253" s="1" t="s">
        <v>59</v>
      </c>
      <c r="AF253" s="1" t="s">
        <v>54</v>
      </c>
      <c r="AG253" s="1" t="s">
        <v>98</v>
      </c>
      <c r="AH253" s="1" t="s">
        <v>120</v>
      </c>
    </row>
    <row r="254" spans="1:34" x14ac:dyDescent="0.3">
      <c r="A254" s="1" t="s">
        <v>54</v>
      </c>
      <c r="B254" s="1" t="s">
        <v>41</v>
      </c>
      <c r="C254" s="1" t="s">
        <v>76</v>
      </c>
      <c r="D254" s="1" t="s">
        <v>37</v>
      </c>
      <c r="E254" s="1" t="s">
        <v>77</v>
      </c>
      <c r="F254" s="1" t="s">
        <v>39</v>
      </c>
      <c r="G254" s="1" t="s">
        <v>40</v>
      </c>
      <c r="H254" s="1" t="s">
        <v>35</v>
      </c>
      <c r="I254" s="1" t="s">
        <v>35</v>
      </c>
      <c r="J254" s="1" t="s">
        <v>39</v>
      </c>
      <c r="K254" s="1" t="s">
        <v>42</v>
      </c>
      <c r="L254" s="1" t="s">
        <v>79</v>
      </c>
      <c r="M254" s="1" t="s">
        <v>84</v>
      </c>
      <c r="N254" s="1" t="s">
        <v>45</v>
      </c>
      <c r="O254" s="1" t="s">
        <v>45</v>
      </c>
      <c r="P254" s="1" t="s">
        <v>46</v>
      </c>
      <c r="Q254" s="1" t="s">
        <v>47</v>
      </c>
      <c r="R254" s="1" t="s">
        <v>48</v>
      </c>
      <c r="S254" s="1" t="s">
        <v>49</v>
      </c>
      <c r="T254" s="1" t="s">
        <v>50</v>
      </c>
      <c r="U254" s="1" t="s">
        <v>51</v>
      </c>
      <c r="V254" s="1" t="s">
        <v>52</v>
      </c>
      <c r="W254" s="1" t="s">
        <v>53</v>
      </c>
      <c r="X254" s="1" t="s">
        <v>54</v>
      </c>
      <c r="Y254" s="1" t="s">
        <v>74</v>
      </c>
      <c r="Z254" s="1" t="s">
        <v>56</v>
      </c>
      <c r="AA254" s="1" t="s">
        <v>36</v>
      </c>
      <c r="AB254" s="1" t="s">
        <v>54</v>
      </c>
      <c r="AC254" s="1" t="s">
        <v>57</v>
      </c>
      <c r="AD254" s="1" t="s">
        <v>58</v>
      </c>
      <c r="AE254" s="1" t="s">
        <v>42</v>
      </c>
      <c r="AF254" s="1" t="s">
        <v>54</v>
      </c>
      <c r="AG254" s="1" t="s">
        <v>75</v>
      </c>
      <c r="AH254" s="1" t="s">
        <v>120</v>
      </c>
    </row>
    <row r="255" spans="1:34" x14ac:dyDescent="0.3">
      <c r="A255" s="1" t="s">
        <v>54</v>
      </c>
      <c r="B255" s="1" t="s">
        <v>41</v>
      </c>
      <c r="C255" s="1" t="s">
        <v>76</v>
      </c>
      <c r="D255" s="1" t="s">
        <v>49</v>
      </c>
      <c r="E255" s="1" t="s">
        <v>77</v>
      </c>
      <c r="F255" s="1" t="s">
        <v>39</v>
      </c>
      <c r="G255" s="1" t="s">
        <v>40</v>
      </c>
      <c r="H255" s="1" t="s">
        <v>35</v>
      </c>
      <c r="I255" s="1" t="s">
        <v>94</v>
      </c>
      <c r="J255" s="1" t="s">
        <v>39</v>
      </c>
      <c r="K255" s="1" t="s">
        <v>42</v>
      </c>
      <c r="L255" s="1" t="s">
        <v>43</v>
      </c>
      <c r="M255" s="1" t="s">
        <v>44</v>
      </c>
      <c r="N255" s="1" t="s">
        <v>45</v>
      </c>
      <c r="O255" s="1" t="s">
        <v>45</v>
      </c>
      <c r="P255" s="1" t="s">
        <v>46</v>
      </c>
      <c r="Q255" s="1" t="s">
        <v>47</v>
      </c>
      <c r="R255" s="1" t="s">
        <v>48</v>
      </c>
      <c r="S255" s="1" t="s">
        <v>49</v>
      </c>
      <c r="T255" s="1" t="s">
        <v>50</v>
      </c>
      <c r="U255" s="1" t="s">
        <v>51</v>
      </c>
      <c r="V255" s="1" t="s">
        <v>52</v>
      </c>
      <c r="W255" s="1" t="s">
        <v>53</v>
      </c>
      <c r="X255" s="1" t="s">
        <v>91</v>
      </c>
      <c r="Y255" s="1" t="s">
        <v>55</v>
      </c>
      <c r="Z255" s="1" t="s">
        <v>56</v>
      </c>
      <c r="AA255" s="1" t="s">
        <v>36</v>
      </c>
      <c r="AB255" s="1" t="s">
        <v>54</v>
      </c>
      <c r="AC255" s="1" t="s">
        <v>57</v>
      </c>
      <c r="AD255" s="1" t="s">
        <v>58</v>
      </c>
      <c r="AE255" s="1" t="s">
        <v>42</v>
      </c>
      <c r="AF255" s="1" t="s">
        <v>54</v>
      </c>
      <c r="AG255" s="1" t="s">
        <v>75</v>
      </c>
      <c r="AH255" s="1" t="s">
        <v>120</v>
      </c>
    </row>
    <row r="256" spans="1:34" x14ac:dyDescent="0.3">
      <c r="A256" s="1" t="s">
        <v>55</v>
      </c>
      <c r="B256" s="1" t="s">
        <v>41</v>
      </c>
      <c r="C256" s="1" t="s">
        <v>76</v>
      </c>
      <c r="D256" s="1" t="s">
        <v>49</v>
      </c>
      <c r="E256" s="1" t="s">
        <v>77</v>
      </c>
      <c r="F256" s="1" t="s">
        <v>39</v>
      </c>
      <c r="G256" s="1" t="s">
        <v>113</v>
      </c>
      <c r="H256" s="1" t="s">
        <v>35</v>
      </c>
      <c r="I256" s="1" t="s">
        <v>35</v>
      </c>
      <c r="J256" s="1" t="s">
        <v>92</v>
      </c>
      <c r="K256" s="1" t="s">
        <v>42</v>
      </c>
      <c r="L256" s="1" t="s">
        <v>79</v>
      </c>
      <c r="M256" s="1" t="s">
        <v>44</v>
      </c>
      <c r="N256" s="1" t="s">
        <v>45</v>
      </c>
      <c r="O256" s="1" t="s">
        <v>45</v>
      </c>
      <c r="P256" s="1" t="s">
        <v>46</v>
      </c>
      <c r="Q256" s="1" t="s">
        <v>47</v>
      </c>
      <c r="R256" s="1" t="s">
        <v>48</v>
      </c>
      <c r="S256" s="1" t="s">
        <v>49</v>
      </c>
      <c r="T256" s="1" t="s">
        <v>50</v>
      </c>
      <c r="U256" s="1" t="s">
        <v>51</v>
      </c>
      <c r="V256" s="1" t="s">
        <v>52</v>
      </c>
      <c r="W256" s="1" t="s">
        <v>53</v>
      </c>
      <c r="X256" s="1" t="s">
        <v>54</v>
      </c>
      <c r="Y256" s="1" t="s">
        <v>55</v>
      </c>
      <c r="Z256" s="1" t="s">
        <v>56</v>
      </c>
      <c r="AA256" s="1" t="s">
        <v>36</v>
      </c>
      <c r="AB256" s="1" t="s">
        <v>54</v>
      </c>
      <c r="AC256" s="1" t="s">
        <v>57</v>
      </c>
      <c r="AD256" s="1" t="s">
        <v>58</v>
      </c>
      <c r="AE256" s="1" t="s">
        <v>42</v>
      </c>
      <c r="AF256" s="1" t="s">
        <v>54</v>
      </c>
      <c r="AG256" s="1" t="s">
        <v>60</v>
      </c>
      <c r="AH256" s="1" t="s">
        <v>120</v>
      </c>
    </row>
    <row r="257" spans="1:34" x14ac:dyDescent="0.3">
      <c r="A257" s="1" t="s">
        <v>54</v>
      </c>
      <c r="B257" s="1" t="s">
        <v>41</v>
      </c>
      <c r="C257" s="1" t="s">
        <v>76</v>
      </c>
      <c r="D257" s="1" t="s">
        <v>49</v>
      </c>
      <c r="E257" s="1" t="s">
        <v>77</v>
      </c>
      <c r="F257" s="1" t="s">
        <v>39</v>
      </c>
      <c r="G257" s="1" t="s">
        <v>40</v>
      </c>
      <c r="H257" s="1" t="s">
        <v>35</v>
      </c>
      <c r="I257" s="1" t="s">
        <v>94</v>
      </c>
      <c r="J257" s="1" t="s">
        <v>92</v>
      </c>
      <c r="K257" s="1" t="s">
        <v>42</v>
      </c>
      <c r="L257" s="1" t="s">
        <v>43</v>
      </c>
      <c r="M257" s="1" t="s">
        <v>44</v>
      </c>
      <c r="N257" s="1" t="s">
        <v>45</v>
      </c>
      <c r="O257" s="1" t="s">
        <v>45</v>
      </c>
      <c r="P257" s="1" t="s">
        <v>46</v>
      </c>
      <c r="Q257" s="1" t="s">
        <v>47</v>
      </c>
      <c r="R257" s="1" t="s">
        <v>48</v>
      </c>
      <c r="S257" s="1" t="s">
        <v>49</v>
      </c>
      <c r="T257" s="1" t="s">
        <v>50</v>
      </c>
      <c r="U257" s="1" t="s">
        <v>51</v>
      </c>
      <c r="V257" s="1" t="s">
        <v>52</v>
      </c>
      <c r="W257" s="1" t="s">
        <v>53</v>
      </c>
      <c r="X257" s="1" t="s">
        <v>54</v>
      </c>
      <c r="Y257" s="1" t="s">
        <v>74</v>
      </c>
      <c r="Z257" s="1" t="s">
        <v>56</v>
      </c>
      <c r="AA257" s="1" t="s">
        <v>36</v>
      </c>
      <c r="AB257" s="1" t="s">
        <v>54</v>
      </c>
      <c r="AC257" s="1" t="s">
        <v>57</v>
      </c>
      <c r="AD257" s="1" t="s">
        <v>58</v>
      </c>
      <c r="AE257" s="1" t="s">
        <v>42</v>
      </c>
      <c r="AF257" s="1" t="s">
        <v>54</v>
      </c>
      <c r="AG257" s="1" t="s">
        <v>75</v>
      </c>
      <c r="AH257" s="1" t="s">
        <v>120</v>
      </c>
    </row>
    <row r="258" spans="1:34" x14ac:dyDescent="0.3">
      <c r="A258" s="1" t="s">
        <v>74</v>
      </c>
      <c r="B258" s="1" t="s">
        <v>41</v>
      </c>
      <c r="C258" s="1" t="s">
        <v>76</v>
      </c>
      <c r="D258" s="1" t="s">
        <v>37</v>
      </c>
      <c r="E258" s="1" t="s">
        <v>77</v>
      </c>
      <c r="F258" s="1" t="s">
        <v>39</v>
      </c>
      <c r="G258" s="1" t="s">
        <v>40</v>
      </c>
      <c r="H258" s="1" t="s">
        <v>35</v>
      </c>
      <c r="I258" s="1" t="s">
        <v>94</v>
      </c>
      <c r="J258" s="1" t="s">
        <v>39</v>
      </c>
      <c r="K258" s="1" t="s">
        <v>42</v>
      </c>
      <c r="L258" s="1" t="s">
        <v>88</v>
      </c>
      <c r="M258" s="1" t="s">
        <v>44</v>
      </c>
      <c r="N258" s="1" t="s">
        <v>45</v>
      </c>
      <c r="O258" s="1" t="s">
        <v>45</v>
      </c>
      <c r="P258" s="1" t="s">
        <v>46</v>
      </c>
      <c r="Q258" s="1" t="s">
        <v>47</v>
      </c>
      <c r="R258" s="1" t="s">
        <v>80</v>
      </c>
      <c r="S258" s="1" t="s">
        <v>49</v>
      </c>
      <c r="T258" s="1" t="s">
        <v>50</v>
      </c>
      <c r="U258" s="1" t="s">
        <v>51</v>
      </c>
      <c r="V258" s="1" t="s">
        <v>52</v>
      </c>
      <c r="W258" s="1" t="s">
        <v>53</v>
      </c>
      <c r="X258" s="1" t="s">
        <v>54</v>
      </c>
      <c r="Y258" s="1" t="s">
        <v>55</v>
      </c>
      <c r="Z258" s="1" t="s">
        <v>82</v>
      </c>
      <c r="AA258" s="1" t="s">
        <v>36</v>
      </c>
      <c r="AB258" s="1" t="s">
        <v>54</v>
      </c>
      <c r="AC258" s="1" t="s">
        <v>57</v>
      </c>
      <c r="AD258" s="1" t="s">
        <v>58</v>
      </c>
      <c r="AE258" s="1" t="s">
        <v>42</v>
      </c>
      <c r="AF258" s="1" t="s">
        <v>54</v>
      </c>
      <c r="AG258" s="1" t="s">
        <v>75</v>
      </c>
      <c r="AH258" s="1" t="s">
        <v>120</v>
      </c>
    </row>
    <row r="259" spans="1:34" x14ac:dyDescent="0.3">
      <c r="A259" s="1" t="s">
        <v>55</v>
      </c>
      <c r="B259" s="1" t="s">
        <v>41</v>
      </c>
      <c r="C259" s="1" t="s">
        <v>76</v>
      </c>
      <c r="D259" s="1" t="s">
        <v>37</v>
      </c>
      <c r="E259" s="1" t="s">
        <v>77</v>
      </c>
      <c r="F259" s="1" t="s">
        <v>86</v>
      </c>
      <c r="G259" s="1" t="s">
        <v>40</v>
      </c>
      <c r="H259" s="1" t="s">
        <v>41</v>
      </c>
      <c r="I259" s="1" t="s">
        <v>35</v>
      </c>
      <c r="J259" s="1" t="s">
        <v>39</v>
      </c>
      <c r="K259" s="1" t="s">
        <v>42</v>
      </c>
      <c r="L259" s="1" t="s">
        <v>43</v>
      </c>
      <c r="M259" s="1" t="s">
        <v>44</v>
      </c>
      <c r="N259" s="1" t="s">
        <v>45</v>
      </c>
      <c r="O259" s="1" t="s">
        <v>45</v>
      </c>
      <c r="P259" s="1" t="s">
        <v>46</v>
      </c>
      <c r="Q259" s="1" t="s">
        <v>47</v>
      </c>
      <c r="R259" s="1" t="s">
        <v>48</v>
      </c>
      <c r="S259" s="1" t="s">
        <v>49</v>
      </c>
      <c r="T259" s="1" t="s">
        <v>50</v>
      </c>
      <c r="U259" s="1" t="s">
        <v>51</v>
      </c>
      <c r="V259" s="1" t="s">
        <v>52</v>
      </c>
      <c r="W259" s="1" t="s">
        <v>53</v>
      </c>
      <c r="X259" s="1" t="s">
        <v>54</v>
      </c>
      <c r="Y259" s="1" t="s">
        <v>55</v>
      </c>
      <c r="Z259" s="1" t="s">
        <v>56</v>
      </c>
      <c r="AA259" s="1" t="s">
        <v>36</v>
      </c>
      <c r="AB259" s="1" t="s">
        <v>54</v>
      </c>
      <c r="AC259" s="1" t="s">
        <v>57</v>
      </c>
      <c r="AD259" s="1" t="s">
        <v>58</v>
      </c>
      <c r="AE259" s="1" t="s">
        <v>42</v>
      </c>
      <c r="AF259" s="1" t="s">
        <v>54</v>
      </c>
      <c r="AG259" s="1" t="s">
        <v>60</v>
      </c>
      <c r="AH259" s="1" t="s">
        <v>120</v>
      </c>
    </row>
    <row r="260" spans="1:34" x14ac:dyDescent="0.3">
      <c r="A260" s="1" t="s">
        <v>34</v>
      </c>
      <c r="B260" s="1" t="s">
        <v>41</v>
      </c>
      <c r="C260" s="1" t="s">
        <v>76</v>
      </c>
      <c r="D260" s="1" t="s">
        <v>37</v>
      </c>
      <c r="E260" s="1" t="s">
        <v>77</v>
      </c>
      <c r="F260" s="1" t="s">
        <v>86</v>
      </c>
      <c r="G260" s="1" t="s">
        <v>40</v>
      </c>
      <c r="H260" s="1" t="s">
        <v>41</v>
      </c>
      <c r="I260" s="1" t="s">
        <v>35</v>
      </c>
      <c r="J260" s="1" t="s">
        <v>39</v>
      </c>
      <c r="K260" s="1" t="s">
        <v>42</v>
      </c>
      <c r="L260" s="1" t="s">
        <v>43</v>
      </c>
      <c r="M260" s="1" t="s">
        <v>44</v>
      </c>
      <c r="N260" s="1" t="s">
        <v>45</v>
      </c>
      <c r="O260" s="1" t="s">
        <v>45</v>
      </c>
      <c r="P260" s="1" t="s">
        <v>46</v>
      </c>
      <c r="Q260" s="1" t="s">
        <v>47</v>
      </c>
      <c r="R260" s="1" t="s">
        <v>48</v>
      </c>
      <c r="S260" s="1" t="s">
        <v>45</v>
      </c>
      <c r="T260" s="1" t="s">
        <v>50</v>
      </c>
      <c r="U260" s="1" t="s">
        <v>51</v>
      </c>
      <c r="V260" s="1" t="s">
        <v>52</v>
      </c>
      <c r="W260" s="1" t="s">
        <v>53</v>
      </c>
      <c r="X260" s="1" t="s">
        <v>54</v>
      </c>
      <c r="Y260" s="1" t="s">
        <v>55</v>
      </c>
      <c r="Z260" s="1" t="s">
        <v>56</v>
      </c>
      <c r="AA260" s="1" t="s">
        <v>36</v>
      </c>
      <c r="AB260" s="1" t="s">
        <v>54</v>
      </c>
      <c r="AC260" s="1" t="s">
        <v>57</v>
      </c>
      <c r="AD260" s="1" t="s">
        <v>58</v>
      </c>
      <c r="AE260" s="1" t="s">
        <v>42</v>
      </c>
      <c r="AF260" s="1" t="s">
        <v>54</v>
      </c>
      <c r="AG260" s="1" t="s">
        <v>60</v>
      </c>
      <c r="AH260" s="1" t="s">
        <v>120</v>
      </c>
    </row>
    <row r="261" spans="1:34" x14ac:dyDescent="0.3">
      <c r="A261" s="1" t="s">
        <v>74</v>
      </c>
      <c r="B261" s="1" t="s">
        <v>41</v>
      </c>
      <c r="C261" s="1" t="s">
        <v>76</v>
      </c>
      <c r="D261" s="1" t="s">
        <v>49</v>
      </c>
      <c r="E261" s="1" t="s">
        <v>77</v>
      </c>
      <c r="F261" s="1" t="s">
        <v>86</v>
      </c>
      <c r="G261" s="1" t="s">
        <v>40</v>
      </c>
      <c r="H261" s="1" t="s">
        <v>41</v>
      </c>
      <c r="I261" s="1" t="s">
        <v>90</v>
      </c>
      <c r="J261" s="1" t="s">
        <v>39</v>
      </c>
      <c r="K261" s="1" t="s">
        <v>42</v>
      </c>
      <c r="L261" s="1" t="s">
        <v>43</v>
      </c>
      <c r="M261" s="1" t="s">
        <v>44</v>
      </c>
      <c r="N261" s="1" t="s">
        <v>45</v>
      </c>
      <c r="O261" s="1" t="s">
        <v>45</v>
      </c>
      <c r="P261" s="1" t="s">
        <v>46</v>
      </c>
      <c r="Q261" s="1" t="s">
        <v>47</v>
      </c>
      <c r="R261" s="1" t="s">
        <v>48</v>
      </c>
      <c r="S261" s="1" t="s">
        <v>49</v>
      </c>
      <c r="T261" s="1" t="s">
        <v>50</v>
      </c>
      <c r="U261" s="1" t="s">
        <v>51</v>
      </c>
      <c r="V261" s="1" t="s">
        <v>52</v>
      </c>
      <c r="W261" s="1" t="s">
        <v>53</v>
      </c>
      <c r="X261" s="1" t="s">
        <v>54</v>
      </c>
      <c r="Y261" s="1" t="s">
        <v>55</v>
      </c>
      <c r="Z261" s="1" t="s">
        <v>56</v>
      </c>
      <c r="AA261" s="1" t="s">
        <v>36</v>
      </c>
      <c r="AB261" s="1" t="s">
        <v>54</v>
      </c>
      <c r="AC261" s="1" t="s">
        <v>57</v>
      </c>
      <c r="AD261" s="1" t="s">
        <v>58</v>
      </c>
      <c r="AE261" s="1" t="s">
        <v>42</v>
      </c>
      <c r="AF261" s="1" t="s">
        <v>54</v>
      </c>
      <c r="AG261" s="1" t="s">
        <v>75</v>
      </c>
      <c r="AH261" s="1" t="s">
        <v>120</v>
      </c>
    </row>
    <row r="262" spans="1:34" x14ac:dyDescent="0.3">
      <c r="A262" s="1" t="s">
        <v>99</v>
      </c>
      <c r="B262" s="1" t="s">
        <v>41</v>
      </c>
      <c r="C262" s="1" t="s">
        <v>76</v>
      </c>
      <c r="D262" s="1" t="s">
        <v>49</v>
      </c>
      <c r="E262" s="1" t="s">
        <v>77</v>
      </c>
      <c r="F262" s="1" t="s">
        <v>39</v>
      </c>
      <c r="G262" s="1" t="s">
        <v>40</v>
      </c>
      <c r="H262" s="1" t="s">
        <v>35</v>
      </c>
      <c r="I262" s="1" t="s">
        <v>35</v>
      </c>
      <c r="J262" s="1" t="s">
        <v>39</v>
      </c>
      <c r="K262" s="1" t="s">
        <v>42</v>
      </c>
      <c r="L262" s="1" t="s">
        <v>88</v>
      </c>
      <c r="M262" s="1" t="s">
        <v>44</v>
      </c>
      <c r="N262" s="1" t="s">
        <v>45</v>
      </c>
      <c r="O262" s="1" t="s">
        <v>45</v>
      </c>
      <c r="P262" s="1" t="s">
        <v>46</v>
      </c>
      <c r="Q262" s="1" t="s">
        <v>47</v>
      </c>
      <c r="R262" s="1" t="s">
        <v>48</v>
      </c>
      <c r="S262" s="1" t="s">
        <v>49</v>
      </c>
      <c r="T262" s="1" t="s">
        <v>50</v>
      </c>
      <c r="U262" s="1" t="s">
        <v>51</v>
      </c>
      <c r="V262" s="1" t="s">
        <v>52</v>
      </c>
      <c r="W262" s="1" t="s">
        <v>53</v>
      </c>
      <c r="X262" s="1" t="s">
        <v>91</v>
      </c>
      <c r="Y262" s="1" t="s">
        <v>74</v>
      </c>
      <c r="Z262" s="1" t="s">
        <v>56</v>
      </c>
      <c r="AA262" s="1" t="s">
        <v>36</v>
      </c>
      <c r="AB262" s="1" t="s">
        <v>54</v>
      </c>
      <c r="AC262" s="1" t="s">
        <v>57</v>
      </c>
      <c r="AD262" s="1" t="s">
        <v>58</v>
      </c>
      <c r="AE262" s="1" t="s">
        <v>42</v>
      </c>
      <c r="AF262" s="1" t="s">
        <v>54</v>
      </c>
      <c r="AG262" s="1" t="s">
        <v>75</v>
      </c>
      <c r="AH262" s="1" t="s">
        <v>120</v>
      </c>
    </row>
    <row r="263" spans="1:34" x14ac:dyDescent="0.3">
      <c r="A263" s="1" t="s">
        <v>74</v>
      </c>
      <c r="B263" s="1" t="s">
        <v>41</v>
      </c>
      <c r="C263" s="1" t="s">
        <v>76</v>
      </c>
      <c r="D263" s="1" t="s">
        <v>111</v>
      </c>
      <c r="E263" s="1" t="s">
        <v>77</v>
      </c>
      <c r="F263" s="1" t="s">
        <v>39</v>
      </c>
      <c r="G263" s="1" t="s">
        <v>40</v>
      </c>
      <c r="H263" s="1" t="s">
        <v>35</v>
      </c>
      <c r="I263" s="1" t="s">
        <v>41</v>
      </c>
      <c r="J263" s="1" t="s">
        <v>92</v>
      </c>
      <c r="K263" s="1" t="s">
        <v>59</v>
      </c>
      <c r="L263" s="1" t="s">
        <v>66</v>
      </c>
      <c r="M263" s="1" t="s">
        <v>84</v>
      </c>
      <c r="N263" s="1" t="s">
        <v>45</v>
      </c>
      <c r="O263" s="1" t="s">
        <v>45</v>
      </c>
      <c r="P263" s="1" t="s">
        <v>50</v>
      </c>
      <c r="Q263" s="1" t="s">
        <v>47</v>
      </c>
      <c r="R263" s="1" t="s">
        <v>80</v>
      </c>
      <c r="S263" s="1" t="s">
        <v>49</v>
      </c>
      <c r="T263" s="1" t="s">
        <v>50</v>
      </c>
      <c r="U263" s="1" t="s">
        <v>51</v>
      </c>
      <c r="V263" s="1" t="s">
        <v>81</v>
      </c>
      <c r="W263" s="1" t="s">
        <v>53</v>
      </c>
      <c r="X263" s="1" t="s">
        <v>54</v>
      </c>
      <c r="Y263" s="1" t="s">
        <v>55</v>
      </c>
      <c r="Z263" s="1" t="s">
        <v>82</v>
      </c>
      <c r="AA263" s="1" t="s">
        <v>36</v>
      </c>
      <c r="AB263" s="1" t="s">
        <v>54</v>
      </c>
      <c r="AC263" s="1" t="s">
        <v>57</v>
      </c>
      <c r="AD263" s="1" t="s">
        <v>58</v>
      </c>
      <c r="AE263" s="1" t="s">
        <v>59</v>
      </c>
      <c r="AF263" s="1" t="s">
        <v>54</v>
      </c>
      <c r="AG263" s="1" t="s">
        <v>75</v>
      </c>
      <c r="AH263" s="1" t="s">
        <v>120</v>
      </c>
    </row>
    <row r="264" spans="1:34" x14ac:dyDescent="0.3">
      <c r="A264" s="1" t="s">
        <v>91</v>
      </c>
      <c r="B264" s="1" t="s">
        <v>41</v>
      </c>
      <c r="C264" s="1" t="s">
        <v>76</v>
      </c>
      <c r="D264" s="1" t="s">
        <v>37</v>
      </c>
      <c r="E264" s="1" t="s">
        <v>77</v>
      </c>
      <c r="F264" s="1" t="s">
        <v>39</v>
      </c>
      <c r="G264" s="1" t="s">
        <v>40</v>
      </c>
      <c r="H264" s="1" t="s">
        <v>35</v>
      </c>
      <c r="I264" s="1" t="s">
        <v>35</v>
      </c>
      <c r="J264" s="1" t="s">
        <v>78</v>
      </c>
      <c r="K264" s="1" t="s">
        <v>42</v>
      </c>
      <c r="L264" s="1" t="s">
        <v>79</v>
      </c>
      <c r="M264" s="1" t="s">
        <v>44</v>
      </c>
      <c r="N264" s="1" t="s">
        <v>45</v>
      </c>
      <c r="O264" s="1" t="s">
        <v>45</v>
      </c>
      <c r="P264" s="1" t="s">
        <v>46</v>
      </c>
      <c r="Q264" s="1" t="s">
        <v>47</v>
      </c>
      <c r="R264" s="1" t="s">
        <v>80</v>
      </c>
      <c r="S264" s="1" t="s">
        <v>49</v>
      </c>
      <c r="T264" s="1" t="s">
        <v>50</v>
      </c>
      <c r="U264" s="1" t="s">
        <v>51</v>
      </c>
      <c r="V264" s="1" t="s">
        <v>52</v>
      </c>
      <c r="W264" s="1" t="s">
        <v>53</v>
      </c>
      <c r="X264" s="1" t="s">
        <v>54</v>
      </c>
      <c r="Y264" s="1" t="s">
        <v>74</v>
      </c>
      <c r="Z264" s="1" t="s">
        <v>82</v>
      </c>
      <c r="AA264" s="1" t="s">
        <v>36</v>
      </c>
      <c r="AB264" s="1" t="s">
        <v>54</v>
      </c>
      <c r="AC264" s="1" t="s">
        <v>57</v>
      </c>
      <c r="AD264" s="1" t="s">
        <v>58</v>
      </c>
      <c r="AE264" s="1" t="s">
        <v>42</v>
      </c>
      <c r="AF264" s="1" t="s">
        <v>54</v>
      </c>
      <c r="AG264" s="1" t="s">
        <v>75</v>
      </c>
      <c r="AH264" s="1" t="s">
        <v>120</v>
      </c>
    </row>
    <row r="265" spans="1:34" x14ac:dyDescent="0.3">
      <c r="A265" s="1" t="s">
        <v>74</v>
      </c>
      <c r="B265" s="1" t="s">
        <v>87</v>
      </c>
      <c r="C265" s="1" t="s">
        <v>82</v>
      </c>
      <c r="D265" s="1" t="s">
        <v>37</v>
      </c>
      <c r="E265" s="1" t="s">
        <v>77</v>
      </c>
      <c r="F265" s="1" t="s">
        <v>39</v>
      </c>
      <c r="G265" s="1" t="s">
        <v>40</v>
      </c>
      <c r="H265" s="1" t="s">
        <v>35</v>
      </c>
      <c r="I265" s="1" t="s">
        <v>94</v>
      </c>
      <c r="J265" s="1" t="s">
        <v>92</v>
      </c>
      <c r="K265" s="1" t="s">
        <v>42</v>
      </c>
      <c r="L265" s="1" t="s">
        <v>43</v>
      </c>
      <c r="M265" s="1" t="s">
        <v>44</v>
      </c>
      <c r="N265" s="1" t="s">
        <v>45</v>
      </c>
      <c r="O265" s="1" t="s">
        <v>45</v>
      </c>
      <c r="P265" s="1" t="s">
        <v>46</v>
      </c>
      <c r="Q265" s="1" t="s">
        <v>93</v>
      </c>
      <c r="R265" s="1" t="s">
        <v>48</v>
      </c>
      <c r="S265" s="1" t="s">
        <v>49</v>
      </c>
      <c r="T265" s="1" t="s">
        <v>50</v>
      </c>
      <c r="U265" s="1" t="s">
        <v>51</v>
      </c>
      <c r="V265" s="1" t="s">
        <v>52</v>
      </c>
      <c r="W265" s="1" t="s">
        <v>53</v>
      </c>
      <c r="X265" s="1" t="s">
        <v>54</v>
      </c>
      <c r="Y265" s="1" t="s">
        <v>55</v>
      </c>
      <c r="Z265" s="1" t="s">
        <v>56</v>
      </c>
      <c r="AA265" s="1" t="s">
        <v>36</v>
      </c>
      <c r="AB265" s="1" t="s">
        <v>54</v>
      </c>
      <c r="AC265" s="1" t="s">
        <v>57</v>
      </c>
      <c r="AD265" s="1" t="s">
        <v>58</v>
      </c>
      <c r="AE265" s="1" t="s">
        <v>42</v>
      </c>
      <c r="AF265" s="1" t="s">
        <v>54</v>
      </c>
      <c r="AG265" s="1" t="s">
        <v>75</v>
      </c>
      <c r="AH265" s="1" t="s">
        <v>120</v>
      </c>
    </row>
    <row r="266" spans="1:34" x14ac:dyDescent="0.3">
      <c r="A266" s="1" t="s">
        <v>91</v>
      </c>
      <c r="B266" s="1" t="s">
        <v>41</v>
      </c>
      <c r="C266" s="1" t="s">
        <v>76</v>
      </c>
      <c r="D266" s="1" t="s">
        <v>49</v>
      </c>
      <c r="E266" s="1" t="s">
        <v>77</v>
      </c>
      <c r="F266" s="1" t="s">
        <v>39</v>
      </c>
      <c r="G266" s="1" t="s">
        <v>40</v>
      </c>
      <c r="H266" s="1" t="s">
        <v>35</v>
      </c>
      <c r="I266" s="1" t="s">
        <v>94</v>
      </c>
      <c r="J266" s="1" t="s">
        <v>39</v>
      </c>
      <c r="K266" s="1" t="s">
        <v>42</v>
      </c>
      <c r="L266" s="1" t="s">
        <v>43</v>
      </c>
      <c r="M266" s="1" t="s">
        <v>44</v>
      </c>
      <c r="N266" s="1" t="s">
        <v>45</v>
      </c>
      <c r="O266" s="1" t="s">
        <v>45</v>
      </c>
      <c r="P266" s="1" t="s">
        <v>46</v>
      </c>
      <c r="Q266" s="1" t="s">
        <v>47</v>
      </c>
      <c r="R266" s="1" t="s">
        <v>48</v>
      </c>
      <c r="S266" s="1" t="s">
        <v>49</v>
      </c>
      <c r="T266" s="1" t="s">
        <v>50</v>
      </c>
      <c r="U266" s="1" t="s">
        <v>51</v>
      </c>
      <c r="V266" s="1" t="s">
        <v>52</v>
      </c>
      <c r="W266" s="1" t="s">
        <v>53</v>
      </c>
      <c r="X266" s="1" t="s">
        <v>54</v>
      </c>
      <c r="Y266" s="1" t="s">
        <v>74</v>
      </c>
      <c r="Z266" s="1" t="s">
        <v>56</v>
      </c>
      <c r="AA266" s="1" t="s">
        <v>36</v>
      </c>
      <c r="AB266" s="1" t="s">
        <v>54</v>
      </c>
      <c r="AC266" s="1" t="s">
        <v>57</v>
      </c>
      <c r="AD266" s="1" t="s">
        <v>58</v>
      </c>
      <c r="AE266" s="1" t="s">
        <v>42</v>
      </c>
      <c r="AF266" s="1" t="s">
        <v>54</v>
      </c>
      <c r="AG266" s="1" t="s">
        <v>60</v>
      </c>
      <c r="AH266" s="1" t="s">
        <v>120</v>
      </c>
    </row>
    <row r="267" spans="1:34" x14ac:dyDescent="0.3">
      <c r="A267" s="1" t="s">
        <v>91</v>
      </c>
      <c r="B267" s="1" t="s">
        <v>61</v>
      </c>
      <c r="C267" s="1" t="s">
        <v>62</v>
      </c>
      <c r="D267" s="1" t="s">
        <v>63</v>
      </c>
      <c r="E267" s="1" t="s">
        <v>64</v>
      </c>
      <c r="F267" s="1" t="s">
        <v>65</v>
      </c>
      <c r="G267" s="1" t="s">
        <v>66</v>
      </c>
      <c r="H267" s="1" t="s">
        <v>61</v>
      </c>
      <c r="I267" s="1" t="s">
        <v>61</v>
      </c>
      <c r="J267" s="1" t="s">
        <v>65</v>
      </c>
      <c r="K267" s="1" t="s">
        <v>67</v>
      </c>
      <c r="L267" s="1" t="s">
        <v>66</v>
      </c>
      <c r="M267" s="1" t="s">
        <v>68</v>
      </c>
      <c r="N267" s="1" t="s">
        <v>63</v>
      </c>
      <c r="O267" s="1" t="s">
        <v>63</v>
      </c>
      <c r="P267" s="1" t="s">
        <v>69</v>
      </c>
      <c r="Q267" s="1" t="s">
        <v>70</v>
      </c>
      <c r="R267" s="1" t="s">
        <v>71</v>
      </c>
      <c r="S267" s="1" t="s">
        <v>63</v>
      </c>
      <c r="T267" s="1" t="s">
        <v>69</v>
      </c>
      <c r="U267" s="1" t="s">
        <v>69</v>
      </c>
      <c r="V267" s="1" t="s">
        <v>63</v>
      </c>
      <c r="W267" s="1" t="s">
        <v>68</v>
      </c>
      <c r="X267" s="1" t="s">
        <v>72</v>
      </c>
      <c r="Y267" s="1" t="s">
        <v>72</v>
      </c>
      <c r="Z267" s="1" t="s">
        <v>62</v>
      </c>
      <c r="AA267" s="1" t="s">
        <v>62</v>
      </c>
      <c r="AB267" s="1" t="s">
        <v>72</v>
      </c>
      <c r="AC267" s="1" t="s">
        <v>73</v>
      </c>
      <c r="AD267" s="1" t="s">
        <v>73</v>
      </c>
      <c r="AE267" s="1" t="s">
        <v>67</v>
      </c>
      <c r="AF267" s="1" t="s">
        <v>72</v>
      </c>
      <c r="AG267" s="1" t="s">
        <v>71</v>
      </c>
      <c r="AH267" s="1" t="s">
        <v>120</v>
      </c>
    </row>
    <row r="268" spans="1:34" x14ac:dyDescent="0.3">
      <c r="A268" s="1" t="s">
        <v>74</v>
      </c>
      <c r="B268" s="1" t="s">
        <v>41</v>
      </c>
      <c r="C268" s="1" t="s">
        <v>76</v>
      </c>
      <c r="D268" s="1" t="s">
        <v>37</v>
      </c>
      <c r="E268" s="1" t="s">
        <v>77</v>
      </c>
      <c r="F268" s="1" t="s">
        <v>86</v>
      </c>
      <c r="G268" s="1" t="s">
        <v>40</v>
      </c>
      <c r="H268" s="1" t="s">
        <v>41</v>
      </c>
      <c r="I268" s="1" t="s">
        <v>41</v>
      </c>
      <c r="J268" s="1" t="s">
        <v>39</v>
      </c>
      <c r="K268" s="1" t="s">
        <v>42</v>
      </c>
      <c r="L268" s="1" t="s">
        <v>43</v>
      </c>
      <c r="M268" s="1" t="s">
        <v>44</v>
      </c>
      <c r="N268" s="1" t="s">
        <v>49</v>
      </c>
      <c r="O268" s="1" t="s">
        <v>45</v>
      </c>
      <c r="P268" s="1" t="s">
        <v>46</v>
      </c>
      <c r="Q268" s="1" t="s">
        <v>47</v>
      </c>
      <c r="R268" s="1" t="s">
        <v>80</v>
      </c>
      <c r="S268" s="1" t="s">
        <v>49</v>
      </c>
      <c r="T268" s="1" t="s">
        <v>50</v>
      </c>
      <c r="U268" s="1" t="s">
        <v>51</v>
      </c>
      <c r="V268" s="1" t="s">
        <v>81</v>
      </c>
      <c r="W268" s="1" t="s">
        <v>53</v>
      </c>
      <c r="X268" s="1" t="s">
        <v>54</v>
      </c>
      <c r="Y268" s="1" t="s">
        <v>74</v>
      </c>
      <c r="Z268" s="1" t="s">
        <v>82</v>
      </c>
      <c r="AA268" s="1" t="s">
        <v>36</v>
      </c>
      <c r="AB268" s="1" t="s">
        <v>54</v>
      </c>
      <c r="AC268" s="1" t="s">
        <v>57</v>
      </c>
      <c r="AD268" s="1" t="s">
        <v>58</v>
      </c>
      <c r="AE268" s="1" t="s">
        <v>59</v>
      </c>
      <c r="AF268" s="1" t="s">
        <v>54</v>
      </c>
      <c r="AG268" s="1" t="s">
        <v>75</v>
      </c>
      <c r="AH268" s="1" t="s">
        <v>120</v>
      </c>
    </row>
    <row r="269" spans="1:34" x14ac:dyDescent="0.3">
      <c r="A269" s="1" t="s">
        <v>74</v>
      </c>
      <c r="B269" s="1" t="s">
        <v>41</v>
      </c>
      <c r="C269" s="1" t="s">
        <v>76</v>
      </c>
      <c r="D269" s="1" t="s">
        <v>37</v>
      </c>
      <c r="E269" s="1" t="s">
        <v>77</v>
      </c>
      <c r="F269" s="1" t="s">
        <v>39</v>
      </c>
      <c r="G269" s="1" t="s">
        <v>40</v>
      </c>
      <c r="H269" s="1" t="s">
        <v>35</v>
      </c>
      <c r="I269" s="1" t="s">
        <v>35</v>
      </c>
      <c r="J269" s="1" t="s">
        <v>92</v>
      </c>
      <c r="K269" s="1" t="s">
        <v>42</v>
      </c>
      <c r="L269" s="1" t="s">
        <v>43</v>
      </c>
      <c r="M269" s="1" t="s">
        <v>44</v>
      </c>
      <c r="N269" s="1" t="s">
        <v>45</v>
      </c>
      <c r="O269" s="1" t="s">
        <v>45</v>
      </c>
      <c r="P269" s="1" t="s">
        <v>46</v>
      </c>
      <c r="Q269" s="1" t="s">
        <v>93</v>
      </c>
      <c r="R269" s="1" t="s">
        <v>48</v>
      </c>
      <c r="S269" s="1" t="s">
        <v>49</v>
      </c>
      <c r="T269" s="1" t="s">
        <v>50</v>
      </c>
      <c r="U269" s="1" t="s">
        <v>51</v>
      </c>
      <c r="V269" s="1" t="s">
        <v>52</v>
      </c>
      <c r="W269" s="1" t="s">
        <v>53</v>
      </c>
      <c r="X269" s="1" t="s">
        <v>54</v>
      </c>
      <c r="Y269" s="1" t="s">
        <v>55</v>
      </c>
      <c r="Z269" s="1" t="s">
        <v>82</v>
      </c>
      <c r="AA269" s="1" t="s">
        <v>36</v>
      </c>
      <c r="AB269" s="1" t="s">
        <v>54</v>
      </c>
      <c r="AC269" s="1" t="s">
        <v>57</v>
      </c>
      <c r="AD269" s="1" t="s">
        <v>58</v>
      </c>
      <c r="AE269" s="1" t="s">
        <v>42</v>
      </c>
      <c r="AF269" s="1" t="s">
        <v>54</v>
      </c>
      <c r="AG269" s="1" t="s">
        <v>75</v>
      </c>
      <c r="AH269" s="1" t="s">
        <v>120</v>
      </c>
    </row>
    <row r="270" spans="1:34" x14ac:dyDescent="0.3">
      <c r="A270" s="1" t="s">
        <v>34</v>
      </c>
      <c r="B270" s="1" t="s">
        <v>41</v>
      </c>
      <c r="C270" s="1" t="s">
        <v>76</v>
      </c>
      <c r="D270" s="1" t="s">
        <v>49</v>
      </c>
      <c r="E270" s="1" t="s">
        <v>77</v>
      </c>
      <c r="F270" s="1" t="s">
        <v>39</v>
      </c>
      <c r="G270" s="1" t="s">
        <v>40</v>
      </c>
      <c r="H270" s="1" t="s">
        <v>35</v>
      </c>
      <c r="I270" s="1" t="s">
        <v>94</v>
      </c>
      <c r="J270" s="1" t="s">
        <v>92</v>
      </c>
      <c r="K270" s="1" t="s">
        <v>42</v>
      </c>
      <c r="L270" s="1" t="s">
        <v>43</v>
      </c>
      <c r="M270" s="1" t="s">
        <v>44</v>
      </c>
      <c r="N270" s="1" t="s">
        <v>45</v>
      </c>
      <c r="O270" s="1" t="s">
        <v>45</v>
      </c>
      <c r="P270" s="1" t="s">
        <v>46</v>
      </c>
      <c r="Q270" s="1" t="s">
        <v>47</v>
      </c>
      <c r="R270" s="1" t="s">
        <v>48</v>
      </c>
      <c r="S270" s="1" t="s">
        <v>49</v>
      </c>
      <c r="T270" s="1" t="s">
        <v>50</v>
      </c>
      <c r="U270" s="1" t="s">
        <v>51</v>
      </c>
      <c r="V270" s="1" t="s">
        <v>52</v>
      </c>
      <c r="W270" s="1" t="s">
        <v>53</v>
      </c>
      <c r="X270" s="1" t="s">
        <v>54</v>
      </c>
      <c r="Y270" s="1" t="s">
        <v>74</v>
      </c>
      <c r="Z270" s="1" t="s">
        <v>56</v>
      </c>
      <c r="AA270" s="1" t="s">
        <v>36</v>
      </c>
      <c r="AB270" s="1" t="s">
        <v>54</v>
      </c>
      <c r="AC270" s="1" t="s">
        <v>57</v>
      </c>
      <c r="AD270" s="1" t="s">
        <v>58</v>
      </c>
      <c r="AE270" s="1" t="s">
        <v>42</v>
      </c>
      <c r="AF270" s="1" t="s">
        <v>54</v>
      </c>
      <c r="AG270" s="1" t="s">
        <v>75</v>
      </c>
      <c r="AH270" s="1" t="s">
        <v>120</v>
      </c>
    </row>
    <row r="271" spans="1:34" x14ac:dyDescent="0.3">
      <c r="A271" s="1" t="s">
        <v>74</v>
      </c>
      <c r="B271" s="1" t="s">
        <v>61</v>
      </c>
      <c r="C271" s="1" t="s">
        <v>62</v>
      </c>
      <c r="D271" s="1" t="s">
        <v>63</v>
      </c>
      <c r="E271" s="1" t="s">
        <v>64</v>
      </c>
      <c r="F271" s="1" t="s">
        <v>65</v>
      </c>
      <c r="G271" s="1" t="s">
        <v>66</v>
      </c>
      <c r="H271" s="1" t="s">
        <v>61</v>
      </c>
      <c r="I271" s="1" t="s">
        <v>61</v>
      </c>
      <c r="J271" s="1" t="s">
        <v>65</v>
      </c>
      <c r="K271" s="1" t="s">
        <v>67</v>
      </c>
      <c r="L271" s="1" t="s">
        <v>66</v>
      </c>
      <c r="M271" s="1" t="s">
        <v>68</v>
      </c>
      <c r="N271" s="1" t="s">
        <v>63</v>
      </c>
      <c r="O271" s="1" t="s">
        <v>63</v>
      </c>
      <c r="P271" s="1" t="s">
        <v>69</v>
      </c>
      <c r="Q271" s="1" t="s">
        <v>47</v>
      </c>
      <c r="R271" s="1" t="s">
        <v>80</v>
      </c>
      <c r="S271" s="1" t="s">
        <v>49</v>
      </c>
      <c r="T271" s="1" t="s">
        <v>50</v>
      </c>
      <c r="U271" s="1" t="s">
        <v>51</v>
      </c>
      <c r="V271" s="1" t="s">
        <v>81</v>
      </c>
      <c r="W271" s="1" t="s">
        <v>53</v>
      </c>
      <c r="X271" s="1" t="s">
        <v>54</v>
      </c>
      <c r="Y271" s="1" t="s">
        <v>55</v>
      </c>
      <c r="Z271" s="1" t="s">
        <v>82</v>
      </c>
      <c r="AA271" s="1" t="s">
        <v>36</v>
      </c>
      <c r="AB271" s="1" t="s">
        <v>54</v>
      </c>
      <c r="AC271" s="1" t="s">
        <v>57</v>
      </c>
      <c r="AD271" s="1" t="s">
        <v>58</v>
      </c>
      <c r="AE271" s="1" t="s">
        <v>67</v>
      </c>
      <c r="AF271" s="1" t="s">
        <v>72</v>
      </c>
      <c r="AG271" s="1" t="s">
        <v>71</v>
      </c>
      <c r="AH271" s="1" t="s">
        <v>120</v>
      </c>
    </row>
    <row r="272" spans="1:34" x14ac:dyDescent="0.3">
      <c r="A272" s="1" t="s">
        <v>91</v>
      </c>
      <c r="B272" s="1" t="s">
        <v>41</v>
      </c>
      <c r="C272" s="1" t="s">
        <v>76</v>
      </c>
      <c r="D272" s="1" t="s">
        <v>37</v>
      </c>
      <c r="E272" s="1" t="s">
        <v>77</v>
      </c>
      <c r="F272" s="1" t="s">
        <v>39</v>
      </c>
      <c r="G272" s="1" t="s">
        <v>40</v>
      </c>
      <c r="H272" s="1" t="s">
        <v>35</v>
      </c>
      <c r="I272" s="1" t="s">
        <v>94</v>
      </c>
      <c r="J272" s="1" t="s">
        <v>78</v>
      </c>
      <c r="K272" s="1" t="s">
        <v>42</v>
      </c>
      <c r="L272" s="1" t="s">
        <v>43</v>
      </c>
      <c r="M272" s="1" t="s">
        <v>44</v>
      </c>
      <c r="N272" s="1" t="s">
        <v>45</v>
      </c>
      <c r="O272" s="1" t="s">
        <v>45</v>
      </c>
      <c r="P272" s="1" t="s">
        <v>46</v>
      </c>
      <c r="Q272" s="1" t="s">
        <v>93</v>
      </c>
      <c r="R272" s="1" t="s">
        <v>48</v>
      </c>
      <c r="S272" s="1" t="s">
        <v>49</v>
      </c>
      <c r="T272" s="1" t="s">
        <v>50</v>
      </c>
      <c r="U272" s="1" t="s">
        <v>51</v>
      </c>
      <c r="V272" s="1" t="s">
        <v>52</v>
      </c>
      <c r="W272" s="1" t="s">
        <v>53</v>
      </c>
      <c r="X272" s="1" t="s">
        <v>91</v>
      </c>
      <c r="Y272" s="1" t="s">
        <v>74</v>
      </c>
      <c r="Z272" s="1" t="s">
        <v>56</v>
      </c>
      <c r="AA272" s="1" t="s">
        <v>36</v>
      </c>
      <c r="AB272" s="1" t="s">
        <v>54</v>
      </c>
      <c r="AC272" s="1" t="s">
        <v>57</v>
      </c>
      <c r="AD272" s="1" t="s">
        <v>58</v>
      </c>
      <c r="AE272" s="1" t="s">
        <v>42</v>
      </c>
      <c r="AF272" s="1" t="s">
        <v>54</v>
      </c>
      <c r="AG272" s="1" t="s">
        <v>60</v>
      </c>
      <c r="AH272" s="1" t="s">
        <v>120</v>
      </c>
    </row>
    <row r="273" spans="1:34" x14ac:dyDescent="0.3">
      <c r="A273" s="1" t="s">
        <v>55</v>
      </c>
      <c r="B273" s="1" t="s">
        <v>41</v>
      </c>
      <c r="C273" s="1" t="s">
        <v>76</v>
      </c>
      <c r="D273" s="1" t="s">
        <v>49</v>
      </c>
      <c r="E273" s="1" t="s">
        <v>77</v>
      </c>
      <c r="F273" s="1" t="s">
        <v>39</v>
      </c>
      <c r="G273" s="1" t="s">
        <v>40</v>
      </c>
      <c r="H273" s="1" t="s">
        <v>35</v>
      </c>
      <c r="I273" s="1" t="s">
        <v>35</v>
      </c>
      <c r="J273" s="1" t="s">
        <v>39</v>
      </c>
      <c r="K273" s="1" t="s">
        <v>42</v>
      </c>
      <c r="L273" s="1" t="s">
        <v>43</v>
      </c>
      <c r="M273" s="1" t="s">
        <v>44</v>
      </c>
      <c r="N273" s="1" t="s">
        <v>45</v>
      </c>
      <c r="O273" s="1" t="s">
        <v>45</v>
      </c>
      <c r="P273" s="1" t="s">
        <v>46</v>
      </c>
      <c r="Q273" s="1" t="s">
        <v>47</v>
      </c>
      <c r="R273" s="1" t="s">
        <v>48</v>
      </c>
      <c r="S273" s="1" t="s">
        <v>49</v>
      </c>
      <c r="T273" s="1" t="s">
        <v>50</v>
      </c>
      <c r="U273" s="1" t="s">
        <v>51</v>
      </c>
      <c r="V273" s="1" t="s">
        <v>81</v>
      </c>
      <c r="W273" s="1" t="s">
        <v>53</v>
      </c>
      <c r="X273" s="1" t="s">
        <v>54</v>
      </c>
      <c r="Y273" s="1" t="s">
        <v>55</v>
      </c>
      <c r="Z273" s="1" t="s">
        <v>82</v>
      </c>
      <c r="AA273" s="1" t="s">
        <v>36</v>
      </c>
      <c r="AB273" s="1" t="s">
        <v>54</v>
      </c>
      <c r="AC273" s="1" t="s">
        <v>57</v>
      </c>
      <c r="AD273" s="1" t="s">
        <v>58</v>
      </c>
      <c r="AE273" s="1" t="s">
        <v>42</v>
      </c>
      <c r="AF273" s="1" t="s">
        <v>54</v>
      </c>
      <c r="AG273" s="1" t="s">
        <v>75</v>
      </c>
      <c r="AH273" s="1" t="s">
        <v>120</v>
      </c>
    </row>
    <row r="274" spans="1:34" x14ac:dyDescent="0.3">
      <c r="A274" s="1" t="s">
        <v>55</v>
      </c>
      <c r="B274" s="1" t="s">
        <v>41</v>
      </c>
      <c r="C274" s="1" t="s">
        <v>76</v>
      </c>
      <c r="D274" s="1" t="s">
        <v>37</v>
      </c>
      <c r="E274" s="1" t="s">
        <v>77</v>
      </c>
      <c r="F274" s="1" t="s">
        <v>39</v>
      </c>
      <c r="G274" s="1" t="s">
        <v>40</v>
      </c>
      <c r="H274" s="1" t="s">
        <v>35</v>
      </c>
      <c r="I274" s="1" t="s">
        <v>35</v>
      </c>
      <c r="J274" s="1" t="s">
        <v>78</v>
      </c>
      <c r="K274" s="1" t="s">
        <v>42</v>
      </c>
      <c r="L274" s="1" t="s">
        <v>43</v>
      </c>
      <c r="M274" s="1" t="s">
        <v>106</v>
      </c>
      <c r="N274" s="1" t="s">
        <v>45</v>
      </c>
      <c r="O274" s="1" t="s">
        <v>45</v>
      </c>
      <c r="P274" s="1" t="s">
        <v>46</v>
      </c>
      <c r="Q274" s="1" t="s">
        <v>47</v>
      </c>
      <c r="R274" s="1" t="s">
        <v>80</v>
      </c>
      <c r="S274" s="1" t="s">
        <v>49</v>
      </c>
      <c r="T274" s="1" t="s">
        <v>50</v>
      </c>
      <c r="U274" s="1" t="s">
        <v>51</v>
      </c>
      <c r="V274" s="1" t="s">
        <v>81</v>
      </c>
      <c r="W274" s="1" t="s">
        <v>53</v>
      </c>
      <c r="X274" s="1" t="s">
        <v>54</v>
      </c>
      <c r="Y274" s="1" t="s">
        <v>55</v>
      </c>
      <c r="Z274" s="1" t="s">
        <v>82</v>
      </c>
      <c r="AA274" s="1" t="s">
        <v>36</v>
      </c>
      <c r="AB274" s="1" t="s">
        <v>54</v>
      </c>
      <c r="AC274" s="1" t="s">
        <v>57</v>
      </c>
      <c r="AD274" s="1" t="s">
        <v>58</v>
      </c>
      <c r="AE274" s="1" t="s">
        <v>42</v>
      </c>
      <c r="AF274" s="1" t="s">
        <v>54</v>
      </c>
      <c r="AG274" s="1" t="s">
        <v>60</v>
      </c>
      <c r="AH274" s="1" t="s">
        <v>120</v>
      </c>
    </row>
    <row r="275" spans="1:34" x14ac:dyDescent="0.3">
      <c r="A275" s="1" t="s">
        <v>34</v>
      </c>
      <c r="B275" s="1" t="s">
        <v>41</v>
      </c>
      <c r="C275" s="1" t="s">
        <v>76</v>
      </c>
      <c r="D275" s="1" t="s">
        <v>37</v>
      </c>
      <c r="E275" s="1" t="s">
        <v>77</v>
      </c>
      <c r="F275" s="1" t="s">
        <v>39</v>
      </c>
      <c r="G275" s="1" t="s">
        <v>40</v>
      </c>
      <c r="H275" s="1" t="s">
        <v>35</v>
      </c>
      <c r="I275" s="1" t="s">
        <v>94</v>
      </c>
      <c r="J275" s="1" t="s">
        <v>39</v>
      </c>
      <c r="K275" s="1" t="s">
        <v>42</v>
      </c>
      <c r="L275" s="1" t="s">
        <v>79</v>
      </c>
      <c r="M275" s="1" t="s">
        <v>84</v>
      </c>
      <c r="N275" s="1" t="s">
        <v>45</v>
      </c>
      <c r="O275" s="1" t="s">
        <v>45</v>
      </c>
      <c r="P275" s="1" t="s">
        <v>46</v>
      </c>
      <c r="Q275" s="1" t="s">
        <v>47</v>
      </c>
      <c r="R275" s="1" t="s">
        <v>48</v>
      </c>
      <c r="S275" s="1" t="s">
        <v>49</v>
      </c>
      <c r="T275" s="1" t="s">
        <v>50</v>
      </c>
      <c r="U275" s="1" t="s">
        <v>51</v>
      </c>
      <c r="V275" s="1" t="s">
        <v>52</v>
      </c>
      <c r="W275" s="1" t="s">
        <v>53</v>
      </c>
      <c r="X275" s="1" t="s">
        <v>91</v>
      </c>
      <c r="Y275" s="1" t="s">
        <v>55</v>
      </c>
      <c r="Z275" s="1" t="s">
        <v>56</v>
      </c>
      <c r="AA275" s="1" t="s">
        <v>36</v>
      </c>
      <c r="AB275" s="1" t="s">
        <v>54</v>
      </c>
      <c r="AC275" s="1" t="s">
        <v>57</v>
      </c>
      <c r="AD275" s="1" t="s">
        <v>58</v>
      </c>
      <c r="AE275" s="1" t="s">
        <v>42</v>
      </c>
      <c r="AF275" s="1" t="s">
        <v>54</v>
      </c>
      <c r="AG275" s="1" t="s">
        <v>75</v>
      </c>
      <c r="AH275" s="1" t="s">
        <v>120</v>
      </c>
    </row>
    <row r="276" spans="1:34" x14ac:dyDescent="0.3">
      <c r="A276" s="1" t="s">
        <v>74</v>
      </c>
      <c r="B276" s="1" t="s">
        <v>41</v>
      </c>
      <c r="C276" s="1" t="s">
        <v>76</v>
      </c>
      <c r="D276" s="1" t="s">
        <v>37</v>
      </c>
      <c r="E276" s="1" t="s">
        <v>77</v>
      </c>
      <c r="F276" s="1" t="s">
        <v>39</v>
      </c>
      <c r="G276" s="1" t="s">
        <v>40</v>
      </c>
      <c r="H276" s="1" t="s">
        <v>35</v>
      </c>
      <c r="I276" s="1" t="s">
        <v>94</v>
      </c>
      <c r="J276" s="1" t="s">
        <v>92</v>
      </c>
      <c r="K276" s="1" t="s">
        <v>42</v>
      </c>
      <c r="L276" s="1" t="s">
        <v>79</v>
      </c>
      <c r="M276" s="1" t="s">
        <v>44</v>
      </c>
      <c r="N276" s="1" t="s">
        <v>45</v>
      </c>
      <c r="O276" s="1" t="s">
        <v>45</v>
      </c>
      <c r="P276" s="1" t="s">
        <v>46</v>
      </c>
      <c r="Q276" s="1" t="s">
        <v>47</v>
      </c>
      <c r="R276" s="1" t="s">
        <v>48</v>
      </c>
      <c r="S276" s="1" t="s">
        <v>49</v>
      </c>
      <c r="T276" s="1" t="s">
        <v>50</v>
      </c>
      <c r="U276" s="1" t="s">
        <v>51</v>
      </c>
      <c r="V276" s="1" t="s">
        <v>52</v>
      </c>
      <c r="W276" s="1" t="s">
        <v>53</v>
      </c>
      <c r="X276" s="1" t="s">
        <v>54</v>
      </c>
      <c r="Y276" s="1" t="s">
        <v>74</v>
      </c>
      <c r="Z276" s="1" t="s">
        <v>82</v>
      </c>
      <c r="AA276" s="1" t="s">
        <v>36</v>
      </c>
      <c r="AB276" s="1" t="s">
        <v>54</v>
      </c>
      <c r="AC276" s="1" t="s">
        <v>57</v>
      </c>
      <c r="AD276" s="1" t="s">
        <v>58</v>
      </c>
      <c r="AE276" s="1" t="s">
        <v>42</v>
      </c>
      <c r="AF276" s="1" t="s">
        <v>54</v>
      </c>
      <c r="AG276" s="1" t="s">
        <v>75</v>
      </c>
      <c r="AH276" s="1" t="s">
        <v>120</v>
      </c>
    </row>
    <row r="277" spans="1:34" x14ac:dyDescent="0.3">
      <c r="A277" s="1" t="s">
        <v>74</v>
      </c>
      <c r="B277" s="1" t="s">
        <v>35</v>
      </c>
      <c r="C277" s="1" t="s">
        <v>36</v>
      </c>
      <c r="D277" s="1" t="s">
        <v>37</v>
      </c>
      <c r="E277" s="1" t="s">
        <v>38</v>
      </c>
      <c r="F277" s="1" t="s">
        <v>39</v>
      </c>
      <c r="G277" s="1" t="s">
        <v>40</v>
      </c>
      <c r="H277" s="1" t="s">
        <v>35</v>
      </c>
      <c r="I277" s="1" t="s">
        <v>41</v>
      </c>
      <c r="J277" s="1" t="s">
        <v>39</v>
      </c>
      <c r="K277" s="1" t="s">
        <v>42</v>
      </c>
      <c r="L277" s="1" t="s">
        <v>79</v>
      </c>
      <c r="M277" s="1" t="s">
        <v>44</v>
      </c>
      <c r="N277" s="1" t="s">
        <v>45</v>
      </c>
      <c r="O277" s="1" t="s">
        <v>45</v>
      </c>
      <c r="P277" s="1" t="s">
        <v>46</v>
      </c>
      <c r="Q277" s="1" t="s">
        <v>47</v>
      </c>
      <c r="R277" s="1" t="s">
        <v>80</v>
      </c>
      <c r="S277" s="1" t="s">
        <v>49</v>
      </c>
      <c r="T277" s="1" t="s">
        <v>50</v>
      </c>
      <c r="U277" s="1" t="s">
        <v>51</v>
      </c>
      <c r="V277" s="1" t="s">
        <v>52</v>
      </c>
      <c r="W277" s="1" t="s">
        <v>53</v>
      </c>
      <c r="X277" s="1" t="s">
        <v>91</v>
      </c>
      <c r="Y277" s="1" t="s">
        <v>74</v>
      </c>
      <c r="Z277" s="1" t="s">
        <v>56</v>
      </c>
      <c r="AA277" s="1" t="s">
        <v>36</v>
      </c>
      <c r="AB277" s="1" t="s">
        <v>54</v>
      </c>
      <c r="AC277" s="1" t="s">
        <v>57</v>
      </c>
      <c r="AD277" s="1" t="s">
        <v>58</v>
      </c>
      <c r="AE277" s="1" t="s">
        <v>59</v>
      </c>
      <c r="AF277" s="1" t="s">
        <v>54</v>
      </c>
      <c r="AG277" s="1" t="s">
        <v>75</v>
      </c>
      <c r="AH277" s="1" t="s">
        <v>120</v>
      </c>
    </row>
    <row r="278" spans="1:34" x14ac:dyDescent="0.3">
      <c r="A278" s="1" t="s">
        <v>74</v>
      </c>
      <c r="B278" s="1" t="s">
        <v>41</v>
      </c>
      <c r="C278" s="1" t="s">
        <v>76</v>
      </c>
      <c r="D278" s="1" t="s">
        <v>37</v>
      </c>
      <c r="E278" s="1" t="s">
        <v>77</v>
      </c>
      <c r="F278" s="1" t="s">
        <v>39</v>
      </c>
      <c r="G278" s="1" t="s">
        <v>40</v>
      </c>
      <c r="H278" s="1" t="s">
        <v>35</v>
      </c>
      <c r="I278" s="1" t="s">
        <v>35</v>
      </c>
      <c r="J278" s="1" t="s">
        <v>39</v>
      </c>
      <c r="K278" s="1" t="s">
        <v>42</v>
      </c>
      <c r="L278" s="1" t="s">
        <v>43</v>
      </c>
      <c r="M278" s="1" t="s">
        <v>44</v>
      </c>
      <c r="N278" s="1" t="s">
        <v>45</v>
      </c>
      <c r="O278" s="1" t="s">
        <v>45</v>
      </c>
      <c r="P278" s="1" t="s">
        <v>46</v>
      </c>
      <c r="Q278" s="1" t="s">
        <v>47</v>
      </c>
      <c r="R278" s="1" t="s">
        <v>48</v>
      </c>
      <c r="S278" s="1" t="s">
        <v>49</v>
      </c>
      <c r="T278" s="1" t="s">
        <v>50</v>
      </c>
      <c r="U278" s="1" t="s">
        <v>51</v>
      </c>
      <c r="V278" s="1" t="s">
        <v>52</v>
      </c>
      <c r="W278" s="1" t="s">
        <v>53</v>
      </c>
      <c r="X278" s="1" t="s">
        <v>54</v>
      </c>
      <c r="Y278" s="1" t="s">
        <v>55</v>
      </c>
      <c r="Z278" s="1" t="s">
        <v>56</v>
      </c>
      <c r="AA278" s="1" t="s">
        <v>36</v>
      </c>
      <c r="AB278" s="1" t="s">
        <v>54</v>
      </c>
      <c r="AC278" s="1" t="s">
        <v>57</v>
      </c>
      <c r="AD278" s="1" t="s">
        <v>58</v>
      </c>
      <c r="AE278" s="1" t="s">
        <v>42</v>
      </c>
      <c r="AF278" s="1" t="s">
        <v>54</v>
      </c>
      <c r="AG278" s="1" t="s">
        <v>75</v>
      </c>
      <c r="AH278" s="1" t="s">
        <v>120</v>
      </c>
    </row>
    <row r="279" spans="1:34" x14ac:dyDescent="0.3">
      <c r="A279" s="1" t="s">
        <v>54</v>
      </c>
      <c r="B279" s="1" t="s">
        <v>41</v>
      </c>
      <c r="C279" s="1" t="s">
        <v>76</v>
      </c>
      <c r="D279" s="1" t="s">
        <v>37</v>
      </c>
      <c r="E279" s="1" t="s">
        <v>38</v>
      </c>
      <c r="F279" s="1" t="s">
        <v>39</v>
      </c>
      <c r="G279" s="1" t="s">
        <v>40</v>
      </c>
      <c r="H279" s="1" t="s">
        <v>35</v>
      </c>
      <c r="I279" s="1" t="s">
        <v>35</v>
      </c>
      <c r="J279" s="1" t="s">
        <v>39</v>
      </c>
      <c r="K279" s="1" t="s">
        <v>42</v>
      </c>
      <c r="L279" s="1" t="s">
        <v>43</v>
      </c>
      <c r="M279" s="1" t="s">
        <v>44</v>
      </c>
      <c r="N279" s="1" t="s">
        <v>45</v>
      </c>
      <c r="O279" s="1" t="s">
        <v>45</v>
      </c>
      <c r="P279" s="1" t="s">
        <v>46</v>
      </c>
      <c r="Q279" s="1" t="s">
        <v>47</v>
      </c>
      <c r="R279" s="1" t="s">
        <v>48</v>
      </c>
      <c r="S279" s="1" t="s">
        <v>49</v>
      </c>
      <c r="T279" s="1" t="s">
        <v>50</v>
      </c>
      <c r="U279" s="1" t="s">
        <v>51</v>
      </c>
      <c r="V279" s="1" t="s">
        <v>52</v>
      </c>
      <c r="W279" s="1" t="s">
        <v>53</v>
      </c>
      <c r="X279" s="1" t="s">
        <v>54</v>
      </c>
      <c r="Y279" s="1" t="s">
        <v>55</v>
      </c>
      <c r="Z279" s="1" t="s">
        <v>56</v>
      </c>
      <c r="AA279" s="1" t="s">
        <v>36</v>
      </c>
      <c r="AB279" s="1" t="s">
        <v>54</v>
      </c>
      <c r="AC279" s="1" t="s">
        <v>57</v>
      </c>
      <c r="AD279" s="1" t="s">
        <v>58</v>
      </c>
      <c r="AE279" s="1" t="s">
        <v>42</v>
      </c>
      <c r="AF279" s="1" t="s">
        <v>54</v>
      </c>
      <c r="AG279" s="1" t="s">
        <v>75</v>
      </c>
      <c r="AH279" s="1" t="s">
        <v>120</v>
      </c>
    </row>
    <row r="280" spans="1:34" x14ac:dyDescent="0.3">
      <c r="A280" s="1" t="s">
        <v>54</v>
      </c>
      <c r="B280" s="1" t="s">
        <v>87</v>
      </c>
      <c r="C280" s="1" t="s">
        <v>82</v>
      </c>
      <c r="D280" s="1" t="s">
        <v>37</v>
      </c>
      <c r="E280" s="1" t="s">
        <v>77</v>
      </c>
      <c r="F280" s="1" t="s">
        <v>86</v>
      </c>
      <c r="G280" s="1" t="s">
        <v>40</v>
      </c>
      <c r="H280" s="1" t="s">
        <v>41</v>
      </c>
      <c r="I280" s="1" t="s">
        <v>35</v>
      </c>
      <c r="J280" s="1" t="s">
        <v>39</v>
      </c>
      <c r="K280" s="1" t="s">
        <v>42</v>
      </c>
      <c r="L280" s="1" t="s">
        <v>40</v>
      </c>
      <c r="M280" s="1" t="s">
        <v>44</v>
      </c>
      <c r="N280" s="1" t="s">
        <v>49</v>
      </c>
      <c r="O280" s="1" t="s">
        <v>45</v>
      </c>
      <c r="P280" s="1" t="s">
        <v>46</v>
      </c>
      <c r="Q280" s="1" t="s">
        <v>47</v>
      </c>
      <c r="R280" s="1" t="s">
        <v>48</v>
      </c>
      <c r="S280" s="1" t="s">
        <v>49</v>
      </c>
      <c r="T280" s="1" t="s">
        <v>50</v>
      </c>
      <c r="U280" s="1" t="s">
        <v>51</v>
      </c>
      <c r="V280" s="1" t="s">
        <v>52</v>
      </c>
      <c r="W280" s="1" t="s">
        <v>53</v>
      </c>
      <c r="X280" s="1" t="s">
        <v>54</v>
      </c>
      <c r="Y280" s="1" t="s">
        <v>74</v>
      </c>
      <c r="Z280" s="1" t="s">
        <v>56</v>
      </c>
      <c r="AA280" s="1" t="s">
        <v>36</v>
      </c>
      <c r="AB280" s="1" t="s">
        <v>54</v>
      </c>
      <c r="AC280" s="1" t="s">
        <v>57</v>
      </c>
      <c r="AD280" s="1" t="s">
        <v>58</v>
      </c>
      <c r="AE280" s="1" t="s">
        <v>59</v>
      </c>
      <c r="AF280" s="1" t="s">
        <v>54</v>
      </c>
      <c r="AG280" s="1" t="s">
        <v>75</v>
      </c>
      <c r="AH280" s="1" t="s">
        <v>120</v>
      </c>
    </row>
    <row r="281" spans="1:34" x14ac:dyDescent="0.3">
      <c r="A281" s="1" t="s">
        <v>99</v>
      </c>
      <c r="B281" s="1" t="s">
        <v>41</v>
      </c>
      <c r="C281" s="1" t="s">
        <v>76</v>
      </c>
      <c r="D281" s="1" t="s">
        <v>49</v>
      </c>
      <c r="E281" s="1" t="s">
        <v>77</v>
      </c>
      <c r="F281" s="1" t="s">
        <v>39</v>
      </c>
      <c r="G281" s="1" t="s">
        <v>40</v>
      </c>
      <c r="H281" s="1" t="s">
        <v>35</v>
      </c>
      <c r="I281" s="1" t="s">
        <v>87</v>
      </c>
      <c r="J281" s="1" t="s">
        <v>39</v>
      </c>
      <c r="K281" s="1" t="s">
        <v>42</v>
      </c>
      <c r="L281" s="1" t="s">
        <v>43</v>
      </c>
      <c r="M281" s="1" t="s">
        <v>44</v>
      </c>
      <c r="N281" s="1" t="s">
        <v>45</v>
      </c>
      <c r="O281" s="1" t="s">
        <v>45</v>
      </c>
      <c r="P281" s="1" t="s">
        <v>46</v>
      </c>
      <c r="Q281" s="1" t="s">
        <v>93</v>
      </c>
      <c r="R281" s="1" t="s">
        <v>48</v>
      </c>
      <c r="S281" s="1" t="s">
        <v>49</v>
      </c>
      <c r="T281" s="1" t="s">
        <v>50</v>
      </c>
      <c r="U281" s="1" t="s">
        <v>51</v>
      </c>
      <c r="V281" s="1" t="s">
        <v>52</v>
      </c>
      <c r="W281" s="1" t="s">
        <v>53</v>
      </c>
      <c r="X281" s="1" t="s">
        <v>54</v>
      </c>
      <c r="Y281" s="1" t="s">
        <v>55</v>
      </c>
      <c r="Z281" s="1" t="s">
        <v>56</v>
      </c>
      <c r="AA281" s="1" t="s">
        <v>36</v>
      </c>
      <c r="AB281" s="1" t="s">
        <v>54</v>
      </c>
      <c r="AC281" s="1" t="s">
        <v>57</v>
      </c>
      <c r="AD281" s="1" t="s">
        <v>58</v>
      </c>
      <c r="AE281" s="1" t="s">
        <v>42</v>
      </c>
      <c r="AF281" s="1" t="s">
        <v>54</v>
      </c>
      <c r="AG281" s="1" t="s">
        <v>60</v>
      </c>
      <c r="AH281" s="1" t="s">
        <v>120</v>
      </c>
    </row>
    <row r="282" spans="1:34" x14ac:dyDescent="0.3">
      <c r="A282" s="1" t="s">
        <v>99</v>
      </c>
      <c r="B282" s="1" t="s">
        <v>35</v>
      </c>
      <c r="C282" s="1" t="s">
        <v>36</v>
      </c>
      <c r="D282" s="1" t="s">
        <v>37</v>
      </c>
      <c r="E282" s="1" t="s">
        <v>77</v>
      </c>
      <c r="F282" s="1" t="s">
        <v>86</v>
      </c>
      <c r="G282" s="1" t="s">
        <v>40</v>
      </c>
      <c r="H282" s="1" t="s">
        <v>41</v>
      </c>
      <c r="I282" s="1" t="s">
        <v>35</v>
      </c>
      <c r="J282" s="1" t="s">
        <v>39</v>
      </c>
      <c r="K282" s="1" t="s">
        <v>42</v>
      </c>
      <c r="L282" s="1" t="s">
        <v>43</v>
      </c>
      <c r="M282" s="1" t="s">
        <v>84</v>
      </c>
      <c r="N282" s="1" t="s">
        <v>45</v>
      </c>
      <c r="O282" s="1" t="s">
        <v>45</v>
      </c>
      <c r="P282" s="1" t="s">
        <v>46</v>
      </c>
      <c r="Q282" s="1" t="s">
        <v>47</v>
      </c>
      <c r="R282" s="1" t="s">
        <v>48</v>
      </c>
      <c r="S282" s="1" t="s">
        <v>49</v>
      </c>
      <c r="T282" s="1" t="s">
        <v>50</v>
      </c>
      <c r="U282" s="1" t="s">
        <v>51</v>
      </c>
      <c r="V282" s="1" t="s">
        <v>52</v>
      </c>
      <c r="W282" s="1" t="s">
        <v>53</v>
      </c>
      <c r="X282" s="1" t="s">
        <v>54</v>
      </c>
      <c r="Y282" s="1" t="s">
        <v>55</v>
      </c>
      <c r="Z282" s="1" t="s">
        <v>82</v>
      </c>
      <c r="AA282" s="1" t="s">
        <v>36</v>
      </c>
      <c r="AB282" s="1" t="s">
        <v>54</v>
      </c>
      <c r="AC282" s="1" t="s">
        <v>57</v>
      </c>
      <c r="AD282" s="1" t="s">
        <v>58</v>
      </c>
      <c r="AE282" s="1" t="s">
        <v>59</v>
      </c>
      <c r="AF282" s="1" t="s">
        <v>54</v>
      </c>
      <c r="AG282" s="1" t="s">
        <v>75</v>
      </c>
      <c r="AH282" s="1" t="s">
        <v>120</v>
      </c>
    </row>
    <row r="283" spans="1:34" x14ac:dyDescent="0.3">
      <c r="A283" s="1" t="s">
        <v>55</v>
      </c>
      <c r="B283" s="1" t="s">
        <v>41</v>
      </c>
      <c r="C283" s="1" t="s">
        <v>76</v>
      </c>
      <c r="D283" s="1" t="s">
        <v>37</v>
      </c>
      <c r="E283" s="1" t="s">
        <v>77</v>
      </c>
      <c r="F283" s="1" t="s">
        <v>39</v>
      </c>
      <c r="G283" s="1" t="s">
        <v>40</v>
      </c>
      <c r="H283" s="1" t="s">
        <v>35</v>
      </c>
      <c r="I283" s="1" t="s">
        <v>41</v>
      </c>
      <c r="J283" s="1" t="s">
        <v>39</v>
      </c>
      <c r="K283" s="1" t="s">
        <v>42</v>
      </c>
      <c r="L283" s="1" t="s">
        <v>79</v>
      </c>
      <c r="M283" s="1" t="s">
        <v>44</v>
      </c>
      <c r="N283" s="1" t="s">
        <v>45</v>
      </c>
      <c r="O283" s="1" t="s">
        <v>45</v>
      </c>
      <c r="P283" s="1" t="s">
        <v>46</v>
      </c>
      <c r="Q283" s="1" t="s">
        <v>47</v>
      </c>
      <c r="R283" s="1" t="s">
        <v>48</v>
      </c>
      <c r="S283" s="1" t="s">
        <v>49</v>
      </c>
      <c r="T283" s="1" t="s">
        <v>50</v>
      </c>
      <c r="U283" s="1" t="s">
        <v>51</v>
      </c>
      <c r="V283" s="1" t="s">
        <v>52</v>
      </c>
      <c r="W283" s="1" t="s">
        <v>53</v>
      </c>
      <c r="X283" s="1" t="s">
        <v>54</v>
      </c>
      <c r="Y283" s="1" t="s">
        <v>55</v>
      </c>
      <c r="Z283" s="1" t="s">
        <v>56</v>
      </c>
      <c r="AA283" s="1" t="s">
        <v>36</v>
      </c>
      <c r="AB283" s="1" t="s">
        <v>54</v>
      </c>
      <c r="AC283" s="1" t="s">
        <v>57</v>
      </c>
      <c r="AD283" s="1" t="s">
        <v>58</v>
      </c>
      <c r="AE283" s="1" t="s">
        <v>42</v>
      </c>
      <c r="AF283" s="1" t="s">
        <v>54</v>
      </c>
      <c r="AG283" s="1" t="s">
        <v>75</v>
      </c>
      <c r="AH283" s="1" t="s">
        <v>120</v>
      </c>
    </row>
    <row r="284" spans="1:34" x14ac:dyDescent="0.3">
      <c r="A284" s="1" t="s">
        <v>34</v>
      </c>
      <c r="B284" s="1" t="s">
        <v>41</v>
      </c>
      <c r="C284" s="1" t="s">
        <v>76</v>
      </c>
      <c r="D284" s="1" t="s">
        <v>49</v>
      </c>
      <c r="E284" s="1" t="s">
        <v>77</v>
      </c>
      <c r="F284" s="1" t="s">
        <v>39</v>
      </c>
      <c r="G284" s="1" t="s">
        <v>40</v>
      </c>
      <c r="H284" s="1" t="s">
        <v>41</v>
      </c>
      <c r="I284" s="1" t="s">
        <v>35</v>
      </c>
      <c r="J284" s="1" t="s">
        <v>39</v>
      </c>
      <c r="K284" s="1" t="s">
        <v>42</v>
      </c>
      <c r="L284" s="1" t="s">
        <v>43</v>
      </c>
      <c r="M284" s="1" t="s">
        <v>44</v>
      </c>
      <c r="N284" s="1" t="s">
        <v>45</v>
      </c>
      <c r="O284" s="1" t="s">
        <v>45</v>
      </c>
      <c r="P284" s="1" t="s">
        <v>46</v>
      </c>
      <c r="Q284" s="1" t="s">
        <v>47</v>
      </c>
      <c r="R284" s="1" t="s">
        <v>48</v>
      </c>
      <c r="S284" s="1" t="s">
        <v>49</v>
      </c>
      <c r="T284" s="1" t="s">
        <v>50</v>
      </c>
      <c r="U284" s="1" t="s">
        <v>51</v>
      </c>
      <c r="V284" s="1" t="s">
        <v>52</v>
      </c>
      <c r="W284" s="1" t="s">
        <v>53</v>
      </c>
      <c r="X284" s="1" t="s">
        <v>54</v>
      </c>
      <c r="Y284" s="1" t="s">
        <v>55</v>
      </c>
      <c r="Z284" s="1" t="s">
        <v>56</v>
      </c>
      <c r="AA284" s="1" t="s">
        <v>36</v>
      </c>
      <c r="AB284" s="1" t="s">
        <v>54</v>
      </c>
      <c r="AC284" s="1" t="s">
        <v>57</v>
      </c>
      <c r="AD284" s="1" t="s">
        <v>58</v>
      </c>
      <c r="AE284" s="1" t="s">
        <v>42</v>
      </c>
      <c r="AF284" s="1" t="s">
        <v>54</v>
      </c>
      <c r="AG284" s="1" t="s">
        <v>75</v>
      </c>
      <c r="AH284" s="1" t="s">
        <v>120</v>
      </c>
    </row>
    <row r="285" spans="1:34" x14ac:dyDescent="0.3">
      <c r="A285" s="1" t="s">
        <v>99</v>
      </c>
      <c r="B285" s="1" t="s">
        <v>41</v>
      </c>
      <c r="C285" s="1" t="s">
        <v>76</v>
      </c>
      <c r="D285" s="1" t="s">
        <v>37</v>
      </c>
      <c r="E285" s="1" t="s">
        <v>77</v>
      </c>
      <c r="F285" s="1" t="s">
        <v>39</v>
      </c>
      <c r="G285" s="1" t="s">
        <v>40</v>
      </c>
      <c r="H285" s="1" t="s">
        <v>35</v>
      </c>
      <c r="I285" s="1" t="s">
        <v>35</v>
      </c>
      <c r="J285" s="1" t="s">
        <v>39</v>
      </c>
      <c r="K285" s="1" t="s">
        <v>42</v>
      </c>
      <c r="L285" s="1" t="s">
        <v>43</v>
      </c>
      <c r="M285" s="1" t="s">
        <v>44</v>
      </c>
      <c r="N285" s="1" t="s">
        <v>45</v>
      </c>
      <c r="O285" s="1" t="s">
        <v>45</v>
      </c>
      <c r="P285" s="1" t="s">
        <v>46</v>
      </c>
      <c r="Q285" s="1" t="s">
        <v>93</v>
      </c>
      <c r="R285" s="1" t="s">
        <v>48</v>
      </c>
      <c r="S285" s="1" t="s">
        <v>49</v>
      </c>
      <c r="T285" s="1" t="s">
        <v>50</v>
      </c>
      <c r="U285" s="1" t="s">
        <v>51</v>
      </c>
      <c r="V285" s="1" t="s">
        <v>52</v>
      </c>
      <c r="W285" s="1" t="s">
        <v>53</v>
      </c>
      <c r="X285" s="1" t="s">
        <v>54</v>
      </c>
      <c r="Y285" s="1" t="s">
        <v>74</v>
      </c>
      <c r="Z285" s="1" t="s">
        <v>56</v>
      </c>
      <c r="AA285" s="1" t="s">
        <v>36</v>
      </c>
      <c r="AB285" s="1" t="s">
        <v>54</v>
      </c>
      <c r="AC285" s="1" t="s">
        <v>57</v>
      </c>
      <c r="AD285" s="1" t="s">
        <v>58</v>
      </c>
      <c r="AE285" s="1" t="s">
        <v>42</v>
      </c>
      <c r="AF285" s="1" t="s">
        <v>54</v>
      </c>
      <c r="AG285" s="1" t="s">
        <v>60</v>
      </c>
      <c r="AH285" s="1" t="s">
        <v>120</v>
      </c>
    </row>
    <row r="286" spans="1:34" x14ac:dyDescent="0.3">
      <c r="A286" s="1" t="s">
        <v>54</v>
      </c>
      <c r="B286" s="1" t="s">
        <v>35</v>
      </c>
      <c r="C286" s="1" t="s">
        <v>36</v>
      </c>
      <c r="D286" s="1" t="s">
        <v>37</v>
      </c>
      <c r="E286" s="1" t="s">
        <v>77</v>
      </c>
      <c r="F286" s="1" t="s">
        <v>39</v>
      </c>
      <c r="G286" s="1" t="s">
        <v>40</v>
      </c>
      <c r="H286" s="1" t="s">
        <v>35</v>
      </c>
      <c r="I286" s="1" t="s">
        <v>41</v>
      </c>
      <c r="J286" s="1" t="s">
        <v>39</v>
      </c>
      <c r="K286" s="1" t="s">
        <v>42</v>
      </c>
      <c r="L286" s="1" t="s">
        <v>40</v>
      </c>
      <c r="M286" s="1" t="s">
        <v>44</v>
      </c>
      <c r="N286" s="1" t="s">
        <v>45</v>
      </c>
      <c r="O286" s="1" t="s">
        <v>45</v>
      </c>
      <c r="P286" s="1" t="s">
        <v>46</v>
      </c>
      <c r="Q286" s="1" t="s">
        <v>47</v>
      </c>
      <c r="R286" s="1" t="s">
        <v>48</v>
      </c>
      <c r="S286" s="1" t="s">
        <v>49</v>
      </c>
      <c r="T286" s="1" t="s">
        <v>50</v>
      </c>
      <c r="U286" s="1" t="s">
        <v>51</v>
      </c>
      <c r="V286" s="1" t="s">
        <v>52</v>
      </c>
      <c r="W286" s="1" t="s">
        <v>53</v>
      </c>
      <c r="X286" s="1" t="s">
        <v>54</v>
      </c>
      <c r="Y286" s="1" t="s">
        <v>74</v>
      </c>
      <c r="Z286" s="1" t="s">
        <v>56</v>
      </c>
      <c r="AA286" s="1" t="s">
        <v>36</v>
      </c>
      <c r="AB286" s="1" t="s">
        <v>54</v>
      </c>
      <c r="AC286" s="1" t="s">
        <v>57</v>
      </c>
      <c r="AD286" s="1" t="s">
        <v>58</v>
      </c>
      <c r="AE286" s="1" t="s">
        <v>59</v>
      </c>
      <c r="AF286" s="1" t="s">
        <v>54</v>
      </c>
      <c r="AG286" s="1" t="s">
        <v>60</v>
      </c>
      <c r="AH286" s="1" t="s">
        <v>120</v>
      </c>
    </row>
    <row r="287" spans="1:34" x14ac:dyDescent="0.3">
      <c r="A287" s="1" t="s">
        <v>54</v>
      </c>
      <c r="B287" s="1" t="s">
        <v>41</v>
      </c>
      <c r="C287" s="1" t="s">
        <v>82</v>
      </c>
      <c r="D287" s="1" t="s">
        <v>107</v>
      </c>
      <c r="E287" s="1" t="s">
        <v>38</v>
      </c>
      <c r="F287" s="1" t="s">
        <v>39</v>
      </c>
      <c r="G287" s="1" t="s">
        <v>40</v>
      </c>
      <c r="H287" s="1" t="s">
        <v>35</v>
      </c>
      <c r="I287" s="1" t="s">
        <v>41</v>
      </c>
      <c r="J287" s="1" t="s">
        <v>92</v>
      </c>
      <c r="K287" s="1" t="s">
        <v>42</v>
      </c>
      <c r="L287" s="1" t="s">
        <v>43</v>
      </c>
      <c r="M287" s="1" t="s">
        <v>44</v>
      </c>
      <c r="N287" s="1" t="s">
        <v>45</v>
      </c>
      <c r="O287" s="1" t="s">
        <v>45</v>
      </c>
      <c r="P287" s="1" t="s">
        <v>46</v>
      </c>
      <c r="Q287" s="1" t="s">
        <v>47</v>
      </c>
      <c r="R287" s="1" t="s">
        <v>48</v>
      </c>
      <c r="S287" s="1" t="s">
        <v>49</v>
      </c>
      <c r="T287" s="1" t="s">
        <v>50</v>
      </c>
      <c r="U287" s="1" t="s">
        <v>51</v>
      </c>
      <c r="V287" s="1" t="s">
        <v>52</v>
      </c>
      <c r="W287" s="1" t="s">
        <v>53</v>
      </c>
      <c r="X287" s="1" t="s">
        <v>54</v>
      </c>
      <c r="Y287" s="1" t="s">
        <v>55</v>
      </c>
      <c r="Z287" s="1" t="s">
        <v>56</v>
      </c>
      <c r="AA287" s="1" t="s">
        <v>36</v>
      </c>
      <c r="AB287" s="1" t="s">
        <v>54</v>
      </c>
      <c r="AC287" s="1" t="s">
        <v>57</v>
      </c>
      <c r="AD287" s="1" t="s">
        <v>58</v>
      </c>
      <c r="AE287" s="1" t="s">
        <v>42</v>
      </c>
      <c r="AF287" s="1" t="s">
        <v>54</v>
      </c>
      <c r="AG287" s="1" t="s">
        <v>60</v>
      </c>
      <c r="AH287" s="1" t="s">
        <v>120</v>
      </c>
    </row>
    <row r="288" spans="1:34" x14ac:dyDescent="0.3">
      <c r="A288" s="1" t="s">
        <v>54</v>
      </c>
      <c r="B288" s="1" t="s">
        <v>41</v>
      </c>
      <c r="C288" s="1" t="s">
        <v>76</v>
      </c>
      <c r="D288" s="1" t="s">
        <v>37</v>
      </c>
      <c r="E288" s="1" t="s">
        <v>77</v>
      </c>
      <c r="F288" s="1" t="s">
        <v>39</v>
      </c>
      <c r="G288" s="1" t="s">
        <v>40</v>
      </c>
      <c r="H288" s="1" t="s">
        <v>35</v>
      </c>
      <c r="I288" s="1" t="s">
        <v>35</v>
      </c>
      <c r="J288" s="1" t="s">
        <v>92</v>
      </c>
      <c r="K288" s="1" t="s">
        <v>42</v>
      </c>
      <c r="L288" s="1" t="s">
        <v>79</v>
      </c>
      <c r="M288" s="1" t="s">
        <v>44</v>
      </c>
      <c r="N288" s="1" t="s">
        <v>45</v>
      </c>
      <c r="O288" s="1" t="s">
        <v>45</v>
      </c>
      <c r="P288" s="1" t="s">
        <v>46</v>
      </c>
      <c r="Q288" s="1" t="s">
        <v>47</v>
      </c>
      <c r="R288" s="1" t="s">
        <v>48</v>
      </c>
      <c r="S288" s="1" t="s">
        <v>49</v>
      </c>
      <c r="T288" s="1" t="s">
        <v>50</v>
      </c>
      <c r="U288" s="1" t="s">
        <v>51</v>
      </c>
      <c r="V288" s="1" t="s">
        <v>52</v>
      </c>
      <c r="W288" s="1" t="s">
        <v>53</v>
      </c>
      <c r="X288" s="1" t="s">
        <v>54</v>
      </c>
      <c r="Y288" s="1" t="s">
        <v>55</v>
      </c>
      <c r="Z288" s="1" t="s">
        <v>56</v>
      </c>
      <c r="AA288" s="1" t="s">
        <v>36</v>
      </c>
      <c r="AB288" s="1" t="s">
        <v>54</v>
      </c>
      <c r="AC288" s="1" t="s">
        <v>57</v>
      </c>
      <c r="AD288" s="1" t="s">
        <v>58</v>
      </c>
      <c r="AE288" s="1" t="s">
        <v>42</v>
      </c>
      <c r="AF288" s="1" t="s">
        <v>54</v>
      </c>
      <c r="AG288" s="1" t="s">
        <v>75</v>
      </c>
      <c r="AH288" s="1" t="s">
        <v>120</v>
      </c>
    </row>
    <row r="289" spans="1:34" x14ac:dyDescent="0.3">
      <c r="A289" s="1" t="s">
        <v>55</v>
      </c>
      <c r="B289" s="1" t="s">
        <v>41</v>
      </c>
      <c r="C289" s="1" t="s">
        <v>76</v>
      </c>
      <c r="D289" s="1" t="s">
        <v>49</v>
      </c>
      <c r="E289" s="1" t="s">
        <v>77</v>
      </c>
      <c r="F289" s="1" t="s">
        <v>39</v>
      </c>
      <c r="G289" s="1" t="s">
        <v>40</v>
      </c>
      <c r="H289" s="1" t="s">
        <v>35</v>
      </c>
      <c r="I289" s="1" t="s">
        <v>35</v>
      </c>
      <c r="J289" s="1" t="s">
        <v>39</v>
      </c>
      <c r="K289" s="1" t="s">
        <v>42</v>
      </c>
      <c r="L289" s="1" t="s">
        <v>79</v>
      </c>
      <c r="M289" s="1" t="s">
        <v>44</v>
      </c>
      <c r="N289" s="1" t="s">
        <v>45</v>
      </c>
      <c r="O289" s="1" t="s">
        <v>45</v>
      </c>
      <c r="P289" s="1" t="s">
        <v>46</v>
      </c>
      <c r="Q289" s="1" t="s">
        <v>47</v>
      </c>
      <c r="R289" s="1" t="s">
        <v>48</v>
      </c>
      <c r="S289" s="1" t="s">
        <v>49</v>
      </c>
      <c r="T289" s="1" t="s">
        <v>50</v>
      </c>
      <c r="U289" s="1" t="s">
        <v>51</v>
      </c>
      <c r="V289" s="1" t="s">
        <v>52</v>
      </c>
      <c r="W289" s="1" t="s">
        <v>53</v>
      </c>
      <c r="X289" s="1" t="s">
        <v>54</v>
      </c>
      <c r="Y289" s="1" t="s">
        <v>74</v>
      </c>
      <c r="Z289" s="1" t="s">
        <v>56</v>
      </c>
      <c r="AA289" s="1" t="s">
        <v>36</v>
      </c>
      <c r="AB289" s="1" t="s">
        <v>54</v>
      </c>
      <c r="AC289" s="1" t="s">
        <v>57</v>
      </c>
      <c r="AD289" s="1" t="s">
        <v>58</v>
      </c>
      <c r="AE289" s="1" t="s">
        <v>42</v>
      </c>
      <c r="AF289" s="1" t="s">
        <v>54</v>
      </c>
      <c r="AG289" s="1" t="s">
        <v>75</v>
      </c>
      <c r="AH289" s="1" t="s">
        <v>120</v>
      </c>
    </row>
    <row r="290" spans="1:34" x14ac:dyDescent="0.3">
      <c r="A290" s="1" t="s">
        <v>34</v>
      </c>
      <c r="B290" s="1" t="s">
        <v>41</v>
      </c>
      <c r="C290" s="1" t="s">
        <v>76</v>
      </c>
      <c r="D290" s="1" t="s">
        <v>37</v>
      </c>
      <c r="E290" s="1" t="s">
        <v>77</v>
      </c>
      <c r="F290" s="1" t="s">
        <v>39</v>
      </c>
      <c r="G290" s="1" t="s">
        <v>40</v>
      </c>
      <c r="H290" s="1" t="s">
        <v>35</v>
      </c>
      <c r="I290" s="1" t="s">
        <v>35</v>
      </c>
      <c r="J290" s="1" t="s">
        <v>78</v>
      </c>
      <c r="K290" s="1" t="s">
        <v>42</v>
      </c>
      <c r="L290" s="1" t="s">
        <v>43</v>
      </c>
      <c r="M290" s="1" t="s">
        <v>84</v>
      </c>
      <c r="N290" s="1" t="s">
        <v>45</v>
      </c>
      <c r="O290" s="1" t="s">
        <v>45</v>
      </c>
      <c r="P290" s="1" t="s">
        <v>46</v>
      </c>
      <c r="Q290" s="1" t="s">
        <v>47</v>
      </c>
      <c r="R290" s="1" t="s">
        <v>80</v>
      </c>
      <c r="S290" s="1" t="s">
        <v>49</v>
      </c>
      <c r="T290" s="1" t="s">
        <v>50</v>
      </c>
      <c r="U290" s="1" t="s">
        <v>51</v>
      </c>
      <c r="V290" s="1" t="s">
        <v>52</v>
      </c>
      <c r="W290" s="1" t="s">
        <v>53</v>
      </c>
      <c r="X290" s="1" t="s">
        <v>54</v>
      </c>
      <c r="Y290" s="1" t="s">
        <v>55</v>
      </c>
      <c r="Z290" s="1" t="s">
        <v>82</v>
      </c>
      <c r="AA290" s="1" t="s">
        <v>36</v>
      </c>
      <c r="AB290" s="1" t="s">
        <v>54</v>
      </c>
      <c r="AC290" s="1" t="s">
        <v>57</v>
      </c>
      <c r="AD290" s="1" t="s">
        <v>58</v>
      </c>
      <c r="AE290" s="1" t="s">
        <v>42</v>
      </c>
      <c r="AF290" s="1" t="s">
        <v>54</v>
      </c>
      <c r="AG290" s="1" t="s">
        <v>75</v>
      </c>
      <c r="AH290" s="1" t="s">
        <v>120</v>
      </c>
    </row>
    <row r="291" spans="1:34" x14ac:dyDescent="0.3">
      <c r="A291" s="1" t="s">
        <v>55</v>
      </c>
      <c r="B291" s="1" t="s">
        <v>35</v>
      </c>
      <c r="C291" s="1" t="s">
        <v>36</v>
      </c>
      <c r="D291" s="1" t="s">
        <v>37</v>
      </c>
      <c r="E291" s="1" t="s">
        <v>77</v>
      </c>
      <c r="F291" s="1" t="s">
        <v>39</v>
      </c>
      <c r="G291" s="1" t="s">
        <v>40</v>
      </c>
      <c r="H291" s="1" t="s">
        <v>35</v>
      </c>
      <c r="I291" s="1" t="s">
        <v>35</v>
      </c>
      <c r="J291" s="1" t="s">
        <v>39</v>
      </c>
      <c r="K291" s="1" t="s">
        <v>42</v>
      </c>
      <c r="L291" s="1" t="s">
        <v>43</v>
      </c>
      <c r="M291" s="1" t="s">
        <v>114</v>
      </c>
      <c r="N291" s="1" t="s">
        <v>45</v>
      </c>
      <c r="O291" s="1" t="s">
        <v>45</v>
      </c>
      <c r="P291" s="1" t="s">
        <v>46</v>
      </c>
      <c r="Q291" s="1" t="s">
        <v>47</v>
      </c>
      <c r="R291" s="1" t="s">
        <v>48</v>
      </c>
      <c r="S291" s="1" t="s">
        <v>49</v>
      </c>
      <c r="T291" s="1" t="s">
        <v>50</v>
      </c>
      <c r="U291" s="1" t="s">
        <v>51</v>
      </c>
      <c r="V291" s="1" t="s">
        <v>52</v>
      </c>
      <c r="W291" s="1" t="s">
        <v>53</v>
      </c>
      <c r="X291" s="1" t="s">
        <v>91</v>
      </c>
      <c r="Y291" s="1" t="s">
        <v>55</v>
      </c>
      <c r="Z291" s="1" t="s">
        <v>56</v>
      </c>
      <c r="AA291" s="1" t="s">
        <v>36</v>
      </c>
      <c r="AB291" s="1" t="s">
        <v>54</v>
      </c>
      <c r="AC291" s="1" t="s">
        <v>57</v>
      </c>
      <c r="AD291" s="1" t="s">
        <v>58</v>
      </c>
      <c r="AE291" s="1" t="s">
        <v>59</v>
      </c>
      <c r="AF291" s="1" t="s">
        <v>54</v>
      </c>
      <c r="AG291" s="1" t="s">
        <v>75</v>
      </c>
      <c r="AH291" s="1" t="s">
        <v>120</v>
      </c>
    </row>
    <row r="292" spans="1:34" x14ac:dyDescent="0.3">
      <c r="A292" s="1" t="s">
        <v>99</v>
      </c>
      <c r="B292" s="1" t="s">
        <v>41</v>
      </c>
      <c r="C292" s="1" t="s">
        <v>76</v>
      </c>
      <c r="D292" s="1" t="s">
        <v>49</v>
      </c>
      <c r="E292" s="1" t="s">
        <v>77</v>
      </c>
      <c r="F292" s="1" t="s">
        <v>39</v>
      </c>
      <c r="G292" s="1" t="s">
        <v>40</v>
      </c>
      <c r="H292" s="1" t="s">
        <v>35</v>
      </c>
      <c r="I292" s="1" t="s">
        <v>35</v>
      </c>
      <c r="J292" s="1" t="s">
        <v>39</v>
      </c>
      <c r="K292" s="1" t="s">
        <v>42</v>
      </c>
      <c r="L292" s="1" t="s">
        <v>43</v>
      </c>
      <c r="M292" s="1" t="s">
        <v>44</v>
      </c>
      <c r="N292" s="1" t="s">
        <v>45</v>
      </c>
      <c r="O292" s="1" t="s">
        <v>45</v>
      </c>
      <c r="P292" s="1" t="s">
        <v>46</v>
      </c>
      <c r="Q292" s="1" t="s">
        <v>93</v>
      </c>
      <c r="R292" s="1" t="s">
        <v>48</v>
      </c>
      <c r="S292" s="1" t="s">
        <v>49</v>
      </c>
      <c r="T292" s="1" t="s">
        <v>50</v>
      </c>
      <c r="U292" s="1" t="s">
        <v>51</v>
      </c>
      <c r="V292" s="1" t="s">
        <v>52</v>
      </c>
      <c r="W292" s="1" t="s">
        <v>53</v>
      </c>
      <c r="X292" s="1" t="s">
        <v>54</v>
      </c>
      <c r="Y292" s="1" t="s">
        <v>55</v>
      </c>
      <c r="Z292" s="1" t="s">
        <v>56</v>
      </c>
      <c r="AA292" s="1" t="s">
        <v>76</v>
      </c>
      <c r="AB292" s="1" t="s">
        <v>54</v>
      </c>
      <c r="AC292" s="1" t="s">
        <v>57</v>
      </c>
      <c r="AD292" s="1" t="s">
        <v>58</v>
      </c>
      <c r="AE292" s="1" t="s">
        <v>42</v>
      </c>
      <c r="AF292" s="1" t="s">
        <v>54</v>
      </c>
      <c r="AG292" s="1" t="s">
        <v>60</v>
      </c>
      <c r="AH292" s="1" t="s">
        <v>120</v>
      </c>
    </row>
    <row r="293" spans="1:34" x14ac:dyDescent="0.3">
      <c r="A293" s="1" t="s">
        <v>55</v>
      </c>
      <c r="B293" s="1" t="s">
        <v>61</v>
      </c>
      <c r="C293" s="1" t="s">
        <v>62</v>
      </c>
      <c r="D293" s="1" t="s">
        <v>63</v>
      </c>
      <c r="E293" s="1" t="s">
        <v>64</v>
      </c>
      <c r="F293" s="1" t="s">
        <v>65</v>
      </c>
      <c r="G293" s="1" t="s">
        <v>66</v>
      </c>
      <c r="H293" s="1" t="s">
        <v>61</v>
      </c>
      <c r="I293" s="1" t="s">
        <v>61</v>
      </c>
      <c r="J293" s="1" t="s">
        <v>65</v>
      </c>
      <c r="K293" s="1" t="s">
        <v>67</v>
      </c>
      <c r="L293" s="1" t="s">
        <v>66</v>
      </c>
      <c r="M293" s="1" t="s">
        <v>68</v>
      </c>
      <c r="N293" s="1" t="s">
        <v>63</v>
      </c>
      <c r="O293" s="1" t="s">
        <v>63</v>
      </c>
      <c r="P293" s="1" t="s">
        <v>69</v>
      </c>
      <c r="Q293" s="1" t="s">
        <v>70</v>
      </c>
      <c r="R293" s="1" t="s">
        <v>71</v>
      </c>
      <c r="S293" s="1" t="s">
        <v>63</v>
      </c>
      <c r="T293" s="1" t="s">
        <v>69</v>
      </c>
      <c r="U293" s="1" t="s">
        <v>69</v>
      </c>
      <c r="V293" s="1" t="s">
        <v>63</v>
      </c>
      <c r="W293" s="1" t="s">
        <v>68</v>
      </c>
      <c r="X293" s="1" t="s">
        <v>72</v>
      </c>
      <c r="Y293" s="1" t="s">
        <v>72</v>
      </c>
      <c r="Z293" s="1" t="s">
        <v>62</v>
      </c>
      <c r="AA293" s="1" t="s">
        <v>62</v>
      </c>
      <c r="AB293" s="1" t="s">
        <v>72</v>
      </c>
      <c r="AC293" s="1" t="s">
        <v>73</v>
      </c>
      <c r="AD293" s="1" t="s">
        <v>73</v>
      </c>
      <c r="AE293" s="1" t="s">
        <v>67</v>
      </c>
      <c r="AF293" s="1" t="s">
        <v>72</v>
      </c>
      <c r="AG293" s="1" t="s">
        <v>71</v>
      </c>
      <c r="AH293" s="1" t="s">
        <v>120</v>
      </c>
    </row>
    <row r="294" spans="1:34" x14ac:dyDescent="0.3">
      <c r="A294" s="1" t="s">
        <v>74</v>
      </c>
      <c r="B294" s="1" t="s">
        <v>87</v>
      </c>
      <c r="C294" s="1" t="s">
        <v>82</v>
      </c>
      <c r="D294" s="1" t="s">
        <v>37</v>
      </c>
      <c r="E294" s="1" t="s">
        <v>77</v>
      </c>
      <c r="F294" s="1" t="s">
        <v>39</v>
      </c>
      <c r="G294" s="1" t="s">
        <v>40</v>
      </c>
      <c r="H294" s="1" t="s">
        <v>35</v>
      </c>
      <c r="I294" s="1" t="s">
        <v>35</v>
      </c>
      <c r="J294" s="1" t="s">
        <v>39</v>
      </c>
      <c r="K294" s="1" t="s">
        <v>42</v>
      </c>
      <c r="L294" s="1" t="s">
        <v>43</v>
      </c>
      <c r="M294" s="1" t="s">
        <v>44</v>
      </c>
      <c r="N294" s="1" t="s">
        <v>45</v>
      </c>
      <c r="O294" s="1" t="s">
        <v>45</v>
      </c>
      <c r="P294" s="1" t="s">
        <v>46</v>
      </c>
      <c r="Q294" s="1" t="s">
        <v>47</v>
      </c>
      <c r="R294" s="1" t="s">
        <v>80</v>
      </c>
      <c r="S294" s="1" t="s">
        <v>49</v>
      </c>
      <c r="T294" s="1" t="s">
        <v>50</v>
      </c>
      <c r="U294" s="1" t="s">
        <v>51</v>
      </c>
      <c r="V294" s="1" t="s">
        <v>81</v>
      </c>
      <c r="W294" s="1" t="s">
        <v>53</v>
      </c>
      <c r="X294" s="1" t="s">
        <v>54</v>
      </c>
      <c r="Y294" s="1" t="s">
        <v>55</v>
      </c>
      <c r="Z294" s="1" t="s">
        <v>82</v>
      </c>
      <c r="AA294" s="1" t="s">
        <v>36</v>
      </c>
      <c r="AB294" s="1" t="s">
        <v>54</v>
      </c>
      <c r="AC294" s="1" t="s">
        <v>57</v>
      </c>
      <c r="AD294" s="1" t="s">
        <v>58</v>
      </c>
      <c r="AE294" s="1" t="s">
        <v>59</v>
      </c>
      <c r="AF294" s="1" t="s">
        <v>54</v>
      </c>
      <c r="AG294" s="1" t="s">
        <v>75</v>
      </c>
      <c r="AH294" s="1" t="s">
        <v>120</v>
      </c>
    </row>
    <row r="295" spans="1:34" x14ac:dyDescent="0.3">
      <c r="A295" s="1" t="s">
        <v>85</v>
      </c>
      <c r="B295" s="1" t="s">
        <v>35</v>
      </c>
      <c r="C295" s="1" t="s">
        <v>36</v>
      </c>
      <c r="D295" s="1" t="s">
        <v>37</v>
      </c>
      <c r="E295" s="1" t="s">
        <v>38</v>
      </c>
      <c r="F295" s="1" t="s">
        <v>39</v>
      </c>
      <c r="G295" s="1" t="s">
        <v>40</v>
      </c>
      <c r="H295" s="1" t="s">
        <v>35</v>
      </c>
      <c r="I295" s="1" t="s">
        <v>41</v>
      </c>
      <c r="J295" s="1" t="s">
        <v>39</v>
      </c>
      <c r="K295" s="1" t="s">
        <v>42</v>
      </c>
      <c r="L295" s="1" t="s">
        <v>79</v>
      </c>
      <c r="M295" s="1" t="s">
        <v>44</v>
      </c>
      <c r="N295" s="1" t="s">
        <v>45</v>
      </c>
      <c r="O295" s="1" t="s">
        <v>45</v>
      </c>
      <c r="P295" s="1" t="s">
        <v>46</v>
      </c>
      <c r="Q295" s="1" t="s">
        <v>47</v>
      </c>
      <c r="R295" s="1" t="s">
        <v>48</v>
      </c>
      <c r="S295" s="1" t="s">
        <v>49</v>
      </c>
      <c r="T295" s="1" t="s">
        <v>50</v>
      </c>
      <c r="U295" s="1" t="s">
        <v>51</v>
      </c>
      <c r="V295" s="1" t="s">
        <v>52</v>
      </c>
      <c r="W295" s="1" t="s">
        <v>53</v>
      </c>
      <c r="X295" s="1" t="s">
        <v>54</v>
      </c>
      <c r="Y295" s="1" t="s">
        <v>74</v>
      </c>
      <c r="Z295" s="1" t="s">
        <v>56</v>
      </c>
      <c r="AA295" s="1" t="s">
        <v>36</v>
      </c>
      <c r="AB295" s="1" t="s">
        <v>54</v>
      </c>
      <c r="AC295" s="1" t="s">
        <v>57</v>
      </c>
      <c r="AD295" s="1" t="s">
        <v>58</v>
      </c>
      <c r="AE295" s="1" t="s">
        <v>59</v>
      </c>
      <c r="AF295" s="1" t="s">
        <v>54</v>
      </c>
      <c r="AG295" s="1" t="s">
        <v>75</v>
      </c>
      <c r="AH295" s="1" t="s">
        <v>120</v>
      </c>
    </row>
    <row r="296" spans="1:34" x14ac:dyDescent="0.3">
      <c r="A296" s="1" t="s">
        <v>54</v>
      </c>
      <c r="B296" s="1" t="s">
        <v>35</v>
      </c>
      <c r="C296" s="1" t="s">
        <v>36</v>
      </c>
      <c r="D296" s="1" t="s">
        <v>37</v>
      </c>
      <c r="E296" s="1" t="s">
        <v>77</v>
      </c>
      <c r="F296" s="1" t="s">
        <v>39</v>
      </c>
      <c r="G296" s="1" t="s">
        <v>40</v>
      </c>
      <c r="H296" s="1" t="s">
        <v>35</v>
      </c>
      <c r="I296" s="1" t="s">
        <v>35</v>
      </c>
      <c r="J296" s="1" t="s">
        <v>39</v>
      </c>
      <c r="K296" s="1" t="s">
        <v>42</v>
      </c>
      <c r="L296" s="1" t="s">
        <v>79</v>
      </c>
      <c r="M296" s="1" t="s">
        <v>44</v>
      </c>
      <c r="N296" s="1" t="s">
        <v>45</v>
      </c>
      <c r="O296" s="1" t="s">
        <v>45</v>
      </c>
      <c r="P296" s="1" t="s">
        <v>46</v>
      </c>
      <c r="Q296" s="1" t="s">
        <v>47</v>
      </c>
      <c r="R296" s="1" t="s">
        <v>80</v>
      </c>
      <c r="S296" s="1" t="s">
        <v>49</v>
      </c>
      <c r="T296" s="1" t="s">
        <v>50</v>
      </c>
      <c r="U296" s="1" t="s">
        <v>51</v>
      </c>
      <c r="V296" s="1" t="s">
        <v>52</v>
      </c>
      <c r="W296" s="1" t="s">
        <v>53</v>
      </c>
      <c r="X296" s="1" t="s">
        <v>54</v>
      </c>
      <c r="Y296" s="1" t="s">
        <v>74</v>
      </c>
      <c r="Z296" s="1" t="s">
        <v>56</v>
      </c>
      <c r="AA296" s="1" t="s">
        <v>36</v>
      </c>
      <c r="AB296" s="1" t="s">
        <v>54</v>
      </c>
      <c r="AC296" s="1" t="s">
        <v>57</v>
      </c>
      <c r="AD296" s="1" t="s">
        <v>58</v>
      </c>
      <c r="AE296" s="1" t="s">
        <v>59</v>
      </c>
      <c r="AF296" s="1" t="s">
        <v>54</v>
      </c>
      <c r="AG296" s="1" t="s">
        <v>75</v>
      </c>
      <c r="AH296" s="1" t="s">
        <v>120</v>
      </c>
    </row>
    <row r="297" spans="1:34" x14ac:dyDescent="0.3">
      <c r="A297" s="1" t="s">
        <v>54</v>
      </c>
      <c r="B297" s="1" t="s">
        <v>41</v>
      </c>
      <c r="C297" s="1" t="s">
        <v>76</v>
      </c>
      <c r="D297" s="1" t="s">
        <v>37</v>
      </c>
      <c r="E297" s="1" t="s">
        <v>77</v>
      </c>
      <c r="F297" s="1" t="s">
        <v>86</v>
      </c>
      <c r="G297" s="1" t="s">
        <v>40</v>
      </c>
      <c r="H297" s="1" t="s">
        <v>35</v>
      </c>
      <c r="I297" s="1" t="s">
        <v>35</v>
      </c>
      <c r="J297" s="1" t="s">
        <v>39</v>
      </c>
      <c r="K297" s="1" t="s">
        <v>42</v>
      </c>
      <c r="L297" s="1" t="s">
        <v>88</v>
      </c>
      <c r="M297" s="1" t="s">
        <v>44</v>
      </c>
      <c r="N297" s="1" t="s">
        <v>45</v>
      </c>
      <c r="O297" s="1" t="s">
        <v>45</v>
      </c>
      <c r="P297" s="1" t="s">
        <v>103</v>
      </c>
      <c r="Q297" s="1" t="s">
        <v>47</v>
      </c>
      <c r="R297" s="1" t="s">
        <v>48</v>
      </c>
      <c r="S297" s="1" t="s">
        <v>49</v>
      </c>
      <c r="T297" s="1" t="s">
        <v>50</v>
      </c>
      <c r="U297" s="1" t="s">
        <v>51</v>
      </c>
      <c r="V297" s="1" t="s">
        <v>81</v>
      </c>
      <c r="W297" s="1" t="s">
        <v>53</v>
      </c>
      <c r="X297" s="1" t="s">
        <v>54</v>
      </c>
      <c r="Y297" s="1" t="s">
        <v>55</v>
      </c>
      <c r="Z297" s="1" t="s">
        <v>56</v>
      </c>
      <c r="AA297" s="1" t="s">
        <v>36</v>
      </c>
      <c r="AB297" s="1" t="s">
        <v>54</v>
      </c>
      <c r="AC297" s="1" t="s">
        <v>57</v>
      </c>
      <c r="AD297" s="1" t="s">
        <v>58</v>
      </c>
      <c r="AE297" s="1" t="s">
        <v>59</v>
      </c>
      <c r="AF297" s="1" t="s">
        <v>54</v>
      </c>
      <c r="AG297" s="1" t="s">
        <v>98</v>
      </c>
      <c r="AH297" s="1" t="s">
        <v>120</v>
      </c>
    </row>
    <row r="298" spans="1:34" x14ac:dyDescent="0.3">
      <c r="A298" s="1" t="s">
        <v>34</v>
      </c>
      <c r="B298" s="1" t="s">
        <v>35</v>
      </c>
      <c r="C298" s="1" t="s">
        <v>36</v>
      </c>
      <c r="D298" s="1" t="s">
        <v>37</v>
      </c>
      <c r="E298" s="1" t="s">
        <v>77</v>
      </c>
      <c r="F298" s="1" t="s">
        <v>39</v>
      </c>
      <c r="G298" s="1" t="s">
        <v>40</v>
      </c>
      <c r="H298" s="1" t="s">
        <v>35</v>
      </c>
      <c r="I298" s="1" t="s">
        <v>35</v>
      </c>
      <c r="J298" s="1" t="s">
        <v>78</v>
      </c>
      <c r="K298" s="1" t="s">
        <v>42</v>
      </c>
      <c r="L298" s="1" t="s">
        <v>43</v>
      </c>
      <c r="M298" s="1" t="s">
        <v>44</v>
      </c>
      <c r="N298" s="1" t="s">
        <v>45</v>
      </c>
      <c r="O298" s="1" t="s">
        <v>52</v>
      </c>
      <c r="P298" s="1" t="s">
        <v>103</v>
      </c>
      <c r="Q298" s="1" t="s">
        <v>47</v>
      </c>
      <c r="R298" s="1" t="s">
        <v>80</v>
      </c>
      <c r="S298" s="1" t="s">
        <v>49</v>
      </c>
      <c r="T298" s="1" t="s">
        <v>50</v>
      </c>
      <c r="U298" s="1" t="s">
        <v>51</v>
      </c>
      <c r="V298" s="1" t="s">
        <v>52</v>
      </c>
      <c r="W298" s="1" t="s">
        <v>53</v>
      </c>
      <c r="X298" s="1" t="s">
        <v>54</v>
      </c>
      <c r="Y298" s="1" t="s">
        <v>55</v>
      </c>
      <c r="Z298" s="1" t="s">
        <v>56</v>
      </c>
      <c r="AA298" s="1" t="s">
        <v>36</v>
      </c>
      <c r="AB298" s="1" t="s">
        <v>54</v>
      </c>
      <c r="AC298" s="1" t="s">
        <v>57</v>
      </c>
      <c r="AD298" s="1" t="s">
        <v>58</v>
      </c>
      <c r="AE298" s="1" t="s">
        <v>59</v>
      </c>
      <c r="AF298" s="1" t="s">
        <v>54</v>
      </c>
      <c r="AG298" s="1" t="s">
        <v>98</v>
      </c>
      <c r="AH298" s="1" t="s">
        <v>120</v>
      </c>
    </row>
    <row r="299" spans="1:34" x14ac:dyDescent="0.3">
      <c r="A299" s="1" t="s">
        <v>74</v>
      </c>
      <c r="B299" s="1" t="s">
        <v>41</v>
      </c>
      <c r="C299" s="1" t="s">
        <v>76</v>
      </c>
      <c r="D299" s="1" t="s">
        <v>37</v>
      </c>
      <c r="E299" s="1" t="s">
        <v>77</v>
      </c>
      <c r="F299" s="1" t="s">
        <v>39</v>
      </c>
      <c r="G299" s="1" t="s">
        <v>40</v>
      </c>
      <c r="H299" s="1" t="s">
        <v>35</v>
      </c>
      <c r="I299" s="1" t="s">
        <v>94</v>
      </c>
      <c r="J299" s="1" t="s">
        <v>39</v>
      </c>
      <c r="K299" s="1" t="s">
        <v>42</v>
      </c>
      <c r="L299" s="1" t="s">
        <v>43</v>
      </c>
      <c r="M299" s="1" t="s">
        <v>44</v>
      </c>
      <c r="N299" s="1" t="s">
        <v>45</v>
      </c>
      <c r="O299" s="1" t="s">
        <v>45</v>
      </c>
      <c r="P299" s="1" t="s">
        <v>46</v>
      </c>
      <c r="Q299" s="1" t="s">
        <v>47</v>
      </c>
      <c r="R299" s="1" t="s">
        <v>48</v>
      </c>
      <c r="S299" s="1" t="s">
        <v>49</v>
      </c>
      <c r="T299" s="1" t="s">
        <v>50</v>
      </c>
      <c r="U299" s="1" t="s">
        <v>51</v>
      </c>
      <c r="V299" s="1" t="s">
        <v>52</v>
      </c>
      <c r="W299" s="1" t="s">
        <v>53</v>
      </c>
      <c r="X299" s="1" t="s">
        <v>54</v>
      </c>
      <c r="Y299" s="1" t="s">
        <v>74</v>
      </c>
      <c r="Z299" s="1" t="s">
        <v>56</v>
      </c>
      <c r="AA299" s="1" t="s">
        <v>36</v>
      </c>
      <c r="AB299" s="1" t="s">
        <v>54</v>
      </c>
      <c r="AC299" s="1" t="s">
        <v>57</v>
      </c>
      <c r="AD299" s="1" t="s">
        <v>58</v>
      </c>
      <c r="AE299" s="1" t="s">
        <v>42</v>
      </c>
      <c r="AF299" s="1" t="s">
        <v>54</v>
      </c>
      <c r="AG299" s="1" t="s">
        <v>75</v>
      </c>
      <c r="AH299" s="1" t="s">
        <v>120</v>
      </c>
    </row>
    <row r="300" spans="1:34" x14ac:dyDescent="0.3">
      <c r="A300" s="1" t="s">
        <v>74</v>
      </c>
      <c r="B300" s="1" t="s">
        <v>61</v>
      </c>
      <c r="C300" s="1" t="s">
        <v>62</v>
      </c>
      <c r="D300" s="1" t="s">
        <v>63</v>
      </c>
      <c r="E300" s="1" t="s">
        <v>64</v>
      </c>
      <c r="F300" s="1" t="s">
        <v>65</v>
      </c>
      <c r="G300" s="1" t="s">
        <v>66</v>
      </c>
      <c r="H300" s="1" t="s">
        <v>61</v>
      </c>
      <c r="I300" s="1" t="s">
        <v>61</v>
      </c>
      <c r="J300" s="1" t="s">
        <v>65</v>
      </c>
      <c r="K300" s="1" t="s">
        <v>67</v>
      </c>
      <c r="L300" s="1" t="s">
        <v>66</v>
      </c>
      <c r="M300" s="1" t="s">
        <v>68</v>
      </c>
      <c r="N300" s="1" t="s">
        <v>63</v>
      </c>
      <c r="O300" s="1" t="s">
        <v>63</v>
      </c>
      <c r="P300" s="1" t="s">
        <v>69</v>
      </c>
      <c r="Q300" s="1" t="s">
        <v>70</v>
      </c>
      <c r="R300" s="1" t="s">
        <v>71</v>
      </c>
      <c r="S300" s="1" t="s">
        <v>63</v>
      </c>
      <c r="T300" s="1" t="s">
        <v>69</v>
      </c>
      <c r="U300" s="1" t="s">
        <v>69</v>
      </c>
      <c r="V300" s="1" t="s">
        <v>63</v>
      </c>
      <c r="W300" s="1" t="s">
        <v>68</v>
      </c>
      <c r="X300" s="1" t="s">
        <v>72</v>
      </c>
      <c r="Y300" s="1" t="s">
        <v>72</v>
      </c>
      <c r="Z300" s="1" t="s">
        <v>62</v>
      </c>
      <c r="AA300" s="1" t="s">
        <v>62</v>
      </c>
      <c r="AB300" s="1" t="s">
        <v>72</v>
      </c>
      <c r="AC300" s="1" t="s">
        <v>73</v>
      </c>
      <c r="AD300" s="1" t="s">
        <v>73</v>
      </c>
      <c r="AE300" s="1" t="s">
        <v>67</v>
      </c>
      <c r="AF300" s="1" t="s">
        <v>72</v>
      </c>
      <c r="AG300" s="1" t="s">
        <v>71</v>
      </c>
      <c r="AH300" s="1" t="s">
        <v>120</v>
      </c>
    </row>
    <row r="301" spans="1:34" x14ac:dyDescent="0.3">
      <c r="A301" s="1" t="s">
        <v>99</v>
      </c>
      <c r="B301" s="1" t="s">
        <v>87</v>
      </c>
      <c r="C301" s="1" t="s">
        <v>82</v>
      </c>
      <c r="D301" s="1" t="s">
        <v>49</v>
      </c>
      <c r="E301" s="1" t="s">
        <v>77</v>
      </c>
      <c r="F301" s="1" t="s">
        <v>39</v>
      </c>
      <c r="G301" s="1" t="s">
        <v>40</v>
      </c>
      <c r="H301" s="1" t="s">
        <v>35</v>
      </c>
      <c r="I301" s="1" t="s">
        <v>35</v>
      </c>
      <c r="J301" s="1" t="s">
        <v>39</v>
      </c>
      <c r="K301" s="1" t="s">
        <v>59</v>
      </c>
      <c r="L301" s="1" t="s">
        <v>66</v>
      </c>
      <c r="M301" s="1" t="s">
        <v>44</v>
      </c>
      <c r="N301" s="1" t="s">
        <v>45</v>
      </c>
      <c r="O301" s="1" t="s">
        <v>45</v>
      </c>
      <c r="P301" s="1" t="s">
        <v>46</v>
      </c>
      <c r="Q301" s="1" t="s">
        <v>47</v>
      </c>
      <c r="R301" s="1" t="s">
        <v>80</v>
      </c>
      <c r="S301" s="1" t="s">
        <v>49</v>
      </c>
      <c r="T301" s="1" t="s">
        <v>50</v>
      </c>
      <c r="U301" s="1" t="s">
        <v>51</v>
      </c>
      <c r="V301" s="1" t="s">
        <v>52</v>
      </c>
      <c r="W301" s="1" t="s">
        <v>53</v>
      </c>
      <c r="X301" s="1" t="s">
        <v>54</v>
      </c>
      <c r="Y301" s="1" t="s">
        <v>55</v>
      </c>
      <c r="Z301" s="1" t="s">
        <v>56</v>
      </c>
      <c r="AA301" s="1" t="s">
        <v>36</v>
      </c>
      <c r="AB301" s="1" t="s">
        <v>54</v>
      </c>
      <c r="AC301" s="1" t="s">
        <v>57</v>
      </c>
      <c r="AD301" s="1" t="s">
        <v>58</v>
      </c>
      <c r="AE301" s="1" t="s">
        <v>42</v>
      </c>
      <c r="AF301" s="1" t="s">
        <v>54</v>
      </c>
      <c r="AG301" s="1" t="s">
        <v>75</v>
      </c>
      <c r="AH301" s="1" t="s">
        <v>120</v>
      </c>
    </row>
    <row r="302" spans="1:34" x14ac:dyDescent="0.3">
      <c r="A302" s="1" t="s">
        <v>74</v>
      </c>
      <c r="B302" s="1" t="s">
        <v>61</v>
      </c>
      <c r="C302" s="1" t="s">
        <v>62</v>
      </c>
      <c r="D302" s="1" t="s">
        <v>63</v>
      </c>
      <c r="E302" s="1" t="s">
        <v>64</v>
      </c>
      <c r="F302" s="1" t="s">
        <v>65</v>
      </c>
      <c r="G302" s="1" t="s">
        <v>66</v>
      </c>
      <c r="H302" s="1" t="s">
        <v>61</v>
      </c>
      <c r="I302" s="1" t="s">
        <v>61</v>
      </c>
      <c r="J302" s="1" t="s">
        <v>65</v>
      </c>
      <c r="K302" s="1" t="s">
        <v>67</v>
      </c>
      <c r="L302" s="1" t="s">
        <v>66</v>
      </c>
      <c r="M302" s="1" t="s">
        <v>68</v>
      </c>
      <c r="N302" s="1" t="s">
        <v>63</v>
      </c>
      <c r="O302" s="1" t="s">
        <v>63</v>
      </c>
      <c r="P302" s="1" t="s">
        <v>69</v>
      </c>
      <c r="Q302" s="1" t="s">
        <v>70</v>
      </c>
      <c r="R302" s="1" t="s">
        <v>71</v>
      </c>
      <c r="S302" s="1" t="s">
        <v>63</v>
      </c>
      <c r="T302" s="1" t="s">
        <v>69</v>
      </c>
      <c r="U302" s="1" t="s">
        <v>69</v>
      </c>
      <c r="V302" s="1" t="s">
        <v>63</v>
      </c>
      <c r="W302" s="1" t="s">
        <v>68</v>
      </c>
      <c r="X302" s="1" t="s">
        <v>72</v>
      </c>
      <c r="Y302" s="1" t="s">
        <v>72</v>
      </c>
      <c r="Z302" s="1" t="s">
        <v>62</v>
      </c>
      <c r="AA302" s="1" t="s">
        <v>62</v>
      </c>
      <c r="AB302" s="1" t="s">
        <v>72</v>
      </c>
      <c r="AC302" s="1" t="s">
        <v>73</v>
      </c>
      <c r="AD302" s="1" t="s">
        <v>73</v>
      </c>
      <c r="AE302" s="1" t="s">
        <v>67</v>
      </c>
      <c r="AF302" s="1" t="s">
        <v>72</v>
      </c>
      <c r="AG302" s="1" t="s">
        <v>71</v>
      </c>
      <c r="AH302" s="1" t="s">
        <v>120</v>
      </c>
    </row>
    <row r="303" spans="1:34" x14ac:dyDescent="0.3">
      <c r="A303" s="1" t="s">
        <v>91</v>
      </c>
      <c r="B303" s="1" t="s">
        <v>41</v>
      </c>
      <c r="C303" s="1" t="s">
        <v>76</v>
      </c>
      <c r="D303" s="1" t="s">
        <v>37</v>
      </c>
      <c r="E303" s="1" t="s">
        <v>38</v>
      </c>
      <c r="F303" s="1" t="s">
        <v>39</v>
      </c>
      <c r="G303" s="1" t="s">
        <v>40</v>
      </c>
      <c r="H303" s="1" t="s">
        <v>35</v>
      </c>
      <c r="I303" s="1" t="s">
        <v>35</v>
      </c>
      <c r="J303" s="1" t="s">
        <v>39</v>
      </c>
      <c r="K303" s="1" t="s">
        <v>42</v>
      </c>
      <c r="L303" s="1" t="s">
        <v>43</v>
      </c>
      <c r="M303" s="1" t="s">
        <v>44</v>
      </c>
      <c r="N303" s="1" t="s">
        <v>45</v>
      </c>
      <c r="O303" s="1" t="s">
        <v>45</v>
      </c>
      <c r="P303" s="1" t="s">
        <v>46</v>
      </c>
      <c r="Q303" s="1" t="s">
        <v>47</v>
      </c>
      <c r="R303" s="1" t="s">
        <v>48</v>
      </c>
      <c r="S303" s="1" t="s">
        <v>49</v>
      </c>
      <c r="T303" s="1" t="s">
        <v>50</v>
      </c>
      <c r="U303" s="1" t="s">
        <v>51</v>
      </c>
      <c r="V303" s="1" t="s">
        <v>52</v>
      </c>
      <c r="W303" s="1" t="s">
        <v>53</v>
      </c>
      <c r="X303" s="1" t="s">
        <v>54</v>
      </c>
      <c r="Y303" s="1" t="s">
        <v>55</v>
      </c>
      <c r="Z303" s="1" t="s">
        <v>56</v>
      </c>
      <c r="AA303" s="1" t="s">
        <v>36</v>
      </c>
      <c r="AB303" s="1" t="s">
        <v>54</v>
      </c>
      <c r="AC303" s="1" t="s">
        <v>57</v>
      </c>
      <c r="AD303" s="1" t="s">
        <v>58</v>
      </c>
      <c r="AE303" s="1" t="s">
        <v>42</v>
      </c>
      <c r="AF303" s="1" t="s">
        <v>54</v>
      </c>
      <c r="AG303" s="1" t="s">
        <v>60</v>
      </c>
      <c r="AH303" s="1" t="s">
        <v>120</v>
      </c>
    </row>
    <row r="304" spans="1:34" x14ac:dyDescent="0.3">
      <c r="A304" s="1" t="s">
        <v>54</v>
      </c>
      <c r="B304" s="1" t="s">
        <v>41</v>
      </c>
      <c r="C304" s="1" t="s">
        <v>76</v>
      </c>
      <c r="D304" s="1" t="s">
        <v>37</v>
      </c>
      <c r="E304" s="1" t="s">
        <v>38</v>
      </c>
      <c r="F304" s="1" t="s">
        <v>39</v>
      </c>
      <c r="G304" s="1" t="s">
        <v>40</v>
      </c>
      <c r="H304" s="1" t="s">
        <v>35</v>
      </c>
      <c r="I304" s="1" t="s">
        <v>41</v>
      </c>
      <c r="J304" s="1" t="s">
        <v>39</v>
      </c>
      <c r="K304" s="1" t="s">
        <v>42</v>
      </c>
      <c r="L304" s="1" t="s">
        <v>43</v>
      </c>
      <c r="M304" s="1" t="s">
        <v>44</v>
      </c>
      <c r="N304" s="1" t="s">
        <v>45</v>
      </c>
      <c r="O304" s="1" t="s">
        <v>45</v>
      </c>
      <c r="P304" s="1" t="s">
        <v>46</v>
      </c>
      <c r="Q304" s="1" t="s">
        <v>47</v>
      </c>
      <c r="R304" s="1" t="s">
        <v>80</v>
      </c>
      <c r="S304" s="1" t="s">
        <v>49</v>
      </c>
      <c r="T304" s="1" t="s">
        <v>50</v>
      </c>
      <c r="U304" s="1" t="s">
        <v>51</v>
      </c>
      <c r="V304" s="1" t="s">
        <v>52</v>
      </c>
      <c r="W304" s="1" t="s">
        <v>53</v>
      </c>
      <c r="X304" s="1" t="s">
        <v>54</v>
      </c>
      <c r="Y304" s="1" t="s">
        <v>74</v>
      </c>
      <c r="Z304" s="1" t="s">
        <v>56</v>
      </c>
      <c r="AA304" s="1" t="s">
        <v>36</v>
      </c>
      <c r="AB304" s="1" t="s">
        <v>54</v>
      </c>
      <c r="AC304" s="1" t="s">
        <v>57</v>
      </c>
      <c r="AD304" s="1" t="s">
        <v>58</v>
      </c>
      <c r="AE304" s="1" t="s">
        <v>42</v>
      </c>
      <c r="AF304" s="1" t="s">
        <v>54</v>
      </c>
      <c r="AG304" s="1" t="s">
        <v>75</v>
      </c>
      <c r="AH304" s="1" t="s">
        <v>120</v>
      </c>
    </row>
    <row r="305" spans="1:34" x14ac:dyDescent="0.3">
      <c r="A305" s="1" t="s">
        <v>55</v>
      </c>
      <c r="B305" s="1" t="s">
        <v>35</v>
      </c>
      <c r="C305" s="1" t="s">
        <v>36</v>
      </c>
      <c r="D305" s="1" t="s">
        <v>37</v>
      </c>
      <c r="E305" s="1" t="s">
        <v>77</v>
      </c>
      <c r="F305" s="1" t="s">
        <v>39</v>
      </c>
      <c r="G305" s="1" t="s">
        <v>40</v>
      </c>
      <c r="H305" s="1" t="s">
        <v>35</v>
      </c>
      <c r="I305" s="1" t="s">
        <v>35</v>
      </c>
      <c r="J305" s="1" t="s">
        <v>39</v>
      </c>
      <c r="K305" s="1" t="s">
        <v>42</v>
      </c>
      <c r="L305" s="1" t="s">
        <v>43</v>
      </c>
      <c r="M305" s="1" t="s">
        <v>44</v>
      </c>
      <c r="N305" s="1" t="s">
        <v>45</v>
      </c>
      <c r="O305" s="1" t="s">
        <v>45</v>
      </c>
      <c r="P305" s="1" t="s">
        <v>46</v>
      </c>
      <c r="Q305" s="1" t="s">
        <v>47</v>
      </c>
      <c r="R305" s="1" t="s">
        <v>80</v>
      </c>
      <c r="S305" s="1" t="s">
        <v>49</v>
      </c>
      <c r="T305" s="1" t="s">
        <v>50</v>
      </c>
      <c r="U305" s="1" t="s">
        <v>51</v>
      </c>
      <c r="V305" s="1" t="s">
        <v>52</v>
      </c>
      <c r="W305" s="1" t="s">
        <v>53</v>
      </c>
      <c r="X305" s="1" t="s">
        <v>54</v>
      </c>
      <c r="Y305" s="1" t="s">
        <v>74</v>
      </c>
      <c r="Z305" s="1" t="s">
        <v>56</v>
      </c>
      <c r="AA305" s="1" t="s">
        <v>36</v>
      </c>
      <c r="AB305" s="1" t="s">
        <v>54</v>
      </c>
      <c r="AC305" s="1" t="s">
        <v>57</v>
      </c>
      <c r="AD305" s="1" t="s">
        <v>58</v>
      </c>
      <c r="AE305" s="1" t="s">
        <v>59</v>
      </c>
      <c r="AF305" s="1" t="s">
        <v>54</v>
      </c>
      <c r="AG305" s="1" t="s">
        <v>75</v>
      </c>
      <c r="AH305" s="1" t="s">
        <v>120</v>
      </c>
    </row>
    <row r="306" spans="1:34" x14ac:dyDescent="0.3">
      <c r="A306" s="1" t="s">
        <v>99</v>
      </c>
      <c r="B306" s="1" t="s">
        <v>35</v>
      </c>
      <c r="C306" s="1" t="s">
        <v>36</v>
      </c>
      <c r="D306" s="1" t="s">
        <v>37</v>
      </c>
      <c r="E306" s="1" t="s">
        <v>38</v>
      </c>
      <c r="F306" s="1" t="s">
        <v>39</v>
      </c>
      <c r="G306" s="1" t="s">
        <v>40</v>
      </c>
      <c r="H306" s="1" t="s">
        <v>35</v>
      </c>
      <c r="I306" s="1" t="s">
        <v>41</v>
      </c>
      <c r="J306" s="1" t="s">
        <v>39</v>
      </c>
      <c r="K306" s="1" t="s">
        <v>42</v>
      </c>
      <c r="L306" s="1" t="s">
        <v>79</v>
      </c>
      <c r="M306" s="1" t="s">
        <v>44</v>
      </c>
      <c r="N306" s="1" t="s">
        <v>49</v>
      </c>
      <c r="O306" s="1" t="s">
        <v>45</v>
      </c>
      <c r="P306" s="1" t="s">
        <v>46</v>
      </c>
      <c r="Q306" s="1" t="s">
        <v>47</v>
      </c>
      <c r="R306" s="1" t="s">
        <v>80</v>
      </c>
      <c r="S306" s="1" t="s">
        <v>49</v>
      </c>
      <c r="T306" s="1" t="s">
        <v>50</v>
      </c>
      <c r="U306" s="1" t="s">
        <v>51</v>
      </c>
      <c r="V306" s="1" t="s">
        <v>52</v>
      </c>
      <c r="W306" s="1" t="s">
        <v>53</v>
      </c>
      <c r="X306" s="1" t="s">
        <v>54</v>
      </c>
      <c r="Y306" s="1" t="s">
        <v>55</v>
      </c>
      <c r="Z306" s="1" t="s">
        <v>56</v>
      </c>
      <c r="AA306" s="1" t="s">
        <v>36</v>
      </c>
      <c r="AB306" s="1" t="s">
        <v>54</v>
      </c>
      <c r="AC306" s="1" t="s">
        <v>57</v>
      </c>
      <c r="AD306" s="1" t="s">
        <v>58</v>
      </c>
      <c r="AE306" s="1" t="s">
        <v>59</v>
      </c>
      <c r="AF306" s="1" t="s">
        <v>54</v>
      </c>
      <c r="AG306" s="1" t="s">
        <v>75</v>
      </c>
      <c r="AH306" s="1" t="s">
        <v>120</v>
      </c>
    </row>
    <row r="307" spans="1:34" x14ac:dyDescent="0.3">
      <c r="A307" s="1" t="s">
        <v>55</v>
      </c>
      <c r="B307" s="1" t="s">
        <v>35</v>
      </c>
      <c r="C307" s="1" t="s">
        <v>62</v>
      </c>
      <c r="D307" s="1" t="s">
        <v>37</v>
      </c>
      <c r="E307" s="1" t="s">
        <v>100</v>
      </c>
      <c r="F307" s="1" t="s">
        <v>65</v>
      </c>
      <c r="G307" s="1" t="s">
        <v>101</v>
      </c>
      <c r="H307" s="1" t="s">
        <v>61</v>
      </c>
      <c r="I307" s="1" t="s">
        <v>35</v>
      </c>
      <c r="J307" s="1" t="s">
        <v>102</v>
      </c>
      <c r="K307" s="1" t="s">
        <v>59</v>
      </c>
      <c r="L307" s="1" t="s">
        <v>66</v>
      </c>
      <c r="M307" s="1" t="s">
        <v>44</v>
      </c>
      <c r="N307" s="1" t="s">
        <v>81</v>
      </c>
      <c r="O307" s="1" t="s">
        <v>63</v>
      </c>
      <c r="P307" s="1" t="s">
        <v>103</v>
      </c>
      <c r="Q307" s="1" t="s">
        <v>47</v>
      </c>
      <c r="R307" s="1" t="s">
        <v>80</v>
      </c>
      <c r="S307" s="1" t="s">
        <v>49</v>
      </c>
      <c r="T307" s="1" t="s">
        <v>50</v>
      </c>
      <c r="U307" s="1" t="s">
        <v>51</v>
      </c>
      <c r="V307" s="1" t="s">
        <v>81</v>
      </c>
      <c r="W307" s="1" t="s">
        <v>53</v>
      </c>
      <c r="X307" s="1" t="s">
        <v>54</v>
      </c>
      <c r="Y307" s="1" t="s">
        <v>55</v>
      </c>
      <c r="Z307" s="1" t="s">
        <v>82</v>
      </c>
      <c r="AA307" s="1" t="s">
        <v>36</v>
      </c>
      <c r="AB307" s="1" t="s">
        <v>54</v>
      </c>
      <c r="AC307" s="1" t="s">
        <v>57</v>
      </c>
      <c r="AD307" s="1" t="s">
        <v>58</v>
      </c>
      <c r="AE307" s="1" t="s">
        <v>59</v>
      </c>
      <c r="AF307" s="1" t="s">
        <v>54</v>
      </c>
      <c r="AG307" s="1" t="s">
        <v>75</v>
      </c>
      <c r="AH307" s="1" t="s">
        <v>120</v>
      </c>
    </row>
    <row r="308" spans="1:34" x14ac:dyDescent="0.3">
      <c r="A308" s="1" t="s">
        <v>54</v>
      </c>
      <c r="B308" s="1" t="s">
        <v>35</v>
      </c>
      <c r="C308" s="1" t="s">
        <v>36</v>
      </c>
      <c r="D308" s="1" t="s">
        <v>83</v>
      </c>
      <c r="E308" s="1" t="s">
        <v>38</v>
      </c>
      <c r="F308" s="1" t="s">
        <v>39</v>
      </c>
      <c r="G308" s="1" t="s">
        <v>40</v>
      </c>
      <c r="H308" s="1" t="s">
        <v>35</v>
      </c>
      <c r="I308" s="1" t="s">
        <v>35</v>
      </c>
      <c r="J308" s="1" t="s">
        <v>92</v>
      </c>
      <c r="K308" s="1" t="s">
        <v>42</v>
      </c>
      <c r="L308" s="1" t="s">
        <v>43</v>
      </c>
      <c r="M308" s="1" t="s">
        <v>44</v>
      </c>
      <c r="N308" s="1" t="s">
        <v>45</v>
      </c>
      <c r="O308" s="1" t="s">
        <v>45</v>
      </c>
      <c r="P308" s="1" t="s">
        <v>46</v>
      </c>
      <c r="Q308" s="1" t="s">
        <v>47</v>
      </c>
      <c r="R308" s="1" t="s">
        <v>48</v>
      </c>
      <c r="S308" s="1" t="s">
        <v>49</v>
      </c>
      <c r="T308" s="1" t="s">
        <v>50</v>
      </c>
      <c r="U308" s="1" t="s">
        <v>51</v>
      </c>
      <c r="V308" s="1" t="s">
        <v>52</v>
      </c>
      <c r="W308" s="1" t="s">
        <v>53</v>
      </c>
      <c r="X308" s="1" t="s">
        <v>54</v>
      </c>
      <c r="Y308" s="1" t="s">
        <v>55</v>
      </c>
      <c r="Z308" s="1" t="s">
        <v>56</v>
      </c>
      <c r="AA308" s="1" t="s">
        <v>36</v>
      </c>
      <c r="AB308" s="1" t="s">
        <v>54</v>
      </c>
      <c r="AC308" s="1" t="s">
        <v>57</v>
      </c>
      <c r="AD308" s="1" t="s">
        <v>58</v>
      </c>
      <c r="AE308" s="1" t="s">
        <v>59</v>
      </c>
      <c r="AF308" s="1" t="s">
        <v>54</v>
      </c>
      <c r="AG308" s="1" t="s">
        <v>60</v>
      </c>
      <c r="AH308" s="1" t="s">
        <v>120</v>
      </c>
    </row>
    <row r="309" spans="1:34" x14ac:dyDescent="0.3">
      <c r="A309" s="1" t="s">
        <v>34</v>
      </c>
      <c r="B309" s="1" t="s">
        <v>87</v>
      </c>
      <c r="C309" s="1" t="s">
        <v>82</v>
      </c>
      <c r="D309" s="1" t="s">
        <v>37</v>
      </c>
      <c r="E309" s="1" t="s">
        <v>77</v>
      </c>
      <c r="F309" s="1" t="s">
        <v>39</v>
      </c>
      <c r="G309" s="1" t="s">
        <v>40</v>
      </c>
      <c r="H309" s="1" t="s">
        <v>35</v>
      </c>
      <c r="I309" s="1" t="s">
        <v>90</v>
      </c>
      <c r="J309" s="1" t="s">
        <v>39</v>
      </c>
      <c r="K309" s="1" t="s">
        <v>42</v>
      </c>
      <c r="L309" s="1" t="s">
        <v>43</v>
      </c>
      <c r="M309" s="1" t="s">
        <v>44</v>
      </c>
      <c r="N309" s="1" t="s">
        <v>45</v>
      </c>
      <c r="O309" s="1" t="s">
        <v>45</v>
      </c>
      <c r="P309" s="1" t="s">
        <v>46</v>
      </c>
      <c r="Q309" s="1" t="s">
        <v>47</v>
      </c>
      <c r="R309" s="1" t="s">
        <v>48</v>
      </c>
      <c r="S309" s="1" t="s">
        <v>45</v>
      </c>
      <c r="T309" s="1" t="s">
        <v>50</v>
      </c>
      <c r="U309" s="1" t="s">
        <v>51</v>
      </c>
      <c r="V309" s="1" t="s">
        <v>52</v>
      </c>
      <c r="W309" s="1" t="s">
        <v>53</v>
      </c>
      <c r="X309" s="1" t="s">
        <v>54</v>
      </c>
      <c r="Y309" s="1" t="s">
        <v>55</v>
      </c>
      <c r="Z309" s="1" t="s">
        <v>82</v>
      </c>
      <c r="AA309" s="1" t="s">
        <v>36</v>
      </c>
      <c r="AB309" s="1" t="s">
        <v>54</v>
      </c>
      <c r="AC309" s="1" t="s">
        <v>57</v>
      </c>
      <c r="AD309" s="1" t="s">
        <v>58</v>
      </c>
      <c r="AE309" s="1" t="s">
        <v>42</v>
      </c>
      <c r="AF309" s="1" t="s">
        <v>54</v>
      </c>
      <c r="AG309" s="1" t="s">
        <v>75</v>
      </c>
      <c r="AH309" s="1" t="s">
        <v>120</v>
      </c>
    </row>
    <row r="310" spans="1:34" x14ac:dyDescent="0.3">
      <c r="A310" s="1" t="s">
        <v>91</v>
      </c>
      <c r="B310" s="1" t="s">
        <v>41</v>
      </c>
      <c r="C310" s="1" t="s">
        <v>76</v>
      </c>
      <c r="D310" s="1" t="s">
        <v>49</v>
      </c>
      <c r="E310" s="1" t="s">
        <v>77</v>
      </c>
      <c r="F310" s="1" t="s">
        <v>39</v>
      </c>
      <c r="G310" s="1" t="s">
        <v>40</v>
      </c>
      <c r="H310" s="1" t="s">
        <v>35</v>
      </c>
      <c r="I310" s="1" t="s">
        <v>87</v>
      </c>
      <c r="J310" s="1" t="s">
        <v>39</v>
      </c>
      <c r="K310" s="1" t="s">
        <v>42</v>
      </c>
      <c r="L310" s="1" t="s">
        <v>43</v>
      </c>
      <c r="M310" s="1" t="s">
        <v>44</v>
      </c>
      <c r="N310" s="1" t="s">
        <v>45</v>
      </c>
      <c r="O310" s="1" t="s">
        <v>45</v>
      </c>
      <c r="P310" s="1" t="s">
        <v>46</v>
      </c>
      <c r="Q310" s="1" t="s">
        <v>47</v>
      </c>
      <c r="R310" s="1" t="s">
        <v>48</v>
      </c>
      <c r="S310" s="1" t="s">
        <v>49</v>
      </c>
      <c r="T310" s="1" t="s">
        <v>50</v>
      </c>
      <c r="U310" s="1" t="s">
        <v>51</v>
      </c>
      <c r="V310" s="1" t="s">
        <v>52</v>
      </c>
      <c r="W310" s="1" t="s">
        <v>53</v>
      </c>
      <c r="X310" s="1" t="s">
        <v>54</v>
      </c>
      <c r="Y310" s="1" t="s">
        <v>74</v>
      </c>
      <c r="Z310" s="1" t="s">
        <v>56</v>
      </c>
      <c r="AA310" s="1" t="s">
        <v>36</v>
      </c>
      <c r="AB310" s="1" t="s">
        <v>54</v>
      </c>
      <c r="AC310" s="1" t="s">
        <v>57</v>
      </c>
      <c r="AD310" s="1" t="s">
        <v>58</v>
      </c>
      <c r="AE310" s="1" t="s">
        <v>42</v>
      </c>
      <c r="AF310" s="1" t="s">
        <v>54</v>
      </c>
      <c r="AG310" s="1" t="s">
        <v>75</v>
      </c>
      <c r="AH310" s="1" t="s">
        <v>120</v>
      </c>
    </row>
    <row r="311" spans="1:34" x14ac:dyDescent="0.3">
      <c r="A311" s="1" t="s">
        <v>55</v>
      </c>
      <c r="B311" s="1" t="s">
        <v>35</v>
      </c>
      <c r="C311" s="1" t="s">
        <v>36</v>
      </c>
      <c r="D311" s="1" t="s">
        <v>37</v>
      </c>
      <c r="E311" s="1" t="s">
        <v>38</v>
      </c>
      <c r="F311" s="1" t="s">
        <v>39</v>
      </c>
      <c r="G311" s="1" t="s">
        <v>40</v>
      </c>
      <c r="H311" s="1" t="s">
        <v>35</v>
      </c>
      <c r="I311" s="1" t="s">
        <v>35</v>
      </c>
      <c r="J311" s="1" t="s">
        <v>39</v>
      </c>
      <c r="K311" s="1" t="s">
        <v>42</v>
      </c>
      <c r="L311" s="1" t="s">
        <v>43</v>
      </c>
      <c r="M311" s="1" t="s">
        <v>44</v>
      </c>
      <c r="N311" s="1" t="s">
        <v>45</v>
      </c>
      <c r="O311" s="1" t="s">
        <v>45</v>
      </c>
      <c r="P311" s="1" t="s">
        <v>46</v>
      </c>
      <c r="Q311" s="1" t="s">
        <v>47</v>
      </c>
      <c r="R311" s="1" t="s">
        <v>48</v>
      </c>
      <c r="S311" s="1" t="s">
        <v>49</v>
      </c>
      <c r="T311" s="1" t="s">
        <v>50</v>
      </c>
      <c r="U311" s="1" t="s">
        <v>51</v>
      </c>
      <c r="V311" s="1" t="s">
        <v>52</v>
      </c>
      <c r="W311" s="1" t="s">
        <v>53</v>
      </c>
      <c r="X311" s="1" t="s">
        <v>54</v>
      </c>
      <c r="Y311" s="1" t="s">
        <v>74</v>
      </c>
      <c r="Z311" s="1" t="s">
        <v>82</v>
      </c>
      <c r="AA311" s="1" t="s">
        <v>36</v>
      </c>
      <c r="AB311" s="1" t="s">
        <v>54</v>
      </c>
      <c r="AC311" s="1" t="s">
        <v>57</v>
      </c>
      <c r="AD311" s="1" t="s">
        <v>58</v>
      </c>
      <c r="AE311" s="1" t="s">
        <v>59</v>
      </c>
      <c r="AF311" s="1" t="s">
        <v>54</v>
      </c>
      <c r="AG311" s="1" t="s">
        <v>60</v>
      </c>
      <c r="AH311" s="1" t="s">
        <v>120</v>
      </c>
    </row>
    <row r="312" spans="1:34" x14ac:dyDescent="0.3">
      <c r="A312" s="1" t="s">
        <v>74</v>
      </c>
      <c r="B312" s="1" t="s">
        <v>41</v>
      </c>
      <c r="C312" s="1" t="s">
        <v>76</v>
      </c>
      <c r="D312" s="1" t="s">
        <v>83</v>
      </c>
      <c r="E312" s="1" t="s">
        <v>38</v>
      </c>
      <c r="F312" s="1" t="s">
        <v>39</v>
      </c>
      <c r="G312" s="1" t="s">
        <v>40</v>
      </c>
      <c r="H312" s="1" t="s">
        <v>35</v>
      </c>
      <c r="I312" s="1" t="s">
        <v>35</v>
      </c>
      <c r="J312" s="1" t="s">
        <v>39</v>
      </c>
      <c r="K312" s="1" t="s">
        <v>42</v>
      </c>
      <c r="L312" s="1" t="s">
        <v>79</v>
      </c>
      <c r="M312" s="1" t="s">
        <v>44</v>
      </c>
      <c r="N312" s="1" t="s">
        <v>45</v>
      </c>
      <c r="O312" s="1" t="s">
        <v>45</v>
      </c>
      <c r="P312" s="1" t="s">
        <v>46</v>
      </c>
      <c r="Q312" s="1" t="s">
        <v>93</v>
      </c>
      <c r="R312" s="1" t="s">
        <v>48</v>
      </c>
      <c r="S312" s="1" t="s">
        <v>49</v>
      </c>
      <c r="T312" s="1" t="s">
        <v>50</v>
      </c>
      <c r="U312" s="1" t="s">
        <v>51</v>
      </c>
      <c r="V312" s="1" t="s">
        <v>52</v>
      </c>
      <c r="W312" s="1" t="s">
        <v>53</v>
      </c>
      <c r="X312" s="1" t="s">
        <v>91</v>
      </c>
      <c r="Y312" s="1" t="s">
        <v>55</v>
      </c>
      <c r="Z312" s="1" t="s">
        <v>56</v>
      </c>
      <c r="AA312" s="1" t="s">
        <v>36</v>
      </c>
      <c r="AB312" s="1" t="s">
        <v>54</v>
      </c>
      <c r="AC312" s="1" t="s">
        <v>57</v>
      </c>
      <c r="AD312" s="1" t="s">
        <v>58</v>
      </c>
      <c r="AE312" s="1" t="s">
        <v>42</v>
      </c>
      <c r="AF312" s="1" t="s">
        <v>54</v>
      </c>
      <c r="AG312" s="1" t="s">
        <v>75</v>
      </c>
      <c r="AH312" s="1" t="s">
        <v>120</v>
      </c>
    </row>
    <row r="313" spans="1:34" x14ac:dyDescent="0.3">
      <c r="A313" s="1" t="s">
        <v>54</v>
      </c>
      <c r="B313" s="1" t="s">
        <v>41</v>
      </c>
      <c r="C313" s="1" t="s">
        <v>76</v>
      </c>
      <c r="D313" s="1" t="s">
        <v>37</v>
      </c>
      <c r="E313" s="1" t="s">
        <v>77</v>
      </c>
      <c r="F313" s="1" t="s">
        <v>86</v>
      </c>
      <c r="G313" s="1" t="s">
        <v>40</v>
      </c>
      <c r="H313" s="1" t="s">
        <v>41</v>
      </c>
      <c r="I313" s="1" t="s">
        <v>94</v>
      </c>
      <c r="J313" s="1" t="s">
        <v>39</v>
      </c>
      <c r="K313" s="1" t="s">
        <v>42</v>
      </c>
      <c r="L313" s="1" t="s">
        <v>43</v>
      </c>
      <c r="M313" s="1" t="s">
        <v>53</v>
      </c>
      <c r="N313" s="1" t="s">
        <v>45</v>
      </c>
      <c r="O313" s="1" t="s">
        <v>45</v>
      </c>
      <c r="P313" s="1" t="s">
        <v>46</v>
      </c>
      <c r="Q313" s="1" t="s">
        <v>47</v>
      </c>
      <c r="R313" s="1" t="s">
        <v>48</v>
      </c>
      <c r="S313" s="1" t="s">
        <v>49</v>
      </c>
      <c r="T313" s="1" t="s">
        <v>50</v>
      </c>
      <c r="U313" s="1" t="s">
        <v>51</v>
      </c>
      <c r="V313" s="1" t="s">
        <v>52</v>
      </c>
      <c r="W313" s="1" t="s">
        <v>53</v>
      </c>
      <c r="X313" s="1" t="s">
        <v>91</v>
      </c>
      <c r="Y313" s="1" t="s">
        <v>74</v>
      </c>
      <c r="Z313" s="1" t="s">
        <v>56</v>
      </c>
      <c r="AA313" s="1" t="s">
        <v>36</v>
      </c>
      <c r="AB313" s="1" t="s">
        <v>54</v>
      </c>
      <c r="AC313" s="1" t="s">
        <v>57</v>
      </c>
      <c r="AD313" s="1" t="s">
        <v>58</v>
      </c>
      <c r="AE313" s="1" t="s">
        <v>42</v>
      </c>
      <c r="AF313" s="1" t="s">
        <v>54</v>
      </c>
      <c r="AG313" s="1" t="s">
        <v>75</v>
      </c>
      <c r="AH313" s="1" t="s">
        <v>120</v>
      </c>
    </row>
    <row r="314" spans="1:34" x14ac:dyDescent="0.3">
      <c r="A314" s="1" t="s">
        <v>55</v>
      </c>
      <c r="B314" s="1" t="s">
        <v>41</v>
      </c>
      <c r="C314" s="1" t="s">
        <v>82</v>
      </c>
      <c r="D314" s="1" t="s">
        <v>37</v>
      </c>
      <c r="E314" s="1" t="s">
        <v>77</v>
      </c>
      <c r="F314" s="1" t="s">
        <v>86</v>
      </c>
      <c r="G314" s="1" t="s">
        <v>40</v>
      </c>
      <c r="H314" s="1" t="s">
        <v>35</v>
      </c>
      <c r="I314" s="1" t="s">
        <v>35</v>
      </c>
      <c r="J314" s="1" t="s">
        <v>39</v>
      </c>
      <c r="K314" s="1" t="s">
        <v>42</v>
      </c>
      <c r="L314" s="1" t="s">
        <v>43</v>
      </c>
      <c r="M314" s="1" t="s">
        <v>106</v>
      </c>
      <c r="N314" s="1" t="s">
        <v>45</v>
      </c>
      <c r="O314" s="1" t="s">
        <v>49</v>
      </c>
      <c r="P314" s="1" t="s">
        <v>103</v>
      </c>
      <c r="Q314" s="1" t="s">
        <v>47</v>
      </c>
      <c r="R314" s="1" t="s">
        <v>48</v>
      </c>
      <c r="S314" s="1" t="s">
        <v>49</v>
      </c>
      <c r="T314" s="1" t="s">
        <v>50</v>
      </c>
      <c r="U314" s="1" t="s">
        <v>51</v>
      </c>
      <c r="V314" s="1" t="s">
        <v>52</v>
      </c>
      <c r="W314" s="1" t="s">
        <v>53</v>
      </c>
      <c r="X314" s="1" t="s">
        <v>54</v>
      </c>
      <c r="Y314" s="1" t="s">
        <v>55</v>
      </c>
      <c r="Z314" s="1" t="s">
        <v>82</v>
      </c>
      <c r="AA314" s="1" t="s">
        <v>36</v>
      </c>
      <c r="AB314" s="1" t="s">
        <v>54</v>
      </c>
      <c r="AC314" s="1" t="s">
        <v>57</v>
      </c>
      <c r="AD314" s="1" t="s">
        <v>58</v>
      </c>
      <c r="AE314" s="1" t="s">
        <v>59</v>
      </c>
      <c r="AF314" s="1" t="s">
        <v>54</v>
      </c>
      <c r="AG314" s="1" t="s">
        <v>75</v>
      </c>
      <c r="AH314" s="1" t="s">
        <v>120</v>
      </c>
    </row>
    <row r="315" spans="1:34" x14ac:dyDescent="0.3">
      <c r="A315" s="1" t="s">
        <v>91</v>
      </c>
      <c r="B315" s="1" t="s">
        <v>35</v>
      </c>
      <c r="C315" s="1" t="s">
        <v>36</v>
      </c>
      <c r="D315" s="1" t="s">
        <v>37</v>
      </c>
      <c r="E315" s="1" t="s">
        <v>77</v>
      </c>
      <c r="F315" s="1" t="s">
        <v>39</v>
      </c>
      <c r="G315" s="1" t="s">
        <v>40</v>
      </c>
      <c r="H315" s="1" t="s">
        <v>35</v>
      </c>
      <c r="I315" s="1" t="s">
        <v>35</v>
      </c>
      <c r="J315" s="1" t="s">
        <v>39</v>
      </c>
      <c r="K315" s="1" t="s">
        <v>42</v>
      </c>
      <c r="L315" s="1" t="s">
        <v>79</v>
      </c>
      <c r="M315" s="1" t="s">
        <v>44</v>
      </c>
      <c r="N315" s="1" t="s">
        <v>45</v>
      </c>
      <c r="O315" s="1" t="s">
        <v>45</v>
      </c>
      <c r="P315" s="1" t="s">
        <v>46</v>
      </c>
      <c r="Q315" s="1" t="s">
        <v>47</v>
      </c>
      <c r="R315" s="1" t="s">
        <v>80</v>
      </c>
      <c r="S315" s="1" t="s">
        <v>49</v>
      </c>
      <c r="T315" s="1" t="s">
        <v>50</v>
      </c>
      <c r="U315" s="1" t="s">
        <v>51</v>
      </c>
      <c r="V315" s="1" t="s">
        <v>52</v>
      </c>
      <c r="W315" s="1" t="s">
        <v>53</v>
      </c>
      <c r="X315" s="1" t="s">
        <v>91</v>
      </c>
      <c r="Y315" s="1" t="s">
        <v>74</v>
      </c>
      <c r="Z315" s="1" t="s">
        <v>56</v>
      </c>
      <c r="AA315" s="1" t="s">
        <v>36</v>
      </c>
      <c r="AB315" s="1" t="s">
        <v>54</v>
      </c>
      <c r="AC315" s="1" t="s">
        <v>57</v>
      </c>
      <c r="AD315" s="1" t="s">
        <v>58</v>
      </c>
      <c r="AE315" s="1" t="s">
        <v>59</v>
      </c>
      <c r="AF315" s="1" t="s">
        <v>54</v>
      </c>
      <c r="AG315" s="1" t="s">
        <v>60</v>
      </c>
      <c r="AH315" s="1" t="s">
        <v>120</v>
      </c>
    </row>
    <row r="316" spans="1:34" x14ac:dyDescent="0.3">
      <c r="A316" s="1" t="s">
        <v>54</v>
      </c>
      <c r="B316" s="1" t="s">
        <v>87</v>
      </c>
      <c r="C316" s="1" t="s">
        <v>82</v>
      </c>
      <c r="D316" s="1" t="s">
        <v>37</v>
      </c>
      <c r="E316" s="1" t="s">
        <v>38</v>
      </c>
      <c r="F316" s="1" t="s">
        <v>39</v>
      </c>
      <c r="G316" s="1" t="s">
        <v>40</v>
      </c>
      <c r="H316" s="1" t="s">
        <v>35</v>
      </c>
      <c r="I316" s="1" t="s">
        <v>94</v>
      </c>
      <c r="J316" s="1" t="s">
        <v>39</v>
      </c>
      <c r="K316" s="1" t="s">
        <v>42</v>
      </c>
      <c r="L316" s="1" t="s">
        <v>43</v>
      </c>
      <c r="M316" s="1" t="s">
        <v>44</v>
      </c>
      <c r="N316" s="1" t="s">
        <v>45</v>
      </c>
      <c r="O316" s="1" t="s">
        <v>45</v>
      </c>
      <c r="P316" s="1" t="s">
        <v>46</v>
      </c>
      <c r="Q316" s="1" t="s">
        <v>47</v>
      </c>
      <c r="R316" s="1" t="s">
        <v>80</v>
      </c>
      <c r="S316" s="1" t="s">
        <v>49</v>
      </c>
      <c r="T316" s="1" t="s">
        <v>50</v>
      </c>
      <c r="U316" s="1" t="s">
        <v>51</v>
      </c>
      <c r="V316" s="1" t="s">
        <v>52</v>
      </c>
      <c r="W316" s="1" t="s">
        <v>53</v>
      </c>
      <c r="X316" s="1" t="s">
        <v>54</v>
      </c>
      <c r="Y316" s="1" t="s">
        <v>55</v>
      </c>
      <c r="Z316" s="1" t="s">
        <v>82</v>
      </c>
      <c r="AA316" s="1" t="s">
        <v>36</v>
      </c>
      <c r="AB316" s="1" t="s">
        <v>54</v>
      </c>
      <c r="AC316" s="1" t="s">
        <v>57</v>
      </c>
      <c r="AD316" s="1" t="s">
        <v>58</v>
      </c>
      <c r="AE316" s="1" t="s">
        <v>59</v>
      </c>
      <c r="AF316" s="1" t="s">
        <v>54</v>
      </c>
      <c r="AG316" s="1" t="s">
        <v>75</v>
      </c>
      <c r="AH316" s="1" t="s">
        <v>120</v>
      </c>
    </row>
    <row r="317" spans="1:34" x14ac:dyDescent="0.3">
      <c r="A317" s="1" t="s">
        <v>54</v>
      </c>
      <c r="B317" s="1" t="s">
        <v>41</v>
      </c>
      <c r="C317" s="1" t="s">
        <v>76</v>
      </c>
      <c r="D317" s="1" t="s">
        <v>37</v>
      </c>
      <c r="E317" s="1" t="s">
        <v>77</v>
      </c>
      <c r="F317" s="1" t="s">
        <v>39</v>
      </c>
      <c r="G317" s="1" t="s">
        <v>40</v>
      </c>
      <c r="H317" s="1" t="s">
        <v>35</v>
      </c>
      <c r="I317" s="1" t="s">
        <v>35</v>
      </c>
      <c r="J317" s="1" t="s">
        <v>39</v>
      </c>
      <c r="K317" s="1" t="s">
        <v>42</v>
      </c>
      <c r="L317" s="1" t="s">
        <v>79</v>
      </c>
      <c r="M317" s="1" t="s">
        <v>44</v>
      </c>
      <c r="N317" s="1" t="s">
        <v>45</v>
      </c>
      <c r="O317" s="1" t="s">
        <v>45</v>
      </c>
      <c r="P317" s="1" t="s">
        <v>46</v>
      </c>
      <c r="Q317" s="1" t="s">
        <v>47</v>
      </c>
      <c r="R317" s="1" t="s">
        <v>80</v>
      </c>
      <c r="S317" s="1" t="s">
        <v>49</v>
      </c>
      <c r="T317" s="1" t="s">
        <v>50</v>
      </c>
      <c r="U317" s="1" t="s">
        <v>51</v>
      </c>
      <c r="V317" s="1" t="s">
        <v>52</v>
      </c>
      <c r="W317" s="1" t="s">
        <v>53</v>
      </c>
      <c r="X317" s="1" t="s">
        <v>54</v>
      </c>
      <c r="Y317" s="1" t="s">
        <v>55</v>
      </c>
      <c r="Z317" s="1" t="s">
        <v>56</v>
      </c>
      <c r="AA317" s="1" t="s">
        <v>36</v>
      </c>
      <c r="AB317" s="1" t="s">
        <v>54</v>
      </c>
      <c r="AC317" s="1" t="s">
        <v>57</v>
      </c>
      <c r="AD317" s="1" t="s">
        <v>58</v>
      </c>
      <c r="AE317" s="1" t="s">
        <v>42</v>
      </c>
      <c r="AF317" s="1" t="s">
        <v>91</v>
      </c>
      <c r="AG317" s="1" t="s">
        <v>75</v>
      </c>
      <c r="AH317" s="1" t="s">
        <v>120</v>
      </c>
    </row>
    <row r="318" spans="1:34" x14ac:dyDescent="0.3">
      <c r="A318" s="1" t="s">
        <v>74</v>
      </c>
      <c r="B318" s="1" t="s">
        <v>41</v>
      </c>
      <c r="C318" s="1" t="s">
        <v>82</v>
      </c>
      <c r="D318" s="1" t="s">
        <v>83</v>
      </c>
      <c r="E318" s="1" t="s">
        <v>38</v>
      </c>
      <c r="F318" s="1" t="s">
        <v>39</v>
      </c>
      <c r="G318" s="1" t="s">
        <v>40</v>
      </c>
      <c r="H318" s="1" t="s">
        <v>35</v>
      </c>
      <c r="I318" s="1" t="s">
        <v>41</v>
      </c>
      <c r="J318" s="1" t="s">
        <v>78</v>
      </c>
      <c r="K318" s="1" t="s">
        <v>42</v>
      </c>
      <c r="L318" s="1" t="s">
        <v>40</v>
      </c>
      <c r="M318" s="1" t="s">
        <v>44</v>
      </c>
      <c r="N318" s="1" t="s">
        <v>45</v>
      </c>
      <c r="O318" s="1" t="s">
        <v>45</v>
      </c>
      <c r="P318" s="1" t="s">
        <v>46</v>
      </c>
      <c r="Q318" s="1" t="s">
        <v>47</v>
      </c>
      <c r="R318" s="1" t="s">
        <v>80</v>
      </c>
      <c r="S318" s="1" t="s">
        <v>49</v>
      </c>
      <c r="T318" s="1" t="s">
        <v>50</v>
      </c>
      <c r="U318" s="1" t="s">
        <v>51</v>
      </c>
      <c r="V318" s="1" t="s">
        <v>81</v>
      </c>
      <c r="W318" s="1" t="s">
        <v>53</v>
      </c>
      <c r="X318" s="1" t="s">
        <v>54</v>
      </c>
      <c r="Y318" s="1" t="s">
        <v>55</v>
      </c>
      <c r="Z318" s="1" t="s">
        <v>82</v>
      </c>
      <c r="AA318" s="1" t="s">
        <v>36</v>
      </c>
      <c r="AB318" s="1" t="s">
        <v>54</v>
      </c>
      <c r="AC318" s="1" t="s">
        <v>57</v>
      </c>
      <c r="AD318" s="1" t="s">
        <v>58</v>
      </c>
      <c r="AE318" s="1" t="s">
        <v>59</v>
      </c>
      <c r="AF318" s="1" t="s">
        <v>54</v>
      </c>
      <c r="AG318" s="1" t="s">
        <v>75</v>
      </c>
      <c r="AH318" s="1" t="s">
        <v>120</v>
      </c>
    </row>
    <row r="319" spans="1:34" x14ac:dyDescent="0.3">
      <c r="A319" s="1" t="s">
        <v>91</v>
      </c>
      <c r="B319" s="1" t="s">
        <v>41</v>
      </c>
      <c r="C319" s="1" t="s">
        <v>76</v>
      </c>
      <c r="D319" s="1" t="s">
        <v>49</v>
      </c>
      <c r="E319" s="1" t="s">
        <v>77</v>
      </c>
      <c r="F319" s="1" t="s">
        <v>86</v>
      </c>
      <c r="G319" s="1" t="s">
        <v>40</v>
      </c>
      <c r="H319" s="1" t="s">
        <v>41</v>
      </c>
      <c r="I319" s="1" t="s">
        <v>90</v>
      </c>
      <c r="J319" s="1" t="s">
        <v>39</v>
      </c>
      <c r="K319" s="1" t="s">
        <v>42</v>
      </c>
      <c r="L319" s="1" t="s">
        <v>43</v>
      </c>
      <c r="M319" s="1" t="s">
        <v>44</v>
      </c>
      <c r="N319" s="1" t="s">
        <v>45</v>
      </c>
      <c r="O319" s="1" t="s">
        <v>45</v>
      </c>
      <c r="P319" s="1" t="s">
        <v>46</v>
      </c>
      <c r="Q319" s="1" t="s">
        <v>47</v>
      </c>
      <c r="R319" s="1" t="s">
        <v>48</v>
      </c>
      <c r="S319" s="1" t="s">
        <v>49</v>
      </c>
      <c r="T319" s="1" t="s">
        <v>50</v>
      </c>
      <c r="U319" s="1" t="s">
        <v>51</v>
      </c>
      <c r="V319" s="1" t="s">
        <v>52</v>
      </c>
      <c r="W319" s="1" t="s">
        <v>53</v>
      </c>
      <c r="X319" s="1" t="s">
        <v>91</v>
      </c>
      <c r="Y319" s="1" t="s">
        <v>55</v>
      </c>
      <c r="Z319" s="1" t="s">
        <v>56</v>
      </c>
      <c r="AA319" s="1" t="s">
        <v>36</v>
      </c>
      <c r="AB319" s="1" t="s">
        <v>54</v>
      </c>
      <c r="AC319" s="1" t="s">
        <v>57</v>
      </c>
      <c r="AD319" s="1" t="s">
        <v>58</v>
      </c>
      <c r="AE319" s="1" t="s">
        <v>42</v>
      </c>
      <c r="AF319" s="1" t="s">
        <v>91</v>
      </c>
      <c r="AG319" s="1" t="s">
        <v>60</v>
      </c>
      <c r="AH319" s="1" t="s">
        <v>120</v>
      </c>
    </row>
    <row r="320" spans="1:34" x14ac:dyDescent="0.3">
      <c r="A320" s="1" t="s">
        <v>91</v>
      </c>
      <c r="B320" s="1" t="s">
        <v>87</v>
      </c>
      <c r="C320" s="1" t="s">
        <v>82</v>
      </c>
      <c r="D320" s="1" t="s">
        <v>83</v>
      </c>
      <c r="E320" s="1" t="s">
        <v>38</v>
      </c>
      <c r="F320" s="1" t="s">
        <v>39</v>
      </c>
      <c r="G320" s="1" t="s">
        <v>40</v>
      </c>
      <c r="H320" s="1" t="s">
        <v>35</v>
      </c>
      <c r="I320" s="1" t="s">
        <v>94</v>
      </c>
      <c r="J320" s="1" t="s">
        <v>39</v>
      </c>
      <c r="K320" s="1" t="s">
        <v>42</v>
      </c>
      <c r="L320" s="1" t="s">
        <v>79</v>
      </c>
      <c r="M320" s="1" t="s">
        <v>44</v>
      </c>
      <c r="N320" s="1" t="s">
        <v>45</v>
      </c>
      <c r="O320" s="1" t="s">
        <v>45</v>
      </c>
      <c r="P320" s="1" t="s">
        <v>46</v>
      </c>
      <c r="Q320" s="1" t="s">
        <v>47</v>
      </c>
      <c r="R320" s="1" t="s">
        <v>48</v>
      </c>
      <c r="S320" s="1" t="s">
        <v>49</v>
      </c>
      <c r="T320" s="1" t="s">
        <v>50</v>
      </c>
      <c r="U320" s="1" t="s">
        <v>51</v>
      </c>
      <c r="V320" s="1" t="s">
        <v>52</v>
      </c>
      <c r="W320" s="1" t="s">
        <v>53</v>
      </c>
      <c r="X320" s="1" t="s">
        <v>54</v>
      </c>
      <c r="Y320" s="1" t="s">
        <v>55</v>
      </c>
      <c r="Z320" s="1" t="s">
        <v>56</v>
      </c>
      <c r="AA320" s="1" t="s">
        <v>36</v>
      </c>
      <c r="AB320" s="1" t="s">
        <v>54</v>
      </c>
      <c r="AC320" s="1" t="s">
        <v>57</v>
      </c>
      <c r="AD320" s="1" t="s">
        <v>58</v>
      </c>
      <c r="AE320" s="1" t="s">
        <v>59</v>
      </c>
      <c r="AF320" s="1" t="s">
        <v>54</v>
      </c>
      <c r="AG320" s="1" t="s">
        <v>75</v>
      </c>
      <c r="AH320" s="1" t="s">
        <v>120</v>
      </c>
    </row>
    <row r="321" spans="1:34" x14ac:dyDescent="0.3">
      <c r="A321" s="1" t="s">
        <v>54</v>
      </c>
      <c r="B321" s="1" t="s">
        <v>87</v>
      </c>
      <c r="C321" s="1" t="s">
        <v>82</v>
      </c>
      <c r="D321" s="1" t="s">
        <v>37</v>
      </c>
      <c r="E321" s="1" t="s">
        <v>77</v>
      </c>
      <c r="F321" s="1" t="s">
        <v>39</v>
      </c>
      <c r="G321" s="1" t="s">
        <v>40</v>
      </c>
      <c r="H321" s="1" t="s">
        <v>35</v>
      </c>
      <c r="I321" s="1" t="s">
        <v>41</v>
      </c>
      <c r="J321" s="1" t="s">
        <v>39</v>
      </c>
      <c r="K321" s="1" t="s">
        <v>42</v>
      </c>
      <c r="L321" s="1" t="s">
        <v>79</v>
      </c>
      <c r="M321" s="1" t="s">
        <v>44</v>
      </c>
      <c r="N321" s="1" t="s">
        <v>45</v>
      </c>
      <c r="O321" s="1" t="s">
        <v>45</v>
      </c>
      <c r="P321" s="1" t="s">
        <v>50</v>
      </c>
      <c r="Q321" s="1" t="s">
        <v>47</v>
      </c>
      <c r="R321" s="1" t="s">
        <v>80</v>
      </c>
      <c r="S321" s="1" t="s">
        <v>49</v>
      </c>
      <c r="T321" s="1" t="s">
        <v>50</v>
      </c>
      <c r="U321" s="1" t="s">
        <v>51</v>
      </c>
      <c r="V321" s="1" t="s">
        <v>52</v>
      </c>
      <c r="W321" s="1" t="s">
        <v>53</v>
      </c>
      <c r="X321" s="1" t="s">
        <v>54</v>
      </c>
      <c r="Y321" s="1" t="s">
        <v>55</v>
      </c>
      <c r="Z321" s="1" t="s">
        <v>56</v>
      </c>
      <c r="AA321" s="1" t="s">
        <v>36</v>
      </c>
      <c r="AB321" s="1" t="s">
        <v>54</v>
      </c>
      <c r="AC321" s="1" t="s">
        <v>57</v>
      </c>
      <c r="AD321" s="1" t="s">
        <v>58</v>
      </c>
      <c r="AE321" s="1" t="s">
        <v>42</v>
      </c>
      <c r="AF321" s="1" t="s">
        <v>54</v>
      </c>
      <c r="AG321" s="1" t="s">
        <v>75</v>
      </c>
      <c r="AH321" s="1" t="s">
        <v>120</v>
      </c>
    </row>
    <row r="322" spans="1:34" x14ac:dyDescent="0.3">
      <c r="A322" s="1" t="s">
        <v>34</v>
      </c>
      <c r="B322" s="1" t="s">
        <v>41</v>
      </c>
      <c r="C322" s="1" t="s">
        <v>82</v>
      </c>
      <c r="D322" s="1" t="s">
        <v>37</v>
      </c>
      <c r="E322" s="1" t="s">
        <v>38</v>
      </c>
      <c r="F322" s="1" t="s">
        <v>39</v>
      </c>
      <c r="G322" s="1" t="s">
        <v>40</v>
      </c>
      <c r="H322" s="1" t="s">
        <v>35</v>
      </c>
      <c r="I322" s="1" t="s">
        <v>35</v>
      </c>
      <c r="J322" s="1" t="s">
        <v>39</v>
      </c>
      <c r="K322" s="1" t="s">
        <v>42</v>
      </c>
      <c r="L322" s="1" t="s">
        <v>40</v>
      </c>
      <c r="M322" s="1" t="s">
        <v>44</v>
      </c>
      <c r="N322" s="1" t="s">
        <v>49</v>
      </c>
      <c r="O322" s="1" t="s">
        <v>45</v>
      </c>
      <c r="P322" s="1" t="s">
        <v>50</v>
      </c>
      <c r="Q322" s="1" t="s">
        <v>47</v>
      </c>
      <c r="R322" s="1" t="s">
        <v>80</v>
      </c>
      <c r="S322" s="1" t="s">
        <v>49</v>
      </c>
      <c r="T322" s="1" t="s">
        <v>50</v>
      </c>
      <c r="U322" s="1" t="s">
        <v>51</v>
      </c>
      <c r="V322" s="1" t="s">
        <v>81</v>
      </c>
      <c r="W322" s="1" t="s">
        <v>53</v>
      </c>
      <c r="X322" s="1" t="s">
        <v>54</v>
      </c>
      <c r="Y322" s="1" t="s">
        <v>74</v>
      </c>
      <c r="Z322" s="1" t="s">
        <v>82</v>
      </c>
      <c r="AA322" s="1" t="s">
        <v>36</v>
      </c>
      <c r="AB322" s="1" t="s">
        <v>54</v>
      </c>
      <c r="AC322" s="1" t="s">
        <v>57</v>
      </c>
      <c r="AD322" s="1" t="s">
        <v>58</v>
      </c>
      <c r="AE322" s="1" t="s">
        <v>59</v>
      </c>
      <c r="AF322" s="1" t="s">
        <v>54</v>
      </c>
      <c r="AG322" s="1" t="s">
        <v>60</v>
      </c>
      <c r="AH322" s="1" t="s">
        <v>120</v>
      </c>
    </row>
    <row r="323" spans="1:34" x14ac:dyDescent="0.3">
      <c r="A323" s="1" t="s">
        <v>54</v>
      </c>
      <c r="B323" s="1" t="s">
        <v>35</v>
      </c>
      <c r="C323" s="1" t="s">
        <v>36</v>
      </c>
      <c r="D323" s="1" t="s">
        <v>49</v>
      </c>
      <c r="E323" s="1" t="s">
        <v>77</v>
      </c>
      <c r="F323" s="1" t="s">
        <v>86</v>
      </c>
      <c r="G323" s="1" t="s">
        <v>40</v>
      </c>
      <c r="H323" s="1" t="s">
        <v>41</v>
      </c>
      <c r="I323" s="1" t="s">
        <v>35</v>
      </c>
      <c r="J323" s="1" t="s">
        <v>39</v>
      </c>
      <c r="K323" s="1" t="s">
        <v>42</v>
      </c>
      <c r="L323" s="1" t="s">
        <v>43</v>
      </c>
      <c r="M323" s="1" t="s">
        <v>44</v>
      </c>
      <c r="N323" s="1" t="s">
        <v>45</v>
      </c>
      <c r="O323" s="1" t="s">
        <v>45</v>
      </c>
      <c r="P323" s="1" t="s">
        <v>46</v>
      </c>
      <c r="Q323" s="1" t="s">
        <v>47</v>
      </c>
      <c r="R323" s="1" t="s">
        <v>48</v>
      </c>
      <c r="S323" s="1" t="s">
        <v>49</v>
      </c>
      <c r="T323" s="1" t="s">
        <v>50</v>
      </c>
      <c r="U323" s="1" t="s">
        <v>51</v>
      </c>
      <c r="V323" s="1" t="s">
        <v>52</v>
      </c>
      <c r="W323" s="1" t="s">
        <v>53</v>
      </c>
      <c r="X323" s="1" t="s">
        <v>54</v>
      </c>
      <c r="Y323" s="1" t="s">
        <v>74</v>
      </c>
      <c r="Z323" s="1" t="s">
        <v>56</v>
      </c>
      <c r="AA323" s="1" t="s">
        <v>36</v>
      </c>
      <c r="AB323" s="1" t="s">
        <v>54</v>
      </c>
      <c r="AC323" s="1" t="s">
        <v>57</v>
      </c>
      <c r="AD323" s="1" t="s">
        <v>58</v>
      </c>
      <c r="AE323" s="1" t="s">
        <v>59</v>
      </c>
      <c r="AF323" s="1" t="s">
        <v>54</v>
      </c>
      <c r="AG323" s="1" t="s">
        <v>75</v>
      </c>
      <c r="AH323" s="1" t="s">
        <v>120</v>
      </c>
    </row>
    <row r="324" spans="1:34" x14ac:dyDescent="0.3">
      <c r="A324" s="1" t="s">
        <v>91</v>
      </c>
      <c r="B324" s="1" t="s">
        <v>35</v>
      </c>
      <c r="C324" s="1" t="s">
        <v>36</v>
      </c>
      <c r="D324" s="1" t="s">
        <v>37</v>
      </c>
      <c r="E324" s="1" t="s">
        <v>77</v>
      </c>
      <c r="F324" s="1" t="s">
        <v>39</v>
      </c>
      <c r="G324" s="1" t="s">
        <v>40</v>
      </c>
      <c r="H324" s="1" t="s">
        <v>35</v>
      </c>
      <c r="I324" s="1" t="s">
        <v>35</v>
      </c>
      <c r="J324" s="1" t="s">
        <v>78</v>
      </c>
      <c r="K324" s="1" t="s">
        <v>42</v>
      </c>
      <c r="L324" s="1" t="s">
        <v>40</v>
      </c>
      <c r="M324" s="1" t="s">
        <v>84</v>
      </c>
      <c r="N324" s="1" t="s">
        <v>45</v>
      </c>
      <c r="O324" s="1" t="s">
        <v>45</v>
      </c>
      <c r="P324" s="1" t="s">
        <v>46</v>
      </c>
      <c r="Q324" s="1" t="s">
        <v>47</v>
      </c>
      <c r="R324" s="1" t="s">
        <v>80</v>
      </c>
      <c r="S324" s="1" t="s">
        <v>49</v>
      </c>
      <c r="T324" s="1" t="s">
        <v>50</v>
      </c>
      <c r="U324" s="1" t="s">
        <v>51</v>
      </c>
      <c r="V324" s="1" t="s">
        <v>52</v>
      </c>
      <c r="W324" s="1" t="s">
        <v>53</v>
      </c>
      <c r="X324" s="1" t="s">
        <v>54</v>
      </c>
      <c r="Y324" s="1" t="s">
        <v>55</v>
      </c>
      <c r="Z324" s="1" t="s">
        <v>56</v>
      </c>
      <c r="AA324" s="1" t="s">
        <v>36</v>
      </c>
      <c r="AB324" s="1" t="s">
        <v>54</v>
      </c>
      <c r="AC324" s="1" t="s">
        <v>57</v>
      </c>
      <c r="AD324" s="1" t="s">
        <v>58</v>
      </c>
      <c r="AE324" s="1" t="s">
        <v>42</v>
      </c>
      <c r="AF324" s="1" t="s">
        <v>54</v>
      </c>
      <c r="AG324" s="1" t="s">
        <v>60</v>
      </c>
      <c r="AH324" s="1" t="s">
        <v>120</v>
      </c>
    </row>
    <row r="325" spans="1:34" x14ac:dyDescent="0.3">
      <c r="A325" s="1" t="s">
        <v>54</v>
      </c>
      <c r="B325" s="1" t="s">
        <v>41</v>
      </c>
      <c r="C325" s="1" t="s">
        <v>82</v>
      </c>
      <c r="D325" s="1" t="s">
        <v>37</v>
      </c>
      <c r="E325" s="1" t="s">
        <v>77</v>
      </c>
      <c r="F325" s="1" t="s">
        <v>39</v>
      </c>
      <c r="G325" s="1" t="s">
        <v>40</v>
      </c>
      <c r="H325" s="1" t="s">
        <v>35</v>
      </c>
      <c r="I325" s="1" t="s">
        <v>41</v>
      </c>
      <c r="J325" s="1" t="s">
        <v>39</v>
      </c>
      <c r="K325" s="1" t="s">
        <v>42</v>
      </c>
      <c r="L325" s="1" t="s">
        <v>79</v>
      </c>
      <c r="M325" s="1" t="s">
        <v>44</v>
      </c>
      <c r="N325" s="1" t="s">
        <v>45</v>
      </c>
      <c r="O325" s="1" t="s">
        <v>45</v>
      </c>
      <c r="P325" s="1" t="s">
        <v>50</v>
      </c>
      <c r="Q325" s="1" t="s">
        <v>47</v>
      </c>
      <c r="R325" s="1" t="s">
        <v>80</v>
      </c>
      <c r="S325" s="1" t="s">
        <v>49</v>
      </c>
      <c r="T325" s="1" t="s">
        <v>50</v>
      </c>
      <c r="U325" s="1" t="s">
        <v>51</v>
      </c>
      <c r="V325" s="1" t="s">
        <v>81</v>
      </c>
      <c r="W325" s="1" t="s">
        <v>53</v>
      </c>
      <c r="X325" s="1" t="s">
        <v>54</v>
      </c>
      <c r="Y325" s="1" t="s">
        <v>55</v>
      </c>
      <c r="Z325" s="1" t="s">
        <v>82</v>
      </c>
      <c r="AA325" s="1" t="s">
        <v>36</v>
      </c>
      <c r="AB325" s="1" t="s">
        <v>54</v>
      </c>
      <c r="AC325" s="1" t="s">
        <v>89</v>
      </c>
      <c r="AD325" s="1" t="s">
        <v>58</v>
      </c>
      <c r="AE325" s="1" t="s">
        <v>59</v>
      </c>
      <c r="AF325" s="1" t="s">
        <v>54</v>
      </c>
      <c r="AG325" s="1" t="s">
        <v>75</v>
      </c>
      <c r="AH325" s="1" t="s">
        <v>120</v>
      </c>
    </row>
    <row r="326" spans="1:34" x14ac:dyDescent="0.3">
      <c r="A326" s="1" t="s">
        <v>34</v>
      </c>
      <c r="B326" s="1" t="s">
        <v>41</v>
      </c>
      <c r="C326" s="1" t="s">
        <v>76</v>
      </c>
      <c r="D326" s="1" t="s">
        <v>37</v>
      </c>
      <c r="E326" s="1" t="s">
        <v>38</v>
      </c>
      <c r="F326" s="1" t="s">
        <v>39</v>
      </c>
      <c r="G326" s="1" t="s">
        <v>40</v>
      </c>
      <c r="H326" s="1" t="s">
        <v>35</v>
      </c>
      <c r="I326" s="1" t="s">
        <v>35</v>
      </c>
      <c r="J326" s="1" t="s">
        <v>39</v>
      </c>
      <c r="K326" s="1" t="s">
        <v>42</v>
      </c>
      <c r="L326" s="1" t="s">
        <v>79</v>
      </c>
      <c r="M326" s="1" t="s">
        <v>44</v>
      </c>
      <c r="N326" s="1" t="s">
        <v>45</v>
      </c>
      <c r="O326" s="1" t="s">
        <v>45</v>
      </c>
      <c r="P326" s="1" t="s">
        <v>46</v>
      </c>
      <c r="Q326" s="1" t="s">
        <v>47</v>
      </c>
      <c r="R326" s="1" t="s">
        <v>80</v>
      </c>
      <c r="S326" s="1" t="s">
        <v>49</v>
      </c>
      <c r="T326" s="1" t="s">
        <v>50</v>
      </c>
      <c r="U326" s="1" t="s">
        <v>51</v>
      </c>
      <c r="V326" s="1" t="s">
        <v>52</v>
      </c>
      <c r="W326" s="1" t="s">
        <v>53</v>
      </c>
      <c r="X326" s="1" t="s">
        <v>54</v>
      </c>
      <c r="Y326" s="1" t="s">
        <v>55</v>
      </c>
      <c r="Z326" s="1" t="s">
        <v>56</v>
      </c>
      <c r="AA326" s="1" t="s">
        <v>36</v>
      </c>
      <c r="AB326" s="1" t="s">
        <v>54</v>
      </c>
      <c r="AC326" s="1" t="s">
        <v>57</v>
      </c>
      <c r="AD326" s="1" t="s">
        <v>58</v>
      </c>
      <c r="AE326" s="1" t="s">
        <v>42</v>
      </c>
      <c r="AF326" s="1" t="s">
        <v>54</v>
      </c>
      <c r="AG326" s="1" t="s">
        <v>75</v>
      </c>
      <c r="AH326" s="1" t="s">
        <v>120</v>
      </c>
    </row>
    <row r="327" spans="1:34" x14ac:dyDescent="0.3">
      <c r="A327" s="1" t="s">
        <v>74</v>
      </c>
      <c r="B327" s="1" t="s">
        <v>41</v>
      </c>
      <c r="C327" s="1" t="s">
        <v>76</v>
      </c>
      <c r="D327" s="1" t="s">
        <v>37</v>
      </c>
      <c r="E327" s="1" t="s">
        <v>77</v>
      </c>
      <c r="F327" s="1" t="s">
        <v>39</v>
      </c>
      <c r="G327" s="1" t="s">
        <v>40</v>
      </c>
      <c r="H327" s="1" t="s">
        <v>35</v>
      </c>
      <c r="I327" s="1" t="s">
        <v>35</v>
      </c>
      <c r="J327" s="1" t="s">
        <v>39</v>
      </c>
      <c r="K327" s="1" t="s">
        <v>42</v>
      </c>
      <c r="L327" s="1" t="s">
        <v>43</v>
      </c>
      <c r="M327" s="1" t="s">
        <v>44</v>
      </c>
      <c r="N327" s="1" t="s">
        <v>45</v>
      </c>
      <c r="O327" s="1" t="s">
        <v>45</v>
      </c>
      <c r="P327" s="1" t="s">
        <v>46</v>
      </c>
      <c r="Q327" s="1" t="s">
        <v>47</v>
      </c>
      <c r="R327" s="1" t="s">
        <v>48</v>
      </c>
      <c r="S327" s="1" t="s">
        <v>49</v>
      </c>
      <c r="T327" s="1" t="s">
        <v>50</v>
      </c>
      <c r="U327" s="1" t="s">
        <v>51</v>
      </c>
      <c r="V327" s="1" t="s">
        <v>52</v>
      </c>
      <c r="W327" s="1" t="s">
        <v>53</v>
      </c>
      <c r="X327" s="1" t="s">
        <v>54</v>
      </c>
      <c r="Y327" s="1" t="s">
        <v>55</v>
      </c>
      <c r="Z327" s="1" t="s">
        <v>82</v>
      </c>
      <c r="AA327" s="1" t="s">
        <v>36</v>
      </c>
      <c r="AB327" s="1" t="s">
        <v>54</v>
      </c>
      <c r="AC327" s="1" t="s">
        <v>57</v>
      </c>
      <c r="AD327" s="1" t="s">
        <v>58</v>
      </c>
      <c r="AE327" s="1" t="s">
        <v>42</v>
      </c>
      <c r="AF327" s="1" t="s">
        <v>54</v>
      </c>
      <c r="AG327" s="1" t="s">
        <v>75</v>
      </c>
      <c r="AH327" s="1" t="s">
        <v>120</v>
      </c>
    </row>
    <row r="328" spans="1:34" x14ac:dyDescent="0.3">
      <c r="A328" s="1" t="s">
        <v>91</v>
      </c>
      <c r="B328" s="1" t="s">
        <v>41</v>
      </c>
      <c r="C328" s="1" t="s">
        <v>76</v>
      </c>
      <c r="D328" s="1" t="s">
        <v>37</v>
      </c>
      <c r="E328" s="1" t="s">
        <v>38</v>
      </c>
      <c r="F328" s="1" t="s">
        <v>39</v>
      </c>
      <c r="G328" s="1" t="s">
        <v>40</v>
      </c>
      <c r="H328" s="1" t="s">
        <v>35</v>
      </c>
      <c r="I328" s="1" t="s">
        <v>35</v>
      </c>
      <c r="J328" s="1" t="s">
        <v>39</v>
      </c>
      <c r="K328" s="1" t="s">
        <v>42</v>
      </c>
      <c r="L328" s="1" t="s">
        <v>43</v>
      </c>
      <c r="M328" s="1" t="s">
        <v>44</v>
      </c>
      <c r="N328" s="1" t="s">
        <v>45</v>
      </c>
      <c r="O328" s="1" t="s">
        <v>52</v>
      </c>
      <c r="P328" s="1" t="s">
        <v>50</v>
      </c>
      <c r="Q328" s="1" t="s">
        <v>47</v>
      </c>
      <c r="R328" s="1" t="s">
        <v>80</v>
      </c>
      <c r="S328" s="1" t="s">
        <v>49</v>
      </c>
      <c r="T328" s="1" t="s">
        <v>50</v>
      </c>
      <c r="U328" s="1" t="s">
        <v>51</v>
      </c>
      <c r="V328" s="1" t="s">
        <v>52</v>
      </c>
      <c r="W328" s="1" t="s">
        <v>53</v>
      </c>
      <c r="X328" s="1" t="s">
        <v>54</v>
      </c>
      <c r="Y328" s="1" t="s">
        <v>74</v>
      </c>
      <c r="Z328" s="1" t="s">
        <v>56</v>
      </c>
      <c r="AA328" s="1" t="s">
        <v>36</v>
      </c>
      <c r="AB328" s="1" t="s">
        <v>54</v>
      </c>
      <c r="AC328" s="1" t="s">
        <v>57</v>
      </c>
      <c r="AD328" s="1" t="s">
        <v>58</v>
      </c>
      <c r="AE328" s="1" t="s">
        <v>42</v>
      </c>
      <c r="AF328" s="1" t="s">
        <v>54</v>
      </c>
      <c r="AG328" s="1" t="s">
        <v>75</v>
      </c>
      <c r="AH328" s="1" t="s">
        <v>120</v>
      </c>
    </row>
    <row r="329" spans="1:34" x14ac:dyDescent="0.3">
      <c r="A329" s="1" t="s">
        <v>91</v>
      </c>
      <c r="B329" s="1" t="s">
        <v>41</v>
      </c>
      <c r="C329" s="1" t="s">
        <v>76</v>
      </c>
      <c r="D329" s="1" t="s">
        <v>37</v>
      </c>
      <c r="E329" s="1" t="s">
        <v>38</v>
      </c>
      <c r="F329" s="1" t="s">
        <v>39</v>
      </c>
      <c r="G329" s="1" t="s">
        <v>40</v>
      </c>
      <c r="H329" s="1" t="s">
        <v>35</v>
      </c>
      <c r="I329" s="1" t="s">
        <v>94</v>
      </c>
      <c r="J329" s="1" t="s">
        <v>39</v>
      </c>
      <c r="K329" s="1" t="s">
        <v>42</v>
      </c>
      <c r="L329" s="1" t="s">
        <v>43</v>
      </c>
      <c r="M329" s="1" t="s">
        <v>44</v>
      </c>
      <c r="N329" s="1" t="s">
        <v>45</v>
      </c>
      <c r="O329" s="1" t="s">
        <v>45</v>
      </c>
      <c r="P329" s="1" t="s">
        <v>46</v>
      </c>
      <c r="Q329" s="1" t="s">
        <v>93</v>
      </c>
      <c r="R329" s="1" t="s">
        <v>48</v>
      </c>
      <c r="S329" s="1" t="s">
        <v>49</v>
      </c>
      <c r="T329" s="1" t="s">
        <v>50</v>
      </c>
      <c r="U329" s="1" t="s">
        <v>51</v>
      </c>
      <c r="V329" s="1" t="s">
        <v>52</v>
      </c>
      <c r="W329" s="1" t="s">
        <v>53</v>
      </c>
      <c r="X329" s="1" t="s">
        <v>54</v>
      </c>
      <c r="Y329" s="1" t="s">
        <v>55</v>
      </c>
      <c r="Z329" s="1" t="s">
        <v>56</v>
      </c>
      <c r="AA329" s="1" t="s">
        <v>36</v>
      </c>
      <c r="AB329" s="1" t="s">
        <v>54</v>
      </c>
      <c r="AC329" s="1" t="s">
        <v>57</v>
      </c>
      <c r="AD329" s="1" t="s">
        <v>58</v>
      </c>
      <c r="AE329" s="1" t="s">
        <v>42</v>
      </c>
      <c r="AF329" s="1" t="s">
        <v>54</v>
      </c>
      <c r="AG329" s="1" t="s">
        <v>75</v>
      </c>
      <c r="AH329" s="1" t="s">
        <v>120</v>
      </c>
    </row>
    <row r="330" spans="1:34" x14ac:dyDescent="0.3">
      <c r="A330" s="1" t="s">
        <v>34</v>
      </c>
      <c r="B330" s="1" t="s">
        <v>41</v>
      </c>
      <c r="C330" s="1" t="s">
        <v>76</v>
      </c>
      <c r="D330" s="1" t="s">
        <v>49</v>
      </c>
      <c r="E330" s="1" t="s">
        <v>77</v>
      </c>
      <c r="F330" s="1" t="s">
        <v>39</v>
      </c>
      <c r="G330" s="1" t="s">
        <v>40</v>
      </c>
      <c r="H330" s="1" t="s">
        <v>35</v>
      </c>
      <c r="I330" s="1" t="s">
        <v>35</v>
      </c>
      <c r="J330" s="1" t="s">
        <v>39</v>
      </c>
      <c r="K330" s="1" t="s">
        <v>42</v>
      </c>
      <c r="L330" s="1" t="s">
        <v>43</v>
      </c>
      <c r="M330" s="1" t="s">
        <v>44</v>
      </c>
      <c r="N330" s="1" t="s">
        <v>45</v>
      </c>
      <c r="O330" s="1" t="s">
        <v>45</v>
      </c>
      <c r="P330" s="1" t="s">
        <v>46</v>
      </c>
      <c r="Q330" s="1" t="s">
        <v>47</v>
      </c>
      <c r="R330" s="1" t="s">
        <v>48</v>
      </c>
      <c r="S330" s="1" t="s">
        <v>49</v>
      </c>
      <c r="T330" s="1" t="s">
        <v>50</v>
      </c>
      <c r="U330" s="1" t="s">
        <v>51</v>
      </c>
      <c r="V330" s="1" t="s">
        <v>52</v>
      </c>
      <c r="W330" s="1" t="s">
        <v>53</v>
      </c>
      <c r="X330" s="1" t="s">
        <v>54</v>
      </c>
      <c r="Y330" s="1" t="s">
        <v>55</v>
      </c>
      <c r="Z330" s="1" t="s">
        <v>56</v>
      </c>
      <c r="AA330" s="1" t="s">
        <v>36</v>
      </c>
      <c r="AB330" s="1" t="s">
        <v>54</v>
      </c>
      <c r="AC330" s="1" t="s">
        <v>57</v>
      </c>
      <c r="AD330" s="1" t="s">
        <v>58</v>
      </c>
      <c r="AE330" s="1" t="s">
        <v>42</v>
      </c>
      <c r="AF330" s="1" t="s">
        <v>91</v>
      </c>
      <c r="AG330" s="1" t="s">
        <v>75</v>
      </c>
      <c r="AH330" s="1" t="s">
        <v>120</v>
      </c>
    </row>
    <row r="331" spans="1:34" x14ac:dyDescent="0.3">
      <c r="A331" s="1" t="s">
        <v>55</v>
      </c>
      <c r="B331" s="1" t="s">
        <v>35</v>
      </c>
      <c r="C331" s="1" t="s">
        <v>36</v>
      </c>
      <c r="D331" s="1" t="s">
        <v>49</v>
      </c>
      <c r="E331" s="1" t="s">
        <v>77</v>
      </c>
      <c r="F331" s="1" t="s">
        <v>86</v>
      </c>
      <c r="G331" s="1" t="s">
        <v>40</v>
      </c>
      <c r="H331" s="1" t="s">
        <v>41</v>
      </c>
      <c r="I331" s="1" t="s">
        <v>35</v>
      </c>
      <c r="J331" s="1" t="s">
        <v>39</v>
      </c>
      <c r="K331" s="1" t="s">
        <v>42</v>
      </c>
      <c r="L331" s="1" t="s">
        <v>43</v>
      </c>
      <c r="M331" s="1" t="s">
        <v>44</v>
      </c>
      <c r="N331" s="1" t="s">
        <v>45</v>
      </c>
      <c r="O331" s="1" t="s">
        <v>45</v>
      </c>
      <c r="P331" s="1" t="s">
        <v>46</v>
      </c>
      <c r="Q331" s="1" t="s">
        <v>47</v>
      </c>
      <c r="R331" s="1" t="s">
        <v>80</v>
      </c>
      <c r="S331" s="1" t="s">
        <v>49</v>
      </c>
      <c r="T331" s="1" t="s">
        <v>50</v>
      </c>
      <c r="U331" s="1" t="s">
        <v>51</v>
      </c>
      <c r="V331" s="1" t="s">
        <v>52</v>
      </c>
      <c r="W331" s="1" t="s">
        <v>53</v>
      </c>
      <c r="X331" s="1" t="s">
        <v>54</v>
      </c>
      <c r="Y331" s="1" t="s">
        <v>55</v>
      </c>
      <c r="Z331" s="1" t="s">
        <v>56</v>
      </c>
      <c r="AA331" s="1" t="s">
        <v>36</v>
      </c>
      <c r="AB331" s="1" t="s">
        <v>54</v>
      </c>
      <c r="AC331" s="1" t="s">
        <v>57</v>
      </c>
      <c r="AD331" s="1" t="s">
        <v>58</v>
      </c>
      <c r="AE331" s="1" t="s">
        <v>42</v>
      </c>
      <c r="AF331" s="1" t="s">
        <v>54</v>
      </c>
      <c r="AG331" s="1" t="s">
        <v>75</v>
      </c>
      <c r="AH331" s="1" t="s">
        <v>120</v>
      </c>
    </row>
    <row r="332" spans="1:34" x14ac:dyDescent="0.3">
      <c r="A332" s="1" t="s">
        <v>74</v>
      </c>
      <c r="B332" s="1" t="s">
        <v>61</v>
      </c>
      <c r="C332" s="1" t="s">
        <v>62</v>
      </c>
      <c r="D332" s="1" t="s">
        <v>63</v>
      </c>
      <c r="E332" s="1" t="s">
        <v>64</v>
      </c>
      <c r="F332" s="1" t="s">
        <v>65</v>
      </c>
      <c r="G332" s="1" t="s">
        <v>66</v>
      </c>
      <c r="H332" s="1" t="s">
        <v>61</v>
      </c>
      <c r="I332" s="1" t="s">
        <v>61</v>
      </c>
      <c r="J332" s="1" t="s">
        <v>65</v>
      </c>
      <c r="K332" s="1" t="s">
        <v>67</v>
      </c>
      <c r="L332" s="1" t="s">
        <v>66</v>
      </c>
      <c r="M332" s="1" t="s">
        <v>68</v>
      </c>
      <c r="N332" s="1" t="s">
        <v>63</v>
      </c>
      <c r="O332" s="1" t="s">
        <v>63</v>
      </c>
      <c r="P332" s="1" t="s">
        <v>69</v>
      </c>
      <c r="Q332" s="1" t="s">
        <v>70</v>
      </c>
      <c r="R332" s="1" t="s">
        <v>71</v>
      </c>
      <c r="S332" s="1" t="s">
        <v>63</v>
      </c>
      <c r="T332" s="1" t="s">
        <v>69</v>
      </c>
      <c r="U332" s="1" t="s">
        <v>69</v>
      </c>
      <c r="V332" s="1" t="s">
        <v>63</v>
      </c>
      <c r="W332" s="1" t="s">
        <v>68</v>
      </c>
      <c r="X332" s="1" t="s">
        <v>72</v>
      </c>
      <c r="Y332" s="1" t="s">
        <v>72</v>
      </c>
      <c r="Z332" s="1" t="s">
        <v>62</v>
      </c>
      <c r="AA332" s="1" t="s">
        <v>62</v>
      </c>
      <c r="AB332" s="1" t="s">
        <v>72</v>
      </c>
      <c r="AC332" s="1" t="s">
        <v>73</v>
      </c>
      <c r="AD332" s="1" t="s">
        <v>73</v>
      </c>
      <c r="AE332" s="1" t="s">
        <v>67</v>
      </c>
      <c r="AF332" s="1" t="s">
        <v>72</v>
      </c>
      <c r="AG332" s="1" t="s">
        <v>71</v>
      </c>
      <c r="AH332" s="1" t="s">
        <v>120</v>
      </c>
    </row>
    <row r="333" spans="1:34" x14ac:dyDescent="0.3">
      <c r="A333" s="1" t="s">
        <v>74</v>
      </c>
      <c r="B333" s="1" t="s">
        <v>41</v>
      </c>
      <c r="C333" s="1" t="s">
        <v>76</v>
      </c>
      <c r="D333" s="1" t="s">
        <v>37</v>
      </c>
      <c r="E333" s="1" t="s">
        <v>38</v>
      </c>
      <c r="F333" s="1" t="s">
        <v>39</v>
      </c>
      <c r="G333" s="1" t="s">
        <v>40</v>
      </c>
      <c r="H333" s="1" t="s">
        <v>35</v>
      </c>
      <c r="I333" s="1" t="s">
        <v>94</v>
      </c>
      <c r="J333" s="1" t="s">
        <v>39</v>
      </c>
      <c r="K333" s="1" t="s">
        <v>42</v>
      </c>
      <c r="L333" s="1" t="s">
        <v>79</v>
      </c>
      <c r="M333" s="1" t="s">
        <v>44</v>
      </c>
      <c r="N333" s="1" t="s">
        <v>45</v>
      </c>
      <c r="O333" s="1" t="s">
        <v>45</v>
      </c>
      <c r="P333" s="1" t="s">
        <v>46</v>
      </c>
      <c r="Q333" s="1" t="s">
        <v>93</v>
      </c>
      <c r="R333" s="1" t="s">
        <v>80</v>
      </c>
      <c r="S333" s="1" t="s">
        <v>49</v>
      </c>
      <c r="T333" s="1" t="s">
        <v>50</v>
      </c>
      <c r="U333" s="1" t="s">
        <v>51</v>
      </c>
      <c r="V333" s="1" t="s">
        <v>52</v>
      </c>
      <c r="W333" s="1" t="s">
        <v>53</v>
      </c>
      <c r="X333" s="1" t="s">
        <v>54</v>
      </c>
      <c r="Y333" s="1" t="s">
        <v>55</v>
      </c>
      <c r="Z333" s="1" t="s">
        <v>56</v>
      </c>
      <c r="AA333" s="1" t="s">
        <v>36</v>
      </c>
      <c r="AB333" s="1" t="s">
        <v>54</v>
      </c>
      <c r="AC333" s="1" t="s">
        <v>57</v>
      </c>
      <c r="AD333" s="1" t="s">
        <v>58</v>
      </c>
      <c r="AE333" s="1" t="s">
        <v>42</v>
      </c>
      <c r="AF333" s="1" t="s">
        <v>54</v>
      </c>
      <c r="AG333" s="1" t="s">
        <v>75</v>
      </c>
      <c r="AH333" s="1" t="s">
        <v>120</v>
      </c>
    </row>
    <row r="334" spans="1:34" x14ac:dyDescent="0.3">
      <c r="A334" s="1" t="s">
        <v>74</v>
      </c>
      <c r="B334" s="1" t="s">
        <v>35</v>
      </c>
      <c r="C334" s="1" t="s">
        <v>36</v>
      </c>
      <c r="D334" s="1" t="s">
        <v>37</v>
      </c>
      <c r="E334" s="1" t="s">
        <v>38</v>
      </c>
      <c r="F334" s="1" t="s">
        <v>39</v>
      </c>
      <c r="G334" s="1" t="s">
        <v>40</v>
      </c>
      <c r="H334" s="1" t="s">
        <v>35</v>
      </c>
      <c r="I334" s="1" t="s">
        <v>41</v>
      </c>
      <c r="J334" s="1" t="s">
        <v>39</v>
      </c>
      <c r="K334" s="1" t="s">
        <v>42</v>
      </c>
      <c r="L334" s="1" t="s">
        <v>43</v>
      </c>
      <c r="M334" s="1" t="s">
        <v>44</v>
      </c>
      <c r="N334" s="1" t="s">
        <v>45</v>
      </c>
      <c r="O334" s="1" t="s">
        <v>45</v>
      </c>
      <c r="P334" s="1" t="s">
        <v>46</v>
      </c>
      <c r="Q334" s="1" t="s">
        <v>47</v>
      </c>
      <c r="R334" s="1" t="s">
        <v>48</v>
      </c>
      <c r="S334" s="1" t="s">
        <v>49</v>
      </c>
      <c r="T334" s="1" t="s">
        <v>50</v>
      </c>
      <c r="U334" s="1" t="s">
        <v>51</v>
      </c>
      <c r="V334" s="1" t="s">
        <v>81</v>
      </c>
      <c r="W334" s="1" t="s">
        <v>53</v>
      </c>
      <c r="X334" s="1" t="s">
        <v>54</v>
      </c>
      <c r="Y334" s="1" t="s">
        <v>55</v>
      </c>
      <c r="Z334" s="1" t="s">
        <v>56</v>
      </c>
      <c r="AA334" s="1" t="s">
        <v>36</v>
      </c>
      <c r="AB334" s="1" t="s">
        <v>54</v>
      </c>
      <c r="AC334" s="1" t="s">
        <v>57</v>
      </c>
      <c r="AD334" s="1" t="s">
        <v>58</v>
      </c>
      <c r="AE334" s="1" t="s">
        <v>59</v>
      </c>
      <c r="AF334" s="1" t="s">
        <v>54</v>
      </c>
      <c r="AG334" s="1" t="s">
        <v>60</v>
      </c>
      <c r="AH334" s="1" t="s">
        <v>120</v>
      </c>
    </row>
    <row r="335" spans="1:34" x14ac:dyDescent="0.3">
      <c r="A335" s="1" t="s">
        <v>34</v>
      </c>
      <c r="B335" s="1" t="s">
        <v>35</v>
      </c>
      <c r="C335" s="1" t="s">
        <v>36</v>
      </c>
      <c r="D335" s="1" t="s">
        <v>37</v>
      </c>
      <c r="E335" s="1" t="s">
        <v>77</v>
      </c>
      <c r="F335" s="1" t="s">
        <v>86</v>
      </c>
      <c r="G335" s="1" t="s">
        <v>40</v>
      </c>
      <c r="H335" s="1" t="s">
        <v>41</v>
      </c>
      <c r="I335" s="1" t="s">
        <v>35</v>
      </c>
      <c r="J335" s="1" t="s">
        <v>39</v>
      </c>
      <c r="K335" s="1" t="s">
        <v>42</v>
      </c>
      <c r="L335" s="1" t="s">
        <v>43</v>
      </c>
      <c r="M335" s="1" t="s">
        <v>44</v>
      </c>
      <c r="N335" s="1" t="s">
        <v>45</v>
      </c>
      <c r="O335" s="1" t="s">
        <v>45</v>
      </c>
      <c r="P335" s="1" t="s">
        <v>46</v>
      </c>
      <c r="Q335" s="1" t="s">
        <v>47</v>
      </c>
      <c r="R335" s="1" t="s">
        <v>48</v>
      </c>
      <c r="S335" s="1" t="s">
        <v>49</v>
      </c>
      <c r="T335" s="1" t="s">
        <v>50</v>
      </c>
      <c r="U335" s="1" t="s">
        <v>51</v>
      </c>
      <c r="V335" s="1" t="s">
        <v>52</v>
      </c>
      <c r="W335" s="1" t="s">
        <v>53</v>
      </c>
      <c r="X335" s="1" t="s">
        <v>54</v>
      </c>
      <c r="Y335" s="1" t="s">
        <v>74</v>
      </c>
      <c r="Z335" s="1" t="s">
        <v>56</v>
      </c>
      <c r="AA335" s="1" t="s">
        <v>36</v>
      </c>
      <c r="AB335" s="1" t="s">
        <v>54</v>
      </c>
      <c r="AC335" s="1" t="s">
        <v>57</v>
      </c>
      <c r="AD335" s="1" t="s">
        <v>58</v>
      </c>
      <c r="AE335" s="1" t="s">
        <v>59</v>
      </c>
      <c r="AF335" s="1" t="s">
        <v>54</v>
      </c>
      <c r="AG335" s="1" t="s">
        <v>75</v>
      </c>
      <c r="AH335" s="1" t="s">
        <v>120</v>
      </c>
    </row>
    <row r="336" spans="1:34" x14ac:dyDescent="0.3">
      <c r="A336" s="1" t="s">
        <v>34</v>
      </c>
      <c r="B336" s="1" t="s">
        <v>35</v>
      </c>
      <c r="C336" s="1" t="s">
        <v>62</v>
      </c>
      <c r="D336" s="1" t="s">
        <v>37</v>
      </c>
      <c r="E336" s="1" t="s">
        <v>38</v>
      </c>
      <c r="F336" s="1" t="s">
        <v>39</v>
      </c>
      <c r="G336" s="1" t="s">
        <v>40</v>
      </c>
      <c r="H336" s="1" t="s">
        <v>35</v>
      </c>
      <c r="I336" s="1" t="s">
        <v>41</v>
      </c>
      <c r="J336" s="1" t="s">
        <v>39</v>
      </c>
      <c r="K336" s="1" t="s">
        <v>42</v>
      </c>
      <c r="L336" s="1" t="s">
        <v>43</v>
      </c>
      <c r="M336" s="1" t="s">
        <v>44</v>
      </c>
      <c r="N336" s="1" t="s">
        <v>49</v>
      </c>
      <c r="O336" s="1" t="s">
        <v>45</v>
      </c>
      <c r="P336" s="1" t="s">
        <v>103</v>
      </c>
      <c r="Q336" s="1" t="s">
        <v>47</v>
      </c>
      <c r="R336" s="1" t="s">
        <v>80</v>
      </c>
      <c r="S336" s="1" t="s">
        <v>49</v>
      </c>
      <c r="T336" s="1" t="s">
        <v>50</v>
      </c>
      <c r="U336" s="1" t="s">
        <v>51</v>
      </c>
      <c r="V336" s="1" t="s">
        <v>81</v>
      </c>
      <c r="W336" s="1" t="s">
        <v>53</v>
      </c>
      <c r="X336" s="1" t="s">
        <v>54</v>
      </c>
      <c r="Y336" s="1" t="s">
        <v>55</v>
      </c>
      <c r="Z336" s="1" t="s">
        <v>82</v>
      </c>
      <c r="AA336" s="1" t="s">
        <v>36</v>
      </c>
      <c r="AB336" s="1" t="s">
        <v>54</v>
      </c>
      <c r="AC336" s="1" t="s">
        <v>57</v>
      </c>
      <c r="AD336" s="1" t="s">
        <v>58</v>
      </c>
      <c r="AE336" s="1" t="s">
        <v>59</v>
      </c>
      <c r="AF336" s="1" t="s">
        <v>54</v>
      </c>
      <c r="AG336" s="1" t="s">
        <v>71</v>
      </c>
      <c r="AH336" s="1" t="s">
        <v>121</v>
      </c>
    </row>
    <row r="337" spans="1:34" x14ac:dyDescent="0.3">
      <c r="A337" s="1" t="s">
        <v>74</v>
      </c>
      <c r="B337" s="1" t="s">
        <v>41</v>
      </c>
      <c r="C337" s="1" t="s">
        <v>76</v>
      </c>
      <c r="D337" s="1" t="s">
        <v>83</v>
      </c>
      <c r="E337" s="1" t="s">
        <v>38</v>
      </c>
      <c r="F337" s="1" t="s">
        <v>39</v>
      </c>
      <c r="G337" s="1" t="s">
        <v>40</v>
      </c>
      <c r="H337" s="1" t="s">
        <v>35</v>
      </c>
      <c r="I337" s="1" t="s">
        <v>41</v>
      </c>
      <c r="J337" s="1" t="s">
        <v>92</v>
      </c>
      <c r="K337" s="1" t="s">
        <v>42</v>
      </c>
      <c r="L337" s="1" t="s">
        <v>79</v>
      </c>
      <c r="M337" s="1" t="s">
        <v>84</v>
      </c>
      <c r="N337" s="1" t="s">
        <v>49</v>
      </c>
      <c r="O337" s="1" t="s">
        <v>45</v>
      </c>
      <c r="P337" s="1" t="s">
        <v>46</v>
      </c>
      <c r="Q337" s="1" t="s">
        <v>47</v>
      </c>
      <c r="R337" s="1" t="s">
        <v>80</v>
      </c>
      <c r="S337" s="1" t="s">
        <v>49</v>
      </c>
      <c r="T337" s="1" t="s">
        <v>50</v>
      </c>
      <c r="U337" s="1" t="s">
        <v>51</v>
      </c>
      <c r="V337" s="1" t="s">
        <v>81</v>
      </c>
      <c r="W337" s="1" t="s">
        <v>53</v>
      </c>
      <c r="X337" s="1" t="s">
        <v>54</v>
      </c>
      <c r="Y337" s="1" t="s">
        <v>55</v>
      </c>
      <c r="Z337" s="1" t="s">
        <v>82</v>
      </c>
      <c r="AA337" s="1" t="s">
        <v>36</v>
      </c>
      <c r="AB337" s="1" t="s">
        <v>54</v>
      </c>
      <c r="AC337" s="1" t="s">
        <v>57</v>
      </c>
      <c r="AD337" s="1" t="s">
        <v>58</v>
      </c>
      <c r="AE337" s="1" t="s">
        <v>42</v>
      </c>
      <c r="AF337" s="1" t="s">
        <v>54</v>
      </c>
      <c r="AG337" s="1" t="s">
        <v>75</v>
      </c>
      <c r="AH337" s="1" t="s">
        <v>120</v>
      </c>
    </row>
    <row r="338" spans="1:34" x14ac:dyDescent="0.3">
      <c r="A338" s="1" t="s">
        <v>54</v>
      </c>
      <c r="B338" s="1" t="s">
        <v>41</v>
      </c>
      <c r="C338" s="1" t="s">
        <v>76</v>
      </c>
      <c r="D338" s="1" t="s">
        <v>37</v>
      </c>
      <c r="E338" s="1" t="s">
        <v>38</v>
      </c>
      <c r="F338" s="1" t="s">
        <v>86</v>
      </c>
      <c r="G338" s="1" t="s">
        <v>40</v>
      </c>
      <c r="H338" s="1" t="s">
        <v>41</v>
      </c>
      <c r="I338" s="1" t="s">
        <v>35</v>
      </c>
      <c r="J338" s="1" t="s">
        <v>92</v>
      </c>
      <c r="K338" s="1" t="s">
        <v>42</v>
      </c>
      <c r="L338" s="1" t="s">
        <v>79</v>
      </c>
      <c r="M338" s="1" t="s">
        <v>84</v>
      </c>
      <c r="N338" s="1" t="s">
        <v>45</v>
      </c>
      <c r="O338" s="1" t="s">
        <v>45</v>
      </c>
      <c r="P338" s="1" t="s">
        <v>46</v>
      </c>
      <c r="Q338" s="1" t="s">
        <v>47</v>
      </c>
      <c r="R338" s="1" t="s">
        <v>48</v>
      </c>
      <c r="S338" s="1" t="s">
        <v>49</v>
      </c>
      <c r="T338" s="1" t="s">
        <v>50</v>
      </c>
      <c r="U338" s="1" t="s">
        <v>51</v>
      </c>
      <c r="V338" s="1" t="s">
        <v>52</v>
      </c>
      <c r="W338" s="1" t="s">
        <v>53</v>
      </c>
      <c r="X338" s="1" t="s">
        <v>54</v>
      </c>
      <c r="Y338" s="1" t="s">
        <v>74</v>
      </c>
      <c r="Z338" s="1" t="s">
        <v>56</v>
      </c>
      <c r="AA338" s="1" t="s">
        <v>36</v>
      </c>
      <c r="AB338" s="1" t="s">
        <v>54</v>
      </c>
      <c r="AC338" s="1" t="s">
        <v>57</v>
      </c>
      <c r="AD338" s="1" t="s">
        <v>58</v>
      </c>
      <c r="AE338" s="1" t="s">
        <v>42</v>
      </c>
      <c r="AF338" s="1" t="s">
        <v>54</v>
      </c>
      <c r="AG338" s="1" t="s">
        <v>75</v>
      </c>
      <c r="AH338" s="1" t="s">
        <v>120</v>
      </c>
    </row>
    <row r="339" spans="1:34" x14ac:dyDescent="0.3">
      <c r="A339" s="1" t="s">
        <v>55</v>
      </c>
      <c r="B339" s="1" t="s">
        <v>41</v>
      </c>
      <c r="C339" s="1" t="s">
        <v>82</v>
      </c>
      <c r="D339" s="1" t="s">
        <v>83</v>
      </c>
      <c r="E339" s="1" t="s">
        <v>38</v>
      </c>
      <c r="F339" s="1" t="s">
        <v>39</v>
      </c>
      <c r="G339" s="1" t="s">
        <v>40</v>
      </c>
      <c r="H339" s="1" t="s">
        <v>35</v>
      </c>
      <c r="I339" s="1" t="s">
        <v>41</v>
      </c>
      <c r="J339" s="1" t="s">
        <v>92</v>
      </c>
      <c r="K339" s="1" t="s">
        <v>42</v>
      </c>
      <c r="L339" s="1" t="s">
        <v>43</v>
      </c>
      <c r="M339" s="1" t="s">
        <v>44</v>
      </c>
      <c r="N339" s="1" t="s">
        <v>49</v>
      </c>
      <c r="O339" s="1" t="s">
        <v>45</v>
      </c>
      <c r="P339" s="1" t="s">
        <v>46</v>
      </c>
      <c r="Q339" s="1" t="s">
        <v>47</v>
      </c>
      <c r="R339" s="1" t="s">
        <v>80</v>
      </c>
      <c r="S339" s="1" t="s">
        <v>49</v>
      </c>
      <c r="T339" s="1" t="s">
        <v>50</v>
      </c>
      <c r="U339" s="1" t="s">
        <v>51</v>
      </c>
      <c r="V339" s="1" t="s">
        <v>52</v>
      </c>
      <c r="W339" s="1" t="s">
        <v>53</v>
      </c>
      <c r="X339" s="1" t="s">
        <v>54</v>
      </c>
      <c r="Y339" s="1" t="s">
        <v>74</v>
      </c>
      <c r="Z339" s="1" t="s">
        <v>56</v>
      </c>
      <c r="AA339" s="1" t="s">
        <v>36</v>
      </c>
      <c r="AB339" s="1" t="s">
        <v>54</v>
      </c>
      <c r="AC339" s="1" t="s">
        <v>57</v>
      </c>
      <c r="AD339" s="1" t="s">
        <v>58</v>
      </c>
      <c r="AE339" s="1" t="s">
        <v>59</v>
      </c>
      <c r="AF339" s="1" t="s">
        <v>54</v>
      </c>
      <c r="AG339" s="1" t="s">
        <v>75</v>
      </c>
      <c r="AH339" s="1" t="s">
        <v>120</v>
      </c>
    </row>
    <row r="340" spans="1:34" x14ac:dyDescent="0.3">
      <c r="A340" s="1" t="s">
        <v>55</v>
      </c>
      <c r="B340" s="1" t="s">
        <v>41</v>
      </c>
      <c r="C340" s="1" t="s">
        <v>76</v>
      </c>
      <c r="D340" s="1" t="s">
        <v>83</v>
      </c>
      <c r="E340" s="1" t="s">
        <v>38</v>
      </c>
      <c r="F340" s="1" t="s">
        <v>39</v>
      </c>
      <c r="G340" s="1" t="s">
        <v>40</v>
      </c>
      <c r="H340" s="1" t="s">
        <v>35</v>
      </c>
      <c r="I340" s="1" t="s">
        <v>94</v>
      </c>
      <c r="J340" s="1" t="s">
        <v>39</v>
      </c>
      <c r="K340" s="1" t="s">
        <v>42</v>
      </c>
      <c r="L340" s="1" t="s">
        <v>43</v>
      </c>
      <c r="M340" s="1" t="s">
        <v>44</v>
      </c>
      <c r="N340" s="1" t="s">
        <v>45</v>
      </c>
      <c r="O340" s="1" t="s">
        <v>45</v>
      </c>
      <c r="P340" s="1" t="s">
        <v>50</v>
      </c>
      <c r="Q340" s="1" t="s">
        <v>47</v>
      </c>
      <c r="R340" s="1" t="s">
        <v>48</v>
      </c>
      <c r="S340" s="1" t="s">
        <v>49</v>
      </c>
      <c r="T340" s="1" t="s">
        <v>50</v>
      </c>
      <c r="U340" s="1" t="s">
        <v>51</v>
      </c>
      <c r="V340" s="1" t="s">
        <v>52</v>
      </c>
      <c r="W340" s="1" t="s">
        <v>53</v>
      </c>
      <c r="X340" s="1" t="s">
        <v>91</v>
      </c>
      <c r="Y340" s="1" t="s">
        <v>55</v>
      </c>
      <c r="Z340" s="1" t="s">
        <v>56</v>
      </c>
      <c r="AA340" s="1" t="s">
        <v>36</v>
      </c>
      <c r="AB340" s="1" t="s">
        <v>54</v>
      </c>
      <c r="AC340" s="1" t="s">
        <v>57</v>
      </c>
      <c r="AD340" s="1" t="s">
        <v>58</v>
      </c>
      <c r="AE340" s="1" t="s">
        <v>42</v>
      </c>
      <c r="AF340" s="1" t="s">
        <v>54</v>
      </c>
      <c r="AG340" s="1" t="s">
        <v>75</v>
      </c>
      <c r="AH340" s="1" t="s">
        <v>120</v>
      </c>
    </row>
    <row r="341" spans="1:34" x14ac:dyDescent="0.3">
      <c r="A341" s="1" t="s">
        <v>74</v>
      </c>
      <c r="B341" s="1" t="s">
        <v>61</v>
      </c>
      <c r="C341" s="1" t="s">
        <v>62</v>
      </c>
      <c r="D341" s="1" t="s">
        <v>63</v>
      </c>
      <c r="E341" s="1" t="s">
        <v>64</v>
      </c>
      <c r="F341" s="1" t="s">
        <v>65</v>
      </c>
      <c r="G341" s="1" t="s">
        <v>66</v>
      </c>
      <c r="H341" s="1" t="s">
        <v>61</v>
      </c>
      <c r="I341" s="1" t="s">
        <v>61</v>
      </c>
      <c r="J341" s="1" t="s">
        <v>65</v>
      </c>
      <c r="K341" s="1" t="s">
        <v>67</v>
      </c>
      <c r="L341" s="1" t="s">
        <v>66</v>
      </c>
      <c r="M341" s="1" t="s">
        <v>68</v>
      </c>
      <c r="N341" s="1" t="s">
        <v>63</v>
      </c>
      <c r="O341" s="1" t="s">
        <v>63</v>
      </c>
      <c r="P341" s="1" t="s">
        <v>69</v>
      </c>
      <c r="Q341" s="1" t="s">
        <v>70</v>
      </c>
      <c r="R341" s="1" t="s">
        <v>71</v>
      </c>
      <c r="S341" s="1" t="s">
        <v>63</v>
      </c>
      <c r="T341" s="1" t="s">
        <v>69</v>
      </c>
      <c r="U341" s="1" t="s">
        <v>69</v>
      </c>
      <c r="V341" s="1" t="s">
        <v>63</v>
      </c>
      <c r="W341" s="1" t="s">
        <v>68</v>
      </c>
      <c r="X341" s="1" t="s">
        <v>72</v>
      </c>
      <c r="Y341" s="1" t="s">
        <v>72</v>
      </c>
      <c r="Z341" s="1" t="s">
        <v>62</v>
      </c>
      <c r="AA341" s="1" t="s">
        <v>62</v>
      </c>
      <c r="AB341" s="1" t="s">
        <v>72</v>
      </c>
      <c r="AC341" s="1" t="s">
        <v>73</v>
      </c>
      <c r="AD341" s="1" t="s">
        <v>73</v>
      </c>
      <c r="AE341" s="1" t="s">
        <v>67</v>
      </c>
      <c r="AF341" s="1" t="s">
        <v>72</v>
      </c>
      <c r="AG341" s="1" t="s">
        <v>71</v>
      </c>
      <c r="AH341" s="1" t="s">
        <v>120</v>
      </c>
    </row>
    <row r="342" spans="1:34" x14ac:dyDescent="0.3">
      <c r="A342" s="1" t="s">
        <v>55</v>
      </c>
      <c r="B342" s="1" t="s">
        <v>61</v>
      </c>
      <c r="C342" s="1" t="s">
        <v>62</v>
      </c>
      <c r="D342" s="1" t="s">
        <v>63</v>
      </c>
      <c r="E342" s="1" t="s">
        <v>64</v>
      </c>
      <c r="F342" s="1" t="s">
        <v>65</v>
      </c>
      <c r="G342" s="1" t="s">
        <v>66</v>
      </c>
      <c r="H342" s="1" t="s">
        <v>61</v>
      </c>
      <c r="I342" s="1" t="s">
        <v>61</v>
      </c>
      <c r="J342" s="1" t="s">
        <v>65</v>
      </c>
      <c r="K342" s="1" t="s">
        <v>67</v>
      </c>
      <c r="L342" s="1" t="s">
        <v>66</v>
      </c>
      <c r="M342" s="1" t="s">
        <v>68</v>
      </c>
      <c r="N342" s="1" t="s">
        <v>63</v>
      </c>
      <c r="O342" s="1" t="s">
        <v>63</v>
      </c>
      <c r="P342" s="1" t="s">
        <v>69</v>
      </c>
      <c r="Q342" s="1" t="s">
        <v>70</v>
      </c>
      <c r="R342" s="1" t="s">
        <v>71</v>
      </c>
      <c r="S342" s="1" t="s">
        <v>63</v>
      </c>
      <c r="T342" s="1" t="s">
        <v>69</v>
      </c>
      <c r="U342" s="1" t="s">
        <v>69</v>
      </c>
      <c r="V342" s="1" t="s">
        <v>63</v>
      </c>
      <c r="W342" s="1" t="s">
        <v>68</v>
      </c>
      <c r="X342" s="1" t="s">
        <v>72</v>
      </c>
      <c r="Y342" s="1" t="s">
        <v>72</v>
      </c>
      <c r="Z342" s="1" t="s">
        <v>62</v>
      </c>
      <c r="AA342" s="1" t="s">
        <v>62</v>
      </c>
      <c r="AB342" s="1" t="s">
        <v>72</v>
      </c>
      <c r="AC342" s="1" t="s">
        <v>73</v>
      </c>
      <c r="AD342" s="1" t="s">
        <v>73</v>
      </c>
      <c r="AE342" s="1" t="s">
        <v>67</v>
      </c>
      <c r="AF342" s="1" t="s">
        <v>72</v>
      </c>
      <c r="AG342" s="1" t="s">
        <v>71</v>
      </c>
      <c r="AH342" s="1" t="s">
        <v>120</v>
      </c>
    </row>
    <row r="343" spans="1:34" x14ac:dyDescent="0.3">
      <c r="A343" s="1" t="s">
        <v>54</v>
      </c>
      <c r="B343" s="1" t="s">
        <v>41</v>
      </c>
      <c r="C343" s="1" t="s">
        <v>76</v>
      </c>
      <c r="D343" s="1" t="s">
        <v>37</v>
      </c>
      <c r="E343" s="1" t="s">
        <v>38</v>
      </c>
      <c r="F343" s="1" t="s">
        <v>39</v>
      </c>
      <c r="G343" s="1" t="s">
        <v>40</v>
      </c>
      <c r="H343" s="1" t="s">
        <v>35</v>
      </c>
      <c r="I343" s="1" t="s">
        <v>35</v>
      </c>
      <c r="J343" s="1" t="s">
        <v>39</v>
      </c>
      <c r="K343" s="1" t="s">
        <v>42</v>
      </c>
      <c r="L343" s="1" t="s">
        <v>43</v>
      </c>
      <c r="M343" s="1" t="s">
        <v>53</v>
      </c>
      <c r="N343" s="1" t="s">
        <v>45</v>
      </c>
      <c r="O343" s="1" t="s">
        <v>45</v>
      </c>
      <c r="P343" s="1" t="s">
        <v>46</v>
      </c>
      <c r="Q343" s="1" t="s">
        <v>93</v>
      </c>
      <c r="R343" s="1" t="s">
        <v>48</v>
      </c>
      <c r="S343" s="1" t="s">
        <v>49</v>
      </c>
      <c r="T343" s="1" t="s">
        <v>50</v>
      </c>
      <c r="U343" s="1" t="s">
        <v>51</v>
      </c>
      <c r="V343" s="1" t="s">
        <v>52</v>
      </c>
      <c r="W343" s="1" t="s">
        <v>53</v>
      </c>
      <c r="X343" s="1" t="s">
        <v>54</v>
      </c>
      <c r="Y343" s="1" t="s">
        <v>55</v>
      </c>
      <c r="Z343" s="1" t="s">
        <v>56</v>
      </c>
      <c r="AA343" s="1" t="s">
        <v>36</v>
      </c>
      <c r="AB343" s="1" t="s">
        <v>54</v>
      </c>
      <c r="AC343" s="1" t="s">
        <v>57</v>
      </c>
      <c r="AD343" s="1" t="s">
        <v>58</v>
      </c>
      <c r="AE343" s="1" t="s">
        <v>42</v>
      </c>
      <c r="AF343" s="1" t="s">
        <v>54</v>
      </c>
      <c r="AG343" s="1" t="s">
        <v>60</v>
      </c>
      <c r="AH343" s="1" t="s">
        <v>120</v>
      </c>
    </row>
    <row r="344" spans="1:34" x14ac:dyDescent="0.3">
      <c r="A344" s="1" t="s">
        <v>74</v>
      </c>
      <c r="B344" s="1" t="s">
        <v>35</v>
      </c>
      <c r="C344" s="1" t="s">
        <v>36</v>
      </c>
      <c r="D344" s="1" t="s">
        <v>37</v>
      </c>
      <c r="E344" s="1" t="s">
        <v>77</v>
      </c>
      <c r="F344" s="1" t="s">
        <v>39</v>
      </c>
      <c r="G344" s="1" t="s">
        <v>40</v>
      </c>
      <c r="H344" s="1" t="s">
        <v>35</v>
      </c>
      <c r="I344" s="1" t="s">
        <v>41</v>
      </c>
      <c r="J344" s="1" t="s">
        <v>39</v>
      </c>
      <c r="K344" s="1" t="s">
        <v>42</v>
      </c>
      <c r="L344" s="1" t="s">
        <v>43</v>
      </c>
      <c r="M344" s="1" t="s">
        <v>44</v>
      </c>
      <c r="N344" s="1" t="s">
        <v>45</v>
      </c>
      <c r="O344" s="1" t="s">
        <v>45</v>
      </c>
      <c r="P344" s="1" t="s">
        <v>46</v>
      </c>
      <c r="Q344" s="1" t="s">
        <v>47</v>
      </c>
      <c r="R344" s="1" t="s">
        <v>48</v>
      </c>
      <c r="S344" s="1" t="s">
        <v>49</v>
      </c>
      <c r="T344" s="1" t="s">
        <v>50</v>
      </c>
      <c r="U344" s="1" t="s">
        <v>51</v>
      </c>
      <c r="V344" s="1" t="s">
        <v>52</v>
      </c>
      <c r="W344" s="1" t="s">
        <v>53</v>
      </c>
      <c r="X344" s="1" t="s">
        <v>54</v>
      </c>
      <c r="Y344" s="1" t="s">
        <v>55</v>
      </c>
      <c r="Z344" s="1" t="s">
        <v>82</v>
      </c>
      <c r="AA344" s="1" t="s">
        <v>36</v>
      </c>
      <c r="AB344" s="1" t="s">
        <v>54</v>
      </c>
      <c r="AC344" s="1" t="s">
        <v>57</v>
      </c>
      <c r="AD344" s="1" t="s">
        <v>58</v>
      </c>
      <c r="AE344" s="1" t="s">
        <v>59</v>
      </c>
      <c r="AF344" s="1" t="s">
        <v>54</v>
      </c>
      <c r="AG344" s="1" t="s">
        <v>75</v>
      </c>
      <c r="AH344" s="1" t="s">
        <v>120</v>
      </c>
    </row>
    <row r="345" spans="1:34" x14ac:dyDescent="0.3">
      <c r="A345" s="1" t="s">
        <v>91</v>
      </c>
      <c r="B345" s="1" t="s">
        <v>35</v>
      </c>
      <c r="C345" s="1" t="s">
        <v>36</v>
      </c>
      <c r="D345" s="1" t="s">
        <v>37</v>
      </c>
      <c r="E345" s="1" t="s">
        <v>38</v>
      </c>
      <c r="F345" s="1" t="s">
        <v>39</v>
      </c>
      <c r="G345" s="1" t="s">
        <v>40</v>
      </c>
      <c r="H345" s="1" t="s">
        <v>35</v>
      </c>
      <c r="I345" s="1" t="s">
        <v>41</v>
      </c>
      <c r="J345" s="1" t="s">
        <v>39</v>
      </c>
      <c r="K345" s="1" t="s">
        <v>42</v>
      </c>
      <c r="L345" s="1" t="s">
        <v>40</v>
      </c>
      <c r="M345" s="1" t="s">
        <v>44</v>
      </c>
      <c r="N345" s="1" t="s">
        <v>49</v>
      </c>
      <c r="O345" s="1" t="s">
        <v>45</v>
      </c>
      <c r="P345" s="1" t="s">
        <v>46</v>
      </c>
      <c r="Q345" s="1" t="s">
        <v>47</v>
      </c>
      <c r="R345" s="1" t="s">
        <v>80</v>
      </c>
      <c r="S345" s="1" t="s">
        <v>49</v>
      </c>
      <c r="T345" s="1" t="s">
        <v>50</v>
      </c>
      <c r="U345" s="1" t="s">
        <v>51</v>
      </c>
      <c r="V345" s="1" t="s">
        <v>52</v>
      </c>
      <c r="W345" s="1" t="s">
        <v>53</v>
      </c>
      <c r="X345" s="1" t="s">
        <v>54</v>
      </c>
      <c r="Y345" s="1" t="s">
        <v>74</v>
      </c>
      <c r="Z345" s="1" t="s">
        <v>82</v>
      </c>
      <c r="AA345" s="1" t="s">
        <v>36</v>
      </c>
      <c r="AB345" s="1" t="s">
        <v>54</v>
      </c>
      <c r="AC345" s="1" t="s">
        <v>57</v>
      </c>
      <c r="AD345" s="1" t="s">
        <v>58</v>
      </c>
      <c r="AE345" s="1" t="s">
        <v>59</v>
      </c>
      <c r="AF345" s="1" t="s">
        <v>54</v>
      </c>
      <c r="AG345" s="1" t="s">
        <v>60</v>
      </c>
      <c r="AH345" s="1" t="s">
        <v>120</v>
      </c>
    </row>
    <row r="346" spans="1:34" x14ac:dyDescent="0.3">
      <c r="A346" s="1" t="s">
        <v>74</v>
      </c>
      <c r="B346" s="1" t="s">
        <v>35</v>
      </c>
      <c r="C346" s="1" t="s">
        <v>36</v>
      </c>
      <c r="D346" s="1" t="s">
        <v>83</v>
      </c>
      <c r="E346" s="1" t="s">
        <v>38</v>
      </c>
      <c r="F346" s="1" t="s">
        <v>39</v>
      </c>
      <c r="G346" s="1" t="s">
        <v>40</v>
      </c>
      <c r="H346" s="1" t="s">
        <v>35</v>
      </c>
      <c r="I346" s="1" t="s">
        <v>35</v>
      </c>
      <c r="J346" s="1" t="s">
        <v>39</v>
      </c>
      <c r="K346" s="1" t="s">
        <v>42</v>
      </c>
      <c r="L346" s="1" t="s">
        <v>40</v>
      </c>
      <c r="M346" s="1" t="s">
        <v>44</v>
      </c>
      <c r="N346" s="1" t="s">
        <v>49</v>
      </c>
      <c r="O346" s="1" t="s">
        <v>52</v>
      </c>
      <c r="P346" s="1" t="s">
        <v>50</v>
      </c>
      <c r="Q346" s="1" t="s">
        <v>47</v>
      </c>
      <c r="R346" s="1" t="s">
        <v>48</v>
      </c>
      <c r="S346" s="1" t="s">
        <v>49</v>
      </c>
      <c r="T346" s="1" t="s">
        <v>50</v>
      </c>
      <c r="U346" s="1" t="s">
        <v>51</v>
      </c>
      <c r="V346" s="1" t="s">
        <v>52</v>
      </c>
      <c r="W346" s="1" t="s">
        <v>53</v>
      </c>
      <c r="X346" s="1" t="s">
        <v>54</v>
      </c>
      <c r="Y346" s="1" t="s">
        <v>55</v>
      </c>
      <c r="Z346" s="1" t="s">
        <v>56</v>
      </c>
      <c r="AA346" s="1" t="s">
        <v>36</v>
      </c>
      <c r="AB346" s="1" t="s">
        <v>54</v>
      </c>
      <c r="AC346" s="1" t="s">
        <v>57</v>
      </c>
      <c r="AD346" s="1" t="s">
        <v>58</v>
      </c>
      <c r="AE346" s="1" t="s">
        <v>59</v>
      </c>
      <c r="AF346" s="1" t="s">
        <v>54</v>
      </c>
      <c r="AG346" s="1" t="s">
        <v>60</v>
      </c>
      <c r="AH346" s="1" t="s">
        <v>120</v>
      </c>
    </row>
    <row r="347" spans="1:34" x14ac:dyDescent="0.3">
      <c r="A347" s="1" t="s">
        <v>55</v>
      </c>
      <c r="B347" s="1" t="s">
        <v>61</v>
      </c>
      <c r="C347" s="1" t="s">
        <v>62</v>
      </c>
      <c r="D347" s="1" t="s">
        <v>63</v>
      </c>
      <c r="E347" s="1" t="s">
        <v>64</v>
      </c>
      <c r="F347" s="1" t="s">
        <v>65</v>
      </c>
      <c r="G347" s="1" t="s">
        <v>66</v>
      </c>
      <c r="H347" s="1" t="s">
        <v>61</v>
      </c>
      <c r="I347" s="1" t="s">
        <v>61</v>
      </c>
      <c r="J347" s="1" t="s">
        <v>65</v>
      </c>
      <c r="K347" s="1" t="s">
        <v>67</v>
      </c>
      <c r="L347" s="1" t="s">
        <v>66</v>
      </c>
      <c r="M347" s="1" t="s">
        <v>68</v>
      </c>
      <c r="N347" s="1" t="s">
        <v>63</v>
      </c>
      <c r="O347" s="1" t="s">
        <v>63</v>
      </c>
      <c r="P347" s="1" t="s">
        <v>69</v>
      </c>
      <c r="Q347" s="1" t="s">
        <v>70</v>
      </c>
      <c r="R347" s="1" t="s">
        <v>71</v>
      </c>
      <c r="S347" s="1" t="s">
        <v>63</v>
      </c>
      <c r="T347" s="1" t="s">
        <v>69</v>
      </c>
      <c r="U347" s="1" t="s">
        <v>69</v>
      </c>
      <c r="V347" s="1" t="s">
        <v>63</v>
      </c>
      <c r="W347" s="1" t="s">
        <v>68</v>
      </c>
      <c r="X347" s="1" t="s">
        <v>72</v>
      </c>
      <c r="Y347" s="1" t="s">
        <v>72</v>
      </c>
      <c r="Z347" s="1" t="s">
        <v>62</v>
      </c>
      <c r="AA347" s="1" t="s">
        <v>62</v>
      </c>
      <c r="AB347" s="1" t="s">
        <v>72</v>
      </c>
      <c r="AC347" s="1" t="s">
        <v>73</v>
      </c>
      <c r="AD347" s="1" t="s">
        <v>73</v>
      </c>
      <c r="AE347" s="1" t="s">
        <v>67</v>
      </c>
      <c r="AF347" s="1" t="s">
        <v>72</v>
      </c>
      <c r="AG347" s="1" t="s">
        <v>71</v>
      </c>
      <c r="AH347" s="1" t="s">
        <v>120</v>
      </c>
    </row>
    <row r="348" spans="1:34" x14ac:dyDescent="0.3">
      <c r="A348" s="1" t="s">
        <v>85</v>
      </c>
      <c r="B348" s="1" t="s">
        <v>94</v>
      </c>
      <c r="C348" s="1" t="s">
        <v>62</v>
      </c>
      <c r="D348" s="1" t="s">
        <v>83</v>
      </c>
      <c r="E348" s="1" t="s">
        <v>38</v>
      </c>
      <c r="F348" s="1" t="s">
        <v>39</v>
      </c>
      <c r="G348" s="1" t="s">
        <v>40</v>
      </c>
      <c r="H348" s="1" t="s">
        <v>35</v>
      </c>
      <c r="I348" s="1" t="s">
        <v>35</v>
      </c>
      <c r="J348" s="1" t="s">
        <v>39</v>
      </c>
      <c r="K348" s="1" t="s">
        <v>59</v>
      </c>
      <c r="L348" s="1" t="s">
        <v>66</v>
      </c>
      <c r="M348" s="1" t="s">
        <v>53</v>
      </c>
      <c r="N348" s="1" t="s">
        <v>45</v>
      </c>
      <c r="O348" s="1" t="s">
        <v>45</v>
      </c>
      <c r="P348" s="1" t="s">
        <v>103</v>
      </c>
      <c r="Q348" s="1" t="s">
        <v>47</v>
      </c>
      <c r="R348" s="1" t="s">
        <v>80</v>
      </c>
      <c r="S348" s="1" t="s">
        <v>49</v>
      </c>
      <c r="T348" s="1" t="s">
        <v>50</v>
      </c>
      <c r="U348" s="1" t="s">
        <v>51</v>
      </c>
      <c r="V348" s="1" t="s">
        <v>81</v>
      </c>
      <c r="W348" s="1" t="s">
        <v>53</v>
      </c>
      <c r="X348" s="1" t="s">
        <v>54</v>
      </c>
      <c r="Y348" s="1" t="s">
        <v>55</v>
      </c>
      <c r="Z348" s="1" t="s">
        <v>82</v>
      </c>
      <c r="AA348" s="1" t="s">
        <v>36</v>
      </c>
      <c r="AB348" s="1" t="s">
        <v>54</v>
      </c>
      <c r="AC348" s="1" t="s">
        <v>57</v>
      </c>
      <c r="AD348" s="1" t="s">
        <v>58</v>
      </c>
      <c r="AE348" s="1" t="s">
        <v>59</v>
      </c>
      <c r="AF348" s="1" t="s">
        <v>54</v>
      </c>
      <c r="AG348" s="1" t="s">
        <v>75</v>
      </c>
      <c r="AH348" s="1" t="s">
        <v>120</v>
      </c>
    </row>
    <row r="349" spans="1:34" x14ac:dyDescent="0.3">
      <c r="A349" s="1" t="s">
        <v>74</v>
      </c>
      <c r="B349" s="1" t="s">
        <v>41</v>
      </c>
      <c r="C349" s="1" t="s">
        <v>36</v>
      </c>
      <c r="D349" s="1" t="s">
        <v>83</v>
      </c>
      <c r="E349" s="1" t="s">
        <v>38</v>
      </c>
      <c r="F349" s="1" t="s">
        <v>39</v>
      </c>
      <c r="G349" s="1" t="s">
        <v>40</v>
      </c>
      <c r="H349" s="1" t="s">
        <v>35</v>
      </c>
      <c r="I349" s="1" t="s">
        <v>41</v>
      </c>
      <c r="J349" s="1" t="s">
        <v>39</v>
      </c>
      <c r="K349" s="1" t="s">
        <v>59</v>
      </c>
      <c r="L349" s="1" t="s">
        <v>66</v>
      </c>
      <c r="M349" s="1" t="s">
        <v>53</v>
      </c>
      <c r="N349" s="1" t="s">
        <v>45</v>
      </c>
      <c r="O349" s="1" t="s">
        <v>45</v>
      </c>
      <c r="P349" s="1" t="s">
        <v>103</v>
      </c>
      <c r="Q349" s="1" t="s">
        <v>47</v>
      </c>
      <c r="R349" s="1" t="s">
        <v>80</v>
      </c>
      <c r="S349" s="1" t="s">
        <v>49</v>
      </c>
      <c r="T349" s="1" t="s">
        <v>50</v>
      </c>
      <c r="U349" s="1" t="s">
        <v>51</v>
      </c>
      <c r="V349" s="1" t="s">
        <v>81</v>
      </c>
      <c r="W349" s="1" t="s">
        <v>53</v>
      </c>
      <c r="X349" s="1" t="s">
        <v>54</v>
      </c>
      <c r="Y349" s="1" t="s">
        <v>55</v>
      </c>
      <c r="Z349" s="1" t="s">
        <v>82</v>
      </c>
      <c r="AA349" s="1" t="s">
        <v>36</v>
      </c>
      <c r="AB349" s="1" t="s">
        <v>54</v>
      </c>
      <c r="AC349" s="1" t="s">
        <v>57</v>
      </c>
      <c r="AD349" s="1" t="s">
        <v>58</v>
      </c>
      <c r="AE349" s="1" t="s">
        <v>59</v>
      </c>
      <c r="AF349" s="1" t="s">
        <v>54</v>
      </c>
      <c r="AG349" s="1" t="s">
        <v>71</v>
      </c>
      <c r="AH349" s="1" t="s">
        <v>120</v>
      </c>
    </row>
    <row r="350" spans="1:34" x14ac:dyDescent="0.3">
      <c r="A350" s="1" t="s">
        <v>55</v>
      </c>
      <c r="B350" s="1" t="s">
        <v>41</v>
      </c>
      <c r="C350" s="1" t="s">
        <v>76</v>
      </c>
      <c r="D350" s="1" t="s">
        <v>49</v>
      </c>
      <c r="E350" s="1" t="s">
        <v>38</v>
      </c>
      <c r="F350" s="1" t="s">
        <v>39</v>
      </c>
      <c r="G350" s="1" t="s">
        <v>40</v>
      </c>
      <c r="H350" s="1" t="s">
        <v>35</v>
      </c>
      <c r="I350" s="1" t="s">
        <v>35</v>
      </c>
      <c r="J350" s="1" t="s">
        <v>39</v>
      </c>
      <c r="K350" s="1" t="s">
        <v>42</v>
      </c>
      <c r="L350" s="1" t="s">
        <v>79</v>
      </c>
      <c r="M350" s="1" t="s">
        <v>44</v>
      </c>
      <c r="N350" s="1" t="s">
        <v>45</v>
      </c>
      <c r="O350" s="1" t="s">
        <v>45</v>
      </c>
      <c r="P350" s="1" t="s">
        <v>50</v>
      </c>
      <c r="Q350" s="1" t="s">
        <v>47</v>
      </c>
      <c r="R350" s="1" t="s">
        <v>80</v>
      </c>
      <c r="S350" s="1" t="s">
        <v>49</v>
      </c>
      <c r="T350" s="1" t="s">
        <v>50</v>
      </c>
      <c r="U350" s="1" t="s">
        <v>51</v>
      </c>
      <c r="V350" s="1" t="s">
        <v>52</v>
      </c>
      <c r="W350" s="1" t="s">
        <v>53</v>
      </c>
      <c r="X350" s="1" t="s">
        <v>54</v>
      </c>
      <c r="Y350" s="1" t="s">
        <v>55</v>
      </c>
      <c r="Z350" s="1" t="s">
        <v>82</v>
      </c>
      <c r="AA350" s="1" t="s">
        <v>36</v>
      </c>
      <c r="AB350" s="1" t="s">
        <v>54</v>
      </c>
      <c r="AC350" s="1" t="s">
        <v>57</v>
      </c>
      <c r="AD350" s="1" t="s">
        <v>58</v>
      </c>
      <c r="AE350" s="1" t="s">
        <v>42</v>
      </c>
      <c r="AF350" s="1" t="s">
        <v>54</v>
      </c>
      <c r="AG350" s="1" t="s">
        <v>75</v>
      </c>
      <c r="AH350" s="1" t="s">
        <v>120</v>
      </c>
    </row>
    <row r="351" spans="1:34" x14ac:dyDescent="0.3">
      <c r="A351" s="1" t="s">
        <v>54</v>
      </c>
      <c r="B351" s="1" t="s">
        <v>41</v>
      </c>
      <c r="C351" s="1" t="s">
        <v>76</v>
      </c>
      <c r="D351" s="1" t="s">
        <v>37</v>
      </c>
      <c r="E351" s="1" t="s">
        <v>77</v>
      </c>
      <c r="F351" s="1" t="s">
        <v>39</v>
      </c>
      <c r="G351" s="1" t="s">
        <v>40</v>
      </c>
      <c r="H351" s="1" t="s">
        <v>35</v>
      </c>
      <c r="I351" s="1" t="s">
        <v>35</v>
      </c>
      <c r="J351" s="1" t="s">
        <v>39</v>
      </c>
      <c r="K351" s="1" t="s">
        <v>42</v>
      </c>
      <c r="L351" s="1" t="s">
        <v>43</v>
      </c>
      <c r="M351" s="1" t="s">
        <v>44</v>
      </c>
      <c r="N351" s="1" t="s">
        <v>45</v>
      </c>
      <c r="O351" s="1" t="s">
        <v>45</v>
      </c>
      <c r="P351" s="1" t="s">
        <v>46</v>
      </c>
      <c r="Q351" s="1" t="s">
        <v>47</v>
      </c>
      <c r="R351" s="1" t="s">
        <v>48</v>
      </c>
      <c r="S351" s="1" t="s">
        <v>49</v>
      </c>
      <c r="T351" s="1" t="s">
        <v>50</v>
      </c>
      <c r="U351" s="1" t="s">
        <v>51</v>
      </c>
      <c r="V351" s="1" t="s">
        <v>52</v>
      </c>
      <c r="W351" s="1" t="s">
        <v>53</v>
      </c>
      <c r="X351" s="1" t="s">
        <v>54</v>
      </c>
      <c r="Y351" s="1" t="s">
        <v>55</v>
      </c>
      <c r="Z351" s="1" t="s">
        <v>82</v>
      </c>
      <c r="AA351" s="1" t="s">
        <v>36</v>
      </c>
      <c r="AB351" s="1" t="s">
        <v>54</v>
      </c>
      <c r="AC351" s="1" t="s">
        <v>57</v>
      </c>
      <c r="AD351" s="1" t="s">
        <v>58</v>
      </c>
      <c r="AE351" s="1" t="s">
        <v>42</v>
      </c>
      <c r="AF351" s="1" t="s">
        <v>54</v>
      </c>
      <c r="AG351" s="1" t="s">
        <v>75</v>
      </c>
      <c r="AH351" s="1" t="s">
        <v>120</v>
      </c>
    </row>
    <row r="352" spans="1:34" x14ac:dyDescent="0.3">
      <c r="A352" s="1" t="s">
        <v>55</v>
      </c>
      <c r="B352" s="1" t="s">
        <v>41</v>
      </c>
      <c r="C352" s="1" t="s">
        <v>76</v>
      </c>
      <c r="D352" s="1" t="s">
        <v>49</v>
      </c>
      <c r="E352" s="1" t="s">
        <v>77</v>
      </c>
      <c r="F352" s="1" t="s">
        <v>39</v>
      </c>
      <c r="G352" s="1" t="s">
        <v>40</v>
      </c>
      <c r="H352" s="1" t="s">
        <v>35</v>
      </c>
      <c r="I352" s="1" t="s">
        <v>35</v>
      </c>
      <c r="J352" s="1" t="s">
        <v>78</v>
      </c>
      <c r="K352" s="1" t="s">
        <v>42</v>
      </c>
      <c r="L352" s="1" t="s">
        <v>40</v>
      </c>
      <c r="M352" s="1" t="s">
        <v>106</v>
      </c>
      <c r="N352" s="1" t="s">
        <v>45</v>
      </c>
      <c r="O352" s="1" t="s">
        <v>45</v>
      </c>
      <c r="P352" s="1" t="s">
        <v>46</v>
      </c>
      <c r="Q352" s="1" t="s">
        <v>47</v>
      </c>
      <c r="R352" s="1" t="s">
        <v>80</v>
      </c>
      <c r="S352" s="1" t="s">
        <v>49</v>
      </c>
      <c r="T352" s="1" t="s">
        <v>50</v>
      </c>
      <c r="U352" s="1" t="s">
        <v>51</v>
      </c>
      <c r="V352" s="1" t="s">
        <v>81</v>
      </c>
      <c r="W352" s="1" t="s">
        <v>53</v>
      </c>
      <c r="X352" s="1" t="s">
        <v>54</v>
      </c>
      <c r="Y352" s="1" t="s">
        <v>55</v>
      </c>
      <c r="Z352" s="1" t="s">
        <v>82</v>
      </c>
      <c r="AA352" s="1" t="s">
        <v>36</v>
      </c>
      <c r="AB352" s="1" t="s">
        <v>54</v>
      </c>
      <c r="AC352" s="1" t="s">
        <v>57</v>
      </c>
      <c r="AD352" s="1" t="s">
        <v>58</v>
      </c>
      <c r="AE352" s="1" t="s">
        <v>42</v>
      </c>
      <c r="AF352" s="1" t="s">
        <v>54</v>
      </c>
      <c r="AG352" s="1" t="s">
        <v>75</v>
      </c>
      <c r="AH352" s="1" t="s">
        <v>120</v>
      </c>
    </row>
    <row r="353" spans="1:34" x14ac:dyDescent="0.3">
      <c r="A353" s="1" t="s">
        <v>99</v>
      </c>
      <c r="B353" s="1" t="s">
        <v>35</v>
      </c>
      <c r="C353" s="1" t="s">
        <v>36</v>
      </c>
      <c r="D353" s="1" t="s">
        <v>83</v>
      </c>
      <c r="E353" s="1" t="s">
        <v>38</v>
      </c>
      <c r="F353" s="1" t="s">
        <v>39</v>
      </c>
      <c r="G353" s="1" t="s">
        <v>40</v>
      </c>
      <c r="H353" s="1" t="s">
        <v>35</v>
      </c>
      <c r="I353" s="1" t="s">
        <v>41</v>
      </c>
      <c r="J353" s="1" t="s">
        <v>39</v>
      </c>
      <c r="K353" s="1" t="s">
        <v>42</v>
      </c>
      <c r="L353" s="1" t="s">
        <v>43</v>
      </c>
      <c r="M353" s="1" t="s">
        <v>44</v>
      </c>
      <c r="N353" s="1" t="s">
        <v>45</v>
      </c>
      <c r="O353" s="1" t="s">
        <v>45</v>
      </c>
      <c r="P353" s="1" t="s">
        <v>46</v>
      </c>
      <c r="Q353" s="1" t="s">
        <v>47</v>
      </c>
      <c r="R353" s="1" t="s">
        <v>48</v>
      </c>
      <c r="S353" s="1" t="s">
        <v>49</v>
      </c>
      <c r="T353" s="1" t="s">
        <v>50</v>
      </c>
      <c r="U353" s="1" t="s">
        <v>51</v>
      </c>
      <c r="V353" s="1" t="s">
        <v>52</v>
      </c>
      <c r="W353" s="1" t="s">
        <v>53</v>
      </c>
      <c r="X353" s="1" t="s">
        <v>54</v>
      </c>
      <c r="Y353" s="1" t="s">
        <v>55</v>
      </c>
      <c r="Z353" s="1" t="s">
        <v>56</v>
      </c>
      <c r="AA353" s="1" t="s">
        <v>36</v>
      </c>
      <c r="AB353" s="1" t="s">
        <v>54</v>
      </c>
      <c r="AC353" s="1" t="s">
        <v>57</v>
      </c>
      <c r="AD353" s="1" t="s">
        <v>58</v>
      </c>
      <c r="AE353" s="1" t="s">
        <v>59</v>
      </c>
      <c r="AF353" s="1" t="s">
        <v>54</v>
      </c>
      <c r="AG353" s="1" t="s">
        <v>60</v>
      </c>
      <c r="AH353" s="1" t="s">
        <v>120</v>
      </c>
    </row>
    <row r="354" spans="1:34" x14ac:dyDescent="0.3">
      <c r="A354" s="1" t="s">
        <v>74</v>
      </c>
      <c r="B354" s="1" t="s">
        <v>87</v>
      </c>
      <c r="C354" s="1" t="s">
        <v>82</v>
      </c>
      <c r="D354" s="1" t="s">
        <v>83</v>
      </c>
      <c r="E354" s="1" t="s">
        <v>38</v>
      </c>
      <c r="F354" s="1" t="s">
        <v>39</v>
      </c>
      <c r="G354" s="1" t="s">
        <v>40</v>
      </c>
      <c r="H354" s="1" t="s">
        <v>35</v>
      </c>
      <c r="I354" s="1" t="s">
        <v>105</v>
      </c>
      <c r="J354" s="1" t="s">
        <v>78</v>
      </c>
      <c r="K354" s="1" t="s">
        <v>42</v>
      </c>
      <c r="L354" s="1" t="s">
        <v>40</v>
      </c>
      <c r="M354" s="1" t="s">
        <v>114</v>
      </c>
      <c r="N354" s="1" t="s">
        <v>45</v>
      </c>
      <c r="O354" s="1" t="s">
        <v>45</v>
      </c>
      <c r="P354" s="1" t="s">
        <v>46</v>
      </c>
      <c r="Q354" s="1" t="s">
        <v>47</v>
      </c>
      <c r="R354" s="1" t="s">
        <v>80</v>
      </c>
      <c r="S354" s="1" t="s">
        <v>49</v>
      </c>
      <c r="T354" s="1" t="s">
        <v>50</v>
      </c>
      <c r="U354" s="1" t="s">
        <v>51</v>
      </c>
      <c r="V354" s="1" t="s">
        <v>81</v>
      </c>
      <c r="W354" s="1" t="s">
        <v>53</v>
      </c>
      <c r="X354" s="1" t="s">
        <v>54</v>
      </c>
      <c r="Y354" s="1" t="s">
        <v>55</v>
      </c>
      <c r="Z354" s="1" t="s">
        <v>82</v>
      </c>
      <c r="AA354" s="1" t="s">
        <v>36</v>
      </c>
      <c r="AB354" s="1" t="s">
        <v>54</v>
      </c>
      <c r="AC354" s="1" t="s">
        <v>57</v>
      </c>
      <c r="AD354" s="1" t="s">
        <v>58</v>
      </c>
      <c r="AE354" s="1" t="s">
        <v>59</v>
      </c>
      <c r="AF354" s="1" t="s">
        <v>54</v>
      </c>
      <c r="AG354" s="1" t="s">
        <v>75</v>
      </c>
      <c r="AH354" s="1" t="s">
        <v>120</v>
      </c>
    </row>
    <row r="355" spans="1:34" x14ac:dyDescent="0.3">
      <c r="A355" s="1" t="s">
        <v>55</v>
      </c>
      <c r="B355" s="1" t="s">
        <v>35</v>
      </c>
      <c r="C355" s="1" t="s">
        <v>36</v>
      </c>
      <c r="D355" s="1" t="s">
        <v>49</v>
      </c>
      <c r="E355" s="1" t="s">
        <v>77</v>
      </c>
      <c r="F355" s="1" t="s">
        <v>86</v>
      </c>
      <c r="G355" s="1" t="s">
        <v>40</v>
      </c>
      <c r="H355" s="1" t="s">
        <v>41</v>
      </c>
      <c r="I355" s="1" t="s">
        <v>41</v>
      </c>
      <c r="J355" s="1" t="s">
        <v>39</v>
      </c>
      <c r="K355" s="1" t="s">
        <v>42</v>
      </c>
      <c r="L355" s="1" t="s">
        <v>43</v>
      </c>
      <c r="M355" s="1" t="s">
        <v>44</v>
      </c>
      <c r="N355" s="1" t="s">
        <v>45</v>
      </c>
      <c r="O355" s="1" t="s">
        <v>45</v>
      </c>
      <c r="P355" s="1" t="s">
        <v>46</v>
      </c>
      <c r="Q355" s="1" t="s">
        <v>47</v>
      </c>
      <c r="R355" s="1" t="s">
        <v>80</v>
      </c>
      <c r="S355" s="1" t="s">
        <v>49</v>
      </c>
      <c r="T355" s="1" t="s">
        <v>50</v>
      </c>
      <c r="U355" s="1" t="s">
        <v>51</v>
      </c>
      <c r="V355" s="1" t="s">
        <v>52</v>
      </c>
      <c r="W355" s="1" t="s">
        <v>53</v>
      </c>
      <c r="X355" s="1" t="s">
        <v>54</v>
      </c>
      <c r="Y355" s="1" t="s">
        <v>55</v>
      </c>
      <c r="Z355" s="1" t="s">
        <v>82</v>
      </c>
      <c r="AA355" s="1" t="s">
        <v>36</v>
      </c>
      <c r="AB355" s="1" t="s">
        <v>54</v>
      </c>
      <c r="AC355" s="1" t="s">
        <v>57</v>
      </c>
      <c r="AD355" s="1" t="s">
        <v>58</v>
      </c>
      <c r="AE355" s="1" t="s">
        <v>59</v>
      </c>
      <c r="AF355" s="1" t="s">
        <v>54</v>
      </c>
      <c r="AG355" s="1" t="s">
        <v>75</v>
      </c>
      <c r="AH355" s="1" t="s">
        <v>120</v>
      </c>
    </row>
    <row r="356" spans="1:34" x14ac:dyDescent="0.3">
      <c r="A356" s="1" t="s">
        <v>55</v>
      </c>
      <c r="B356" s="1" t="s">
        <v>94</v>
      </c>
      <c r="C356" s="1" t="s">
        <v>82</v>
      </c>
      <c r="D356" s="1" t="s">
        <v>83</v>
      </c>
      <c r="E356" s="1" t="s">
        <v>38</v>
      </c>
      <c r="F356" s="1" t="s">
        <v>39</v>
      </c>
      <c r="G356" s="1" t="s">
        <v>40</v>
      </c>
      <c r="H356" s="1" t="s">
        <v>35</v>
      </c>
      <c r="I356" s="1" t="s">
        <v>41</v>
      </c>
      <c r="J356" s="1" t="s">
        <v>39</v>
      </c>
      <c r="K356" s="1" t="s">
        <v>42</v>
      </c>
      <c r="L356" s="1" t="s">
        <v>43</v>
      </c>
      <c r="M356" s="1" t="s">
        <v>44</v>
      </c>
      <c r="N356" s="1" t="s">
        <v>49</v>
      </c>
      <c r="O356" s="1" t="s">
        <v>45</v>
      </c>
      <c r="P356" s="1" t="s">
        <v>46</v>
      </c>
      <c r="Q356" s="1" t="s">
        <v>47</v>
      </c>
      <c r="R356" s="1" t="s">
        <v>48</v>
      </c>
      <c r="S356" s="1" t="s">
        <v>49</v>
      </c>
      <c r="T356" s="1" t="s">
        <v>50</v>
      </c>
      <c r="U356" s="1" t="s">
        <v>51</v>
      </c>
      <c r="V356" s="1" t="s">
        <v>52</v>
      </c>
      <c r="W356" s="1" t="s">
        <v>53</v>
      </c>
      <c r="X356" s="1" t="s">
        <v>54</v>
      </c>
      <c r="Y356" s="1" t="s">
        <v>55</v>
      </c>
      <c r="Z356" s="1" t="s">
        <v>56</v>
      </c>
      <c r="AA356" s="1" t="s">
        <v>36</v>
      </c>
      <c r="AB356" s="1" t="s">
        <v>54</v>
      </c>
      <c r="AC356" s="1" t="s">
        <v>57</v>
      </c>
      <c r="AD356" s="1" t="s">
        <v>58</v>
      </c>
      <c r="AE356" s="1" t="s">
        <v>59</v>
      </c>
      <c r="AF356" s="1" t="s">
        <v>54</v>
      </c>
      <c r="AG356" s="1" t="s">
        <v>75</v>
      </c>
      <c r="AH356" s="1" t="s">
        <v>120</v>
      </c>
    </row>
    <row r="357" spans="1:34" x14ac:dyDescent="0.3">
      <c r="A357" s="1" t="s">
        <v>91</v>
      </c>
      <c r="B357" s="1" t="s">
        <v>87</v>
      </c>
      <c r="C357" s="1" t="s">
        <v>82</v>
      </c>
      <c r="D357" s="1" t="s">
        <v>83</v>
      </c>
      <c r="E357" s="1" t="s">
        <v>38</v>
      </c>
      <c r="F357" s="1" t="s">
        <v>39</v>
      </c>
      <c r="G357" s="1" t="s">
        <v>40</v>
      </c>
      <c r="H357" s="1" t="s">
        <v>35</v>
      </c>
      <c r="I357" s="1" t="s">
        <v>41</v>
      </c>
      <c r="J357" s="1" t="s">
        <v>39</v>
      </c>
      <c r="K357" s="1" t="s">
        <v>42</v>
      </c>
      <c r="L357" s="1" t="s">
        <v>40</v>
      </c>
      <c r="M357" s="1" t="s">
        <v>44</v>
      </c>
      <c r="N357" s="1" t="s">
        <v>45</v>
      </c>
      <c r="O357" s="1" t="s">
        <v>45</v>
      </c>
      <c r="P357" s="1" t="s">
        <v>46</v>
      </c>
      <c r="Q357" s="1" t="s">
        <v>47</v>
      </c>
      <c r="R357" s="1" t="s">
        <v>48</v>
      </c>
      <c r="S357" s="1" t="s">
        <v>49</v>
      </c>
      <c r="T357" s="1" t="s">
        <v>50</v>
      </c>
      <c r="U357" s="1" t="s">
        <v>51</v>
      </c>
      <c r="V357" s="1" t="s">
        <v>52</v>
      </c>
      <c r="W357" s="1" t="s">
        <v>53</v>
      </c>
      <c r="X357" s="1" t="s">
        <v>54</v>
      </c>
      <c r="Y357" s="1" t="s">
        <v>74</v>
      </c>
      <c r="Z357" s="1" t="s">
        <v>56</v>
      </c>
      <c r="AA357" s="1" t="s">
        <v>36</v>
      </c>
      <c r="AB357" s="1" t="s">
        <v>54</v>
      </c>
      <c r="AC357" s="1" t="s">
        <v>57</v>
      </c>
      <c r="AD357" s="1" t="s">
        <v>58</v>
      </c>
      <c r="AE357" s="1" t="s">
        <v>59</v>
      </c>
      <c r="AF357" s="1" t="s">
        <v>54</v>
      </c>
      <c r="AG357" s="1" t="s">
        <v>60</v>
      </c>
      <c r="AH357" s="1" t="s">
        <v>120</v>
      </c>
    </row>
    <row r="358" spans="1:34" x14ac:dyDescent="0.3">
      <c r="A358" s="1" t="s">
        <v>34</v>
      </c>
      <c r="B358" s="1" t="s">
        <v>35</v>
      </c>
      <c r="C358" s="1" t="s">
        <v>36</v>
      </c>
      <c r="D358" s="1" t="s">
        <v>83</v>
      </c>
      <c r="E358" s="1" t="s">
        <v>38</v>
      </c>
      <c r="F358" s="1" t="s">
        <v>39</v>
      </c>
      <c r="G358" s="1" t="s">
        <v>40</v>
      </c>
      <c r="H358" s="1" t="s">
        <v>35</v>
      </c>
      <c r="I358" s="1" t="s">
        <v>41</v>
      </c>
      <c r="J358" s="1" t="s">
        <v>39</v>
      </c>
      <c r="K358" s="1" t="s">
        <v>42</v>
      </c>
      <c r="L358" s="1" t="s">
        <v>79</v>
      </c>
      <c r="M358" s="1" t="s">
        <v>44</v>
      </c>
      <c r="N358" s="1" t="s">
        <v>49</v>
      </c>
      <c r="O358" s="1" t="s">
        <v>45</v>
      </c>
      <c r="P358" s="1" t="s">
        <v>46</v>
      </c>
      <c r="Q358" s="1" t="s">
        <v>47</v>
      </c>
      <c r="R358" s="1" t="s">
        <v>80</v>
      </c>
      <c r="S358" s="1" t="s">
        <v>49</v>
      </c>
      <c r="T358" s="1" t="s">
        <v>50</v>
      </c>
      <c r="U358" s="1" t="s">
        <v>51</v>
      </c>
      <c r="V358" s="1" t="s">
        <v>52</v>
      </c>
      <c r="W358" s="1" t="s">
        <v>53</v>
      </c>
      <c r="X358" s="1" t="s">
        <v>54</v>
      </c>
      <c r="Y358" s="1" t="s">
        <v>55</v>
      </c>
      <c r="Z358" s="1" t="s">
        <v>56</v>
      </c>
      <c r="AA358" s="1" t="s">
        <v>36</v>
      </c>
      <c r="AB358" s="1" t="s">
        <v>54</v>
      </c>
      <c r="AC358" s="1" t="s">
        <v>57</v>
      </c>
      <c r="AD358" s="1" t="s">
        <v>58</v>
      </c>
      <c r="AE358" s="1" t="s">
        <v>59</v>
      </c>
      <c r="AF358" s="1" t="s">
        <v>54</v>
      </c>
      <c r="AG358" s="1" t="s">
        <v>60</v>
      </c>
      <c r="AH358" s="1" t="s">
        <v>120</v>
      </c>
    </row>
    <row r="359" spans="1:34" x14ac:dyDescent="0.3">
      <c r="A359" s="1" t="s">
        <v>34</v>
      </c>
      <c r="B359" s="1" t="s">
        <v>61</v>
      </c>
      <c r="C359" s="1" t="s">
        <v>62</v>
      </c>
      <c r="D359" s="1" t="s">
        <v>63</v>
      </c>
      <c r="E359" s="1" t="s">
        <v>64</v>
      </c>
      <c r="F359" s="1" t="s">
        <v>65</v>
      </c>
      <c r="G359" s="1" t="s">
        <v>66</v>
      </c>
      <c r="H359" s="1" t="s">
        <v>61</v>
      </c>
      <c r="I359" s="1" t="s">
        <v>61</v>
      </c>
      <c r="J359" s="1" t="s">
        <v>65</v>
      </c>
      <c r="K359" s="1" t="s">
        <v>67</v>
      </c>
      <c r="L359" s="1" t="s">
        <v>66</v>
      </c>
      <c r="M359" s="1" t="s">
        <v>68</v>
      </c>
      <c r="N359" s="1" t="s">
        <v>63</v>
      </c>
      <c r="O359" s="1" t="s">
        <v>63</v>
      </c>
      <c r="P359" s="1" t="s">
        <v>69</v>
      </c>
      <c r="Q359" s="1" t="s">
        <v>70</v>
      </c>
      <c r="R359" s="1" t="s">
        <v>71</v>
      </c>
      <c r="S359" s="1" t="s">
        <v>63</v>
      </c>
      <c r="T359" s="1" t="s">
        <v>69</v>
      </c>
      <c r="U359" s="1" t="s">
        <v>69</v>
      </c>
      <c r="V359" s="1" t="s">
        <v>63</v>
      </c>
      <c r="W359" s="1" t="s">
        <v>68</v>
      </c>
      <c r="X359" s="1" t="s">
        <v>72</v>
      </c>
      <c r="Y359" s="1" t="s">
        <v>72</v>
      </c>
      <c r="Z359" s="1" t="s">
        <v>62</v>
      </c>
      <c r="AA359" s="1" t="s">
        <v>62</v>
      </c>
      <c r="AB359" s="1" t="s">
        <v>72</v>
      </c>
      <c r="AC359" s="1" t="s">
        <v>73</v>
      </c>
      <c r="AD359" s="1" t="s">
        <v>73</v>
      </c>
      <c r="AE359" s="1" t="s">
        <v>67</v>
      </c>
      <c r="AF359" s="1" t="s">
        <v>72</v>
      </c>
      <c r="AG359" s="1" t="s">
        <v>71</v>
      </c>
      <c r="AH359" s="1" t="s">
        <v>121</v>
      </c>
    </row>
    <row r="360" spans="1:34" x14ac:dyDescent="0.3">
      <c r="A360" s="1" t="s">
        <v>55</v>
      </c>
      <c r="B360" s="1" t="s">
        <v>87</v>
      </c>
      <c r="C360" s="1" t="s">
        <v>82</v>
      </c>
      <c r="D360" s="1" t="s">
        <v>83</v>
      </c>
      <c r="E360" s="1" t="s">
        <v>38</v>
      </c>
      <c r="F360" s="1" t="s">
        <v>39</v>
      </c>
      <c r="G360" s="1" t="s">
        <v>40</v>
      </c>
      <c r="H360" s="1" t="s">
        <v>35</v>
      </c>
      <c r="I360" s="1" t="s">
        <v>35</v>
      </c>
      <c r="J360" s="1" t="s">
        <v>39</v>
      </c>
      <c r="K360" s="1" t="s">
        <v>42</v>
      </c>
      <c r="L360" s="1" t="s">
        <v>43</v>
      </c>
      <c r="M360" s="1" t="s">
        <v>44</v>
      </c>
      <c r="N360" s="1" t="s">
        <v>49</v>
      </c>
      <c r="O360" s="1" t="s">
        <v>45</v>
      </c>
      <c r="P360" s="1" t="s">
        <v>46</v>
      </c>
      <c r="Q360" s="1" t="s">
        <v>47</v>
      </c>
      <c r="R360" s="1" t="s">
        <v>80</v>
      </c>
      <c r="S360" s="1" t="s">
        <v>49</v>
      </c>
      <c r="T360" s="1" t="s">
        <v>50</v>
      </c>
      <c r="U360" s="1" t="s">
        <v>51</v>
      </c>
      <c r="V360" s="1" t="s">
        <v>52</v>
      </c>
      <c r="W360" s="1" t="s">
        <v>53</v>
      </c>
      <c r="X360" s="1" t="s">
        <v>54</v>
      </c>
      <c r="Y360" s="1" t="s">
        <v>55</v>
      </c>
      <c r="Z360" s="1" t="s">
        <v>56</v>
      </c>
      <c r="AA360" s="1" t="s">
        <v>36</v>
      </c>
      <c r="AB360" s="1" t="s">
        <v>54</v>
      </c>
      <c r="AC360" s="1" t="s">
        <v>57</v>
      </c>
      <c r="AD360" s="1" t="s">
        <v>58</v>
      </c>
      <c r="AE360" s="1" t="s">
        <v>59</v>
      </c>
      <c r="AF360" s="1" t="s">
        <v>91</v>
      </c>
      <c r="AG360" s="1" t="s">
        <v>75</v>
      </c>
      <c r="AH360" s="1" t="s">
        <v>120</v>
      </c>
    </row>
    <row r="361" spans="1:34" x14ac:dyDescent="0.3">
      <c r="A361" s="1" t="s">
        <v>91</v>
      </c>
      <c r="B361" s="1" t="s">
        <v>41</v>
      </c>
      <c r="C361" s="1" t="s">
        <v>76</v>
      </c>
      <c r="D361" s="1" t="s">
        <v>37</v>
      </c>
      <c r="E361" s="1" t="s">
        <v>38</v>
      </c>
      <c r="F361" s="1" t="s">
        <v>39</v>
      </c>
      <c r="G361" s="1" t="s">
        <v>40</v>
      </c>
      <c r="H361" s="1" t="s">
        <v>35</v>
      </c>
      <c r="I361" s="1" t="s">
        <v>41</v>
      </c>
      <c r="J361" s="1" t="s">
        <v>39</v>
      </c>
      <c r="K361" s="1" t="s">
        <v>42</v>
      </c>
      <c r="L361" s="1" t="s">
        <v>43</v>
      </c>
      <c r="M361" s="1" t="s">
        <v>44</v>
      </c>
      <c r="N361" s="1" t="s">
        <v>45</v>
      </c>
      <c r="O361" s="1" t="s">
        <v>45</v>
      </c>
      <c r="P361" s="1" t="s">
        <v>46</v>
      </c>
      <c r="Q361" s="1" t="s">
        <v>47</v>
      </c>
      <c r="R361" s="1" t="s">
        <v>48</v>
      </c>
      <c r="S361" s="1" t="s">
        <v>49</v>
      </c>
      <c r="T361" s="1" t="s">
        <v>50</v>
      </c>
      <c r="U361" s="1" t="s">
        <v>51</v>
      </c>
      <c r="V361" s="1" t="s">
        <v>52</v>
      </c>
      <c r="W361" s="1" t="s">
        <v>53</v>
      </c>
      <c r="X361" s="1" t="s">
        <v>54</v>
      </c>
      <c r="Y361" s="1" t="s">
        <v>55</v>
      </c>
      <c r="Z361" s="1" t="s">
        <v>56</v>
      </c>
      <c r="AA361" s="1" t="s">
        <v>36</v>
      </c>
      <c r="AB361" s="1" t="s">
        <v>54</v>
      </c>
      <c r="AC361" s="1" t="s">
        <v>57</v>
      </c>
      <c r="AD361" s="1" t="s">
        <v>58</v>
      </c>
      <c r="AE361" s="1" t="s">
        <v>59</v>
      </c>
      <c r="AF361" s="1" t="s">
        <v>54</v>
      </c>
      <c r="AG361" s="1" t="s">
        <v>60</v>
      </c>
      <c r="AH361" s="1" t="s">
        <v>120</v>
      </c>
    </row>
    <row r="362" spans="1:34" x14ac:dyDescent="0.3">
      <c r="A362" s="1" t="s">
        <v>55</v>
      </c>
      <c r="B362" s="1" t="s">
        <v>35</v>
      </c>
      <c r="C362" s="1" t="s">
        <v>36</v>
      </c>
      <c r="D362" s="1" t="s">
        <v>37</v>
      </c>
      <c r="E362" s="1" t="s">
        <v>38</v>
      </c>
      <c r="F362" s="1" t="s">
        <v>39</v>
      </c>
      <c r="G362" s="1" t="s">
        <v>40</v>
      </c>
      <c r="H362" s="1" t="s">
        <v>35</v>
      </c>
      <c r="I362" s="1" t="s">
        <v>41</v>
      </c>
      <c r="J362" s="1" t="s">
        <v>39</v>
      </c>
      <c r="K362" s="1" t="s">
        <v>42</v>
      </c>
      <c r="L362" s="1" t="s">
        <v>43</v>
      </c>
      <c r="M362" s="1" t="s">
        <v>44</v>
      </c>
      <c r="N362" s="1" t="s">
        <v>45</v>
      </c>
      <c r="O362" s="1" t="s">
        <v>45</v>
      </c>
      <c r="P362" s="1" t="s">
        <v>46</v>
      </c>
      <c r="Q362" s="1" t="s">
        <v>47</v>
      </c>
      <c r="R362" s="1" t="s">
        <v>48</v>
      </c>
      <c r="S362" s="1" t="s">
        <v>49</v>
      </c>
      <c r="T362" s="1" t="s">
        <v>50</v>
      </c>
      <c r="U362" s="1" t="s">
        <v>51</v>
      </c>
      <c r="V362" s="1" t="s">
        <v>52</v>
      </c>
      <c r="W362" s="1" t="s">
        <v>53</v>
      </c>
      <c r="X362" s="1" t="s">
        <v>54</v>
      </c>
      <c r="Y362" s="1" t="s">
        <v>55</v>
      </c>
      <c r="Z362" s="1" t="s">
        <v>56</v>
      </c>
      <c r="AA362" s="1" t="s">
        <v>36</v>
      </c>
      <c r="AB362" s="1" t="s">
        <v>54</v>
      </c>
      <c r="AC362" s="1" t="s">
        <v>57</v>
      </c>
      <c r="AD362" s="1" t="s">
        <v>58</v>
      </c>
      <c r="AE362" s="1" t="s">
        <v>59</v>
      </c>
      <c r="AF362" s="1" t="s">
        <v>54</v>
      </c>
      <c r="AG362" s="1" t="s">
        <v>75</v>
      </c>
      <c r="AH362" s="1" t="s">
        <v>120</v>
      </c>
    </row>
    <row r="363" spans="1:34" x14ac:dyDescent="0.3">
      <c r="A363" s="1" t="s">
        <v>74</v>
      </c>
      <c r="B363" s="1" t="s">
        <v>35</v>
      </c>
      <c r="C363" s="1" t="s">
        <v>36</v>
      </c>
      <c r="D363" s="1" t="s">
        <v>83</v>
      </c>
      <c r="E363" s="1" t="s">
        <v>38</v>
      </c>
      <c r="F363" s="1" t="s">
        <v>39</v>
      </c>
      <c r="G363" s="1" t="s">
        <v>40</v>
      </c>
      <c r="H363" s="1" t="s">
        <v>35</v>
      </c>
      <c r="I363" s="1" t="s">
        <v>41</v>
      </c>
      <c r="J363" s="1" t="s">
        <v>39</v>
      </c>
      <c r="K363" s="1" t="s">
        <v>42</v>
      </c>
      <c r="L363" s="1" t="s">
        <v>40</v>
      </c>
      <c r="M363" s="1" t="s">
        <v>44</v>
      </c>
      <c r="N363" s="1" t="s">
        <v>49</v>
      </c>
      <c r="O363" s="1" t="s">
        <v>45</v>
      </c>
      <c r="P363" s="1" t="s">
        <v>46</v>
      </c>
      <c r="Q363" s="1" t="s">
        <v>47</v>
      </c>
      <c r="R363" s="1" t="s">
        <v>80</v>
      </c>
      <c r="S363" s="1" t="s">
        <v>49</v>
      </c>
      <c r="T363" s="1" t="s">
        <v>50</v>
      </c>
      <c r="U363" s="1" t="s">
        <v>51</v>
      </c>
      <c r="V363" s="1" t="s">
        <v>52</v>
      </c>
      <c r="W363" s="1" t="s">
        <v>53</v>
      </c>
      <c r="X363" s="1" t="s">
        <v>54</v>
      </c>
      <c r="Y363" s="1" t="s">
        <v>55</v>
      </c>
      <c r="Z363" s="1" t="s">
        <v>82</v>
      </c>
      <c r="AA363" s="1" t="s">
        <v>36</v>
      </c>
      <c r="AB363" s="1" t="s">
        <v>54</v>
      </c>
      <c r="AC363" s="1" t="s">
        <v>57</v>
      </c>
      <c r="AD363" s="1" t="s">
        <v>58</v>
      </c>
      <c r="AE363" s="1" t="s">
        <v>59</v>
      </c>
      <c r="AF363" s="1" t="s">
        <v>54</v>
      </c>
      <c r="AG363" s="1" t="s">
        <v>75</v>
      </c>
      <c r="AH363" s="1" t="s">
        <v>120</v>
      </c>
    </row>
    <row r="364" spans="1:34" x14ac:dyDescent="0.3">
      <c r="A364" s="1" t="s">
        <v>34</v>
      </c>
      <c r="B364" s="1" t="s">
        <v>87</v>
      </c>
      <c r="C364" s="1" t="s">
        <v>82</v>
      </c>
      <c r="D364" s="1" t="s">
        <v>37</v>
      </c>
      <c r="E364" s="1" t="s">
        <v>38</v>
      </c>
      <c r="F364" s="1" t="s">
        <v>39</v>
      </c>
      <c r="G364" s="1" t="s">
        <v>40</v>
      </c>
      <c r="H364" s="1" t="s">
        <v>35</v>
      </c>
      <c r="I364" s="1" t="s">
        <v>41</v>
      </c>
      <c r="J364" s="1" t="s">
        <v>39</v>
      </c>
      <c r="K364" s="1" t="s">
        <v>42</v>
      </c>
      <c r="L364" s="1" t="s">
        <v>43</v>
      </c>
      <c r="M364" s="1" t="s">
        <v>44</v>
      </c>
      <c r="N364" s="1" t="s">
        <v>45</v>
      </c>
      <c r="O364" s="1" t="s">
        <v>45</v>
      </c>
      <c r="P364" s="1" t="s">
        <v>46</v>
      </c>
      <c r="Q364" s="1" t="s">
        <v>47</v>
      </c>
      <c r="R364" s="1" t="s">
        <v>80</v>
      </c>
      <c r="S364" s="1" t="s">
        <v>49</v>
      </c>
      <c r="T364" s="1" t="s">
        <v>50</v>
      </c>
      <c r="U364" s="1" t="s">
        <v>51</v>
      </c>
      <c r="V364" s="1" t="s">
        <v>52</v>
      </c>
      <c r="W364" s="1" t="s">
        <v>53</v>
      </c>
      <c r="X364" s="1" t="s">
        <v>54</v>
      </c>
      <c r="Y364" s="1" t="s">
        <v>55</v>
      </c>
      <c r="Z364" s="1" t="s">
        <v>56</v>
      </c>
      <c r="AA364" s="1" t="s">
        <v>36</v>
      </c>
      <c r="AB364" s="1" t="s">
        <v>54</v>
      </c>
      <c r="AC364" s="1" t="s">
        <v>57</v>
      </c>
      <c r="AD364" s="1" t="s">
        <v>58</v>
      </c>
      <c r="AE364" s="1" t="s">
        <v>59</v>
      </c>
      <c r="AF364" s="1" t="s">
        <v>54</v>
      </c>
      <c r="AG364" s="1" t="s">
        <v>75</v>
      </c>
      <c r="AH364" s="1" t="s">
        <v>120</v>
      </c>
    </row>
    <row r="365" spans="1:34" x14ac:dyDescent="0.3">
      <c r="A365" s="1" t="s">
        <v>99</v>
      </c>
      <c r="B365" s="1" t="s">
        <v>41</v>
      </c>
      <c r="C365" s="1" t="s">
        <v>76</v>
      </c>
      <c r="D365" s="1" t="s">
        <v>49</v>
      </c>
      <c r="E365" s="1" t="s">
        <v>77</v>
      </c>
      <c r="F365" s="1" t="s">
        <v>39</v>
      </c>
      <c r="G365" s="1" t="s">
        <v>40</v>
      </c>
      <c r="H365" s="1" t="s">
        <v>35</v>
      </c>
      <c r="I365" s="1" t="s">
        <v>94</v>
      </c>
      <c r="J365" s="1" t="s">
        <v>92</v>
      </c>
      <c r="K365" s="1" t="s">
        <v>42</v>
      </c>
      <c r="L365" s="1" t="s">
        <v>43</v>
      </c>
      <c r="M365" s="1" t="s">
        <v>44</v>
      </c>
      <c r="N365" s="1" t="s">
        <v>45</v>
      </c>
      <c r="O365" s="1" t="s">
        <v>45</v>
      </c>
      <c r="P365" s="1" t="s">
        <v>46</v>
      </c>
      <c r="Q365" s="1" t="s">
        <v>47</v>
      </c>
      <c r="R365" s="1" t="s">
        <v>48</v>
      </c>
      <c r="S365" s="1" t="s">
        <v>49</v>
      </c>
      <c r="T365" s="1" t="s">
        <v>50</v>
      </c>
      <c r="U365" s="1" t="s">
        <v>51</v>
      </c>
      <c r="V365" s="1" t="s">
        <v>52</v>
      </c>
      <c r="W365" s="1" t="s">
        <v>53</v>
      </c>
      <c r="X365" s="1" t="s">
        <v>54</v>
      </c>
      <c r="Y365" s="1" t="s">
        <v>55</v>
      </c>
      <c r="Z365" s="1" t="s">
        <v>82</v>
      </c>
      <c r="AA365" s="1" t="s">
        <v>36</v>
      </c>
      <c r="AB365" s="1" t="s">
        <v>54</v>
      </c>
      <c r="AC365" s="1" t="s">
        <v>57</v>
      </c>
      <c r="AD365" s="1" t="s">
        <v>58</v>
      </c>
      <c r="AE365" s="1" t="s">
        <v>42</v>
      </c>
      <c r="AF365" s="1" t="s">
        <v>54</v>
      </c>
      <c r="AG365" s="1" t="s">
        <v>60</v>
      </c>
      <c r="AH365" s="1" t="s">
        <v>120</v>
      </c>
    </row>
    <row r="366" spans="1:34" x14ac:dyDescent="0.3">
      <c r="A366" s="1" t="s">
        <v>74</v>
      </c>
      <c r="B366" s="1" t="s">
        <v>35</v>
      </c>
      <c r="C366" s="1" t="s">
        <v>36</v>
      </c>
      <c r="D366" s="1" t="s">
        <v>37</v>
      </c>
      <c r="E366" s="1" t="s">
        <v>77</v>
      </c>
      <c r="F366" s="1" t="s">
        <v>39</v>
      </c>
      <c r="G366" s="1" t="s">
        <v>40</v>
      </c>
      <c r="H366" s="1" t="s">
        <v>35</v>
      </c>
      <c r="I366" s="1" t="s">
        <v>41</v>
      </c>
      <c r="J366" s="1" t="s">
        <v>39</v>
      </c>
      <c r="K366" s="1" t="s">
        <v>42</v>
      </c>
      <c r="L366" s="1" t="s">
        <v>43</v>
      </c>
      <c r="M366" s="1" t="s">
        <v>44</v>
      </c>
      <c r="N366" s="1" t="s">
        <v>45</v>
      </c>
      <c r="O366" s="1" t="s">
        <v>45</v>
      </c>
      <c r="P366" s="1" t="s">
        <v>46</v>
      </c>
      <c r="Q366" s="1" t="s">
        <v>47</v>
      </c>
      <c r="R366" s="1" t="s">
        <v>80</v>
      </c>
      <c r="S366" s="1" t="s">
        <v>49</v>
      </c>
      <c r="T366" s="1" t="s">
        <v>50</v>
      </c>
      <c r="U366" s="1" t="s">
        <v>51</v>
      </c>
      <c r="V366" s="1" t="s">
        <v>52</v>
      </c>
      <c r="W366" s="1" t="s">
        <v>53</v>
      </c>
      <c r="X366" s="1" t="s">
        <v>54</v>
      </c>
      <c r="Y366" s="1" t="s">
        <v>55</v>
      </c>
      <c r="Z366" s="1" t="s">
        <v>82</v>
      </c>
      <c r="AA366" s="1" t="s">
        <v>36</v>
      </c>
      <c r="AB366" s="1" t="s">
        <v>54</v>
      </c>
      <c r="AC366" s="1" t="s">
        <v>57</v>
      </c>
      <c r="AD366" s="1" t="s">
        <v>58</v>
      </c>
      <c r="AE366" s="1" t="s">
        <v>59</v>
      </c>
      <c r="AF366" s="1" t="s">
        <v>54</v>
      </c>
      <c r="AG366" s="1" t="s">
        <v>75</v>
      </c>
      <c r="AH366" s="1" t="s">
        <v>120</v>
      </c>
    </row>
    <row r="367" spans="1:34" x14ac:dyDescent="0.3">
      <c r="A367" s="1" t="s">
        <v>34</v>
      </c>
      <c r="B367" s="1" t="s">
        <v>41</v>
      </c>
      <c r="C367" s="1" t="s">
        <v>76</v>
      </c>
      <c r="D367" s="1" t="s">
        <v>37</v>
      </c>
      <c r="E367" s="1" t="s">
        <v>38</v>
      </c>
      <c r="F367" s="1" t="s">
        <v>39</v>
      </c>
      <c r="G367" s="1" t="s">
        <v>40</v>
      </c>
      <c r="H367" s="1" t="s">
        <v>35</v>
      </c>
      <c r="I367" s="1" t="s">
        <v>41</v>
      </c>
      <c r="J367" s="1" t="s">
        <v>39</v>
      </c>
      <c r="K367" s="1" t="s">
        <v>42</v>
      </c>
      <c r="L367" s="1" t="s">
        <v>43</v>
      </c>
      <c r="M367" s="1" t="s">
        <v>44</v>
      </c>
      <c r="N367" s="1" t="s">
        <v>49</v>
      </c>
      <c r="O367" s="1" t="s">
        <v>45</v>
      </c>
      <c r="P367" s="1" t="s">
        <v>46</v>
      </c>
      <c r="Q367" s="1" t="s">
        <v>47</v>
      </c>
      <c r="R367" s="1" t="s">
        <v>80</v>
      </c>
      <c r="S367" s="1" t="s">
        <v>49</v>
      </c>
      <c r="T367" s="1" t="s">
        <v>50</v>
      </c>
      <c r="U367" s="1" t="s">
        <v>51</v>
      </c>
      <c r="V367" s="1" t="s">
        <v>52</v>
      </c>
      <c r="W367" s="1" t="s">
        <v>53</v>
      </c>
      <c r="X367" s="1" t="s">
        <v>54</v>
      </c>
      <c r="Y367" s="1" t="s">
        <v>55</v>
      </c>
      <c r="Z367" s="1" t="s">
        <v>82</v>
      </c>
      <c r="AA367" s="1" t="s">
        <v>36</v>
      </c>
      <c r="AB367" s="1" t="s">
        <v>54</v>
      </c>
      <c r="AC367" s="1" t="s">
        <v>57</v>
      </c>
      <c r="AD367" s="1" t="s">
        <v>58</v>
      </c>
      <c r="AE367" s="1" t="s">
        <v>42</v>
      </c>
      <c r="AF367" s="1" t="s">
        <v>54</v>
      </c>
      <c r="AG367" s="1" t="s">
        <v>75</v>
      </c>
      <c r="AH367" s="1" t="s">
        <v>120</v>
      </c>
    </row>
    <row r="368" spans="1:34" x14ac:dyDescent="0.3">
      <c r="A368" s="1" t="s">
        <v>74</v>
      </c>
      <c r="B368" s="1" t="s">
        <v>61</v>
      </c>
      <c r="C368" s="1" t="s">
        <v>62</v>
      </c>
      <c r="D368" s="1" t="s">
        <v>63</v>
      </c>
      <c r="E368" s="1" t="s">
        <v>64</v>
      </c>
      <c r="F368" s="1" t="s">
        <v>65</v>
      </c>
      <c r="G368" s="1" t="s">
        <v>66</v>
      </c>
      <c r="H368" s="1" t="s">
        <v>61</v>
      </c>
      <c r="I368" s="1" t="s">
        <v>61</v>
      </c>
      <c r="J368" s="1" t="s">
        <v>65</v>
      </c>
      <c r="K368" s="1" t="s">
        <v>67</v>
      </c>
      <c r="L368" s="1" t="s">
        <v>66</v>
      </c>
      <c r="M368" s="1" t="s">
        <v>68</v>
      </c>
      <c r="N368" s="1" t="s">
        <v>63</v>
      </c>
      <c r="O368" s="1" t="s">
        <v>63</v>
      </c>
      <c r="P368" s="1" t="s">
        <v>69</v>
      </c>
      <c r="Q368" s="1" t="s">
        <v>70</v>
      </c>
      <c r="R368" s="1" t="s">
        <v>71</v>
      </c>
      <c r="S368" s="1" t="s">
        <v>63</v>
      </c>
      <c r="T368" s="1" t="s">
        <v>69</v>
      </c>
      <c r="U368" s="1" t="s">
        <v>69</v>
      </c>
      <c r="V368" s="1" t="s">
        <v>63</v>
      </c>
      <c r="W368" s="1" t="s">
        <v>68</v>
      </c>
      <c r="X368" s="1" t="s">
        <v>72</v>
      </c>
      <c r="Y368" s="1" t="s">
        <v>72</v>
      </c>
      <c r="Z368" s="1" t="s">
        <v>62</v>
      </c>
      <c r="AA368" s="1" t="s">
        <v>62</v>
      </c>
      <c r="AB368" s="1" t="s">
        <v>72</v>
      </c>
      <c r="AC368" s="1" t="s">
        <v>73</v>
      </c>
      <c r="AD368" s="1" t="s">
        <v>73</v>
      </c>
      <c r="AE368" s="1" t="s">
        <v>67</v>
      </c>
      <c r="AF368" s="1" t="s">
        <v>72</v>
      </c>
      <c r="AG368" s="1" t="s">
        <v>71</v>
      </c>
      <c r="AH368" s="1" t="s">
        <v>120</v>
      </c>
    </row>
    <row r="369" spans="1:34" x14ac:dyDescent="0.3">
      <c r="A369" s="1" t="s">
        <v>109</v>
      </c>
      <c r="B369" s="1" t="s">
        <v>35</v>
      </c>
      <c r="C369" s="1" t="s">
        <v>62</v>
      </c>
      <c r="D369" s="1" t="s">
        <v>37</v>
      </c>
      <c r="E369" s="1" t="s">
        <v>77</v>
      </c>
      <c r="F369" s="1" t="s">
        <v>39</v>
      </c>
      <c r="G369" s="1" t="s">
        <v>40</v>
      </c>
      <c r="H369" s="1" t="s">
        <v>35</v>
      </c>
      <c r="I369" s="1" t="s">
        <v>41</v>
      </c>
      <c r="J369" s="1" t="s">
        <v>39</v>
      </c>
      <c r="K369" s="1" t="s">
        <v>42</v>
      </c>
      <c r="L369" s="1" t="s">
        <v>43</v>
      </c>
      <c r="M369" s="1" t="s">
        <v>44</v>
      </c>
      <c r="N369" s="1" t="s">
        <v>45</v>
      </c>
      <c r="O369" s="1" t="s">
        <v>45</v>
      </c>
      <c r="P369" s="1" t="s">
        <v>103</v>
      </c>
      <c r="Q369" s="1" t="s">
        <v>47</v>
      </c>
      <c r="R369" s="1" t="s">
        <v>80</v>
      </c>
      <c r="S369" s="1" t="s">
        <v>49</v>
      </c>
      <c r="T369" s="1" t="s">
        <v>50</v>
      </c>
      <c r="U369" s="1" t="s">
        <v>51</v>
      </c>
      <c r="V369" s="1" t="s">
        <v>52</v>
      </c>
      <c r="W369" s="1" t="s">
        <v>53</v>
      </c>
      <c r="X369" s="1" t="s">
        <v>54</v>
      </c>
      <c r="Y369" s="1" t="s">
        <v>55</v>
      </c>
      <c r="Z369" s="1" t="s">
        <v>56</v>
      </c>
      <c r="AA369" s="1" t="s">
        <v>36</v>
      </c>
      <c r="AB369" s="1" t="s">
        <v>54</v>
      </c>
      <c r="AC369" s="1" t="s">
        <v>57</v>
      </c>
      <c r="AD369" s="1" t="s">
        <v>58</v>
      </c>
      <c r="AE369" s="1" t="s">
        <v>59</v>
      </c>
      <c r="AF369" s="1" t="s">
        <v>54</v>
      </c>
      <c r="AG369" s="1" t="s">
        <v>71</v>
      </c>
      <c r="AH369" s="1" t="s">
        <v>121</v>
      </c>
    </row>
    <row r="370" spans="1:34" x14ac:dyDescent="0.3">
      <c r="A370" s="1" t="s">
        <v>91</v>
      </c>
      <c r="B370" s="1" t="s">
        <v>87</v>
      </c>
      <c r="C370" s="1" t="s">
        <v>82</v>
      </c>
      <c r="D370" s="1" t="s">
        <v>49</v>
      </c>
      <c r="E370" s="1" t="s">
        <v>77</v>
      </c>
      <c r="F370" s="1" t="s">
        <v>39</v>
      </c>
      <c r="G370" s="1" t="s">
        <v>40</v>
      </c>
      <c r="H370" s="1" t="s">
        <v>35</v>
      </c>
      <c r="I370" s="1" t="s">
        <v>35</v>
      </c>
      <c r="J370" s="1" t="s">
        <v>39</v>
      </c>
      <c r="K370" s="1" t="s">
        <v>42</v>
      </c>
      <c r="L370" s="1" t="s">
        <v>88</v>
      </c>
      <c r="M370" s="1" t="s">
        <v>44</v>
      </c>
      <c r="N370" s="1" t="s">
        <v>45</v>
      </c>
      <c r="O370" s="1" t="s">
        <v>45</v>
      </c>
      <c r="P370" s="1" t="s">
        <v>46</v>
      </c>
      <c r="Q370" s="1" t="s">
        <v>47</v>
      </c>
      <c r="R370" s="1" t="s">
        <v>80</v>
      </c>
      <c r="S370" s="1" t="s">
        <v>49</v>
      </c>
      <c r="T370" s="1" t="s">
        <v>50</v>
      </c>
      <c r="U370" s="1" t="s">
        <v>51</v>
      </c>
      <c r="V370" s="1" t="s">
        <v>52</v>
      </c>
      <c r="W370" s="1" t="s">
        <v>53</v>
      </c>
      <c r="X370" s="1" t="s">
        <v>54</v>
      </c>
      <c r="Y370" s="1" t="s">
        <v>55</v>
      </c>
      <c r="Z370" s="1" t="s">
        <v>56</v>
      </c>
      <c r="AA370" s="1" t="s">
        <v>36</v>
      </c>
      <c r="AB370" s="1" t="s">
        <v>54</v>
      </c>
      <c r="AC370" s="1" t="s">
        <v>57</v>
      </c>
      <c r="AD370" s="1" t="s">
        <v>58</v>
      </c>
      <c r="AE370" s="1" t="s">
        <v>59</v>
      </c>
      <c r="AF370" s="1" t="s">
        <v>54</v>
      </c>
      <c r="AG370" s="1" t="s">
        <v>75</v>
      </c>
      <c r="AH370" s="1" t="s">
        <v>120</v>
      </c>
    </row>
    <row r="371" spans="1:34" x14ac:dyDescent="0.3">
      <c r="A371" s="1" t="s">
        <v>54</v>
      </c>
      <c r="B371" s="1" t="s">
        <v>87</v>
      </c>
      <c r="C371" s="1" t="s">
        <v>82</v>
      </c>
      <c r="D371" s="1" t="s">
        <v>49</v>
      </c>
      <c r="E371" s="1" t="s">
        <v>77</v>
      </c>
      <c r="F371" s="1" t="s">
        <v>86</v>
      </c>
      <c r="G371" s="1" t="s">
        <v>40</v>
      </c>
      <c r="H371" s="1" t="s">
        <v>35</v>
      </c>
      <c r="I371" s="1" t="s">
        <v>94</v>
      </c>
      <c r="J371" s="1" t="s">
        <v>92</v>
      </c>
      <c r="K371" s="1" t="s">
        <v>42</v>
      </c>
      <c r="L371" s="1" t="s">
        <v>43</v>
      </c>
      <c r="M371" s="1" t="s">
        <v>44</v>
      </c>
      <c r="N371" s="1" t="s">
        <v>45</v>
      </c>
      <c r="O371" s="1" t="s">
        <v>45</v>
      </c>
      <c r="P371" s="1" t="s">
        <v>46</v>
      </c>
      <c r="Q371" s="1" t="s">
        <v>47</v>
      </c>
      <c r="R371" s="1" t="s">
        <v>48</v>
      </c>
      <c r="S371" s="1" t="s">
        <v>49</v>
      </c>
      <c r="T371" s="1" t="s">
        <v>50</v>
      </c>
      <c r="U371" s="1" t="s">
        <v>51</v>
      </c>
      <c r="V371" s="1" t="s">
        <v>52</v>
      </c>
      <c r="W371" s="1" t="s">
        <v>53</v>
      </c>
      <c r="X371" s="1" t="s">
        <v>54</v>
      </c>
      <c r="Y371" s="1" t="s">
        <v>74</v>
      </c>
      <c r="Z371" s="1" t="s">
        <v>56</v>
      </c>
      <c r="AA371" s="1" t="s">
        <v>36</v>
      </c>
      <c r="AB371" s="1" t="s">
        <v>54</v>
      </c>
      <c r="AC371" s="1" t="s">
        <v>57</v>
      </c>
      <c r="AD371" s="1" t="s">
        <v>58</v>
      </c>
      <c r="AE371" s="1" t="s">
        <v>59</v>
      </c>
      <c r="AF371" s="1" t="s">
        <v>54</v>
      </c>
      <c r="AG371" s="1" t="s">
        <v>75</v>
      </c>
      <c r="AH371" s="1" t="s">
        <v>120</v>
      </c>
    </row>
    <row r="372" spans="1:34" x14ac:dyDescent="0.3">
      <c r="A372" s="1" t="s">
        <v>91</v>
      </c>
      <c r="B372" s="1" t="s">
        <v>41</v>
      </c>
      <c r="C372" s="1" t="s">
        <v>76</v>
      </c>
      <c r="D372" s="1" t="s">
        <v>83</v>
      </c>
      <c r="E372" s="1" t="s">
        <v>38</v>
      </c>
      <c r="F372" s="1" t="s">
        <v>39</v>
      </c>
      <c r="G372" s="1" t="s">
        <v>40</v>
      </c>
      <c r="H372" s="1" t="s">
        <v>35</v>
      </c>
      <c r="I372" s="1" t="s">
        <v>94</v>
      </c>
      <c r="J372" s="1" t="s">
        <v>39</v>
      </c>
      <c r="K372" s="1" t="s">
        <v>42</v>
      </c>
      <c r="L372" s="1" t="s">
        <v>43</v>
      </c>
      <c r="M372" s="1" t="s">
        <v>44</v>
      </c>
      <c r="N372" s="1" t="s">
        <v>45</v>
      </c>
      <c r="O372" s="1" t="s">
        <v>45</v>
      </c>
      <c r="P372" s="1" t="s">
        <v>46</v>
      </c>
      <c r="Q372" s="1" t="s">
        <v>47</v>
      </c>
      <c r="R372" s="1" t="s">
        <v>48</v>
      </c>
      <c r="S372" s="1" t="s">
        <v>49</v>
      </c>
      <c r="T372" s="1" t="s">
        <v>50</v>
      </c>
      <c r="U372" s="1" t="s">
        <v>51</v>
      </c>
      <c r="V372" s="1" t="s">
        <v>52</v>
      </c>
      <c r="W372" s="1" t="s">
        <v>53</v>
      </c>
      <c r="X372" s="1" t="s">
        <v>54</v>
      </c>
      <c r="Y372" s="1" t="s">
        <v>74</v>
      </c>
      <c r="Z372" s="1" t="s">
        <v>56</v>
      </c>
      <c r="AA372" s="1" t="s">
        <v>36</v>
      </c>
      <c r="AB372" s="1" t="s">
        <v>54</v>
      </c>
      <c r="AC372" s="1" t="s">
        <v>89</v>
      </c>
      <c r="AD372" s="1" t="s">
        <v>58</v>
      </c>
      <c r="AE372" s="1" t="s">
        <v>42</v>
      </c>
      <c r="AF372" s="1" t="s">
        <v>54</v>
      </c>
      <c r="AG372" s="1" t="s">
        <v>60</v>
      </c>
      <c r="AH372" s="1" t="s">
        <v>120</v>
      </c>
    </row>
    <row r="373" spans="1:34" x14ac:dyDescent="0.3">
      <c r="A373" s="1" t="s">
        <v>74</v>
      </c>
      <c r="B373" s="1" t="s">
        <v>41</v>
      </c>
      <c r="C373" s="1" t="s">
        <v>76</v>
      </c>
      <c r="D373" s="1" t="s">
        <v>37</v>
      </c>
      <c r="E373" s="1" t="s">
        <v>38</v>
      </c>
      <c r="F373" s="1" t="s">
        <v>39</v>
      </c>
      <c r="G373" s="1" t="s">
        <v>40</v>
      </c>
      <c r="H373" s="1" t="s">
        <v>35</v>
      </c>
      <c r="I373" s="1" t="s">
        <v>35</v>
      </c>
      <c r="J373" s="1" t="s">
        <v>39</v>
      </c>
      <c r="K373" s="1" t="s">
        <v>42</v>
      </c>
      <c r="L373" s="1" t="s">
        <v>43</v>
      </c>
      <c r="M373" s="1" t="s">
        <v>53</v>
      </c>
      <c r="N373" s="1" t="s">
        <v>45</v>
      </c>
      <c r="O373" s="1" t="s">
        <v>45</v>
      </c>
      <c r="P373" s="1" t="s">
        <v>103</v>
      </c>
      <c r="Q373" s="1" t="s">
        <v>47</v>
      </c>
      <c r="R373" s="1" t="s">
        <v>80</v>
      </c>
      <c r="S373" s="1" t="s">
        <v>49</v>
      </c>
      <c r="T373" s="1" t="s">
        <v>50</v>
      </c>
      <c r="U373" s="1" t="s">
        <v>51</v>
      </c>
      <c r="V373" s="1" t="s">
        <v>52</v>
      </c>
      <c r="W373" s="1" t="s">
        <v>53</v>
      </c>
      <c r="X373" s="1" t="s">
        <v>54</v>
      </c>
      <c r="Y373" s="1" t="s">
        <v>55</v>
      </c>
      <c r="Z373" s="1" t="s">
        <v>56</v>
      </c>
      <c r="AA373" s="1" t="s">
        <v>36</v>
      </c>
      <c r="AB373" s="1" t="s">
        <v>54</v>
      </c>
      <c r="AC373" s="1" t="s">
        <v>57</v>
      </c>
      <c r="AD373" s="1" t="s">
        <v>58</v>
      </c>
      <c r="AE373" s="1" t="s">
        <v>59</v>
      </c>
      <c r="AF373" s="1" t="s">
        <v>54</v>
      </c>
      <c r="AG373" s="1" t="s">
        <v>71</v>
      </c>
      <c r="AH373" s="1" t="s">
        <v>120</v>
      </c>
    </row>
    <row r="374" spans="1:34" x14ac:dyDescent="0.3">
      <c r="A374" s="1" t="s">
        <v>55</v>
      </c>
      <c r="B374" s="1" t="s">
        <v>41</v>
      </c>
      <c r="C374" s="1" t="s">
        <v>76</v>
      </c>
      <c r="D374" s="1" t="s">
        <v>37</v>
      </c>
      <c r="E374" s="1" t="s">
        <v>77</v>
      </c>
      <c r="F374" s="1" t="s">
        <v>39</v>
      </c>
      <c r="G374" s="1" t="s">
        <v>40</v>
      </c>
      <c r="H374" s="1" t="s">
        <v>35</v>
      </c>
      <c r="I374" s="1" t="s">
        <v>35</v>
      </c>
      <c r="J374" s="1" t="s">
        <v>78</v>
      </c>
      <c r="K374" s="1" t="s">
        <v>42</v>
      </c>
      <c r="L374" s="1" t="s">
        <v>43</v>
      </c>
      <c r="M374" s="1" t="s">
        <v>44</v>
      </c>
      <c r="N374" s="1" t="s">
        <v>45</v>
      </c>
      <c r="O374" s="1" t="s">
        <v>45</v>
      </c>
      <c r="P374" s="1" t="s">
        <v>46</v>
      </c>
      <c r="Q374" s="1" t="s">
        <v>93</v>
      </c>
      <c r="R374" s="1" t="s">
        <v>48</v>
      </c>
      <c r="S374" s="1" t="s">
        <v>45</v>
      </c>
      <c r="T374" s="1" t="s">
        <v>50</v>
      </c>
      <c r="U374" s="1" t="s">
        <v>51</v>
      </c>
      <c r="V374" s="1" t="s">
        <v>52</v>
      </c>
      <c r="W374" s="1" t="s">
        <v>53</v>
      </c>
      <c r="X374" s="1" t="s">
        <v>54</v>
      </c>
      <c r="Y374" s="1" t="s">
        <v>55</v>
      </c>
      <c r="Z374" s="1" t="s">
        <v>56</v>
      </c>
      <c r="AA374" s="1" t="s">
        <v>36</v>
      </c>
      <c r="AB374" s="1" t="s">
        <v>54</v>
      </c>
      <c r="AC374" s="1" t="s">
        <v>57</v>
      </c>
      <c r="AD374" s="1" t="s">
        <v>58</v>
      </c>
      <c r="AE374" s="1" t="s">
        <v>42</v>
      </c>
      <c r="AF374" s="1" t="s">
        <v>54</v>
      </c>
      <c r="AG374" s="1" t="s">
        <v>75</v>
      </c>
      <c r="AH374" s="1" t="s">
        <v>120</v>
      </c>
    </row>
    <row r="375" spans="1:34" x14ac:dyDescent="0.3">
      <c r="A375" s="1" t="s">
        <v>54</v>
      </c>
      <c r="B375" s="1" t="s">
        <v>41</v>
      </c>
      <c r="C375" s="1" t="s">
        <v>76</v>
      </c>
      <c r="D375" s="1" t="s">
        <v>83</v>
      </c>
      <c r="E375" s="1" t="s">
        <v>38</v>
      </c>
      <c r="F375" s="1" t="s">
        <v>39</v>
      </c>
      <c r="G375" s="1" t="s">
        <v>40</v>
      </c>
      <c r="H375" s="1" t="s">
        <v>35</v>
      </c>
      <c r="I375" s="1" t="s">
        <v>94</v>
      </c>
      <c r="J375" s="1" t="s">
        <v>39</v>
      </c>
      <c r="K375" s="1" t="s">
        <v>42</v>
      </c>
      <c r="L375" s="1" t="s">
        <v>43</v>
      </c>
      <c r="M375" s="1" t="s">
        <v>44</v>
      </c>
      <c r="N375" s="1" t="s">
        <v>45</v>
      </c>
      <c r="O375" s="1" t="s">
        <v>45</v>
      </c>
      <c r="P375" s="1" t="s">
        <v>50</v>
      </c>
      <c r="Q375" s="1" t="s">
        <v>93</v>
      </c>
      <c r="R375" s="1" t="s">
        <v>48</v>
      </c>
      <c r="S375" s="1" t="s">
        <v>49</v>
      </c>
      <c r="T375" s="1" t="s">
        <v>50</v>
      </c>
      <c r="U375" s="1" t="s">
        <v>51</v>
      </c>
      <c r="V375" s="1" t="s">
        <v>52</v>
      </c>
      <c r="W375" s="1" t="s">
        <v>53</v>
      </c>
      <c r="X375" s="1" t="s">
        <v>54</v>
      </c>
      <c r="Y375" s="1" t="s">
        <v>55</v>
      </c>
      <c r="Z375" s="1" t="s">
        <v>56</v>
      </c>
      <c r="AA375" s="1" t="s">
        <v>36</v>
      </c>
      <c r="AB375" s="1" t="s">
        <v>54</v>
      </c>
      <c r="AC375" s="1" t="s">
        <v>57</v>
      </c>
      <c r="AD375" s="1" t="s">
        <v>58</v>
      </c>
      <c r="AE375" s="1" t="s">
        <v>42</v>
      </c>
      <c r="AF375" s="1" t="s">
        <v>54</v>
      </c>
      <c r="AG375" s="1" t="s">
        <v>60</v>
      </c>
      <c r="AH375" s="1" t="s">
        <v>120</v>
      </c>
    </row>
    <row r="376" spans="1:34" x14ac:dyDescent="0.3">
      <c r="A376" s="1" t="s">
        <v>74</v>
      </c>
      <c r="B376" s="1" t="s">
        <v>41</v>
      </c>
      <c r="C376" s="1" t="s">
        <v>76</v>
      </c>
      <c r="D376" s="1" t="s">
        <v>52</v>
      </c>
      <c r="E376" s="1" t="s">
        <v>115</v>
      </c>
      <c r="F376" s="1" t="s">
        <v>39</v>
      </c>
      <c r="G376" s="1" t="s">
        <v>40</v>
      </c>
      <c r="H376" s="1" t="s">
        <v>35</v>
      </c>
      <c r="I376" s="1" t="s">
        <v>35</v>
      </c>
      <c r="J376" s="1" t="s">
        <v>39</v>
      </c>
      <c r="K376" s="1" t="s">
        <v>42</v>
      </c>
      <c r="L376" s="1" t="s">
        <v>43</v>
      </c>
      <c r="M376" s="1" t="s">
        <v>84</v>
      </c>
      <c r="N376" s="1" t="s">
        <v>45</v>
      </c>
      <c r="O376" s="1" t="s">
        <v>45</v>
      </c>
      <c r="P376" s="1" t="s">
        <v>116</v>
      </c>
      <c r="Q376" s="1" t="s">
        <v>47</v>
      </c>
      <c r="R376" s="1" t="s">
        <v>48</v>
      </c>
      <c r="S376" s="1" t="s">
        <v>49</v>
      </c>
      <c r="T376" s="1" t="s">
        <v>50</v>
      </c>
      <c r="U376" s="1" t="s">
        <v>51</v>
      </c>
      <c r="V376" s="1" t="s">
        <v>52</v>
      </c>
      <c r="W376" s="1" t="s">
        <v>53</v>
      </c>
      <c r="X376" s="1" t="s">
        <v>54</v>
      </c>
      <c r="Y376" s="1" t="s">
        <v>55</v>
      </c>
      <c r="Z376" s="1" t="s">
        <v>82</v>
      </c>
      <c r="AA376" s="1" t="s">
        <v>36</v>
      </c>
      <c r="AB376" s="1" t="s">
        <v>54</v>
      </c>
      <c r="AC376" s="1" t="s">
        <v>57</v>
      </c>
      <c r="AD376" s="1" t="s">
        <v>58</v>
      </c>
      <c r="AE376" s="1" t="s">
        <v>42</v>
      </c>
      <c r="AF376" s="1" t="s">
        <v>54</v>
      </c>
      <c r="AG376" s="1" t="s">
        <v>75</v>
      </c>
      <c r="AH376" s="1" t="s">
        <v>120</v>
      </c>
    </row>
    <row r="377" spans="1:34" x14ac:dyDescent="0.3">
      <c r="A377" s="1" t="s">
        <v>91</v>
      </c>
      <c r="B377" s="1" t="s">
        <v>61</v>
      </c>
      <c r="C377" s="1" t="s">
        <v>62</v>
      </c>
      <c r="D377" s="1" t="s">
        <v>63</v>
      </c>
      <c r="E377" s="1" t="s">
        <v>64</v>
      </c>
      <c r="F377" s="1" t="s">
        <v>65</v>
      </c>
      <c r="G377" s="1" t="s">
        <v>66</v>
      </c>
      <c r="H377" s="1" t="s">
        <v>61</v>
      </c>
      <c r="I377" s="1" t="s">
        <v>61</v>
      </c>
      <c r="J377" s="1" t="s">
        <v>65</v>
      </c>
      <c r="K377" s="1" t="s">
        <v>67</v>
      </c>
      <c r="L377" s="1" t="s">
        <v>66</v>
      </c>
      <c r="M377" s="1" t="s">
        <v>68</v>
      </c>
      <c r="N377" s="1" t="s">
        <v>63</v>
      </c>
      <c r="O377" s="1" t="s">
        <v>63</v>
      </c>
      <c r="P377" s="1" t="s">
        <v>69</v>
      </c>
      <c r="Q377" s="1" t="s">
        <v>70</v>
      </c>
      <c r="R377" s="1" t="s">
        <v>71</v>
      </c>
      <c r="S377" s="1" t="s">
        <v>63</v>
      </c>
      <c r="T377" s="1" t="s">
        <v>69</v>
      </c>
      <c r="U377" s="1" t="s">
        <v>69</v>
      </c>
      <c r="V377" s="1" t="s">
        <v>63</v>
      </c>
      <c r="W377" s="1" t="s">
        <v>68</v>
      </c>
      <c r="X377" s="1" t="s">
        <v>72</v>
      </c>
      <c r="Y377" s="1" t="s">
        <v>72</v>
      </c>
      <c r="Z377" s="1" t="s">
        <v>62</v>
      </c>
      <c r="AA377" s="1" t="s">
        <v>62</v>
      </c>
      <c r="AB377" s="1" t="s">
        <v>72</v>
      </c>
      <c r="AC377" s="1" t="s">
        <v>73</v>
      </c>
      <c r="AD377" s="1" t="s">
        <v>73</v>
      </c>
      <c r="AE377" s="1" t="s">
        <v>67</v>
      </c>
      <c r="AF377" s="1" t="s">
        <v>72</v>
      </c>
      <c r="AG377" s="1" t="s">
        <v>71</v>
      </c>
      <c r="AH377" s="1" t="s">
        <v>120</v>
      </c>
    </row>
    <row r="378" spans="1:34" x14ac:dyDescent="0.3">
      <c r="A378" s="1" t="s">
        <v>74</v>
      </c>
      <c r="B378" s="1" t="s">
        <v>41</v>
      </c>
      <c r="C378" s="1" t="s">
        <v>36</v>
      </c>
      <c r="D378" s="1" t="s">
        <v>83</v>
      </c>
      <c r="E378" s="1" t="s">
        <v>38</v>
      </c>
      <c r="F378" s="1" t="s">
        <v>39</v>
      </c>
      <c r="G378" s="1" t="s">
        <v>40</v>
      </c>
      <c r="H378" s="1" t="s">
        <v>35</v>
      </c>
      <c r="I378" s="1" t="s">
        <v>35</v>
      </c>
      <c r="J378" s="1" t="s">
        <v>39</v>
      </c>
      <c r="K378" s="1" t="s">
        <v>42</v>
      </c>
      <c r="L378" s="1" t="s">
        <v>43</v>
      </c>
      <c r="M378" s="1" t="s">
        <v>44</v>
      </c>
      <c r="N378" s="1" t="s">
        <v>45</v>
      </c>
      <c r="O378" s="1" t="s">
        <v>45</v>
      </c>
      <c r="P378" s="1" t="s">
        <v>46</v>
      </c>
      <c r="Q378" s="1" t="s">
        <v>47</v>
      </c>
      <c r="R378" s="1" t="s">
        <v>80</v>
      </c>
      <c r="S378" s="1" t="s">
        <v>49</v>
      </c>
      <c r="T378" s="1" t="s">
        <v>50</v>
      </c>
      <c r="U378" s="1" t="s">
        <v>51</v>
      </c>
      <c r="V378" s="1" t="s">
        <v>52</v>
      </c>
      <c r="W378" s="1" t="s">
        <v>53</v>
      </c>
      <c r="X378" s="1" t="s">
        <v>54</v>
      </c>
      <c r="Y378" s="1" t="s">
        <v>74</v>
      </c>
      <c r="Z378" s="1" t="s">
        <v>82</v>
      </c>
      <c r="AA378" s="1" t="s">
        <v>36</v>
      </c>
      <c r="AB378" s="1" t="s">
        <v>54</v>
      </c>
      <c r="AC378" s="1" t="s">
        <v>57</v>
      </c>
      <c r="AD378" s="1" t="s">
        <v>58</v>
      </c>
      <c r="AE378" s="1" t="s">
        <v>42</v>
      </c>
      <c r="AF378" s="1" t="s">
        <v>54</v>
      </c>
      <c r="AG378" s="1" t="s">
        <v>75</v>
      </c>
      <c r="AH378" s="1" t="s">
        <v>120</v>
      </c>
    </row>
    <row r="379" spans="1:34" x14ac:dyDescent="0.3">
      <c r="A379" s="1" t="s">
        <v>74</v>
      </c>
      <c r="B379" s="1" t="s">
        <v>41</v>
      </c>
      <c r="C379" s="1" t="s">
        <v>76</v>
      </c>
      <c r="D379" s="1" t="s">
        <v>83</v>
      </c>
      <c r="E379" s="1" t="s">
        <v>38</v>
      </c>
      <c r="F379" s="1" t="s">
        <v>39</v>
      </c>
      <c r="G379" s="1" t="s">
        <v>40</v>
      </c>
      <c r="H379" s="1" t="s">
        <v>35</v>
      </c>
      <c r="I379" s="1" t="s">
        <v>94</v>
      </c>
      <c r="J379" s="1" t="s">
        <v>39</v>
      </c>
      <c r="K379" s="1" t="s">
        <v>42</v>
      </c>
      <c r="L379" s="1" t="s">
        <v>79</v>
      </c>
      <c r="M379" s="1" t="s">
        <v>44</v>
      </c>
      <c r="N379" s="1" t="s">
        <v>45</v>
      </c>
      <c r="O379" s="1" t="s">
        <v>52</v>
      </c>
      <c r="P379" s="1" t="s">
        <v>50</v>
      </c>
      <c r="Q379" s="1" t="s">
        <v>47</v>
      </c>
      <c r="R379" s="1" t="s">
        <v>80</v>
      </c>
      <c r="S379" s="1" t="s">
        <v>49</v>
      </c>
      <c r="T379" s="1" t="s">
        <v>50</v>
      </c>
      <c r="U379" s="1" t="s">
        <v>51</v>
      </c>
      <c r="V379" s="1" t="s">
        <v>52</v>
      </c>
      <c r="W379" s="1" t="s">
        <v>53</v>
      </c>
      <c r="X379" s="1" t="s">
        <v>54</v>
      </c>
      <c r="Y379" s="1" t="s">
        <v>55</v>
      </c>
      <c r="Z379" s="1" t="s">
        <v>82</v>
      </c>
      <c r="AA379" s="1" t="s">
        <v>36</v>
      </c>
      <c r="AB379" s="1" t="s">
        <v>54</v>
      </c>
      <c r="AC379" s="1" t="s">
        <v>57</v>
      </c>
      <c r="AD379" s="1" t="s">
        <v>58</v>
      </c>
      <c r="AE379" s="1" t="s">
        <v>42</v>
      </c>
      <c r="AF379" s="1" t="s">
        <v>54</v>
      </c>
      <c r="AG379" s="1" t="s">
        <v>75</v>
      </c>
      <c r="AH379" s="1" t="s">
        <v>120</v>
      </c>
    </row>
    <row r="380" spans="1:34" x14ac:dyDescent="0.3">
      <c r="A380" s="1" t="s">
        <v>91</v>
      </c>
      <c r="B380" s="1" t="s">
        <v>41</v>
      </c>
      <c r="C380" s="1" t="s">
        <v>76</v>
      </c>
      <c r="D380" s="1" t="s">
        <v>49</v>
      </c>
      <c r="E380" s="1" t="s">
        <v>38</v>
      </c>
      <c r="F380" s="1" t="s">
        <v>39</v>
      </c>
      <c r="G380" s="1" t="s">
        <v>40</v>
      </c>
      <c r="H380" s="1" t="s">
        <v>35</v>
      </c>
      <c r="I380" s="1" t="s">
        <v>94</v>
      </c>
      <c r="J380" s="1" t="s">
        <v>39</v>
      </c>
      <c r="K380" s="1" t="s">
        <v>42</v>
      </c>
      <c r="L380" s="1" t="s">
        <v>43</v>
      </c>
      <c r="M380" s="1" t="s">
        <v>44</v>
      </c>
      <c r="N380" s="1" t="s">
        <v>45</v>
      </c>
      <c r="O380" s="1" t="s">
        <v>45</v>
      </c>
      <c r="P380" s="1" t="s">
        <v>46</v>
      </c>
      <c r="Q380" s="1" t="s">
        <v>47</v>
      </c>
      <c r="R380" s="1" t="s">
        <v>48</v>
      </c>
      <c r="S380" s="1" t="s">
        <v>49</v>
      </c>
      <c r="T380" s="1" t="s">
        <v>50</v>
      </c>
      <c r="U380" s="1" t="s">
        <v>51</v>
      </c>
      <c r="V380" s="1" t="s">
        <v>52</v>
      </c>
      <c r="W380" s="1" t="s">
        <v>53</v>
      </c>
      <c r="X380" s="1" t="s">
        <v>91</v>
      </c>
      <c r="Y380" s="1" t="s">
        <v>55</v>
      </c>
      <c r="Z380" s="1" t="s">
        <v>56</v>
      </c>
      <c r="AA380" s="1" t="s">
        <v>36</v>
      </c>
      <c r="AB380" s="1" t="s">
        <v>54</v>
      </c>
      <c r="AC380" s="1" t="s">
        <v>57</v>
      </c>
      <c r="AD380" s="1" t="s">
        <v>58</v>
      </c>
      <c r="AE380" s="1" t="s">
        <v>42</v>
      </c>
      <c r="AF380" s="1" t="s">
        <v>54</v>
      </c>
      <c r="AG380" s="1" t="s">
        <v>60</v>
      </c>
      <c r="AH380" s="1" t="s">
        <v>120</v>
      </c>
    </row>
    <row r="381" spans="1:34" x14ac:dyDescent="0.3">
      <c r="A381" s="1" t="s">
        <v>74</v>
      </c>
      <c r="B381" s="1" t="s">
        <v>41</v>
      </c>
      <c r="C381" s="1" t="s">
        <v>36</v>
      </c>
      <c r="D381" s="1" t="s">
        <v>83</v>
      </c>
      <c r="E381" s="1" t="s">
        <v>38</v>
      </c>
      <c r="F381" s="1" t="s">
        <v>39</v>
      </c>
      <c r="G381" s="1" t="s">
        <v>40</v>
      </c>
      <c r="H381" s="1" t="s">
        <v>35</v>
      </c>
      <c r="I381" s="1" t="s">
        <v>35</v>
      </c>
      <c r="J381" s="1" t="s">
        <v>39</v>
      </c>
      <c r="K381" s="1" t="s">
        <v>42</v>
      </c>
      <c r="L381" s="1" t="s">
        <v>43</v>
      </c>
      <c r="M381" s="1" t="s">
        <v>44</v>
      </c>
      <c r="N381" s="1" t="s">
        <v>45</v>
      </c>
      <c r="O381" s="1" t="s">
        <v>45</v>
      </c>
      <c r="P381" s="1" t="s">
        <v>103</v>
      </c>
      <c r="Q381" s="1" t="s">
        <v>47</v>
      </c>
      <c r="R381" s="1" t="s">
        <v>48</v>
      </c>
      <c r="S381" s="1" t="s">
        <v>49</v>
      </c>
      <c r="T381" s="1" t="s">
        <v>50</v>
      </c>
      <c r="U381" s="1" t="s">
        <v>51</v>
      </c>
      <c r="V381" s="1" t="s">
        <v>52</v>
      </c>
      <c r="W381" s="1" t="s">
        <v>53</v>
      </c>
      <c r="X381" s="1" t="s">
        <v>54</v>
      </c>
      <c r="Y381" s="1" t="s">
        <v>55</v>
      </c>
      <c r="Z381" s="1" t="s">
        <v>56</v>
      </c>
      <c r="AA381" s="1" t="s">
        <v>76</v>
      </c>
      <c r="AB381" s="1" t="s">
        <v>54</v>
      </c>
      <c r="AC381" s="1" t="s">
        <v>57</v>
      </c>
      <c r="AD381" s="1" t="s">
        <v>58</v>
      </c>
      <c r="AE381" s="1" t="s">
        <v>59</v>
      </c>
      <c r="AF381" s="1" t="s">
        <v>54</v>
      </c>
      <c r="AG381" s="1" t="s">
        <v>75</v>
      </c>
      <c r="AH381" s="1" t="s">
        <v>120</v>
      </c>
    </row>
    <row r="382" spans="1:34" x14ac:dyDescent="0.3">
      <c r="A382" s="1" t="s">
        <v>54</v>
      </c>
      <c r="B382" s="1" t="s">
        <v>41</v>
      </c>
      <c r="C382" s="1" t="s">
        <v>76</v>
      </c>
      <c r="D382" s="1" t="s">
        <v>37</v>
      </c>
      <c r="E382" s="1" t="s">
        <v>38</v>
      </c>
      <c r="F382" s="1" t="s">
        <v>39</v>
      </c>
      <c r="G382" s="1" t="s">
        <v>40</v>
      </c>
      <c r="H382" s="1" t="s">
        <v>35</v>
      </c>
      <c r="I382" s="1" t="s">
        <v>35</v>
      </c>
      <c r="J382" s="1" t="s">
        <v>39</v>
      </c>
      <c r="K382" s="1" t="s">
        <v>42</v>
      </c>
      <c r="L382" s="1" t="s">
        <v>43</v>
      </c>
      <c r="M382" s="1" t="s">
        <v>44</v>
      </c>
      <c r="N382" s="1" t="s">
        <v>45</v>
      </c>
      <c r="O382" s="1" t="s">
        <v>45</v>
      </c>
      <c r="P382" s="1" t="s">
        <v>46</v>
      </c>
      <c r="Q382" s="1" t="s">
        <v>47</v>
      </c>
      <c r="R382" s="1" t="s">
        <v>80</v>
      </c>
      <c r="S382" s="1" t="s">
        <v>49</v>
      </c>
      <c r="T382" s="1" t="s">
        <v>50</v>
      </c>
      <c r="U382" s="1" t="s">
        <v>51</v>
      </c>
      <c r="V382" s="1" t="s">
        <v>52</v>
      </c>
      <c r="W382" s="1" t="s">
        <v>53</v>
      </c>
      <c r="X382" s="1" t="s">
        <v>54</v>
      </c>
      <c r="Y382" s="1" t="s">
        <v>55</v>
      </c>
      <c r="Z382" s="1" t="s">
        <v>56</v>
      </c>
      <c r="AA382" s="1" t="s">
        <v>36</v>
      </c>
      <c r="AB382" s="1" t="s">
        <v>54</v>
      </c>
      <c r="AC382" s="1" t="s">
        <v>57</v>
      </c>
      <c r="AD382" s="1" t="s">
        <v>58</v>
      </c>
      <c r="AE382" s="1" t="s">
        <v>42</v>
      </c>
      <c r="AF382" s="1" t="s">
        <v>54</v>
      </c>
      <c r="AG382" s="1" t="s">
        <v>75</v>
      </c>
      <c r="AH382" s="1" t="s">
        <v>120</v>
      </c>
    </row>
    <row r="383" spans="1:34" x14ac:dyDescent="0.3">
      <c r="A383" s="1" t="s">
        <v>74</v>
      </c>
      <c r="B383" s="1" t="s">
        <v>87</v>
      </c>
      <c r="C383" s="1" t="s">
        <v>82</v>
      </c>
      <c r="D383" s="1" t="s">
        <v>83</v>
      </c>
      <c r="E383" s="1" t="s">
        <v>77</v>
      </c>
      <c r="F383" s="1" t="s">
        <v>39</v>
      </c>
      <c r="G383" s="1" t="s">
        <v>40</v>
      </c>
      <c r="H383" s="1" t="s">
        <v>35</v>
      </c>
      <c r="I383" s="1" t="s">
        <v>41</v>
      </c>
      <c r="J383" s="1" t="s">
        <v>39</v>
      </c>
      <c r="K383" s="1" t="s">
        <v>42</v>
      </c>
      <c r="L383" s="1" t="s">
        <v>43</v>
      </c>
      <c r="M383" s="1" t="s">
        <v>44</v>
      </c>
      <c r="N383" s="1" t="s">
        <v>45</v>
      </c>
      <c r="O383" s="1" t="s">
        <v>45</v>
      </c>
      <c r="P383" s="1" t="s">
        <v>46</v>
      </c>
      <c r="Q383" s="1" t="s">
        <v>47</v>
      </c>
      <c r="R383" s="1" t="s">
        <v>80</v>
      </c>
      <c r="S383" s="1" t="s">
        <v>49</v>
      </c>
      <c r="T383" s="1" t="s">
        <v>50</v>
      </c>
      <c r="U383" s="1" t="s">
        <v>51</v>
      </c>
      <c r="V383" s="1" t="s">
        <v>81</v>
      </c>
      <c r="W383" s="1" t="s">
        <v>53</v>
      </c>
      <c r="X383" s="1" t="s">
        <v>54</v>
      </c>
      <c r="Y383" s="1" t="s">
        <v>55</v>
      </c>
      <c r="Z383" s="1" t="s">
        <v>82</v>
      </c>
      <c r="AA383" s="1" t="s">
        <v>36</v>
      </c>
      <c r="AB383" s="1" t="s">
        <v>54</v>
      </c>
      <c r="AC383" s="1" t="s">
        <v>57</v>
      </c>
      <c r="AD383" s="1" t="s">
        <v>58</v>
      </c>
      <c r="AE383" s="1" t="s">
        <v>59</v>
      </c>
      <c r="AF383" s="1" t="s">
        <v>54</v>
      </c>
      <c r="AG383" s="1" t="s">
        <v>75</v>
      </c>
      <c r="AH383" s="1" t="s">
        <v>120</v>
      </c>
    </row>
    <row r="384" spans="1:34" x14ac:dyDescent="0.3">
      <c r="A384" s="1" t="s">
        <v>91</v>
      </c>
      <c r="B384" s="1" t="s">
        <v>41</v>
      </c>
      <c r="C384" s="1" t="s">
        <v>76</v>
      </c>
      <c r="D384" s="1" t="s">
        <v>83</v>
      </c>
      <c r="E384" s="1" t="s">
        <v>38</v>
      </c>
      <c r="F384" s="1" t="s">
        <v>39</v>
      </c>
      <c r="G384" s="1" t="s">
        <v>40</v>
      </c>
      <c r="H384" s="1" t="s">
        <v>35</v>
      </c>
      <c r="I384" s="1" t="s">
        <v>94</v>
      </c>
      <c r="J384" s="1" t="s">
        <v>39</v>
      </c>
      <c r="K384" s="1" t="s">
        <v>42</v>
      </c>
      <c r="L384" s="1" t="s">
        <v>43</v>
      </c>
      <c r="M384" s="1" t="s">
        <v>44</v>
      </c>
      <c r="N384" s="1" t="s">
        <v>45</v>
      </c>
      <c r="O384" s="1" t="s">
        <v>52</v>
      </c>
      <c r="P384" s="1" t="s">
        <v>50</v>
      </c>
      <c r="Q384" s="1" t="s">
        <v>47</v>
      </c>
      <c r="R384" s="1" t="s">
        <v>48</v>
      </c>
      <c r="S384" s="1" t="s">
        <v>49</v>
      </c>
      <c r="T384" s="1" t="s">
        <v>50</v>
      </c>
      <c r="U384" s="1" t="s">
        <v>51</v>
      </c>
      <c r="V384" s="1" t="s">
        <v>52</v>
      </c>
      <c r="W384" s="1" t="s">
        <v>53</v>
      </c>
      <c r="X384" s="1" t="s">
        <v>54</v>
      </c>
      <c r="Y384" s="1" t="s">
        <v>74</v>
      </c>
      <c r="Z384" s="1" t="s">
        <v>82</v>
      </c>
      <c r="AA384" s="1" t="s">
        <v>36</v>
      </c>
      <c r="AB384" s="1" t="s">
        <v>54</v>
      </c>
      <c r="AC384" s="1" t="s">
        <v>57</v>
      </c>
      <c r="AD384" s="1" t="s">
        <v>58</v>
      </c>
      <c r="AE384" s="1" t="s">
        <v>42</v>
      </c>
      <c r="AF384" s="1" t="s">
        <v>54</v>
      </c>
      <c r="AG384" s="1" t="s">
        <v>75</v>
      </c>
      <c r="AH384" s="1" t="s">
        <v>120</v>
      </c>
    </row>
    <row r="385" spans="1:34" x14ac:dyDescent="0.3">
      <c r="A385" s="1" t="s">
        <v>34</v>
      </c>
      <c r="B385" s="1" t="s">
        <v>41</v>
      </c>
      <c r="C385" s="1" t="s">
        <v>76</v>
      </c>
      <c r="D385" s="1" t="s">
        <v>83</v>
      </c>
      <c r="E385" s="1" t="s">
        <v>38</v>
      </c>
      <c r="F385" s="1" t="s">
        <v>39</v>
      </c>
      <c r="G385" s="1" t="s">
        <v>40</v>
      </c>
      <c r="H385" s="1" t="s">
        <v>35</v>
      </c>
      <c r="I385" s="1" t="s">
        <v>35</v>
      </c>
      <c r="J385" s="1" t="s">
        <v>39</v>
      </c>
      <c r="K385" s="1" t="s">
        <v>42</v>
      </c>
      <c r="L385" s="1" t="s">
        <v>40</v>
      </c>
      <c r="M385" s="1" t="s">
        <v>44</v>
      </c>
      <c r="N385" s="1" t="s">
        <v>45</v>
      </c>
      <c r="O385" s="1" t="s">
        <v>45</v>
      </c>
      <c r="P385" s="1" t="s">
        <v>46</v>
      </c>
      <c r="Q385" s="1" t="s">
        <v>47</v>
      </c>
      <c r="R385" s="1" t="s">
        <v>80</v>
      </c>
      <c r="S385" s="1" t="s">
        <v>49</v>
      </c>
      <c r="T385" s="1" t="s">
        <v>50</v>
      </c>
      <c r="U385" s="1" t="s">
        <v>51</v>
      </c>
      <c r="V385" s="1" t="s">
        <v>52</v>
      </c>
      <c r="W385" s="1" t="s">
        <v>53</v>
      </c>
      <c r="X385" s="1" t="s">
        <v>54</v>
      </c>
      <c r="Y385" s="1" t="s">
        <v>74</v>
      </c>
      <c r="Z385" s="1" t="s">
        <v>82</v>
      </c>
      <c r="AA385" s="1" t="s">
        <v>36</v>
      </c>
      <c r="AB385" s="1" t="s">
        <v>91</v>
      </c>
      <c r="AC385" s="1" t="s">
        <v>57</v>
      </c>
      <c r="AD385" s="1" t="s">
        <v>58</v>
      </c>
      <c r="AE385" s="1" t="s">
        <v>42</v>
      </c>
      <c r="AF385" s="1" t="s">
        <v>54</v>
      </c>
      <c r="AG385" s="1" t="s">
        <v>75</v>
      </c>
      <c r="AH385" s="1" t="s">
        <v>120</v>
      </c>
    </row>
    <row r="386" spans="1:34" x14ac:dyDescent="0.3">
      <c r="A386" s="1" t="s">
        <v>91</v>
      </c>
      <c r="B386" s="1" t="s">
        <v>41</v>
      </c>
      <c r="C386" s="1" t="s">
        <v>76</v>
      </c>
      <c r="D386" s="1" t="s">
        <v>83</v>
      </c>
      <c r="E386" s="1" t="s">
        <v>38</v>
      </c>
      <c r="F386" s="1" t="s">
        <v>39</v>
      </c>
      <c r="G386" s="1" t="s">
        <v>40</v>
      </c>
      <c r="H386" s="1" t="s">
        <v>35</v>
      </c>
      <c r="I386" s="1" t="s">
        <v>35</v>
      </c>
      <c r="J386" s="1" t="s">
        <v>39</v>
      </c>
      <c r="K386" s="1" t="s">
        <v>42</v>
      </c>
      <c r="L386" s="1" t="s">
        <v>43</v>
      </c>
      <c r="M386" s="1" t="s">
        <v>44</v>
      </c>
      <c r="N386" s="1" t="s">
        <v>45</v>
      </c>
      <c r="O386" s="1" t="s">
        <v>45</v>
      </c>
      <c r="P386" s="1" t="s">
        <v>50</v>
      </c>
      <c r="Q386" s="1" t="s">
        <v>47</v>
      </c>
      <c r="R386" s="1" t="s">
        <v>80</v>
      </c>
      <c r="S386" s="1" t="s">
        <v>49</v>
      </c>
      <c r="T386" s="1" t="s">
        <v>50</v>
      </c>
      <c r="U386" s="1" t="s">
        <v>51</v>
      </c>
      <c r="V386" s="1" t="s">
        <v>52</v>
      </c>
      <c r="W386" s="1" t="s">
        <v>53</v>
      </c>
      <c r="X386" s="1" t="s">
        <v>54</v>
      </c>
      <c r="Y386" s="1" t="s">
        <v>55</v>
      </c>
      <c r="Z386" s="1" t="s">
        <v>82</v>
      </c>
      <c r="AA386" s="1" t="s">
        <v>36</v>
      </c>
      <c r="AB386" s="1" t="s">
        <v>54</v>
      </c>
      <c r="AC386" s="1" t="s">
        <v>57</v>
      </c>
      <c r="AD386" s="1" t="s">
        <v>58</v>
      </c>
      <c r="AE386" s="1" t="s">
        <v>42</v>
      </c>
      <c r="AF386" s="1" t="s">
        <v>54</v>
      </c>
      <c r="AG386" s="1" t="s">
        <v>75</v>
      </c>
      <c r="AH386" s="1" t="s">
        <v>120</v>
      </c>
    </row>
    <row r="387" spans="1:34" x14ac:dyDescent="0.3">
      <c r="A387" s="1" t="s">
        <v>54</v>
      </c>
      <c r="B387" s="1" t="s">
        <v>41</v>
      </c>
      <c r="C387" s="1" t="s">
        <v>76</v>
      </c>
      <c r="D387" s="1" t="s">
        <v>83</v>
      </c>
      <c r="E387" s="1" t="s">
        <v>38</v>
      </c>
      <c r="F387" s="1" t="s">
        <v>39</v>
      </c>
      <c r="G387" s="1" t="s">
        <v>40</v>
      </c>
      <c r="H387" s="1" t="s">
        <v>35</v>
      </c>
      <c r="I387" s="1" t="s">
        <v>94</v>
      </c>
      <c r="J387" s="1" t="s">
        <v>39</v>
      </c>
      <c r="K387" s="1" t="s">
        <v>42</v>
      </c>
      <c r="L387" s="1" t="s">
        <v>43</v>
      </c>
      <c r="M387" s="1" t="s">
        <v>44</v>
      </c>
      <c r="N387" s="1" t="s">
        <v>45</v>
      </c>
      <c r="O387" s="1" t="s">
        <v>45</v>
      </c>
      <c r="P387" s="1" t="s">
        <v>46</v>
      </c>
      <c r="Q387" s="1" t="s">
        <v>47</v>
      </c>
      <c r="R387" s="1" t="s">
        <v>48</v>
      </c>
      <c r="S387" s="1" t="s">
        <v>49</v>
      </c>
      <c r="T387" s="1" t="s">
        <v>50</v>
      </c>
      <c r="U387" s="1" t="s">
        <v>51</v>
      </c>
      <c r="V387" s="1" t="s">
        <v>52</v>
      </c>
      <c r="W387" s="1" t="s">
        <v>53</v>
      </c>
      <c r="X387" s="1" t="s">
        <v>54</v>
      </c>
      <c r="Y387" s="1" t="s">
        <v>55</v>
      </c>
      <c r="Z387" s="1" t="s">
        <v>56</v>
      </c>
      <c r="AA387" s="1" t="s">
        <v>36</v>
      </c>
      <c r="AB387" s="1" t="s">
        <v>54</v>
      </c>
      <c r="AC387" s="1" t="s">
        <v>57</v>
      </c>
      <c r="AD387" s="1" t="s">
        <v>58</v>
      </c>
      <c r="AE387" s="1" t="s">
        <v>42</v>
      </c>
      <c r="AF387" s="1" t="s">
        <v>54</v>
      </c>
      <c r="AG387" s="1" t="s">
        <v>60</v>
      </c>
      <c r="AH387" s="1" t="s">
        <v>120</v>
      </c>
    </row>
    <row r="388" spans="1:34" x14ac:dyDescent="0.3">
      <c r="A388" s="1" t="s">
        <v>117</v>
      </c>
      <c r="B388" s="1" t="s">
        <v>35</v>
      </c>
      <c r="C388" s="1" t="s">
        <v>62</v>
      </c>
      <c r="D388" s="1" t="s">
        <v>83</v>
      </c>
      <c r="E388" s="1" t="s">
        <v>38</v>
      </c>
      <c r="F388" s="1" t="s">
        <v>39</v>
      </c>
      <c r="G388" s="1" t="s">
        <v>40</v>
      </c>
      <c r="H388" s="1" t="s">
        <v>35</v>
      </c>
      <c r="I388" s="1" t="s">
        <v>41</v>
      </c>
      <c r="J388" s="1" t="s">
        <v>39</v>
      </c>
      <c r="K388" s="1" t="s">
        <v>59</v>
      </c>
      <c r="L388" s="1" t="s">
        <v>66</v>
      </c>
      <c r="M388" s="1" t="s">
        <v>53</v>
      </c>
      <c r="N388" s="1" t="s">
        <v>45</v>
      </c>
      <c r="O388" s="1" t="s">
        <v>45</v>
      </c>
      <c r="P388" s="1" t="s">
        <v>103</v>
      </c>
      <c r="Q388" s="1" t="s">
        <v>47</v>
      </c>
      <c r="R388" s="1" t="s">
        <v>80</v>
      </c>
      <c r="S388" s="1" t="s">
        <v>49</v>
      </c>
      <c r="T388" s="1" t="s">
        <v>50</v>
      </c>
      <c r="U388" s="1" t="s">
        <v>51</v>
      </c>
      <c r="V388" s="1" t="s">
        <v>81</v>
      </c>
      <c r="W388" s="1" t="s">
        <v>53</v>
      </c>
      <c r="X388" s="1" t="s">
        <v>54</v>
      </c>
      <c r="Y388" s="1" t="s">
        <v>55</v>
      </c>
      <c r="Z388" s="1" t="s">
        <v>82</v>
      </c>
      <c r="AA388" s="1" t="s">
        <v>36</v>
      </c>
      <c r="AB388" s="1" t="s">
        <v>54</v>
      </c>
      <c r="AC388" s="1" t="s">
        <v>57</v>
      </c>
      <c r="AD388" s="1" t="s">
        <v>58</v>
      </c>
      <c r="AE388" s="1" t="s">
        <v>59</v>
      </c>
      <c r="AF388" s="1" t="s">
        <v>54</v>
      </c>
      <c r="AG388" s="1" t="s">
        <v>71</v>
      </c>
      <c r="AH388" s="1" t="s">
        <v>121</v>
      </c>
    </row>
    <row r="389" spans="1:34" x14ac:dyDescent="0.3">
      <c r="A389" s="1" t="s">
        <v>85</v>
      </c>
      <c r="B389" s="1" t="s">
        <v>41</v>
      </c>
      <c r="C389" s="1" t="s">
        <v>76</v>
      </c>
      <c r="D389" s="1" t="s">
        <v>83</v>
      </c>
      <c r="E389" s="1" t="s">
        <v>38</v>
      </c>
      <c r="F389" s="1" t="s">
        <v>39</v>
      </c>
      <c r="G389" s="1" t="s">
        <v>40</v>
      </c>
      <c r="H389" s="1" t="s">
        <v>35</v>
      </c>
      <c r="I389" s="1" t="s">
        <v>41</v>
      </c>
      <c r="J389" s="1" t="s">
        <v>39</v>
      </c>
      <c r="K389" s="1" t="s">
        <v>42</v>
      </c>
      <c r="L389" s="1" t="s">
        <v>43</v>
      </c>
      <c r="M389" s="1" t="s">
        <v>44</v>
      </c>
      <c r="N389" s="1" t="s">
        <v>45</v>
      </c>
      <c r="O389" s="1" t="s">
        <v>52</v>
      </c>
      <c r="P389" s="1" t="s">
        <v>50</v>
      </c>
      <c r="Q389" s="1" t="s">
        <v>47</v>
      </c>
      <c r="R389" s="1" t="s">
        <v>80</v>
      </c>
      <c r="S389" s="1" t="s">
        <v>49</v>
      </c>
      <c r="T389" s="1" t="s">
        <v>50</v>
      </c>
      <c r="U389" s="1" t="s">
        <v>51</v>
      </c>
      <c r="V389" s="1" t="s">
        <v>81</v>
      </c>
      <c r="W389" s="1" t="s">
        <v>53</v>
      </c>
      <c r="X389" s="1" t="s">
        <v>54</v>
      </c>
      <c r="Y389" s="1" t="s">
        <v>55</v>
      </c>
      <c r="Z389" s="1" t="s">
        <v>82</v>
      </c>
      <c r="AA389" s="1" t="s">
        <v>36</v>
      </c>
      <c r="AB389" s="1" t="s">
        <v>54</v>
      </c>
      <c r="AC389" s="1" t="s">
        <v>57</v>
      </c>
      <c r="AD389" s="1" t="s">
        <v>58</v>
      </c>
      <c r="AE389" s="1" t="s">
        <v>59</v>
      </c>
      <c r="AF389" s="1" t="s">
        <v>54</v>
      </c>
      <c r="AG389" s="1" t="s">
        <v>71</v>
      </c>
      <c r="AH389" s="1" t="s">
        <v>121</v>
      </c>
    </row>
    <row r="390" spans="1:34" x14ac:dyDescent="0.3">
      <c r="A390" s="1" t="s">
        <v>74</v>
      </c>
      <c r="B390" s="1" t="s">
        <v>61</v>
      </c>
      <c r="C390" s="1" t="s">
        <v>62</v>
      </c>
      <c r="D390" s="1" t="s">
        <v>63</v>
      </c>
      <c r="E390" s="1" t="s">
        <v>64</v>
      </c>
      <c r="F390" s="1" t="s">
        <v>65</v>
      </c>
      <c r="G390" s="1" t="s">
        <v>66</v>
      </c>
      <c r="H390" s="1" t="s">
        <v>61</v>
      </c>
      <c r="I390" s="1" t="s">
        <v>61</v>
      </c>
      <c r="J390" s="1" t="s">
        <v>65</v>
      </c>
      <c r="K390" s="1" t="s">
        <v>67</v>
      </c>
      <c r="L390" s="1" t="s">
        <v>66</v>
      </c>
      <c r="M390" s="1" t="s">
        <v>68</v>
      </c>
      <c r="N390" s="1" t="s">
        <v>63</v>
      </c>
      <c r="O390" s="1" t="s">
        <v>63</v>
      </c>
      <c r="P390" s="1" t="s">
        <v>69</v>
      </c>
      <c r="Q390" s="1" t="s">
        <v>70</v>
      </c>
      <c r="R390" s="1" t="s">
        <v>71</v>
      </c>
      <c r="S390" s="1" t="s">
        <v>63</v>
      </c>
      <c r="T390" s="1" t="s">
        <v>69</v>
      </c>
      <c r="U390" s="1" t="s">
        <v>69</v>
      </c>
      <c r="V390" s="1" t="s">
        <v>63</v>
      </c>
      <c r="W390" s="1" t="s">
        <v>68</v>
      </c>
      <c r="X390" s="1" t="s">
        <v>72</v>
      </c>
      <c r="Y390" s="1" t="s">
        <v>72</v>
      </c>
      <c r="Z390" s="1" t="s">
        <v>62</v>
      </c>
      <c r="AA390" s="1" t="s">
        <v>62</v>
      </c>
      <c r="AB390" s="1" t="s">
        <v>72</v>
      </c>
      <c r="AC390" s="1" t="s">
        <v>73</v>
      </c>
      <c r="AD390" s="1" t="s">
        <v>73</v>
      </c>
      <c r="AE390" s="1" t="s">
        <v>67</v>
      </c>
      <c r="AF390" s="1" t="s">
        <v>72</v>
      </c>
      <c r="AG390" s="1" t="s">
        <v>71</v>
      </c>
      <c r="AH390" s="1" t="s">
        <v>120</v>
      </c>
    </row>
    <row r="391" spans="1:34" x14ac:dyDescent="0.3">
      <c r="A391" s="1" t="s">
        <v>91</v>
      </c>
      <c r="B391" s="1" t="s">
        <v>41</v>
      </c>
      <c r="C391" s="1" t="s">
        <v>76</v>
      </c>
      <c r="D391" s="1" t="s">
        <v>83</v>
      </c>
      <c r="E391" s="1" t="s">
        <v>38</v>
      </c>
      <c r="F391" s="1" t="s">
        <v>39</v>
      </c>
      <c r="G391" s="1" t="s">
        <v>40</v>
      </c>
      <c r="H391" s="1" t="s">
        <v>35</v>
      </c>
      <c r="I391" s="1" t="s">
        <v>35</v>
      </c>
      <c r="J391" s="1" t="s">
        <v>39</v>
      </c>
      <c r="K391" s="1" t="s">
        <v>42</v>
      </c>
      <c r="L391" s="1" t="s">
        <v>43</v>
      </c>
      <c r="M391" s="1" t="s">
        <v>53</v>
      </c>
      <c r="N391" s="1" t="s">
        <v>45</v>
      </c>
      <c r="O391" s="1" t="s">
        <v>45</v>
      </c>
      <c r="P391" s="1" t="s">
        <v>103</v>
      </c>
      <c r="Q391" s="1" t="s">
        <v>47</v>
      </c>
      <c r="R391" s="1" t="s">
        <v>80</v>
      </c>
      <c r="S391" s="1" t="s">
        <v>49</v>
      </c>
      <c r="T391" s="1" t="s">
        <v>50</v>
      </c>
      <c r="U391" s="1" t="s">
        <v>51</v>
      </c>
      <c r="V391" s="1" t="s">
        <v>52</v>
      </c>
      <c r="W391" s="1" t="s">
        <v>53</v>
      </c>
      <c r="X391" s="1" t="s">
        <v>54</v>
      </c>
      <c r="Y391" s="1" t="s">
        <v>55</v>
      </c>
      <c r="Z391" s="1" t="s">
        <v>56</v>
      </c>
      <c r="AA391" s="1" t="s">
        <v>36</v>
      </c>
      <c r="AB391" s="1" t="s">
        <v>54</v>
      </c>
      <c r="AC391" s="1" t="s">
        <v>57</v>
      </c>
      <c r="AD391" s="1" t="s">
        <v>58</v>
      </c>
      <c r="AE391" s="1" t="s">
        <v>59</v>
      </c>
      <c r="AF391" s="1" t="s">
        <v>54</v>
      </c>
      <c r="AG391" s="1" t="s">
        <v>71</v>
      </c>
      <c r="AH391" s="1" t="s">
        <v>120</v>
      </c>
    </row>
    <row r="392" spans="1:34" x14ac:dyDescent="0.3">
      <c r="A392" s="1" t="s">
        <v>54</v>
      </c>
      <c r="B392" s="1" t="s">
        <v>87</v>
      </c>
      <c r="C392" s="1" t="s">
        <v>82</v>
      </c>
      <c r="D392" s="1" t="s">
        <v>37</v>
      </c>
      <c r="E392" s="1" t="s">
        <v>77</v>
      </c>
      <c r="F392" s="1" t="s">
        <v>39</v>
      </c>
      <c r="G392" s="1" t="s">
        <v>40</v>
      </c>
      <c r="H392" s="1" t="s">
        <v>35</v>
      </c>
      <c r="I392" s="1" t="s">
        <v>35</v>
      </c>
      <c r="J392" s="1" t="s">
        <v>39</v>
      </c>
      <c r="K392" s="1" t="s">
        <v>42</v>
      </c>
      <c r="L392" s="1" t="s">
        <v>43</v>
      </c>
      <c r="M392" s="1" t="s">
        <v>44</v>
      </c>
      <c r="N392" s="1" t="s">
        <v>45</v>
      </c>
      <c r="O392" s="1" t="s">
        <v>45</v>
      </c>
      <c r="P392" s="1" t="s">
        <v>46</v>
      </c>
      <c r="Q392" s="1" t="s">
        <v>47</v>
      </c>
      <c r="R392" s="1" t="s">
        <v>48</v>
      </c>
      <c r="S392" s="1" t="s">
        <v>49</v>
      </c>
      <c r="T392" s="1" t="s">
        <v>50</v>
      </c>
      <c r="U392" s="1" t="s">
        <v>51</v>
      </c>
      <c r="V392" s="1" t="s">
        <v>52</v>
      </c>
      <c r="W392" s="1" t="s">
        <v>53</v>
      </c>
      <c r="X392" s="1" t="s">
        <v>54</v>
      </c>
      <c r="Y392" s="1" t="s">
        <v>74</v>
      </c>
      <c r="Z392" s="1" t="s">
        <v>82</v>
      </c>
      <c r="AA392" s="1" t="s">
        <v>36</v>
      </c>
      <c r="AB392" s="1" t="s">
        <v>54</v>
      </c>
      <c r="AC392" s="1" t="s">
        <v>57</v>
      </c>
      <c r="AD392" s="1" t="s">
        <v>58</v>
      </c>
      <c r="AE392" s="1" t="s">
        <v>59</v>
      </c>
      <c r="AF392" s="1" t="s">
        <v>54</v>
      </c>
      <c r="AG392" s="1" t="s">
        <v>75</v>
      </c>
      <c r="AH392" s="1" t="s">
        <v>120</v>
      </c>
    </row>
    <row r="393" spans="1:34" x14ac:dyDescent="0.3">
      <c r="A393" s="1" t="s">
        <v>54</v>
      </c>
      <c r="B393" s="1" t="s">
        <v>41</v>
      </c>
      <c r="C393" s="1" t="s">
        <v>76</v>
      </c>
      <c r="D393" s="1" t="s">
        <v>37</v>
      </c>
      <c r="E393" s="1" t="s">
        <v>77</v>
      </c>
      <c r="F393" s="1" t="s">
        <v>39</v>
      </c>
      <c r="G393" s="1" t="s">
        <v>40</v>
      </c>
      <c r="H393" s="1" t="s">
        <v>35</v>
      </c>
      <c r="I393" s="1" t="s">
        <v>35</v>
      </c>
      <c r="J393" s="1" t="s">
        <v>39</v>
      </c>
      <c r="K393" s="1" t="s">
        <v>42</v>
      </c>
      <c r="L393" s="1" t="s">
        <v>43</v>
      </c>
      <c r="M393" s="1" t="s">
        <v>44</v>
      </c>
      <c r="N393" s="1" t="s">
        <v>45</v>
      </c>
      <c r="O393" s="1" t="s">
        <v>45</v>
      </c>
      <c r="P393" s="1" t="s">
        <v>46</v>
      </c>
      <c r="Q393" s="1" t="s">
        <v>47</v>
      </c>
      <c r="R393" s="1" t="s">
        <v>48</v>
      </c>
      <c r="S393" s="1" t="s">
        <v>49</v>
      </c>
      <c r="T393" s="1" t="s">
        <v>50</v>
      </c>
      <c r="U393" s="1" t="s">
        <v>51</v>
      </c>
      <c r="V393" s="1" t="s">
        <v>52</v>
      </c>
      <c r="W393" s="1" t="s">
        <v>53</v>
      </c>
      <c r="X393" s="1" t="s">
        <v>54</v>
      </c>
      <c r="Y393" s="1" t="s">
        <v>74</v>
      </c>
      <c r="Z393" s="1" t="s">
        <v>56</v>
      </c>
      <c r="AA393" s="1" t="s">
        <v>36</v>
      </c>
      <c r="AB393" s="1" t="s">
        <v>54</v>
      </c>
      <c r="AC393" s="1" t="s">
        <v>57</v>
      </c>
      <c r="AD393" s="1" t="s">
        <v>58</v>
      </c>
      <c r="AE393" s="1" t="s">
        <v>59</v>
      </c>
      <c r="AF393" s="1" t="s">
        <v>91</v>
      </c>
      <c r="AG393" s="1" t="s">
        <v>60</v>
      </c>
      <c r="AH393" s="1" t="s">
        <v>120</v>
      </c>
    </row>
    <row r="394" spans="1:34" x14ac:dyDescent="0.3">
      <c r="A394" s="1" t="s">
        <v>54</v>
      </c>
      <c r="B394" s="1" t="s">
        <v>35</v>
      </c>
      <c r="C394" s="1" t="s">
        <v>36</v>
      </c>
      <c r="D394" s="1" t="s">
        <v>37</v>
      </c>
      <c r="E394" s="1" t="s">
        <v>38</v>
      </c>
      <c r="F394" s="1" t="s">
        <v>39</v>
      </c>
      <c r="G394" s="1" t="s">
        <v>40</v>
      </c>
      <c r="H394" s="1" t="s">
        <v>35</v>
      </c>
      <c r="I394" s="1" t="s">
        <v>35</v>
      </c>
      <c r="J394" s="1" t="s">
        <v>39</v>
      </c>
      <c r="K394" s="1" t="s">
        <v>42</v>
      </c>
      <c r="L394" s="1" t="s">
        <v>79</v>
      </c>
      <c r="M394" s="1" t="s">
        <v>84</v>
      </c>
      <c r="N394" s="1" t="s">
        <v>45</v>
      </c>
      <c r="O394" s="1" t="s">
        <v>45</v>
      </c>
      <c r="P394" s="1" t="s">
        <v>46</v>
      </c>
      <c r="Q394" s="1" t="s">
        <v>47</v>
      </c>
      <c r="R394" s="1" t="s">
        <v>80</v>
      </c>
      <c r="S394" s="1" t="s">
        <v>49</v>
      </c>
      <c r="T394" s="1" t="s">
        <v>50</v>
      </c>
      <c r="U394" s="1" t="s">
        <v>51</v>
      </c>
      <c r="V394" s="1" t="s">
        <v>52</v>
      </c>
      <c r="W394" s="1" t="s">
        <v>53</v>
      </c>
      <c r="X394" s="1" t="s">
        <v>54</v>
      </c>
      <c r="Y394" s="1" t="s">
        <v>74</v>
      </c>
      <c r="Z394" s="1" t="s">
        <v>56</v>
      </c>
      <c r="AA394" s="1" t="s">
        <v>36</v>
      </c>
      <c r="AB394" s="1" t="s">
        <v>54</v>
      </c>
      <c r="AC394" s="1" t="s">
        <v>57</v>
      </c>
      <c r="AD394" s="1" t="s">
        <v>58</v>
      </c>
      <c r="AE394" s="1" t="s">
        <v>59</v>
      </c>
      <c r="AF394" s="1" t="s">
        <v>54</v>
      </c>
      <c r="AG394" s="1" t="s">
        <v>75</v>
      </c>
      <c r="AH394" s="1" t="s">
        <v>120</v>
      </c>
    </row>
    <row r="395" spans="1:34" x14ac:dyDescent="0.3">
      <c r="A395" s="1" t="s">
        <v>99</v>
      </c>
      <c r="B395" s="1" t="s">
        <v>41</v>
      </c>
      <c r="C395" s="1" t="s">
        <v>76</v>
      </c>
      <c r="D395" s="1" t="s">
        <v>37</v>
      </c>
      <c r="E395" s="1" t="s">
        <v>38</v>
      </c>
      <c r="F395" s="1" t="s">
        <v>39</v>
      </c>
      <c r="G395" s="1" t="s">
        <v>40</v>
      </c>
      <c r="H395" s="1" t="s">
        <v>35</v>
      </c>
      <c r="I395" s="1" t="s">
        <v>35</v>
      </c>
      <c r="J395" s="1" t="s">
        <v>39</v>
      </c>
      <c r="K395" s="1" t="s">
        <v>42</v>
      </c>
      <c r="L395" s="1" t="s">
        <v>43</v>
      </c>
      <c r="M395" s="1" t="s">
        <v>44</v>
      </c>
      <c r="N395" s="1" t="s">
        <v>45</v>
      </c>
      <c r="O395" s="1" t="s">
        <v>45</v>
      </c>
      <c r="P395" s="1" t="s">
        <v>46</v>
      </c>
      <c r="Q395" s="1" t="s">
        <v>47</v>
      </c>
      <c r="R395" s="1" t="s">
        <v>48</v>
      </c>
      <c r="S395" s="1" t="s">
        <v>49</v>
      </c>
      <c r="T395" s="1" t="s">
        <v>50</v>
      </c>
      <c r="U395" s="1" t="s">
        <v>51</v>
      </c>
      <c r="V395" s="1" t="s">
        <v>52</v>
      </c>
      <c r="W395" s="1" t="s">
        <v>53</v>
      </c>
      <c r="X395" s="1" t="s">
        <v>54</v>
      </c>
      <c r="Y395" s="1" t="s">
        <v>55</v>
      </c>
      <c r="Z395" s="1" t="s">
        <v>56</v>
      </c>
      <c r="AA395" s="1" t="s">
        <v>36</v>
      </c>
      <c r="AB395" s="1" t="s">
        <v>54</v>
      </c>
      <c r="AC395" s="1" t="s">
        <v>57</v>
      </c>
      <c r="AD395" s="1" t="s">
        <v>58</v>
      </c>
      <c r="AE395" s="1" t="s">
        <v>42</v>
      </c>
      <c r="AF395" s="1" t="s">
        <v>54</v>
      </c>
      <c r="AG395" s="1" t="s">
        <v>60</v>
      </c>
      <c r="AH395" s="1" t="s">
        <v>120</v>
      </c>
    </row>
    <row r="396" spans="1:34" x14ac:dyDescent="0.3">
      <c r="A396" s="1" t="s">
        <v>74</v>
      </c>
      <c r="B396" s="1" t="s">
        <v>41</v>
      </c>
      <c r="C396" s="1" t="s">
        <v>76</v>
      </c>
      <c r="D396" s="1" t="s">
        <v>83</v>
      </c>
      <c r="E396" s="1" t="s">
        <v>38</v>
      </c>
      <c r="F396" s="1" t="s">
        <v>39</v>
      </c>
      <c r="G396" s="1" t="s">
        <v>110</v>
      </c>
      <c r="H396" s="1" t="s">
        <v>61</v>
      </c>
      <c r="I396" s="1" t="s">
        <v>41</v>
      </c>
      <c r="J396" s="1" t="s">
        <v>39</v>
      </c>
      <c r="K396" s="1" t="s">
        <v>42</v>
      </c>
      <c r="L396" s="1" t="s">
        <v>43</v>
      </c>
      <c r="M396" s="1" t="s">
        <v>44</v>
      </c>
      <c r="N396" s="1" t="s">
        <v>49</v>
      </c>
      <c r="O396" s="1" t="s">
        <v>52</v>
      </c>
      <c r="P396" s="1" t="s">
        <v>50</v>
      </c>
      <c r="Q396" s="1" t="s">
        <v>47</v>
      </c>
      <c r="R396" s="1" t="s">
        <v>80</v>
      </c>
      <c r="S396" s="1" t="s">
        <v>49</v>
      </c>
      <c r="T396" s="1" t="s">
        <v>50</v>
      </c>
      <c r="U396" s="1" t="s">
        <v>51</v>
      </c>
      <c r="V396" s="1" t="s">
        <v>52</v>
      </c>
      <c r="W396" s="1" t="s">
        <v>53</v>
      </c>
      <c r="X396" s="1" t="s">
        <v>54</v>
      </c>
      <c r="Y396" s="1" t="s">
        <v>55</v>
      </c>
      <c r="Z396" s="1" t="s">
        <v>82</v>
      </c>
      <c r="AA396" s="1" t="s">
        <v>36</v>
      </c>
      <c r="AB396" s="1" t="s">
        <v>54</v>
      </c>
      <c r="AC396" s="1" t="s">
        <v>57</v>
      </c>
      <c r="AD396" s="1" t="s">
        <v>58</v>
      </c>
      <c r="AE396" s="1" t="s">
        <v>42</v>
      </c>
      <c r="AF396" s="1" t="s">
        <v>54</v>
      </c>
      <c r="AG396" s="1" t="s">
        <v>75</v>
      </c>
      <c r="AH396" s="1" t="s">
        <v>120</v>
      </c>
    </row>
    <row r="397" spans="1:34" x14ac:dyDescent="0.3">
      <c r="A397" s="1" t="s">
        <v>99</v>
      </c>
      <c r="B397" s="1" t="s">
        <v>41</v>
      </c>
      <c r="C397" s="1" t="s">
        <v>76</v>
      </c>
      <c r="D397" s="1" t="s">
        <v>37</v>
      </c>
      <c r="E397" s="1" t="s">
        <v>77</v>
      </c>
      <c r="F397" s="1" t="s">
        <v>39</v>
      </c>
      <c r="G397" s="1" t="s">
        <v>40</v>
      </c>
      <c r="H397" s="1" t="s">
        <v>35</v>
      </c>
      <c r="I397" s="1" t="s">
        <v>35</v>
      </c>
      <c r="J397" s="1" t="s">
        <v>39</v>
      </c>
      <c r="K397" s="1" t="s">
        <v>42</v>
      </c>
      <c r="L397" s="1" t="s">
        <v>43</v>
      </c>
      <c r="M397" s="1" t="s">
        <v>44</v>
      </c>
      <c r="N397" s="1" t="s">
        <v>45</v>
      </c>
      <c r="O397" s="1" t="s">
        <v>45</v>
      </c>
      <c r="P397" s="1" t="s">
        <v>46</v>
      </c>
      <c r="Q397" s="1" t="s">
        <v>47</v>
      </c>
      <c r="R397" s="1" t="s">
        <v>48</v>
      </c>
      <c r="S397" s="1" t="s">
        <v>49</v>
      </c>
      <c r="T397" s="1" t="s">
        <v>50</v>
      </c>
      <c r="U397" s="1" t="s">
        <v>51</v>
      </c>
      <c r="V397" s="1" t="s">
        <v>52</v>
      </c>
      <c r="W397" s="1" t="s">
        <v>53</v>
      </c>
      <c r="X397" s="1" t="s">
        <v>54</v>
      </c>
      <c r="Y397" s="1" t="s">
        <v>74</v>
      </c>
      <c r="Z397" s="1" t="s">
        <v>82</v>
      </c>
      <c r="AA397" s="1" t="s">
        <v>36</v>
      </c>
      <c r="AB397" s="1" t="s">
        <v>54</v>
      </c>
      <c r="AC397" s="1" t="s">
        <v>57</v>
      </c>
      <c r="AD397" s="1" t="s">
        <v>58</v>
      </c>
      <c r="AE397" s="1" t="s">
        <v>42</v>
      </c>
      <c r="AF397" s="1" t="s">
        <v>54</v>
      </c>
      <c r="AG397" s="1" t="s">
        <v>75</v>
      </c>
      <c r="AH397" s="1" t="s">
        <v>120</v>
      </c>
    </row>
    <row r="398" spans="1:34" x14ac:dyDescent="0.3">
      <c r="A398" s="1" t="s">
        <v>99</v>
      </c>
      <c r="B398" s="1" t="s">
        <v>41</v>
      </c>
      <c r="C398" s="1" t="s">
        <v>76</v>
      </c>
      <c r="D398" s="1" t="s">
        <v>83</v>
      </c>
      <c r="E398" s="1" t="s">
        <v>38</v>
      </c>
      <c r="F398" s="1" t="s">
        <v>39</v>
      </c>
      <c r="G398" s="1" t="s">
        <v>40</v>
      </c>
      <c r="H398" s="1" t="s">
        <v>35</v>
      </c>
      <c r="I398" s="1" t="s">
        <v>94</v>
      </c>
      <c r="J398" s="1" t="s">
        <v>39</v>
      </c>
      <c r="K398" s="1" t="s">
        <v>42</v>
      </c>
      <c r="L398" s="1" t="s">
        <v>43</v>
      </c>
      <c r="M398" s="1" t="s">
        <v>44</v>
      </c>
      <c r="N398" s="1" t="s">
        <v>45</v>
      </c>
      <c r="O398" s="1" t="s">
        <v>45</v>
      </c>
      <c r="P398" s="1" t="s">
        <v>46</v>
      </c>
      <c r="Q398" s="1" t="s">
        <v>47</v>
      </c>
      <c r="R398" s="1" t="s">
        <v>80</v>
      </c>
      <c r="S398" s="1" t="s">
        <v>49</v>
      </c>
      <c r="T398" s="1" t="s">
        <v>50</v>
      </c>
      <c r="U398" s="1" t="s">
        <v>51</v>
      </c>
      <c r="V398" s="1" t="s">
        <v>52</v>
      </c>
      <c r="W398" s="1" t="s">
        <v>53</v>
      </c>
      <c r="X398" s="1" t="s">
        <v>54</v>
      </c>
      <c r="Y398" s="1" t="s">
        <v>74</v>
      </c>
      <c r="Z398" s="1" t="s">
        <v>56</v>
      </c>
      <c r="AA398" s="1" t="s">
        <v>36</v>
      </c>
      <c r="AB398" s="1" t="s">
        <v>54</v>
      </c>
      <c r="AC398" s="1" t="s">
        <v>57</v>
      </c>
      <c r="AD398" s="1" t="s">
        <v>58</v>
      </c>
      <c r="AE398" s="1" t="s">
        <v>42</v>
      </c>
      <c r="AF398" s="1" t="s">
        <v>54</v>
      </c>
      <c r="AG398" s="1" t="s">
        <v>75</v>
      </c>
      <c r="AH398" s="1" t="s">
        <v>120</v>
      </c>
    </row>
    <row r="399" spans="1:34" x14ac:dyDescent="0.3">
      <c r="A399" s="1" t="s">
        <v>91</v>
      </c>
      <c r="B399" s="1" t="s">
        <v>35</v>
      </c>
      <c r="C399" s="1" t="s">
        <v>36</v>
      </c>
      <c r="D399" s="1" t="s">
        <v>37</v>
      </c>
      <c r="E399" s="1" t="s">
        <v>77</v>
      </c>
      <c r="F399" s="1" t="s">
        <v>39</v>
      </c>
      <c r="G399" s="1" t="s">
        <v>40</v>
      </c>
      <c r="H399" s="1" t="s">
        <v>35</v>
      </c>
      <c r="I399" s="1" t="s">
        <v>35</v>
      </c>
      <c r="J399" s="1" t="s">
        <v>39</v>
      </c>
      <c r="K399" s="1" t="s">
        <v>42</v>
      </c>
      <c r="L399" s="1" t="s">
        <v>79</v>
      </c>
      <c r="M399" s="1" t="s">
        <v>44</v>
      </c>
      <c r="N399" s="1" t="s">
        <v>45</v>
      </c>
      <c r="O399" s="1" t="s">
        <v>45</v>
      </c>
      <c r="P399" s="1" t="s">
        <v>46</v>
      </c>
      <c r="Q399" s="1" t="s">
        <v>47</v>
      </c>
      <c r="R399" s="1" t="s">
        <v>48</v>
      </c>
      <c r="S399" s="1" t="s">
        <v>49</v>
      </c>
      <c r="T399" s="1" t="s">
        <v>50</v>
      </c>
      <c r="U399" s="1" t="s">
        <v>51</v>
      </c>
      <c r="V399" s="1" t="s">
        <v>52</v>
      </c>
      <c r="W399" s="1" t="s">
        <v>53</v>
      </c>
      <c r="X399" s="1" t="s">
        <v>54</v>
      </c>
      <c r="Y399" s="1" t="s">
        <v>55</v>
      </c>
      <c r="Z399" s="1" t="s">
        <v>56</v>
      </c>
      <c r="AA399" s="1" t="s">
        <v>36</v>
      </c>
      <c r="AB399" s="1" t="s">
        <v>54</v>
      </c>
      <c r="AC399" s="1" t="s">
        <v>57</v>
      </c>
      <c r="AD399" s="1" t="s">
        <v>58</v>
      </c>
      <c r="AE399" s="1" t="s">
        <v>59</v>
      </c>
      <c r="AF399" s="1" t="s">
        <v>54</v>
      </c>
      <c r="AG399" s="1" t="s">
        <v>75</v>
      </c>
      <c r="AH399" s="1" t="s">
        <v>120</v>
      </c>
    </row>
    <row r="400" spans="1:34" x14ac:dyDescent="0.3">
      <c r="A400" s="1" t="s">
        <v>54</v>
      </c>
      <c r="B400" s="1" t="s">
        <v>35</v>
      </c>
      <c r="C400" s="1" t="s">
        <v>36</v>
      </c>
      <c r="D400" s="1" t="s">
        <v>37</v>
      </c>
      <c r="E400" s="1" t="s">
        <v>77</v>
      </c>
      <c r="F400" s="1" t="s">
        <v>39</v>
      </c>
      <c r="G400" s="1" t="s">
        <v>40</v>
      </c>
      <c r="H400" s="1" t="s">
        <v>35</v>
      </c>
      <c r="I400" s="1" t="s">
        <v>35</v>
      </c>
      <c r="J400" s="1" t="s">
        <v>39</v>
      </c>
      <c r="K400" s="1" t="s">
        <v>42</v>
      </c>
      <c r="L400" s="1" t="s">
        <v>79</v>
      </c>
      <c r="M400" s="1" t="s">
        <v>44</v>
      </c>
      <c r="N400" s="1" t="s">
        <v>45</v>
      </c>
      <c r="O400" s="1" t="s">
        <v>45</v>
      </c>
      <c r="P400" s="1" t="s">
        <v>46</v>
      </c>
      <c r="Q400" s="1" t="s">
        <v>47</v>
      </c>
      <c r="R400" s="1" t="s">
        <v>48</v>
      </c>
      <c r="S400" s="1" t="s">
        <v>49</v>
      </c>
      <c r="T400" s="1" t="s">
        <v>50</v>
      </c>
      <c r="U400" s="1" t="s">
        <v>51</v>
      </c>
      <c r="V400" s="1" t="s">
        <v>52</v>
      </c>
      <c r="W400" s="1" t="s">
        <v>53</v>
      </c>
      <c r="X400" s="1" t="s">
        <v>54</v>
      </c>
      <c r="Y400" s="1" t="s">
        <v>55</v>
      </c>
      <c r="Z400" s="1" t="s">
        <v>56</v>
      </c>
      <c r="AA400" s="1" t="s">
        <v>36</v>
      </c>
      <c r="AB400" s="1" t="s">
        <v>54</v>
      </c>
      <c r="AC400" s="1" t="s">
        <v>57</v>
      </c>
      <c r="AD400" s="1" t="s">
        <v>58</v>
      </c>
      <c r="AE400" s="1" t="s">
        <v>59</v>
      </c>
      <c r="AF400" s="1" t="s">
        <v>54</v>
      </c>
      <c r="AG400" s="1" t="s">
        <v>75</v>
      </c>
      <c r="AH400" s="1" t="s">
        <v>120</v>
      </c>
    </row>
    <row r="401" spans="1:34" x14ac:dyDescent="0.3">
      <c r="A401" s="1" t="s">
        <v>34</v>
      </c>
      <c r="B401" s="1" t="s">
        <v>35</v>
      </c>
      <c r="C401" s="1" t="s">
        <v>36</v>
      </c>
      <c r="D401" s="1" t="s">
        <v>49</v>
      </c>
      <c r="E401" s="1" t="s">
        <v>77</v>
      </c>
      <c r="F401" s="1" t="s">
        <v>86</v>
      </c>
      <c r="G401" s="1" t="s">
        <v>40</v>
      </c>
      <c r="H401" s="1" t="s">
        <v>41</v>
      </c>
      <c r="I401" s="1" t="s">
        <v>35</v>
      </c>
      <c r="J401" s="1" t="s">
        <v>39</v>
      </c>
      <c r="K401" s="1" t="s">
        <v>42</v>
      </c>
      <c r="L401" s="1" t="s">
        <v>43</v>
      </c>
      <c r="M401" s="1" t="s">
        <v>44</v>
      </c>
      <c r="N401" s="1" t="s">
        <v>45</v>
      </c>
      <c r="O401" s="1" t="s">
        <v>45</v>
      </c>
      <c r="P401" s="1" t="s">
        <v>46</v>
      </c>
      <c r="Q401" s="1" t="s">
        <v>47</v>
      </c>
      <c r="R401" s="1" t="s">
        <v>48</v>
      </c>
      <c r="S401" s="1" t="s">
        <v>49</v>
      </c>
      <c r="T401" s="1" t="s">
        <v>50</v>
      </c>
      <c r="U401" s="1" t="s">
        <v>51</v>
      </c>
      <c r="V401" s="1" t="s">
        <v>52</v>
      </c>
      <c r="W401" s="1" t="s">
        <v>53</v>
      </c>
      <c r="X401" s="1" t="s">
        <v>54</v>
      </c>
      <c r="Y401" s="1" t="s">
        <v>74</v>
      </c>
      <c r="Z401" s="1" t="s">
        <v>56</v>
      </c>
      <c r="AA401" s="1" t="s">
        <v>36</v>
      </c>
      <c r="AB401" s="1" t="s">
        <v>54</v>
      </c>
      <c r="AC401" s="1" t="s">
        <v>57</v>
      </c>
      <c r="AD401" s="1" t="s">
        <v>58</v>
      </c>
      <c r="AE401" s="1" t="s">
        <v>59</v>
      </c>
      <c r="AF401" s="1" t="s">
        <v>54</v>
      </c>
      <c r="AG401" s="1" t="s">
        <v>75</v>
      </c>
      <c r="AH401" s="1" t="s">
        <v>120</v>
      </c>
    </row>
    <row r="402" spans="1:34" x14ac:dyDescent="0.3">
      <c r="A402" s="1" t="s">
        <v>91</v>
      </c>
      <c r="B402" s="1" t="s">
        <v>41</v>
      </c>
      <c r="C402" s="1" t="s">
        <v>76</v>
      </c>
      <c r="D402" s="1" t="s">
        <v>49</v>
      </c>
      <c r="E402" s="1" t="s">
        <v>77</v>
      </c>
      <c r="F402" s="1" t="s">
        <v>39</v>
      </c>
      <c r="G402" s="1" t="s">
        <v>40</v>
      </c>
      <c r="H402" s="1" t="s">
        <v>35</v>
      </c>
      <c r="I402" s="1" t="s">
        <v>35</v>
      </c>
      <c r="J402" s="1" t="s">
        <v>92</v>
      </c>
      <c r="K402" s="1" t="s">
        <v>42</v>
      </c>
      <c r="L402" s="1" t="s">
        <v>79</v>
      </c>
      <c r="M402" s="1" t="s">
        <v>53</v>
      </c>
      <c r="N402" s="1" t="s">
        <v>45</v>
      </c>
      <c r="O402" s="1" t="s">
        <v>45</v>
      </c>
      <c r="P402" s="1" t="s">
        <v>46</v>
      </c>
      <c r="Q402" s="1" t="s">
        <v>93</v>
      </c>
      <c r="R402" s="1" t="s">
        <v>48</v>
      </c>
      <c r="S402" s="1" t="s">
        <v>49</v>
      </c>
      <c r="T402" s="1" t="s">
        <v>50</v>
      </c>
      <c r="U402" s="1" t="s">
        <v>51</v>
      </c>
      <c r="V402" s="1" t="s">
        <v>52</v>
      </c>
      <c r="W402" s="1" t="s">
        <v>53</v>
      </c>
      <c r="X402" s="1" t="s">
        <v>54</v>
      </c>
      <c r="Y402" s="1" t="s">
        <v>55</v>
      </c>
      <c r="Z402" s="1" t="s">
        <v>56</v>
      </c>
      <c r="AA402" s="1" t="s">
        <v>36</v>
      </c>
      <c r="AB402" s="1" t="s">
        <v>54</v>
      </c>
      <c r="AC402" s="1" t="s">
        <v>57</v>
      </c>
      <c r="AD402" s="1" t="s">
        <v>58</v>
      </c>
      <c r="AE402" s="1" t="s">
        <v>42</v>
      </c>
      <c r="AF402" s="1" t="s">
        <v>54</v>
      </c>
      <c r="AG402" s="1" t="s">
        <v>75</v>
      </c>
      <c r="AH402" s="1" t="s">
        <v>120</v>
      </c>
    </row>
    <row r="403" spans="1:34" x14ac:dyDescent="0.3">
      <c r="A403" s="1" t="s">
        <v>74</v>
      </c>
      <c r="B403" s="1" t="s">
        <v>87</v>
      </c>
      <c r="C403" s="1" t="s">
        <v>82</v>
      </c>
      <c r="D403" s="1" t="s">
        <v>37</v>
      </c>
      <c r="E403" s="1" t="s">
        <v>77</v>
      </c>
      <c r="F403" s="1" t="s">
        <v>39</v>
      </c>
      <c r="G403" s="1" t="s">
        <v>40</v>
      </c>
      <c r="H403" s="1" t="s">
        <v>35</v>
      </c>
      <c r="I403" s="1" t="s">
        <v>35</v>
      </c>
      <c r="J403" s="1" t="s">
        <v>39</v>
      </c>
      <c r="K403" s="1" t="s">
        <v>42</v>
      </c>
      <c r="L403" s="1" t="s">
        <v>43</v>
      </c>
      <c r="M403" s="1" t="s">
        <v>44</v>
      </c>
      <c r="N403" s="1" t="s">
        <v>45</v>
      </c>
      <c r="O403" s="1" t="s">
        <v>45</v>
      </c>
      <c r="P403" s="1" t="s">
        <v>46</v>
      </c>
      <c r="Q403" s="1" t="s">
        <v>47</v>
      </c>
      <c r="R403" s="1" t="s">
        <v>48</v>
      </c>
      <c r="S403" s="1" t="s">
        <v>49</v>
      </c>
      <c r="T403" s="1" t="s">
        <v>50</v>
      </c>
      <c r="U403" s="1" t="s">
        <v>51</v>
      </c>
      <c r="V403" s="1" t="s">
        <v>81</v>
      </c>
      <c r="W403" s="1" t="s">
        <v>53</v>
      </c>
      <c r="X403" s="1" t="s">
        <v>54</v>
      </c>
      <c r="Y403" s="1" t="s">
        <v>55</v>
      </c>
      <c r="Z403" s="1" t="s">
        <v>82</v>
      </c>
      <c r="AA403" s="1" t="s">
        <v>36</v>
      </c>
      <c r="AB403" s="1" t="s">
        <v>54</v>
      </c>
      <c r="AC403" s="1" t="s">
        <v>57</v>
      </c>
      <c r="AD403" s="1" t="s">
        <v>58</v>
      </c>
      <c r="AE403" s="1" t="s">
        <v>59</v>
      </c>
      <c r="AF403" s="1" t="s">
        <v>54</v>
      </c>
      <c r="AG403" s="1" t="s">
        <v>75</v>
      </c>
      <c r="AH403" s="1" t="s">
        <v>120</v>
      </c>
    </row>
    <row r="404" spans="1:34" x14ac:dyDescent="0.3">
      <c r="A404" s="1" t="s">
        <v>91</v>
      </c>
      <c r="B404" s="1" t="s">
        <v>35</v>
      </c>
      <c r="C404" s="1" t="s">
        <v>36</v>
      </c>
      <c r="D404" s="1" t="s">
        <v>37</v>
      </c>
      <c r="E404" s="1" t="s">
        <v>38</v>
      </c>
      <c r="F404" s="1" t="s">
        <v>39</v>
      </c>
      <c r="G404" s="1" t="s">
        <v>40</v>
      </c>
      <c r="H404" s="1" t="s">
        <v>35</v>
      </c>
      <c r="I404" s="1" t="s">
        <v>41</v>
      </c>
      <c r="J404" s="1" t="s">
        <v>39</v>
      </c>
      <c r="K404" s="1" t="s">
        <v>42</v>
      </c>
      <c r="L404" s="1" t="s">
        <v>43</v>
      </c>
      <c r="M404" s="1" t="s">
        <v>44</v>
      </c>
      <c r="N404" s="1" t="s">
        <v>45</v>
      </c>
      <c r="O404" s="1" t="s">
        <v>45</v>
      </c>
      <c r="P404" s="1" t="s">
        <v>46</v>
      </c>
      <c r="Q404" s="1" t="s">
        <v>47</v>
      </c>
      <c r="R404" s="1" t="s">
        <v>48</v>
      </c>
      <c r="S404" s="1" t="s">
        <v>49</v>
      </c>
      <c r="T404" s="1" t="s">
        <v>50</v>
      </c>
      <c r="U404" s="1" t="s">
        <v>51</v>
      </c>
      <c r="V404" s="1" t="s">
        <v>52</v>
      </c>
      <c r="W404" s="1" t="s">
        <v>53</v>
      </c>
      <c r="X404" s="1" t="s">
        <v>54</v>
      </c>
      <c r="Y404" s="1" t="s">
        <v>55</v>
      </c>
      <c r="Z404" s="1" t="s">
        <v>56</v>
      </c>
      <c r="AA404" s="1" t="s">
        <v>36</v>
      </c>
      <c r="AB404" s="1" t="s">
        <v>54</v>
      </c>
      <c r="AC404" s="1" t="s">
        <v>57</v>
      </c>
      <c r="AD404" s="1" t="s">
        <v>58</v>
      </c>
      <c r="AE404" s="1" t="s">
        <v>59</v>
      </c>
      <c r="AF404" s="1" t="s">
        <v>54</v>
      </c>
      <c r="AG404" s="1" t="s">
        <v>75</v>
      </c>
      <c r="AH404" s="1" t="s">
        <v>120</v>
      </c>
    </row>
    <row r="405" spans="1:34" x14ac:dyDescent="0.3">
      <c r="A405" s="1" t="s">
        <v>91</v>
      </c>
      <c r="B405" s="1" t="s">
        <v>35</v>
      </c>
      <c r="C405" s="1" t="s">
        <v>36</v>
      </c>
      <c r="D405" s="1" t="s">
        <v>37</v>
      </c>
      <c r="E405" s="1" t="s">
        <v>77</v>
      </c>
      <c r="F405" s="1" t="s">
        <v>39</v>
      </c>
      <c r="G405" s="1" t="s">
        <v>40</v>
      </c>
      <c r="H405" s="1" t="s">
        <v>35</v>
      </c>
      <c r="I405" s="1" t="s">
        <v>41</v>
      </c>
      <c r="J405" s="1" t="s">
        <v>39</v>
      </c>
      <c r="K405" s="1" t="s">
        <v>42</v>
      </c>
      <c r="L405" s="1" t="s">
        <v>43</v>
      </c>
      <c r="M405" s="1" t="s">
        <v>44</v>
      </c>
      <c r="N405" s="1" t="s">
        <v>45</v>
      </c>
      <c r="O405" s="1" t="s">
        <v>52</v>
      </c>
      <c r="P405" s="1" t="s">
        <v>50</v>
      </c>
      <c r="Q405" s="1" t="s">
        <v>47</v>
      </c>
      <c r="R405" s="1" t="s">
        <v>80</v>
      </c>
      <c r="S405" s="1" t="s">
        <v>49</v>
      </c>
      <c r="T405" s="1" t="s">
        <v>50</v>
      </c>
      <c r="U405" s="1" t="s">
        <v>51</v>
      </c>
      <c r="V405" s="1" t="s">
        <v>52</v>
      </c>
      <c r="W405" s="1" t="s">
        <v>53</v>
      </c>
      <c r="X405" s="1" t="s">
        <v>54</v>
      </c>
      <c r="Y405" s="1" t="s">
        <v>55</v>
      </c>
      <c r="Z405" s="1" t="s">
        <v>82</v>
      </c>
      <c r="AA405" s="1" t="s">
        <v>36</v>
      </c>
      <c r="AB405" s="1" t="s">
        <v>54</v>
      </c>
      <c r="AC405" s="1" t="s">
        <v>57</v>
      </c>
      <c r="AD405" s="1" t="s">
        <v>58</v>
      </c>
      <c r="AE405" s="1" t="s">
        <v>42</v>
      </c>
      <c r="AF405" s="1" t="s">
        <v>54</v>
      </c>
      <c r="AG405" s="1" t="s">
        <v>75</v>
      </c>
      <c r="AH405" s="1" t="s">
        <v>120</v>
      </c>
    </row>
    <row r="406" spans="1:34" x14ac:dyDescent="0.3">
      <c r="A406" s="1" t="s">
        <v>34</v>
      </c>
      <c r="B406" s="1" t="s">
        <v>35</v>
      </c>
      <c r="C406" s="1" t="s">
        <v>36</v>
      </c>
      <c r="D406" s="1" t="s">
        <v>83</v>
      </c>
      <c r="E406" s="1" t="s">
        <v>38</v>
      </c>
      <c r="F406" s="1" t="s">
        <v>39</v>
      </c>
      <c r="G406" s="1" t="s">
        <v>40</v>
      </c>
      <c r="H406" s="1" t="s">
        <v>35</v>
      </c>
      <c r="I406" s="1" t="s">
        <v>41</v>
      </c>
      <c r="J406" s="1" t="s">
        <v>39</v>
      </c>
      <c r="K406" s="1" t="s">
        <v>42</v>
      </c>
      <c r="L406" s="1" t="s">
        <v>43</v>
      </c>
      <c r="M406" s="1" t="s">
        <v>44</v>
      </c>
      <c r="N406" s="1" t="s">
        <v>45</v>
      </c>
      <c r="O406" s="1" t="s">
        <v>45</v>
      </c>
      <c r="P406" s="1" t="s">
        <v>46</v>
      </c>
      <c r="Q406" s="1" t="s">
        <v>47</v>
      </c>
      <c r="R406" s="1" t="s">
        <v>48</v>
      </c>
      <c r="S406" s="1" t="s">
        <v>49</v>
      </c>
      <c r="T406" s="1" t="s">
        <v>50</v>
      </c>
      <c r="U406" s="1" t="s">
        <v>51</v>
      </c>
      <c r="V406" s="1" t="s">
        <v>52</v>
      </c>
      <c r="W406" s="1" t="s">
        <v>53</v>
      </c>
      <c r="X406" s="1" t="s">
        <v>54</v>
      </c>
      <c r="Y406" s="1" t="s">
        <v>74</v>
      </c>
      <c r="Z406" s="1" t="s">
        <v>56</v>
      </c>
      <c r="AA406" s="1" t="s">
        <v>36</v>
      </c>
      <c r="AB406" s="1" t="s">
        <v>54</v>
      </c>
      <c r="AC406" s="1" t="s">
        <v>57</v>
      </c>
      <c r="AD406" s="1" t="s">
        <v>58</v>
      </c>
      <c r="AE406" s="1" t="s">
        <v>59</v>
      </c>
      <c r="AF406" s="1" t="s">
        <v>54</v>
      </c>
      <c r="AG406" s="1" t="s">
        <v>75</v>
      </c>
      <c r="AH406" s="1" t="s">
        <v>120</v>
      </c>
    </row>
    <row r="407" spans="1:34" x14ac:dyDescent="0.3">
      <c r="A407" s="1" t="s">
        <v>34</v>
      </c>
      <c r="B407" s="1" t="s">
        <v>87</v>
      </c>
      <c r="C407" s="1" t="s">
        <v>82</v>
      </c>
      <c r="D407" s="1" t="s">
        <v>37</v>
      </c>
      <c r="E407" s="1" t="s">
        <v>38</v>
      </c>
      <c r="F407" s="1" t="s">
        <v>39</v>
      </c>
      <c r="G407" s="1" t="s">
        <v>40</v>
      </c>
      <c r="H407" s="1" t="s">
        <v>35</v>
      </c>
      <c r="I407" s="1" t="s">
        <v>94</v>
      </c>
      <c r="J407" s="1" t="s">
        <v>39</v>
      </c>
      <c r="K407" s="1" t="s">
        <v>42</v>
      </c>
      <c r="L407" s="1" t="s">
        <v>43</v>
      </c>
      <c r="M407" s="1" t="s">
        <v>44</v>
      </c>
      <c r="N407" s="1" t="s">
        <v>45</v>
      </c>
      <c r="O407" s="1" t="s">
        <v>45</v>
      </c>
      <c r="P407" s="1" t="s">
        <v>46</v>
      </c>
      <c r="Q407" s="1" t="s">
        <v>47</v>
      </c>
      <c r="R407" s="1" t="s">
        <v>48</v>
      </c>
      <c r="S407" s="1" t="s">
        <v>49</v>
      </c>
      <c r="T407" s="1" t="s">
        <v>50</v>
      </c>
      <c r="U407" s="1" t="s">
        <v>51</v>
      </c>
      <c r="V407" s="1" t="s">
        <v>52</v>
      </c>
      <c r="W407" s="1" t="s">
        <v>53</v>
      </c>
      <c r="X407" s="1" t="s">
        <v>54</v>
      </c>
      <c r="Y407" s="1" t="s">
        <v>55</v>
      </c>
      <c r="Z407" s="1" t="s">
        <v>56</v>
      </c>
      <c r="AA407" s="1" t="s">
        <v>36</v>
      </c>
      <c r="AB407" s="1" t="s">
        <v>54</v>
      </c>
      <c r="AC407" s="1" t="s">
        <v>57</v>
      </c>
      <c r="AD407" s="1" t="s">
        <v>58</v>
      </c>
      <c r="AE407" s="1" t="s">
        <v>59</v>
      </c>
      <c r="AF407" s="1" t="s">
        <v>54</v>
      </c>
      <c r="AG407" s="1" t="s">
        <v>60</v>
      </c>
      <c r="AH407" s="1" t="s">
        <v>120</v>
      </c>
    </row>
    <row r="408" spans="1:34" x14ac:dyDescent="0.3">
      <c r="A408" s="1" t="s">
        <v>55</v>
      </c>
      <c r="B408" s="1" t="s">
        <v>41</v>
      </c>
      <c r="C408" s="1" t="s">
        <v>76</v>
      </c>
      <c r="D408" s="1" t="s">
        <v>49</v>
      </c>
      <c r="E408" s="1" t="s">
        <v>77</v>
      </c>
      <c r="F408" s="1" t="s">
        <v>86</v>
      </c>
      <c r="G408" s="1" t="s">
        <v>40</v>
      </c>
      <c r="H408" s="1" t="s">
        <v>35</v>
      </c>
      <c r="I408" s="1" t="s">
        <v>94</v>
      </c>
      <c r="J408" s="1" t="s">
        <v>78</v>
      </c>
      <c r="K408" s="1" t="s">
        <v>42</v>
      </c>
      <c r="L408" s="1" t="s">
        <v>88</v>
      </c>
      <c r="M408" s="1" t="s">
        <v>44</v>
      </c>
      <c r="N408" s="1" t="s">
        <v>45</v>
      </c>
      <c r="O408" s="1" t="s">
        <v>45</v>
      </c>
      <c r="P408" s="1" t="s">
        <v>46</v>
      </c>
      <c r="Q408" s="1" t="s">
        <v>93</v>
      </c>
      <c r="R408" s="1" t="s">
        <v>48</v>
      </c>
      <c r="S408" s="1" t="s">
        <v>49</v>
      </c>
      <c r="T408" s="1" t="s">
        <v>50</v>
      </c>
      <c r="U408" s="1" t="s">
        <v>51</v>
      </c>
      <c r="V408" s="1" t="s">
        <v>52</v>
      </c>
      <c r="W408" s="1" t="s">
        <v>53</v>
      </c>
      <c r="X408" s="1" t="s">
        <v>54</v>
      </c>
      <c r="Y408" s="1" t="s">
        <v>55</v>
      </c>
      <c r="Z408" s="1" t="s">
        <v>82</v>
      </c>
      <c r="AA408" s="1" t="s">
        <v>36</v>
      </c>
      <c r="AB408" s="1" t="s">
        <v>54</v>
      </c>
      <c r="AC408" s="1" t="s">
        <v>57</v>
      </c>
      <c r="AD408" s="1" t="s">
        <v>58</v>
      </c>
      <c r="AE408" s="1" t="s">
        <v>42</v>
      </c>
      <c r="AF408" s="1" t="s">
        <v>54</v>
      </c>
      <c r="AG408" s="1" t="s">
        <v>75</v>
      </c>
      <c r="AH408" s="1" t="s">
        <v>120</v>
      </c>
    </row>
    <row r="409" spans="1:34" x14ac:dyDescent="0.3">
      <c r="A409" s="1" t="s">
        <v>118</v>
      </c>
      <c r="B409" s="1" t="s">
        <v>87</v>
      </c>
      <c r="C409" s="1" t="s">
        <v>82</v>
      </c>
      <c r="D409" s="1" t="s">
        <v>83</v>
      </c>
      <c r="E409" s="1" t="s">
        <v>38</v>
      </c>
      <c r="F409" s="1" t="s">
        <v>39</v>
      </c>
      <c r="G409" s="1" t="s">
        <v>40</v>
      </c>
      <c r="H409" s="1" t="s">
        <v>35</v>
      </c>
      <c r="I409" s="1" t="s">
        <v>35</v>
      </c>
      <c r="J409" s="1" t="s">
        <v>39</v>
      </c>
      <c r="K409" s="1" t="s">
        <v>42</v>
      </c>
      <c r="L409" s="1" t="s">
        <v>40</v>
      </c>
      <c r="M409" s="1" t="s">
        <v>44</v>
      </c>
      <c r="N409" s="1" t="s">
        <v>81</v>
      </c>
      <c r="O409" s="1" t="s">
        <v>81</v>
      </c>
      <c r="P409" s="1" t="s">
        <v>50</v>
      </c>
      <c r="Q409" s="1" t="s">
        <v>47</v>
      </c>
      <c r="R409" s="1" t="s">
        <v>80</v>
      </c>
      <c r="S409" s="1" t="s">
        <v>49</v>
      </c>
      <c r="T409" s="1" t="s">
        <v>50</v>
      </c>
      <c r="U409" s="1" t="s">
        <v>51</v>
      </c>
      <c r="V409" s="1" t="s">
        <v>52</v>
      </c>
      <c r="W409" s="1" t="s">
        <v>53</v>
      </c>
      <c r="X409" s="1" t="s">
        <v>54</v>
      </c>
      <c r="Y409" s="1" t="s">
        <v>55</v>
      </c>
      <c r="Z409" s="1" t="s">
        <v>56</v>
      </c>
      <c r="AA409" s="1" t="s">
        <v>36</v>
      </c>
      <c r="AB409" s="1" t="s">
        <v>54</v>
      </c>
      <c r="AC409" s="1" t="s">
        <v>57</v>
      </c>
      <c r="AD409" s="1" t="s">
        <v>58</v>
      </c>
      <c r="AE409" s="1" t="s">
        <v>59</v>
      </c>
      <c r="AF409" s="1" t="s">
        <v>54</v>
      </c>
      <c r="AG409" s="1" t="s">
        <v>75</v>
      </c>
      <c r="AH409" s="1" t="s">
        <v>121</v>
      </c>
    </row>
    <row r="410" spans="1:34" x14ac:dyDescent="0.3">
      <c r="A410" s="1" t="s">
        <v>54</v>
      </c>
      <c r="B410" s="1" t="s">
        <v>41</v>
      </c>
      <c r="C410" s="1" t="s">
        <v>76</v>
      </c>
      <c r="D410" s="1" t="s">
        <v>49</v>
      </c>
      <c r="E410" s="1" t="s">
        <v>77</v>
      </c>
      <c r="F410" s="1" t="s">
        <v>39</v>
      </c>
      <c r="G410" s="1" t="s">
        <v>40</v>
      </c>
      <c r="H410" s="1" t="s">
        <v>35</v>
      </c>
      <c r="I410" s="1" t="s">
        <v>35</v>
      </c>
      <c r="J410" s="1" t="s">
        <v>39</v>
      </c>
      <c r="K410" s="1" t="s">
        <v>42</v>
      </c>
      <c r="L410" s="1" t="s">
        <v>43</v>
      </c>
      <c r="M410" s="1" t="s">
        <v>53</v>
      </c>
      <c r="N410" s="1" t="s">
        <v>45</v>
      </c>
      <c r="O410" s="1" t="s">
        <v>45</v>
      </c>
      <c r="P410" s="1" t="s">
        <v>46</v>
      </c>
      <c r="Q410" s="1" t="s">
        <v>93</v>
      </c>
      <c r="R410" s="1" t="s">
        <v>48</v>
      </c>
      <c r="S410" s="1" t="s">
        <v>49</v>
      </c>
      <c r="T410" s="1" t="s">
        <v>50</v>
      </c>
      <c r="U410" s="1" t="s">
        <v>51</v>
      </c>
      <c r="V410" s="1" t="s">
        <v>52</v>
      </c>
      <c r="W410" s="1" t="s">
        <v>53</v>
      </c>
      <c r="X410" s="1" t="s">
        <v>54</v>
      </c>
      <c r="Y410" s="1" t="s">
        <v>55</v>
      </c>
      <c r="Z410" s="1" t="s">
        <v>56</v>
      </c>
      <c r="AA410" s="1" t="s">
        <v>36</v>
      </c>
      <c r="AB410" s="1" t="s">
        <v>54</v>
      </c>
      <c r="AC410" s="1" t="s">
        <v>57</v>
      </c>
      <c r="AD410" s="1" t="s">
        <v>58</v>
      </c>
      <c r="AE410" s="1" t="s">
        <v>42</v>
      </c>
      <c r="AF410" s="1" t="s">
        <v>54</v>
      </c>
      <c r="AG410" s="1" t="s">
        <v>75</v>
      </c>
      <c r="AH410" s="1" t="s">
        <v>120</v>
      </c>
    </row>
    <row r="411" spans="1:34" x14ac:dyDescent="0.3">
      <c r="A411" s="1" t="s">
        <v>55</v>
      </c>
      <c r="B411" s="1" t="s">
        <v>41</v>
      </c>
      <c r="C411" s="1" t="s">
        <v>76</v>
      </c>
      <c r="D411" s="1" t="s">
        <v>37</v>
      </c>
      <c r="E411" s="1" t="s">
        <v>77</v>
      </c>
      <c r="F411" s="1" t="s">
        <v>39</v>
      </c>
      <c r="G411" s="1" t="s">
        <v>40</v>
      </c>
      <c r="H411" s="1" t="s">
        <v>35</v>
      </c>
      <c r="I411" s="1" t="s">
        <v>35</v>
      </c>
      <c r="J411" s="1" t="s">
        <v>78</v>
      </c>
      <c r="K411" s="1" t="s">
        <v>42</v>
      </c>
      <c r="L411" s="1" t="s">
        <v>88</v>
      </c>
      <c r="M411" s="1" t="s">
        <v>44</v>
      </c>
      <c r="N411" s="1" t="s">
        <v>45</v>
      </c>
      <c r="O411" s="1" t="s">
        <v>45</v>
      </c>
      <c r="P411" s="1" t="s">
        <v>46</v>
      </c>
      <c r="Q411" s="1" t="s">
        <v>47</v>
      </c>
      <c r="R411" s="1" t="s">
        <v>48</v>
      </c>
      <c r="S411" s="1" t="s">
        <v>49</v>
      </c>
      <c r="T411" s="1" t="s">
        <v>50</v>
      </c>
      <c r="U411" s="1" t="s">
        <v>51</v>
      </c>
      <c r="V411" s="1" t="s">
        <v>81</v>
      </c>
      <c r="W411" s="1" t="s">
        <v>53</v>
      </c>
      <c r="X411" s="1" t="s">
        <v>54</v>
      </c>
      <c r="Y411" s="1" t="s">
        <v>74</v>
      </c>
      <c r="Z411" s="1" t="s">
        <v>82</v>
      </c>
      <c r="AA411" s="1" t="s">
        <v>36</v>
      </c>
      <c r="AB411" s="1" t="s">
        <v>54</v>
      </c>
      <c r="AC411" s="1" t="s">
        <v>57</v>
      </c>
      <c r="AD411" s="1" t="s">
        <v>58</v>
      </c>
      <c r="AE411" s="1" t="s">
        <v>42</v>
      </c>
      <c r="AF411" s="1" t="s">
        <v>54</v>
      </c>
      <c r="AG411" s="1" t="s">
        <v>75</v>
      </c>
      <c r="AH411" s="1" t="s">
        <v>120</v>
      </c>
    </row>
    <row r="412" spans="1:34" x14ac:dyDescent="0.3">
      <c r="A412" s="1" t="s">
        <v>54</v>
      </c>
      <c r="B412" s="1" t="s">
        <v>41</v>
      </c>
      <c r="C412" s="1" t="s">
        <v>76</v>
      </c>
      <c r="D412" s="1" t="s">
        <v>37</v>
      </c>
      <c r="E412" s="1" t="s">
        <v>77</v>
      </c>
      <c r="F412" s="1" t="s">
        <v>39</v>
      </c>
      <c r="G412" s="1" t="s">
        <v>40</v>
      </c>
      <c r="H412" s="1" t="s">
        <v>35</v>
      </c>
      <c r="I412" s="1" t="s">
        <v>35</v>
      </c>
      <c r="J412" s="1" t="s">
        <v>78</v>
      </c>
      <c r="K412" s="1" t="s">
        <v>42</v>
      </c>
      <c r="L412" s="1" t="s">
        <v>43</v>
      </c>
      <c r="M412" s="1" t="s">
        <v>44</v>
      </c>
      <c r="N412" s="1" t="s">
        <v>45</v>
      </c>
      <c r="O412" s="1" t="s">
        <v>45</v>
      </c>
      <c r="P412" s="1" t="s">
        <v>46</v>
      </c>
      <c r="Q412" s="1" t="s">
        <v>47</v>
      </c>
      <c r="R412" s="1" t="s">
        <v>48</v>
      </c>
      <c r="S412" s="1" t="s">
        <v>49</v>
      </c>
      <c r="T412" s="1" t="s">
        <v>50</v>
      </c>
      <c r="U412" s="1" t="s">
        <v>51</v>
      </c>
      <c r="V412" s="1" t="s">
        <v>52</v>
      </c>
      <c r="W412" s="1" t="s">
        <v>53</v>
      </c>
      <c r="X412" s="1" t="s">
        <v>54</v>
      </c>
      <c r="Y412" s="1" t="s">
        <v>74</v>
      </c>
      <c r="Z412" s="1" t="s">
        <v>56</v>
      </c>
      <c r="AA412" s="1" t="s">
        <v>36</v>
      </c>
      <c r="AB412" s="1" t="s">
        <v>54</v>
      </c>
      <c r="AC412" s="1" t="s">
        <v>57</v>
      </c>
      <c r="AD412" s="1" t="s">
        <v>58</v>
      </c>
      <c r="AE412" s="1" t="s">
        <v>42</v>
      </c>
      <c r="AF412" s="1" t="s">
        <v>54</v>
      </c>
      <c r="AG412" s="1" t="s">
        <v>75</v>
      </c>
      <c r="AH412" s="1" t="s">
        <v>120</v>
      </c>
    </row>
    <row r="413" spans="1:34" x14ac:dyDescent="0.3">
      <c r="A413" s="1" t="s">
        <v>34</v>
      </c>
      <c r="B413" s="1" t="s">
        <v>35</v>
      </c>
      <c r="C413" s="1" t="s">
        <v>36</v>
      </c>
      <c r="D413" s="1" t="s">
        <v>49</v>
      </c>
      <c r="E413" s="1" t="s">
        <v>77</v>
      </c>
      <c r="F413" s="1" t="s">
        <v>39</v>
      </c>
      <c r="G413" s="1" t="s">
        <v>40</v>
      </c>
      <c r="H413" s="1" t="s">
        <v>35</v>
      </c>
      <c r="I413" s="1" t="s">
        <v>35</v>
      </c>
      <c r="J413" s="1" t="s">
        <v>39</v>
      </c>
      <c r="K413" s="1" t="s">
        <v>42</v>
      </c>
      <c r="L413" s="1" t="s">
        <v>79</v>
      </c>
      <c r="M413" s="1" t="s">
        <v>44</v>
      </c>
      <c r="N413" s="1" t="s">
        <v>45</v>
      </c>
      <c r="O413" s="1" t="s">
        <v>45</v>
      </c>
      <c r="P413" s="1" t="s">
        <v>46</v>
      </c>
      <c r="Q413" s="1" t="s">
        <v>47</v>
      </c>
      <c r="R413" s="1" t="s">
        <v>48</v>
      </c>
      <c r="S413" s="1" t="s">
        <v>49</v>
      </c>
      <c r="T413" s="1" t="s">
        <v>50</v>
      </c>
      <c r="U413" s="1" t="s">
        <v>51</v>
      </c>
      <c r="V413" s="1" t="s">
        <v>52</v>
      </c>
      <c r="W413" s="1" t="s">
        <v>53</v>
      </c>
      <c r="X413" s="1" t="s">
        <v>91</v>
      </c>
      <c r="Y413" s="1" t="s">
        <v>55</v>
      </c>
      <c r="Z413" s="1" t="s">
        <v>56</v>
      </c>
      <c r="AA413" s="1" t="s">
        <v>36</v>
      </c>
      <c r="AB413" s="1" t="s">
        <v>54</v>
      </c>
      <c r="AC413" s="1" t="s">
        <v>57</v>
      </c>
      <c r="AD413" s="1" t="s">
        <v>58</v>
      </c>
      <c r="AE413" s="1" t="s">
        <v>59</v>
      </c>
      <c r="AF413" s="1" t="s">
        <v>54</v>
      </c>
      <c r="AG413" s="1" t="s">
        <v>75</v>
      </c>
      <c r="AH413" s="1" t="s">
        <v>120</v>
      </c>
    </row>
    <row r="414" spans="1:34" x14ac:dyDescent="0.3">
      <c r="A414" s="1" t="s">
        <v>34</v>
      </c>
      <c r="B414" s="1" t="s">
        <v>41</v>
      </c>
      <c r="C414" s="1" t="s">
        <v>76</v>
      </c>
      <c r="D414" s="1" t="s">
        <v>37</v>
      </c>
      <c r="E414" s="1" t="s">
        <v>38</v>
      </c>
      <c r="F414" s="1" t="s">
        <v>39</v>
      </c>
      <c r="G414" s="1" t="s">
        <v>40</v>
      </c>
      <c r="H414" s="1" t="s">
        <v>35</v>
      </c>
      <c r="I414" s="1" t="s">
        <v>35</v>
      </c>
      <c r="J414" s="1" t="s">
        <v>39</v>
      </c>
      <c r="K414" s="1" t="s">
        <v>42</v>
      </c>
      <c r="L414" s="1" t="s">
        <v>79</v>
      </c>
      <c r="M414" s="1" t="s">
        <v>44</v>
      </c>
      <c r="N414" s="1" t="s">
        <v>45</v>
      </c>
      <c r="O414" s="1" t="s">
        <v>45</v>
      </c>
      <c r="P414" s="1" t="s">
        <v>46</v>
      </c>
      <c r="Q414" s="1" t="s">
        <v>47</v>
      </c>
      <c r="R414" s="1" t="s">
        <v>48</v>
      </c>
      <c r="S414" s="1" t="s">
        <v>49</v>
      </c>
      <c r="T414" s="1" t="s">
        <v>50</v>
      </c>
      <c r="U414" s="1" t="s">
        <v>51</v>
      </c>
      <c r="V414" s="1" t="s">
        <v>52</v>
      </c>
      <c r="W414" s="1" t="s">
        <v>53</v>
      </c>
      <c r="X414" s="1" t="s">
        <v>54</v>
      </c>
      <c r="Y414" s="1" t="s">
        <v>74</v>
      </c>
      <c r="Z414" s="1" t="s">
        <v>56</v>
      </c>
      <c r="AA414" s="1" t="s">
        <v>36</v>
      </c>
      <c r="AB414" s="1" t="s">
        <v>54</v>
      </c>
      <c r="AC414" s="1" t="s">
        <v>57</v>
      </c>
      <c r="AD414" s="1" t="s">
        <v>58</v>
      </c>
      <c r="AE414" s="1" t="s">
        <v>42</v>
      </c>
      <c r="AF414" s="1" t="s">
        <v>54</v>
      </c>
      <c r="AG414" s="1" t="s">
        <v>75</v>
      </c>
      <c r="AH414" s="1" t="s">
        <v>120</v>
      </c>
    </row>
    <row r="415" spans="1:34" x14ac:dyDescent="0.3">
      <c r="A415" s="1" t="s">
        <v>34</v>
      </c>
      <c r="B415" s="1" t="s">
        <v>35</v>
      </c>
      <c r="C415" s="1" t="s">
        <v>36</v>
      </c>
      <c r="D415" s="1" t="s">
        <v>37</v>
      </c>
      <c r="E415" s="1" t="s">
        <v>77</v>
      </c>
      <c r="F415" s="1" t="s">
        <v>39</v>
      </c>
      <c r="G415" s="1" t="s">
        <v>40</v>
      </c>
      <c r="H415" s="1" t="s">
        <v>35</v>
      </c>
      <c r="I415" s="1" t="s">
        <v>41</v>
      </c>
      <c r="J415" s="1" t="s">
        <v>39</v>
      </c>
      <c r="K415" s="1" t="s">
        <v>42</v>
      </c>
      <c r="L415" s="1" t="s">
        <v>79</v>
      </c>
      <c r="M415" s="1" t="s">
        <v>44</v>
      </c>
      <c r="N415" s="1" t="s">
        <v>45</v>
      </c>
      <c r="O415" s="1" t="s">
        <v>45</v>
      </c>
      <c r="P415" s="1" t="s">
        <v>46</v>
      </c>
      <c r="Q415" s="1" t="s">
        <v>47</v>
      </c>
      <c r="R415" s="1" t="s">
        <v>80</v>
      </c>
      <c r="S415" s="1" t="s">
        <v>49</v>
      </c>
      <c r="T415" s="1" t="s">
        <v>50</v>
      </c>
      <c r="U415" s="1" t="s">
        <v>51</v>
      </c>
      <c r="V415" s="1" t="s">
        <v>52</v>
      </c>
      <c r="W415" s="1" t="s">
        <v>53</v>
      </c>
      <c r="X415" s="1" t="s">
        <v>54</v>
      </c>
      <c r="Y415" s="1" t="s">
        <v>74</v>
      </c>
      <c r="Z415" s="1" t="s">
        <v>56</v>
      </c>
      <c r="AA415" s="1" t="s">
        <v>36</v>
      </c>
      <c r="AB415" s="1" t="s">
        <v>54</v>
      </c>
      <c r="AC415" s="1" t="s">
        <v>57</v>
      </c>
      <c r="AD415" s="1" t="s">
        <v>58</v>
      </c>
      <c r="AE415" s="1" t="s">
        <v>59</v>
      </c>
      <c r="AF415" s="1" t="s">
        <v>54</v>
      </c>
      <c r="AG415" s="1" t="s">
        <v>75</v>
      </c>
      <c r="AH415" s="1" t="s">
        <v>120</v>
      </c>
    </row>
    <row r="416" spans="1:34" x14ac:dyDescent="0.3">
      <c r="A416" s="1" t="s">
        <v>54</v>
      </c>
      <c r="B416" s="1" t="s">
        <v>35</v>
      </c>
      <c r="C416" s="1" t="s">
        <v>36</v>
      </c>
      <c r="D416" s="1" t="s">
        <v>37</v>
      </c>
      <c r="E416" s="1" t="s">
        <v>77</v>
      </c>
      <c r="F416" s="1" t="s">
        <v>39</v>
      </c>
      <c r="G416" s="1" t="s">
        <v>40</v>
      </c>
      <c r="H416" s="1" t="s">
        <v>35</v>
      </c>
      <c r="I416" s="1" t="s">
        <v>35</v>
      </c>
      <c r="J416" s="1" t="s">
        <v>92</v>
      </c>
      <c r="K416" s="1" t="s">
        <v>42</v>
      </c>
      <c r="L416" s="1" t="s">
        <v>43</v>
      </c>
      <c r="M416" s="1" t="s">
        <v>44</v>
      </c>
      <c r="N416" s="1" t="s">
        <v>45</v>
      </c>
      <c r="O416" s="1" t="s">
        <v>45</v>
      </c>
      <c r="P416" s="1" t="s">
        <v>46</v>
      </c>
      <c r="Q416" s="1" t="s">
        <v>47</v>
      </c>
      <c r="R416" s="1" t="s">
        <v>48</v>
      </c>
      <c r="S416" s="1" t="s">
        <v>49</v>
      </c>
      <c r="T416" s="1" t="s">
        <v>50</v>
      </c>
      <c r="U416" s="1" t="s">
        <v>51</v>
      </c>
      <c r="V416" s="1" t="s">
        <v>52</v>
      </c>
      <c r="W416" s="1" t="s">
        <v>53</v>
      </c>
      <c r="X416" s="1" t="s">
        <v>54</v>
      </c>
      <c r="Y416" s="1" t="s">
        <v>74</v>
      </c>
      <c r="Z416" s="1" t="s">
        <v>56</v>
      </c>
      <c r="AA416" s="1" t="s">
        <v>36</v>
      </c>
      <c r="AB416" s="1" t="s">
        <v>54</v>
      </c>
      <c r="AC416" s="1" t="s">
        <v>57</v>
      </c>
      <c r="AD416" s="1" t="s">
        <v>58</v>
      </c>
      <c r="AE416" s="1" t="s">
        <v>59</v>
      </c>
      <c r="AF416" s="1" t="s">
        <v>54</v>
      </c>
      <c r="AG416" s="1" t="s">
        <v>75</v>
      </c>
      <c r="AH416" s="1" t="s">
        <v>120</v>
      </c>
    </row>
    <row r="417" spans="1:34" x14ac:dyDescent="0.3">
      <c r="A417" s="1" t="s">
        <v>91</v>
      </c>
      <c r="B417" s="1" t="s">
        <v>35</v>
      </c>
      <c r="C417" s="1" t="s">
        <v>36</v>
      </c>
      <c r="D417" s="1" t="s">
        <v>37</v>
      </c>
      <c r="E417" s="1" t="s">
        <v>77</v>
      </c>
      <c r="F417" s="1" t="s">
        <v>39</v>
      </c>
      <c r="G417" s="1" t="s">
        <v>40</v>
      </c>
      <c r="H417" s="1" t="s">
        <v>35</v>
      </c>
      <c r="I417" s="1" t="s">
        <v>41</v>
      </c>
      <c r="J417" s="1" t="s">
        <v>39</v>
      </c>
      <c r="K417" s="1" t="s">
        <v>42</v>
      </c>
      <c r="L417" s="1" t="s">
        <v>79</v>
      </c>
      <c r="M417" s="1" t="s">
        <v>84</v>
      </c>
      <c r="N417" s="1" t="s">
        <v>45</v>
      </c>
      <c r="O417" s="1" t="s">
        <v>45</v>
      </c>
      <c r="P417" s="1" t="s">
        <v>46</v>
      </c>
      <c r="Q417" s="1" t="s">
        <v>47</v>
      </c>
      <c r="R417" s="1" t="s">
        <v>80</v>
      </c>
      <c r="S417" s="1" t="s">
        <v>49</v>
      </c>
      <c r="T417" s="1" t="s">
        <v>50</v>
      </c>
      <c r="U417" s="1" t="s">
        <v>51</v>
      </c>
      <c r="V417" s="1" t="s">
        <v>52</v>
      </c>
      <c r="W417" s="1" t="s">
        <v>53</v>
      </c>
      <c r="X417" s="1" t="s">
        <v>54</v>
      </c>
      <c r="Y417" s="1" t="s">
        <v>55</v>
      </c>
      <c r="Z417" s="1" t="s">
        <v>56</v>
      </c>
      <c r="AA417" s="1" t="s">
        <v>36</v>
      </c>
      <c r="AB417" s="1" t="s">
        <v>54</v>
      </c>
      <c r="AC417" s="1" t="s">
        <v>57</v>
      </c>
      <c r="AD417" s="1" t="s">
        <v>58</v>
      </c>
      <c r="AE417" s="1" t="s">
        <v>59</v>
      </c>
      <c r="AF417" s="1" t="s">
        <v>54</v>
      </c>
      <c r="AG417" s="1" t="s">
        <v>75</v>
      </c>
      <c r="AH417" s="1" t="s">
        <v>120</v>
      </c>
    </row>
    <row r="418" spans="1:34" x14ac:dyDescent="0.3">
      <c r="A418" s="1" t="s">
        <v>55</v>
      </c>
      <c r="B418" s="1" t="s">
        <v>41</v>
      </c>
      <c r="C418" s="1" t="s">
        <v>76</v>
      </c>
      <c r="D418" s="1" t="s">
        <v>37</v>
      </c>
      <c r="E418" s="1" t="s">
        <v>77</v>
      </c>
      <c r="F418" s="1" t="s">
        <v>39</v>
      </c>
      <c r="G418" s="1" t="s">
        <v>40</v>
      </c>
      <c r="H418" s="1" t="s">
        <v>35</v>
      </c>
      <c r="I418" s="1" t="s">
        <v>94</v>
      </c>
      <c r="J418" s="1" t="s">
        <v>39</v>
      </c>
      <c r="K418" s="1" t="s">
        <v>42</v>
      </c>
      <c r="L418" s="1" t="s">
        <v>43</v>
      </c>
      <c r="M418" s="1" t="s">
        <v>44</v>
      </c>
      <c r="N418" s="1" t="s">
        <v>45</v>
      </c>
      <c r="O418" s="1" t="s">
        <v>45</v>
      </c>
      <c r="P418" s="1" t="s">
        <v>46</v>
      </c>
      <c r="Q418" s="1" t="s">
        <v>47</v>
      </c>
      <c r="R418" s="1" t="s">
        <v>48</v>
      </c>
      <c r="S418" s="1" t="s">
        <v>49</v>
      </c>
      <c r="T418" s="1" t="s">
        <v>50</v>
      </c>
      <c r="U418" s="1" t="s">
        <v>51</v>
      </c>
      <c r="V418" s="1" t="s">
        <v>52</v>
      </c>
      <c r="W418" s="1" t="s">
        <v>53</v>
      </c>
      <c r="X418" s="1" t="s">
        <v>54</v>
      </c>
      <c r="Y418" s="1" t="s">
        <v>55</v>
      </c>
      <c r="Z418" s="1" t="s">
        <v>56</v>
      </c>
      <c r="AA418" s="1" t="s">
        <v>36</v>
      </c>
      <c r="AB418" s="1" t="s">
        <v>54</v>
      </c>
      <c r="AC418" s="1" t="s">
        <v>57</v>
      </c>
      <c r="AD418" s="1" t="s">
        <v>58</v>
      </c>
      <c r="AE418" s="1" t="s">
        <v>42</v>
      </c>
      <c r="AF418" s="1" t="s">
        <v>54</v>
      </c>
      <c r="AG418" s="1" t="s">
        <v>75</v>
      </c>
      <c r="AH418" s="1" t="s">
        <v>120</v>
      </c>
    </row>
    <row r="419" spans="1:34" x14ac:dyDescent="0.3">
      <c r="A419" s="1" t="s">
        <v>54</v>
      </c>
      <c r="B419" s="1" t="s">
        <v>35</v>
      </c>
      <c r="C419" s="1" t="s">
        <v>36</v>
      </c>
      <c r="D419" s="1" t="s">
        <v>37</v>
      </c>
      <c r="E419" s="1" t="s">
        <v>77</v>
      </c>
      <c r="F419" s="1" t="s">
        <v>39</v>
      </c>
      <c r="G419" s="1" t="s">
        <v>40</v>
      </c>
      <c r="H419" s="1" t="s">
        <v>35</v>
      </c>
      <c r="I419" s="1" t="s">
        <v>94</v>
      </c>
      <c r="J419" s="1" t="s">
        <v>39</v>
      </c>
      <c r="K419" s="1" t="s">
        <v>42</v>
      </c>
      <c r="L419" s="1" t="s">
        <v>43</v>
      </c>
      <c r="M419" s="1" t="s">
        <v>44</v>
      </c>
      <c r="N419" s="1" t="s">
        <v>45</v>
      </c>
      <c r="O419" s="1" t="s">
        <v>45</v>
      </c>
      <c r="P419" s="1" t="s">
        <v>46</v>
      </c>
      <c r="Q419" s="1" t="s">
        <v>47</v>
      </c>
      <c r="R419" s="1" t="s">
        <v>80</v>
      </c>
      <c r="S419" s="1" t="s">
        <v>49</v>
      </c>
      <c r="T419" s="1" t="s">
        <v>50</v>
      </c>
      <c r="U419" s="1" t="s">
        <v>51</v>
      </c>
      <c r="V419" s="1" t="s">
        <v>52</v>
      </c>
      <c r="W419" s="1" t="s">
        <v>53</v>
      </c>
      <c r="X419" s="1" t="s">
        <v>54</v>
      </c>
      <c r="Y419" s="1" t="s">
        <v>55</v>
      </c>
      <c r="Z419" s="1" t="s">
        <v>56</v>
      </c>
      <c r="AA419" s="1" t="s">
        <v>36</v>
      </c>
      <c r="AB419" s="1" t="s">
        <v>54</v>
      </c>
      <c r="AC419" s="1" t="s">
        <v>57</v>
      </c>
      <c r="AD419" s="1" t="s">
        <v>58</v>
      </c>
      <c r="AE419" s="1" t="s">
        <v>59</v>
      </c>
      <c r="AF419" s="1" t="s">
        <v>54</v>
      </c>
      <c r="AG419" s="1" t="s">
        <v>75</v>
      </c>
      <c r="AH419" s="1" t="s">
        <v>120</v>
      </c>
    </row>
    <row r="420" spans="1:34" x14ac:dyDescent="0.3">
      <c r="A420" s="1" t="s">
        <v>91</v>
      </c>
      <c r="B420" s="1" t="s">
        <v>41</v>
      </c>
      <c r="C420" s="1" t="s">
        <v>76</v>
      </c>
      <c r="D420" s="1" t="s">
        <v>37</v>
      </c>
      <c r="E420" s="1" t="s">
        <v>38</v>
      </c>
      <c r="F420" s="1" t="s">
        <v>39</v>
      </c>
      <c r="G420" s="1" t="s">
        <v>40</v>
      </c>
      <c r="H420" s="1" t="s">
        <v>35</v>
      </c>
      <c r="I420" s="1" t="s">
        <v>35</v>
      </c>
      <c r="J420" s="1" t="s">
        <v>39</v>
      </c>
      <c r="K420" s="1" t="s">
        <v>42</v>
      </c>
      <c r="L420" s="1" t="s">
        <v>43</v>
      </c>
      <c r="M420" s="1" t="s">
        <v>44</v>
      </c>
      <c r="N420" s="1" t="s">
        <v>45</v>
      </c>
      <c r="O420" s="1" t="s">
        <v>45</v>
      </c>
      <c r="P420" s="1" t="s">
        <v>46</v>
      </c>
      <c r="Q420" s="1" t="s">
        <v>47</v>
      </c>
      <c r="R420" s="1" t="s">
        <v>48</v>
      </c>
      <c r="S420" s="1" t="s">
        <v>49</v>
      </c>
      <c r="T420" s="1" t="s">
        <v>50</v>
      </c>
      <c r="U420" s="1" t="s">
        <v>51</v>
      </c>
      <c r="V420" s="1" t="s">
        <v>52</v>
      </c>
      <c r="W420" s="1" t="s">
        <v>53</v>
      </c>
      <c r="X420" s="1" t="s">
        <v>54</v>
      </c>
      <c r="Y420" s="1" t="s">
        <v>74</v>
      </c>
      <c r="Z420" s="1" t="s">
        <v>56</v>
      </c>
      <c r="AA420" s="1" t="s">
        <v>36</v>
      </c>
      <c r="AB420" s="1" t="s">
        <v>54</v>
      </c>
      <c r="AC420" s="1" t="s">
        <v>57</v>
      </c>
      <c r="AD420" s="1" t="s">
        <v>58</v>
      </c>
      <c r="AE420" s="1" t="s">
        <v>42</v>
      </c>
      <c r="AF420" s="1" t="s">
        <v>54</v>
      </c>
      <c r="AG420" s="1" t="s">
        <v>75</v>
      </c>
      <c r="AH420" s="1" t="s">
        <v>120</v>
      </c>
    </row>
    <row r="421" spans="1:34" x14ac:dyDescent="0.3">
      <c r="A421" s="1" t="s">
        <v>34</v>
      </c>
      <c r="B421" s="1" t="s">
        <v>61</v>
      </c>
      <c r="C421" s="1" t="s">
        <v>62</v>
      </c>
      <c r="D421" s="1" t="s">
        <v>63</v>
      </c>
      <c r="E421" s="1" t="s">
        <v>64</v>
      </c>
      <c r="F421" s="1" t="s">
        <v>65</v>
      </c>
      <c r="G421" s="1" t="s">
        <v>66</v>
      </c>
      <c r="H421" s="1" t="s">
        <v>61</v>
      </c>
      <c r="I421" s="1" t="s">
        <v>61</v>
      </c>
      <c r="J421" s="1" t="s">
        <v>65</v>
      </c>
      <c r="K421" s="1" t="s">
        <v>67</v>
      </c>
      <c r="L421" s="1" t="s">
        <v>66</v>
      </c>
      <c r="M421" s="1" t="s">
        <v>68</v>
      </c>
      <c r="N421" s="1" t="s">
        <v>63</v>
      </c>
      <c r="O421" s="1" t="s">
        <v>63</v>
      </c>
      <c r="P421" s="1" t="s">
        <v>69</v>
      </c>
      <c r="Q421" s="1" t="s">
        <v>70</v>
      </c>
      <c r="R421" s="1" t="s">
        <v>71</v>
      </c>
      <c r="S421" s="1" t="s">
        <v>63</v>
      </c>
      <c r="T421" s="1" t="s">
        <v>69</v>
      </c>
      <c r="U421" s="1" t="s">
        <v>69</v>
      </c>
      <c r="V421" s="1" t="s">
        <v>63</v>
      </c>
      <c r="W421" s="1" t="s">
        <v>68</v>
      </c>
      <c r="X421" s="1" t="s">
        <v>72</v>
      </c>
      <c r="Y421" s="1" t="s">
        <v>72</v>
      </c>
      <c r="Z421" s="1" t="s">
        <v>62</v>
      </c>
      <c r="AA421" s="1" t="s">
        <v>62</v>
      </c>
      <c r="AB421" s="1" t="s">
        <v>72</v>
      </c>
      <c r="AC421" s="1" t="s">
        <v>73</v>
      </c>
      <c r="AD421" s="1" t="s">
        <v>73</v>
      </c>
      <c r="AE421" s="1" t="s">
        <v>67</v>
      </c>
      <c r="AF421" s="1" t="s">
        <v>72</v>
      </c>
      <c r="AG421" s="1" t="s">
        <v>71</v>
      </c>
      <c r="AH421" s="1" t="s">
        <v>121</v>
      </c>
    </row>
    <row r="422" spans="1:34" x14ac:dyDescent="0.3">
      <c r="A422" s="1" t="s">
        <v>99</v>
      </c>
      <c r="B422" s="1" t="s">
        <v>41</v>
      </c>
      <c r="C422" s="1" t="s">
        <v>76</v>
      </c>
      <c r="D422" s="1" t="s">
        <v>37</v>
      </c>
      <c r="E422" s="1" t="s">
        <v>77</v>
      </c>
      <c r="F422" s="1" t="s">
        <v>39</v>
      </c>
      <c r="G422" s="1" t="s">
        <v>40</v>
      </c>
      <c r="H422" s="1" t="s">
        <v>35</v>
      </c>
      <c r="I422" s="1" t="s">
        <v>35</v>
      </c>
      <c r="J422" s="1" t="s">
        <v>39</v>
      </c>
      <c r="K422" s="1" t="s">
        <v>42</v>
      </c>
      <c r="L422" s="1" t="s">
        <v>43</v>
      </c>
      <c r="M422" s="1" t="s">
        <v>44</v>
      </c>
      <c r="N422" s="1" t="s">
        <v>45</v>
      </c>
      <c r="O422" s="1" t="s">
        <v>45</v>
      </c>
      <c r="P422" s="1" t="s">
        <v>46</v>
      </c>
      <c r="Q422" s="1" t="s">
        <v>47</v>
      </c>
      <c r="R422" s="1" t="s">
        <v>48</v>
      </c>
      <c r="S422" s="1" t="s">
        <v>49</v>
      </c>
      <c r="T422" s="1" t="s">
        <v>50</v>
      </c>
      <c r="U422" s="1" t="s">
        <v>51</v>
      </c>
      <c r="V422" s="1" t="s">
        <v>52</v>
      </c>
      <c r="W422" s="1" t="s">
        <v>53</v>
      </c>
      <c r="X422" s="1" t="s">
        <v>54</v>
      </c>
      <c r="Y422" s="1" t="s">
        <v>55</v>
      </c>
      <c r="Z422" s="1" t="s">
        <v>82</v>
      </c>
      <c r="AA422" s="1" t="s">
        <v>36</v>
      </c>
      <c r="AB422" s="1" t="s">
        <v>54</v>
      </c>
      <c r="AC422" s="1" t="s">
        <v>57</v>
      </c>
      <c r="AD422" s="1" t="s">
        <v>58</v>
      </c>
      <c r="AE422" s="1" t="s">
        <v>42</v>
      </c>
      <c r="AF422" s="1" t="s">
        <v>54</v>
      </c>
      <c r="AG422" s="1" t="s">
        <v>75</v>
      </c>
      <c r="AH422" s="1" t="s">
        <v>120</v>
      </c>
    </row>
    <row r="423" spans="1:34" x14ac:dyDescent="0.3">
      <c r="A423" s="1" t="s">
        <v>99</v>
      </c>
      <c r="B423" s="1" t="s">
        <v>87</v>
      </c>
      <c r="C423" s="1" t="s">
        <v>82</v>
      </c>
      <c r="D423" s="1" t="s">
        <v>37</v>
      </c>
      <c r="E423" s="1" t="s">
        <v>77</v>
      </c>
      <c r="F423" s="1" t="s">
        <v>39</v>
      </c>
      <c r="G423" s="1" t="s">
        <v>40</v>
      </c>
      <c r="H423" s="1" t="s">
        <v>35</v>
      </c>
      <c r="I423" s="1" t="s">
        <v>41</v>
      </c>
      <c r="J423" s="1" t="s">
        <v>39</v>
      </c>
      <c r="K423" s="1" t="s">
        <v>42</v>
      </c>
      <c r="L423" s="1" t="s">
        <v>43</v>
      </c>
      <c r="M423" s="1" t="s">
        <v>44</v>
      </c>
      <c r="N423" s="1" t="s">
        <v>45</v>
      </c>
      <c r="O423" s="1" t="s">
        <v>45</v>
      </c>
      <c r="P423" s="1" t="s">
        <v>46</v>
      </c>
      <c r="Q423" s="1" t="s">
        <v>47</v>
      </c>
      <c r="R423" s="1" t="s">
        <v>48</v>
      </c>
      <c r="S423" s="1" t="s">
        <v>49</v>
      </c>
      <c r="T423" s="1" t="s">
        <v>50</v>
      </c>
      <c r="U423" s="1" t="s">
        <v>51</v>
      </c>
      <c r="V423" s="1" t="s">
        <v>52</v>
      </c>
      <c r="W423" s="1" t="s">
        <v>53</v>
      </c>
      <c r="X423" s="1" t="s">
        <v>54</v>
      </c>
      <c r="Y423" s="1" t="s">
        <v>74</v>
      </c>
      <c r="Z423" s="1" t="s">
        <v>56</v>
      </c>
      <c r="AA423" s="1" t="s">
        <v>36</v>
      </c>
      <c r="AB423" s="1" t="s">
        <v>54</v>
      </c>
      <c r="AC423" s="1" t="s">
        <v>57</v>
      </c>
      <c r="AD423" s="1" t="s">
        <v>58</v>
      </c>
      <c r="AE423" s="1" t="s">
        <v>59</v>
      </c>
      <c r="AF423" s="1" t="s">
        <v>54</v>
      </c>
      <c r="AG423" s="1" t="s">
        <v>75</v>
      </c>
      <c r="AH423" s="1" t="s">
        <v>120</v>
      </c>
    </row>
    <row r="424" spans="1:34" x14ac:dyDescent="0.3">
      <c r="A424" s="1" t="s">
        <v>54</v>
      </c>
      <c r="B424" s="1" t="s">
        <v>41</v>
      </c>
      <c r="C424" s="1" t="s">
        <v>76</v>
      </c>
      <c r="D424" s="1" t="s">
        <v>37</v>
      </c>
      <c r="E424" s="1" t="s">
        <v>77</v>
      </c>
      <c r="F424" s="1" t="s">
        <v>39</v>
      </c>
      <c r="G424" s="1" t="s">
        <v>40</v>
      </c>
      <c r="H424" s="1" t="s">
        <v>35</v>
      </c>
      <c r="I424" s="1" t="s">
        <v>35</v>
      </c>
      <c r="J424" s="1" t="s">
        <v>39</v>
      </c>
      <c r="K424" s="1" t="s">
        <v>42</v>
      </c>
      <c r="L424" s="1" t="s">
        <v>43</v>
      </c>
      <c r="M424" s="1" t="s">
        <v>44</v>
      </c>
      <c r="N424" s="1" t="s">
        <v>45</v>
      </c>
      <c r="O424" s="1" t="s">
        <v>45</v>
      </c>
      <c r="P424" s="1" t="s">
        <v>46</v>
      </c>
      <c r="Q424" s="1" t="s">
        <v>47</v>
      </c>
      <c r="R424" s="1" t="s">
        <v>80</v>
      </c>
      <c r="S424" s="1" t="s">
        <v>49</v>
      </c>
      <c r="T424" s="1" t="s">
        <v>50</v>
      </c>
      <c r="U424" s="1" t="s">
        <v>51</v>
      </c>
      <c r="V424" s="1" t="s">
        <v>52</v>
      </c>
      <c r="W424" s="1" t="s">
        <v>53</v>
      </c>
      <c r="X424" s="1" t="s">
        <v>54</v>
      </c>
      <c r="Y424" s="1" t="s">
        <v>55</v>
      </c>
      <c r="Z424" s="1" t="s">
        <v>56</v>
      </c>
      <c r="AA424" s="1" t="s">
        <v>36</v>
      </c>
      <c r="AB424" s="1" t="s">
        <v>54</v>
      </c>
      <c r="AC424" s="1" t="s">
        <v>57</v>
      </c>
      <c r="AD424" s="1" t="s">
        <v>58</v>
      </c>
      <c r="AE424" s="1" t="s">
        <v>42</v>
      </c>
      <c r="AF424" s="1" t="s">
        <v>54</v>
      </c>
      <c r="AG424" s="1" t="s">
        <v>60</v>
      </c>
      <c r="AH424" s="1" t="s">
        <v>120</v>
      </c>
    </row>
    <row r="425" spans="1:34" x14ac:dyDescent="0.3">
      <c r="A425" s="1" t="s">
        <v>99</v>
      </c>
      <c r="B425" s="1" t="s">
        <v>35</v>
      </c>
      <c r="C425" s="1" t="s">
        <v>36</v>
      </c>
      <c r="D425" s="1" t="s">
        <v>37</v>
      </c>
      <c r="E425" s="1" t="s">
        <v>77</v>
      </c>
      <c r="F425" s="1" t="s">
        <v>39</v>
      </c>
      <c r="G425" s="1" t="s">
        <v>40</v>
      </c>
      <c r="H425" s="1" t="s">
        <v>35</v>
      </c>
      <c r="I425" s="1" t="s">
        <v>35</v>
      </c>
      <c r="J425" s="1" t="s">
        <v>39</v>
      </c>
      <c r="K425" s="1" t="s">
        <v>42</v>
      </c>
      <c r="L425" s="1" t="s">
        <v>43</v>
      </c>
      <c r="M425" s="1" t="s">
        <v>44</v>
      </c>
      <c r="N425" s="1" t="s">
        <v>45</v>
      </c>
      <c r="O425" s="1" t="s">
        <v>45</v>
      </c>
      <c r="P425" s="1" t="s">
        <v>46</v>
      </c>
      <c r="Q425" s="1" t="s">
        <v>47</v>
      </c>
      <c r="R425" s="1" t="s">
        <v>48</v>
      </c>
      <c r="S425" s="1" t="s">
        <v>49</v>
      </c>
      <c r="T425" s="1" t="s">
        <v>50</v>
      </c>
      <c r="U425" s="1" t="s">
        <v>51</v>
      </c>
      <c r="V425" s="1" t="s">
        <v>52</v>
      </c>
      <c r="W425" s="1" t="s">
        <v>53</v>
      </c>
      <c r="X425" s="1" t="s">
        <v>54</v>
      </c>
      <c r="Y425" s="1" t="s">
        <v>55</v>
      </c>
      <c r="Z425" s="1" t="s">
        <v>56</v>
      </c>
      <c r="AA425" s="1" t="s">
        <v>36</v>
      </c>
      <c r="AB425" s="1" t="s">
        <v>54</v>
      </c>
      <c r="AC425" s="1" t="s">
        <v>57</v>
      </c>
      <c r="AD425" s="1" t="s">
        <v>58</v>
      </c>
      <c r="AE425" s="1" t="s">
        <v>59</v>
      </c>
      <c r="AF425" s="1" t="s">
        <v>54</v>
      </c>
      <c r="AG425" s="1" t="s">
        <v>60</v>
      </c>
      <c r="AH425" s="1" t="s">
        <v>120</v>
      </c>
    </row>
    <row r="426" spans="1:34" x14ac:dyDescent="0.3">
      <c r="A426" s="1" t="s">
        <v>34</v>
      </c>
      <c r="B426" s="1" t="s">
        <v>41</v>
      </c>
      <c r="C426" s="1" t="s">
        <v>82</v>
      </c>
      <c r="D426" s="1" t="s">
        <v>83</v>
      </c>
      <c r="E426" s="1" t="s">
        <v>38</v>
      </c>
      <c r="F426" s="1" t="s">
        <v>39</v>
      </c>
      <c r="G426" s="1" t="s">
        <v>40</v>
      </c>
      <c r="H426" s="1" t="s">
        <v>35</v>
      </c>
      <c r="I426" s="1" t="s">
        <v>94</v>
      </c>
      <c r="J426" s="1" t="s">
        <v>39</v>
      </c>
      <c r="K426" s="1" t="s">
        <v>42</v>
      </c>
      <c r="L426" s="1" t="s">
        <v>40</v>
      </c>
      <c r="M426" s="1" t="s">
        <v>44</v>
      </c>
      <c r="N426" s="1" t="s">
        <v>45</v>
      </c>
      <c r="O426" s="1" t="s">
        <v>45</v>
      </c>
      <c r="P426" s="1" t="s">
        <v>46</v>
      </c>
      <c r="Q426" s="1" t="s">
        <v>47</v>
      </c>
      <c r="R426" s="1" t="s">
        <v>48</v>
      </c>
      <c r="S426" s="1" t="s">
        <v>49</v>
      </c>
      <c r="T426" s="1" t="s">
        <v>50</v>
      </c>
      <c r="U426" s="1" t="s">
        <v>51</v>
      </c>
      <c r="V426" s="1" t="s">
        <v>52</v>
      </c>
      <c r="W426" s="1" t="s">
        <v>53</v>
      </c>
      <c r="X426" s="1" t="s">
        <v>54</v>
      </c>
      <c r="Y426" s="1" t="s">
        <v>55</v>
      </c>
      <c r="Z426" s="1" t="s">
        <v>56</v>
      </c>
      <c r="AA426" s="1" t="s">
        <v>36</v>
      </c>
      <c r="AB426" s="1" t="s">
        <v>54</v>
      </c>
      <c r="AC426" s="1" t="s">
        <v>57</v>
      </c>
      <c r="AD426" s="1" t="s">
        <v>58</v>
      </c>
      <c r="AE426" s="1" t="s">
        <v>59</v>
      </c>
      <c r="AF426" s="1" t="s">
        <v>54</v>
      </c>
      <c r="AG426" s="1" t="s">
        <v>60</v>
      </c>
      <c r="AH426" s="1" t="s">
        <v>120</v>
      </c>
    </row>
    <row r="427" spans="1:34" x14ac:dyDescent="0.3">
      <c r="A427" s="1" t="s">
        <v>99</v>
      </c>
      <c r="B427" s="1" t="s">
        <v>94</v>
      </c>
      <c r="C427" s="1" t="s">
        <v>36</v>
      </c>
      <c r="D427" s="1" t="s">
        <v>83</v>
      </c>
      <c r="E427" s="1" t="s">
        <v>38</v>
      </c>
      <c r="F427" s="1" t="s">
        <v>39</v>
      </c>
      <c r="G427" s="1" t="s">
        <v>40</v>
      </c>
      <c r="H427" s="1" t="s">
        <v>35</v>
      </c>
      <c r="I427" s="1" t="s">
        <v>94</v>
      </c>
      <c r="J427" s="1" t="s">
        <v>92</v>
      </c>
      <c r="K427" s="1" t="s">
        <v>42</v>
      </c>
      <c r="L427" s="1" t="s">
        <v>43</v>
      </c>
      <c r="M427" s="1" t="s">
        <v>44</v>
      </c>
      <c r="N427" s="1" t="s">
        <v>45</v>
      </c>
      <c r="O427" s="1" t="s">
        <v>45</v>
      </c>
      <c r="P427" s="1" t="s">
        <v>46</v>
      </c>
      <c r="Q427" s="1" t="s">
        <v>47</v>
      </c>
      <c r="R427" s="1" t="s">
        <v>80</v>
      </c>
      <c r="S427" s="1" t="s">
        <v>49</v>
      </c>
      <c r="T427" s="1" t="s">
        <v>50</v>
      </c>
      <c r="U427" s="1" t="s">
        <v>51</v>
      </c>
      <c r="V427" s="1" t="s">
        <v>52</v>
      </c>
      <c r="W427" s="1" t="s">
        <v>53</v>
      </c>
      <c r="X427" s="1" t="s">
        <v>54</v>
      </c>
      <c r="Y427" s="1" t="s">
        <v>74</v>
      </c>
      <c r="Z427" s="1" t="s">
        <v>82</v>
      </c>
      <c r="AA427" s="1" t="s">
        <v>36</v>
      </c>
      <c r="AB427" s="1" t="s">
        <v>54</v>
      </c>
      <c r="AC427" s="1" t="s">
        <v>57</v>
      </c>
      <c r="AD427" s="1" t="s">
        <v>58</v>
      </c>
      <c r="AE427" s="1" t="s">
        <v>59</v>
      </c>
      <c r="AF427" s="1" t="s">
        <v>54</v>
      </c>
      <c r="AG427" s="1" t="s">
        <v>60</v>
      </c>
      <c r="AH427" s="1" t="s">
        <v>121</v>
      </c>
    </row>
    <row r="428" spans="1:34" x14ac:dyDescent="0.3">
      <c r="A428" s="1" t="s">
        <v>55</v>
      </c>
      <c r="B428" s="1" t="s">
        <v>41</v>
      </c>
      <c r="C428" s="1" t="s">
        <v>76</v>
      </c>
      <c r="D428" s="1" t="s">
        <v>49</v>
      </c>
      <c r="E428" s="1" t="s">
        <v>77</v>
      </c>
      <c r="F428" s="1" t="s">
        <v>39</v>
      </c>
      <c r="G428" s="1" t="s">
        <v>40</v>
      </c>
      <c r="H428" s="1" t="s">
        <v>35</v>
      </c>
      <c r="I428" s="1" t="s">
        <v>94</v>
      </c>
      <c r="J428" s="1" t="s">
        <v>39</v>
      </c>
      <c r="K428" s="1" t="s">
        <v>42</v>
      </c>
      <c r="L428" s="1" t="s">
        <v>43</v>
      </c>
      <c r="M428" s="1" t="s">
        <v>44</v>
      </c>
      <c r="N428" s="1" t="s">
        <v>45</v>
      </c>
      <c r="O428" s="1" t="s">
        <v>45</v>
      </c>
      <c r="P428" s="1" t="s">
        <v>46</v>
      </c>
      <c r="Q428" s="1" t="s">
        <v>47</v>
      </c>
      <c r="R428" s="1" t="s">
        <v>48</v>
      </c>
      <c r="S428" s="1" t="s">
        <v>45</v>
      </c>
      <c r="T428" s="1" t="s">
        <v>50</v>
      </c>
      <c r="U428" s="1" t="s">
        <v>51</v>
      </c>
      <c r="V428" s="1" t="s">
        <v>52</v>
      </c>
      <c r="W428" s="1" t="s">
        <v>53</v>
      </c>
      <c r="X428" s="1" t="s">
        <v>54</v>
      </c>
      <c r="Y428" s="1" t="s">
        <v>55</v>
      </c>
      <c r="Z428" s="1" t="s">
        <v>56</v>
      </c>
      <c r="AA428" s="1" t="s">
        <v>36</v>
      </c>
      <c r="AB428" s="1" t="s">
        <v>54</v>
      </c>
      <c r="AC428" s="1" t="s">
        <v>57</v>
      </c>
      <c r="AD428" s="1" t="s">
        <v>58</v>
      </c>
      <c r="AE428" s="1" t="s">
        <v>42</v>
      </c>
      <c r="AF428" s="1" t="s">
        <v>54</v>
      </c>
      <c r="AG428" s="1" t="s">
        <v>75</v>
      </c>
      <c r="AH428" s="1" t="s">
        <v>120</v>
      </c>
    </row>
    <row r="429" spans="1:34" x14ac:dyDescent="0.3">
      <c r="A429" s="1" t="s">
        <v>54</v>
      </c>
      <c r="B429" s="1" t="s">
        <v>87</v>
      </c>
      <c r="C429" s="1" t="s">
        <v>82</v>
      </c>
      <c r="D429" s="1" t="s">
        <v>37</v>
      </c>
      <c r="E429" s="1" t="s">
        <v>38</v>
      </c>
      <c r="F429" s="1" t="s">
        <v>39</v>
      </c>
      <c r="G429" s="1" t="s">
        <v>40</v>
      </c>
      <c r="H429" s="1" t="s">
        <v>35</v>
      </c>
      <c r="I429" s="1" t="s">
        <v>41</v>
      </c>
      <c r="J429" s="1" t="s">
        <v>39</v>
      </c>
      <c r="K429" s="1" t="s">
        <v>42</v>
      </c>
      <c r="L429" s="1" t="s">
        <v>43</v>
      </c>
      <c r="M429" s="1" t="s">
        <v>44</v>
      </c>
      <c r="N429" s="1" t="s">
        <v>45</v>
      </c>
      <c r="O429" s="1" t="s">
        <v>45</v>
      </c>
      <c r="P429" s="1" t="s">
        <v>46</v>
      </c>
      <c r="Q429" s="1" t="s">
        <v>47</v>
      </c>
      <c r="R429" s="1" t="s">
        <v>48</v>
      </c>
      <c r="S429" s="1" t="s">
        <v>49</v>
      </c>
      <c r="T429" s="1" t="s">
        <v>50</v>
      </c>
      <c r="U429" s="1" t="s">
        <v>51</v>
      </c>
      <c r="V429" s="1" t="s">
        <v>52</v>
      </c>
      <c r="W429" s="1" t="s">
        <v>53</v>
      </c>
      <c r="X429" s="1" t="s">
        <v>54</v>
      </c>
      <c r="Y429" s="1" t="s">
        <v>55</v>
      </c>
      <c r="Z429" s="1" t="s">
        <v>56</v>
      </c>
      <c r="AA429" s="1" t="s">
        <v>36</v>
      </c>
      <c r="AB429" s="1" t="s">
        <v>54</v>
      </c>
      <c r="AC429" s="1" t="s">
        <v>57</v>
      </c>
      <c r="AD429" s="1" t="s">
        <v>58</v>
      </c>
      <c r="AE429" s="1" t="s">
        <v>59</v>
      </c>
      <c r="AF429" s="1" t="s">
        <v>54</v>
      </c>
      <c r="AG429" s="1" t="s">
        <v>60</v>
      </c>
      <c r="AH429" s="1" t="s">
        <v>120</v>
      </c>
    </row>
    <row r="430" spans="1:34" x14ac:dyDescent="0.3">
      <c r="A430" s="1" t="s">
        <v>91</v>
      </c>
      <c r="B430" s="1" t="s">
        <v>61</v>
      </c>
      <c r="C430" s="1" t="s">
        <v>62</v>
      </c>
      <c r="D430" s="1" t="s">
        <v>63</v>
      </c>
      <c r="E430" s="1" t="s">
        <v>64</v>
      </c>
      <c r="F430" s="1" t="s">
        <v>65</v>
      </c>
      <c r="G430" s="1" t="s">
        <v>66</v>
      </c>
      <c r="H430" s="1" t="s">
        <v>61</v>
      </c>
      <c r="I430" s="1" t="s">
        <v>61</v>
      </c>
      <c r="J430" s="1" t="s">
        <v>65</v>
      </c>
      <c r="K430" s="1" t="s">
        <v>67</v>
      </c>
      <c r="L430" s="1" t="s">
        <v>66</v>
      </c>
      <c r="M430" s="1" t="s">
        <v>68</v>
      </c>
      <c r="N430" s="1" t="s">
        <v>63</v>
      </c>
      <c r="O430" s="1" t="s">
        <v>63</v>
      </c>
      <c r="P430" s="1" t="s">
        <v>69</v>
      </c>
      <c r="Q430" s="1" t="s">
        <v>70</v>
      </c>
      <c r="R430" s="1" t="s">
        <v>71</v>
      </c>
      <c r="S430" s="1" t="s">
        <v>63</v>
      </c>
      <c r="T430" s="1" t="s">
        <v>69</v>
      </c>
      <c r="U430" s="1" t="s">
        <v>69</v>
      </c>
      <c r="V430" s="1" t="s">
        <v>63</v>
      </c>
      <c r="W430" s="1" t="s">
        <v>68</v>
      </c>
      <c r="X430" s="1" t="s">
        <v>72</v>
      </c>
      <c r="Y430" s="1" t="s">
        <v>72</v>
      </c>
      <c r="Z430" s="1" t="s">
        <v>62</v>
      </c>
      <c r="AA430" s="1" t="s">
        <v>62</v>
      </c>
      <c r="AB430" s="1" t="s">
        <v>72</v>
      </c>
      <c r="AC430" s="1" t="s">
        <v>73</v>
      </c>
      <c r="AD430" s="1" t="s">
        <v>73</v>
      </c>
      <c r="AE430" s="1" t="s">
        <v>67</v>
      </c>
      <c r="AF430" s="1" t="s">
        <v>72</v>
      </c>
      <c r="AG430" s="1" t="s">
        <v>71</v>
      </c>
      <c r="AH430" s="1" t="s">
        <v>120</v>
      </c>
    </row>
    <row r="431" spans="1:34" x14ac:dyDescent="0.3">
      <c r="A431" s="1" t="s">
        <v>55</v>
      </c>
      <c r="B431" s="1" t="s">
        <v>41</v>
      </c>
      <c r="C431" s="1" t="s">
        <v>76</v>
      </c>
      <c r="D431" s="1" t="s">
        <v>83</v>
      </c>
      <c r="E431" s="1" t="s">
        <v>38</v>
      </c>
      <c r="F431" s="1" t="s">
        <v>39</v>
      </c>
      <c r="G431" s="1" t="s">
        <v>40</v>
      </c>
      <c r="H431" s="1" t="s">
        <v>35</v>
      </c>
      <c r="I431" s="1" t="s">
        <v>35</v>
      </c>
      <c r="J431" s="1" t="s">
        <v>39</v>
      </c>
      <c r="K431" s="1" t="s">
        <v>42</v>
      </c>
      <c r="L431" s="1" t="s">
        <v>43</v>
      </c>
      <c r="M431" s="1" t="s">
        <v>44</v>
      </c>
      <c r="N431" s="1" t="s">
        <v>45</v>
      </c>
      <c r="O431" s="1" t="s">
        <v>45</v>
      </c>
      <c r="P431" s="1" t="s">
        <v>46</v>
      </c>
      <c r="Q431" s="1" t="s">
        <v>47</v>
      </c>
      <c r="R431" s="1" t="s">
        <v>48</v>
      </c>
      <c r="S431" s="1" t="s">
        <v>49</v>
      </c>
      <c r="T431" s="1" t="s">
        <v>50</v>
      </c>
      <c r="U431" s="1" t="s">
        <v>51</v>
      </c>
      <c r="V431" s="1" t="s">
        <v>52</v>
      </c>
      <c r="W431" s="1" t="s">
        <v>53</v>
      </c>
      <c r="X431" s="1" t="s">
        <v>54</v>
      </c>
      <c r="Y431" s="1" t="s">
        <v>55</v>
      </c>
      <c r="Z431" s="1" t="s">
        <v>56</v>
      </c>
      <c r="AA431" s="1" t="s">
        <v>36</v>
      </c>
      <c r="AB431" s="1" t="s">
        <v>54</v>
      </c>
      <c r="AC431" s="1" t="s">
        <v>57</v>
      </c>
      <c r="AD431" s="1" t="s">
        <v>58</v>
      </c>
      <c r="AE431" s="1" t="s">
        <v>42</v>
      </c>
      <c r="AF431" s="1" t="s">
        <v>54</v>
      </c>
      <c r="AG431" s="1" t="s">
        <v>75</v>
      </c>
      <c r="AH431" s="1" t="s">
        <v>120</v>
      </c>
    </row>
    <row r="432" spans="1:34" x14ac:dyDescent="0.3">
      <c r="A432" s="1" t="s">
        <v>54</v>
      </c>
      <c r="B432" s="1" t="s">
        <v>41</v>
      </c>
      <c r="C432" s="1" t="s">
        <v>76</v>
      </c>
      <c r="D432" s="1" t="s">
        <v>49</v>
      </c>
      <c r="E432" s="1" t="s">
        <v>38</v>
      </c>
      <c r="F432" s="1" t="s">
        <v>39</v>
      </c>
      <c r="G432" s="1" t="s">
        <v>40</v>
      </c>
      <c r="H432" s="1" t="s">
        <v>35</v>
      </c>
      <c r="I432" s="1" t="s">
        <v>35</v>
      </c>
      <c r="J432" s="1" t="s">
        <v>39</v>
      </c>
      <c r="K432" s="1" t="s">
        <v>42</v>
      </c>
      <c r="L432" s="1" t="s">
        <v>43</v>
      </c>
      <c r="M432" s="1" t="s">
        <v>44</v>
      </c>
      <c r="N432" s="1" t="s">
        <v>45</v>
      </c>
      <c r="O432" s="1" t="s">
        <v>45</v>
      </c>
      <c r="P432" s="1" t="s">
        <v>46</v>
      </c>
      <c r="Q432" s="1" t="s">
        <v>47</v>
      </c>
      <c r="R432" s="1" t="s">
        <v>48</v>
      </c>
      <c r="S432" s="1" t="s">
        <v>45</v>
      </c>
      <c r="T432" s="1" t="s">
        <v>50</v>
      </c>
      <c r="U432" s="1" t="s">
        <v>51</v>
      </c>
      <c r="V432" s="1" t="s">
        <v>52</v>
      </c>
      <c r="W432" s="1" t="s">
        <v>53</v>
      </c>
      <c r="X432" s="1" t="s">
        <v>54</v>
      </c>
      <c r="Y432" s="1" t="s">
        <v>55</v>
      </c>
      <c r="Z432" s="1" t="s">
        <v>56</v>
      </c>
      <c r="AA432" s="1" t="s">
        <v>36</v>
      </c>
      <c r="AB432" s="1" t="s">
        <v>54</v>
      </c>
      <c r="AC432" s="1" t="s">
        <v>57</v>
      </c>
      <c r="AD432" s="1" t="s">
        <v>58</v>
      </c>
      <c r="AE432" s="1" t="s">
        <v>42</v>
      </c>
      <c r="AF432" s="1" t="s">
        <v>54</v>
      </c>
      <c r="AG432" s="1" t="s">
        <v>75</v>
      </c>
      <c r="AH432" s="1" t="s">
        <v>120</v>
      </c>
    </row>
    <row r="433" spans="1:34" x14ac:dyDescent="0.3">
      <c r="A433" s="1" t="s">
        <v>74</v>
      </c>
      <c r="B433" s="1" t="s">
        <v>61</v>
      </c>
      <c r="C433" s="1" t="s">
        <v>62</v>
      </c>
      <c r="D433" s="1" t="s">
        <v>63</v>
      </c>
      <c r="E433" s="1" t="s">
        <v>64</v>
      </c>
      <c r="F433" s="1" t="s">
        <v>65</v>
      </c>
      <c r="G433" s="1" t="s">
        <v>66</v>
      </c>
      <c r="H433" s="1" t="s">
        <v>61</v>
      </c>
      <c r="I433" s="1" t="s">
        <v>61</v>
      </c>
      <c r="J433" s="1" t="s">
        <v>65</v>
      </c>
      <c r="K433" s="1" t="s">
        <v>67</v>
      </c>
      <c r="L433" s="1" t="s">
        <v>66</v>
      </c>
      <c r="M433" s="1" t="s">
        <v>68</v>
      </c>
      <c r="N433" s="1" t="s">
        <v>63</v>
      </c>
      <c r="O433" s="1" t="s">
        <v>63</v>
      </c>
      <c r="P433" s="1" t="s">
        <v>69</v>
      </c>
      <c r="Q433" s="1" t="s">
        <v>70</v>
      </c>
      <c r="R433" s="1" t="s">
        <v>71</v>
      </c>
      <c r="S433" s="1" t="s">
        <v>63</v>
      </c>
      <c r="T433" s="1" t="s">
        <v>69</v>
      </c>
      <c r="U433" s="1" t="s">
        <v>69</v>
      </c>
      <c r="V433" s="1" t="s">
        <v>63</v>
      </c>
      <c r="W433" s="1" t="s">
        <v>68</v>
      </c>
      <c r="X433" s="1" t="s">
        <v>72</v>
      </c>
      <c r="Y433" s="1" t="s">
        <v>72</v>
      </c>
      <c r="Z433" s="1" t="s">
        <v>62</v>
      </c>
      <c r="AA433" s="1" t="s">
        <v>62</v>
      </c>
      <c r="AB433" s="1" t="s">
        <v>72</v>
      </c>
      <c r="AC433" s="1" t="s">
        <v>73</v>
      </c>
      <c r="AD433" s="1" t="s">
        <v>73</v>
      </c>
      <c r="AE433" s="1" t="s">
        <v>67</v>
      </c>
      <c r="AF433" s="1" t="s">
        <v>72</v>
      </c>
      <c r="AG433" s="1" t="s">
        <v>71</v>
      </c>
      <c r="AH433" s="1" t="s">
        <v>120</v>
      </c>
    </row>
    <row r="434" spans="1:34" x14ac:dyDescent="0.3">
      <c r="A434" s="1" t="s">
        <v>54</v>
      </c>
      <c r="B434" s="1" t="s">
        <v>41</v>
      </c>
      <c r="C434" s="1" t="s">
        <v>82</v>
      </c>
      <c r="D434" s="1" t="s">
        <v>52</v>
      </c>
      <c r="E434" s="1" t="s">
        <v>115</v>
      </c>
      <c r="F434" s="1" t="s">
        <v>39</v>
      </c>
      <c r="G434" s="1" t="s">
        <v>40</v>
      </c>
      <c r="H434" s="1" t="s">
        <v>35</v>
      </c>
      <c r="I434" s="1" t="s">
        <v>41</v>
      </c>
      <c r="J434" s="1" t="s">
        <v>39</v>
      </c>
      <c r="K434" s="1" t="s">
        <v>42</v>
      </c>
      <c r="L434" s="1" t="s">
        <v>40</v>
      </c>
      <c r="M434" s="1" t="s">
        <v>44</v>
      </c>
      <c r="N434" s="1" t="s">
        <v>49</v>
      </c>
      <c r="O434" s="1" t="s">
        <v>45</v>
      </c>
      <c r="P434" s="1" t="s">
        <v>50</v>
      </c>
      <c r="Q434" s="1" t="s">
        <v>47</v>
      </c>
      <c r="R434" s="1" t="s">
        <v>80</v>
      </c>
      <c r="S434" s="1" t="s">
        <v>49</v>
      </c>
      <c r="T434" s="1" t="s">
        <v>50</v>
      </c>
      <c r="U434" s="1" t="s">
        <v>51</v>
      </c>
      <c r="V434" s="1" t="s">
        <v>52</v>
      </c>
      <c r="W434" s="1" t="s">
        <v>53</v>
      </c>
      <c r="X434" s="1" t="s">
        <v>54</v>
      </c>
      <c r="Y434" s="1" t="s">
        <v>55</v>
      </c>
      <c r="Z434" s="1" t="s">
        <v>56</v>
      </c>
      <c r="AA434" s="1" t="s">
        <v>36</v>
      </c>
      <c r="AB434" s="1" t="s">
        <v>54</v>
      </c>
      <c r="AC434" s="1" t="s">
        <v>57</v>
      </c>
      <c r="AD434" s="1" t="s">
        <v>58</v>
      </c>
      <c r="AE434" s="1" t="s">
        <v>59</v>
      </c>
      <c r="AF434" s="1" t="s">
        <v>54</v>
      </c>
      <c r="AG434" s="1" t="s">
        <v>60</v>
      </c>
      <c r="AH434" s="1" t="s">
        <v>120</v>
      </c>
    </row>
    <row r="435" spans="1:34" x14ac:dyDescent="0.3">
      <c r="A435" s="1" t="s">
        <v>34</v>
      </c>
      <c r="B435" s="1" t="s">
        <v>41</v>
      </c>
      <c r="C435" s="1" t="s">
        <v>82</v>
      </c>
      <c r="D435" s="1" t="s">
        <v>83</v>
      </c>
      <c r="E435" s="1" t="s">
        <v>38</v>
      </c>
      <c r="F435" s="1" t="s">
        <v>39</v>
      </c>
      <c r="G435" s="1" t="s">
        <v>40</v>
      </c>
      <c r="H435" s="1" t="s">
        <v>35</v>
      </c>
      <c r="I435" s="1" t="s">
        <v>94</v>
      </c>
      <c r="J435" s="1" t="s">
        <v>39</v>
      </c>
      <c r="K435" s="1" t="s">
        <v>42</v>
      </c>
      <c r="L435" s="1" t="s">
        <v>40</v>
      </c>
      <c r="M435" s="1" t="s">
        <v>44</v>
      </c>
      <c r="N435" s="1" t="s">
        <v>45</v>
      </c>
      <c r="O435" s="1" t="s">
        <v>45</v>
      </c>
      <c r="P435" s="1" t="s">
        <v>46</v>
      </c>
      <c r="Q435" s="1" t="s">
        <v>47</v>
      </c>
      <c r="R435" s="1" t="s">
        <v>48</v>
      </c>
      <c r="S435" s="1" t="s">
        <v>49</v>
      </c>
      <c r="T435" s="1" t="s">
        <v>50</v>
      </c>
      <c r="U435" s="1" t="s">
        <v>51</v>
      </c>
      <c r="V435" s="1" t="s">
        <v>52</v>
      </c>
      <c r="W435" s="1" t="s">
        <v>53</v>
      </c>
      <c r="X435" s="1" t="s">
        <v>54</v>
      </c>
      <c r="Y435" s="1" t="s">
        <v>74</v>
      </c>
      <c r="Z435" s="1" t="s">
        <v>56</v>
      </c>
      <c r="AA435" s="1" t="s">
        <v>36</v>
      </c>
      <c r="AB435" s="1" t="s">
        <v>54</v>
      </c>
      <c r="AC435" s="1" t="s">
        <v>57</v>
      </c>
      <c r="AD435" s="1" t="s">
        <v>58</v>
      </c>
      <c r="AE435" s="1" t="s">
        <v>59</v>
      </c>
      <c r="AF435" s="1" t="s">
        <v>54</v>
      </c>
      <c r="AG435" s="1" t="s">
        <v>60</v>
      </c>
      <c r="AH435" s="1" t="s">
        <v>120</v>
      </c>
    </row>
    <row r="436" spans="1:34" x14ac:dyDescent="0.3">
      <c r="A436" s="1" t="s">
        <v>54</v>
      </c>
      <c r="B436" s="1" t="s">
        <v>41</v>
      </c>
      <c r="C436" s="1" t="s">
        <v>82</v>
      </c>
      <c r="D436" s="1" t="s">
        <v>83</v>
      </c>
      <c r="E436" s="1" t="s">
        <v>38</v>
      </c>
      <c r="F436" s="1" t="s">
        <v>39</v>
      </c>
      <c r="G436" s="1" t="s">
        <v>40</v>
      </c>
      <c r="H436" s="1" t="s">
        <v>35</v>
      </c>
      <c r="I436" s="1" t="s">
        <v>41</v>
      </c>
      <c r="J436" s="1" t="s">
        <v>39</v>
      </c>
      <c r="K436" s="1" t="s">
        <v>42</v>
      </c>
      <c r="L436" s="1" t="s">
        <v>40</v>
      </c>
      <c r="M436" s="1" t="s">
        <v>44</v>
      </c>
      <c r="N436" s="1" t="s">
        <v>45</v>
      </c>
      <c r="O436" s="1" t="s">
        <v>49</v>
      </c>
      <c r="P436" s="1" t="s">
        <v>103</v>
      </c>
      <c r="Q436" s="1" t="s">
        <v>47</v>
      </c>
      <c r="R436" s="1" t="s">
        <v>80</v>
      </c>
      <c r="S436" s="1" t="s">
        <v>49</v>
      </c>
      <c r="T436" s="1" t="s">
        <v>50</v>
      </c>
      <c r="U436" s="1" t="s">
        <v>51</v>
      </c>
      <c r="V436" s="1" t="s">
        <v>52</v>
      </c>
      <c r="W436" s="1" t="s">
        <v>53</v>
      </c>
      <c r="X436" s="1" t="s">
        <v>54</v>
      </c>
      <c r="Y436" s="1" t="s">
        <v>55</v>
      </c>
      <c r="Z436" s="1" t="s">
        <v>56</v>
      </c>
      <c r="AA436" s="1" t="s">
        <v>36</v>
      </c>
      <c r="AB436" s="1" t="s">
        <v>54</v>
      </c>
      <c r="AC436" s="1" t="s">
        <v>57</v>
      </c>
      <c r="AD436" s="1" t="s">
        <v>58</v>
      </c>
      <c r="AE436" s="1" t="s">
        <v>59</v>
      </c>
      <c r="AF436" s="1" t="s">
        <v>54</v>
      </c>
      <c r="AG436" s="1" t="s">
        <v>75</v>
      </c>
      <c r="AH436" s="1" t="s">
        <v>120</v>
      </c>
    </row>
    <row r="437" spans="1:34" x14ac:dyDescent="0.3">
      <c r="A437" s="1" t="s">
        <v>91</v>
      </c>
      <c r="B437" s="1" t="s">
        <v>41</v>
      </c>
      <c r="C437" s="1" t="s">
        <v>82</v>
      </c>
      <c r="D437" s="1" t="s">
        <v>83</v>
      </c>
      <c r="E437" s="1" t="s">
        <v>38</v>
      </c>
      <c r="F437" s="1" t="s">
        <v>39</v>
      </c>
      <c r="G437" s="1" t="s">
        <v>40</v>
      </c>
      <c r="H437" s="1" t="s">
        <v>35</v>
      </c>
      <c r="I437" s="1" t="s">
        <v>41</v>
      </c>
      <c r="J437" s="1" t="s">
        <v>39</v>
      </c>
      <c r="K437" s="1" t="s">
        <v>59</v>
      </c>
      <c r="L437" s="1" t="s">
        <v>66</v>
      </c>
      <c r="M437" s="1" t="s">
        <v>44</v>
      </c>
      <c r="N437" s="1" t="s">
        <v>45</v>
      </c>
      <c r="O437" s="1" t="s">
        <v>45</v>
      </c>
      <c r="P437" s="1" t="s">
        <v>50</v>
      </c>
      <c r="Q437" s="1" t="s">
        <v>47</v>
      </c>
      <c r="R437" s="1" t="s">
        <v>80</v>
      </c>
      <c r="S437" s="1" t="s">
        <v>49</v>
      </c>
      <c r="T437" s="1" t="s">
        <v>50</v>
      </c>
      <c r="U437" s="1" t="s">
        <v>51</v>
      </c>
      <c r="V437" s="1" t="s">
        <v>52</v>
      </c>
      <c r="W437" s="1" t="s">
        <v>53</v>
      </c>
      <c r="X437" s="1" t="s">
        <v>54</v>
      </c>
      <c r="Y437" s="1" t="s">
        <v>74</v>
      </c>
      <c r="Z437" s="1" t="s">
        <v>56</v>
      </c>
      <c r="AA437" s="1" t="s">
        <v>36</v>
      </c>
      <c r="AB437" s="1" t="s">
        <v>54</v>
      </c>
      <c r="AC437" s="1" t="s">
        <v>57</v>
      </c>
      <c r="AD437" s="1" t="s">
        <v>58</v>
      </c>
      <c r="AE437" s="1" t="s">
        <v>59</v>
      </c>
      <c r="AF437" s="1" t="s">
        <v>54</v>
      </c>
      <c r="AG437" s="1" t="s">
        <v>75</v>
      </c>
      <c r="AH437" s="1" t="s">
        <v>120</v>
      </c>
    </row>
    <row r="438" spans="1:34" x14ac:dyDescent="0.3">
      <c r="A438" s="1" t="s">
        <v>34</v>
      </c>
      <c r="B438" s="1" t="s">
        <v>41</v>
      </c>
      <c r="C438" s="1" t="s">
        <v>76</v>
      </c>
      <c r="D438" s="1" t="s">
        <v>49</v>
      </c>
      <c r="E438" s="1" t="s">
        <v>77</v>
      </c>
      <c r="F438" s="1" t="s">
        <v>86</v>
      </c>
      <c r="G438" s="1" t="s">
        <v>88</v>
      </c>
      <c r="H438" s="1" t="s">
        <v>41</v>
      </c>
      <c r="I438" s="1" t="s">
        <v>94</v>
      </c>
      <c r="J438" s="1" t="s">
        <v>39</v>
      </c>
      <c r="K438" s="1" t="s">
        <v>42</v>
      </c>
      <c r="L438" s="1" t="s">
        <v>43</v>
      </c>
      <c r="M438" s="1" t="s">
        <v>44</v>
      </c>
      <c r="N438" s="1" t="s">
        <v>45</v>
      </c>
      <c r="O438" s="1" t="s">
        <v>45</v>
      </c>
      <c r="P438" s="1" t="s">
        <v>46</v>
      </c>
      <c r="Q438" s="1" t="s">
        <v>47</v>
      </c>
      <c r="R438" s="1" t="s">
        <v>48</v>
      </c>
      <c r="S438" s="1" t="s">
        <v>45</v>
      </c>
      <c r="T438" s="1" t="s">
        <v>50</v>
      </c>
      <c r="U438" s="1" t="s">
        <v>51</v>
      </c>
      <c r="V438" s="1" t="s">
        <v>52</v>
      </c>
      <c r="W438" s="1" t="s">
        <v>53</v>
      </c>
      <c r="X438" s="1" t="s">
        <v>54</v>
      </c>
      <c r="Y438" s="1" t="s">
        <v>55</v>
      </c>
      <c r="Z438" s="1" t="s">
        <v>56</v>
      </c>
      <c r="AA438" s="1" t="s">
        <v>36</v>
      </c>
      <c r="AB438" s="1" t="s">
        <v>54</v>
      </c>
      <c r="AC438" s="1" t="s">
        <v>57</v>
      </c>
      <c r="AD438" s="1" t="s">
        <v>58</v>
      </c>
      <c r="AE438" s="1" t="s">
        <v>42</v>
      </c>
      <c r="AF438" s="1" t="s">
        <v>54</v>
      </c>
      <c r="AG438" s="1" t="s">
        <v>75</v>
      </c>
      <c r="AH438" s="1" t="s">
        <v>120</v>
      </c>
    </row>
    <row r="439" spans="1:34" x14ac:dyDescent="0.3">
      <c r="A439" s="1" t="s">
        <v>91</v>
      </c>
      <c r="B439" s="1" t="s">
        <v>41</v>
      </c>
      <c r="C439" s="1" t="s">
        <v>76</v>
      </c>
      <c r="D439" s="1" t="s">
        <v>37</v>
      </c>
      <c r="E439" s="1" t="s">
        <v>77</v>
      </c>
      <c r="F439" s="1" t="s">
        <v>39</v>
      </c>
      <c r="G439" s="1" t="s">
        <v>40</v>
      </c>
      <c r="H439" s="1" t="s">
        <v>35</v>
      </c>
      <c r="I439" s="1" t="s">
        <v>35</v>
      </c>
      <c r="J439" s="1" t="s">
        <v>78</v>
      </c>
      <c r="K439" s="1" t="s">
        <v>42</v>
      </c>
      <c r="L439" s="1" t="s">
        <v>79</v>
      </c>
      <c r="M439" s="1" t="s">
        <v>44</v>
      </c>
      <c r="N439" s="1" t="s">
        <v>45</v>
      </c>
      <c r="O439" s="1" t="s">
        <v>45</v>
      </c>
      <c r="P439" s="1" t="s">
        <v>46</v>
      </c>
      <c r="Q439" s="1" t="s">
        <v>47</v>
      </c>
      <c r="R439" s="1" t="s">
        <v>80</v>
      </c>
      <c r="S439" s="1" t="s">
        <v>49</v>
      </c>
      <c r="T439" s="1" t="s">
        <v>50</v>
      </c>
      <c r="U439" s="1" t="s">
        <v>51</v>
      </c>
      <c r="V439" s="1" t="s">
        <v>52</v>
      </c>
      <c r="W439" s="1" t="s">
        <v>53</v>
      </c>
      <c r="X439" s="1" t="s">
        <v>54</v>
      </c>
      <c r="Y439" s="1" t="s">
        <v>55</v>
      </c>
      <c r="Z439" s="1" t="s">
        <v>56</v>
      </c>
      <c r="AA439" s="1" t="s">
        <v>36</v>
      </c>
      <c r="AB439" s="1" t="s">
        <v>54</v>
      </c>
      <c r="AC439" s="1" t="s">
        <v>57</v>
      </c>
      <c r="AD439" s="1" t="s">
        <v>58</v>
      </c>
      <c r="AE439" s="1" t="s">
        <v>42</v>
      </c>
      <c r="AF439" s="1" t="s">
        <v>54</v>
      </c>
      <c r="AG439" s="1" t="s">
        <v>75</v>
      </c>
      <c r="AH439" s="1" t="s">
        <v>120</v>
      </c>
    </row>
    <row r="440" spans="1:34" x14ac:dyDescent="0.3">
      <c r="A440" s="1" t="s">
        <v>91</v>
      </c>
      <c r="B440" s="1" t="s">
        <v>35</v>
      </c>
      <c r="C440" s="1" t="s">
        <v>62</v>
      </c>
      <c r="D440" s="1" t="s">
        <v>37</v>
      </c>
      <c r="E440" s="1" t="s">
        <v>100</v>
      </c>
      <c r="F440" s="1" t="s">
        <v>65</v>
      </c>
      <c r="G440" s="1" t="s">
        <v>101</v>
      </c>
      <c r="H440" s="1" t="s">
        <v>61</v>
      </c>
      <c r="I440" s="1" t="s">
        <v>41</v>
      </c>
      <c r="J440" s="1" t="s">
        <v>102</v>
      </c>
      <c r="K440" s="1" t="s">
        <v>59</v>
      </c>
      <c r="L440" s="1" t="s">
        <v>66</v>
      </c>
      <c r="M440" s="1" t="s">
        <v>44</v>
      </c>
      <c r="N440" s="1" t="s">
        <v>81</v>
      </c>
      <c r="O440" s="1" t="s">
        <v>63</v>
      </c>
      <c r="P440" s="1" t="s">
        <v>103</v>
      </c>
      <c r="Q440" s="1" t="s">
        <v>47</v>
      </c>
      <c r="R440" s="1" t="s">
        <v>80</v>
      </c>
      <c r="S440" s="1" t="s">
        <v>49</v>
      </c>
      <c r="T440" s="1" t="s">
        <v>50</v>
      </c>
      <c r="U440" s="1" t="s">
        <v>51</v>
      </c>
      <c r="V440" s="1" t="s">
        <v>81</v>
      </c>
      <c r="W440" s="1" t="s">
        <v>53</v>
      </c>
      <c r="X440" s="1" t="s">
        <v>54</v>
      </c>
      <c r="Y440" s="1" t="s">
        <v>55</v>
      </c>
      <c r="Z440" s="1" t="s">
        <v>82</v>
      </c>
      <c r="AA440" s="1" t="s">
        <v>36</v>
      </c>
      <c r="AB440" s="1" t="s">
        <v>54</v>
      </c>
      <c r="AC440" s="1" t="s">
        <v>57</v>
      </c>
      <c r="AD440" s="1" t="s">
        <v>58</v>
      </c>
      <c r="AE440" s="1" t="s">
        <v>59</v>
      </c>
      <c r="AF440" s="1" t="s">
        <v>54</v>
      </c>
      <c r="AG440" s="1" t="s">
        <v>75</v>
      </c>
      <c r="AH440" s="1" t="s">
        <v>120</v>
      </c>
    </row>
    <row r="441" spans="1:34" x14ac:dyDescent="0.3">
      <c r="A441" s="1" t="s">
        <v>54</v>
      </c>
      <c r="B441" s="1" t="s">
        <v>35</v>
      </c>
      <c r="C441" s="1" t="s">
        <v>36</v>
      </c>
      <c r="D441" s="1" t="s">
        <v>37</v>
      </c>
      <c r="E441" s="1" t="s">
        <v>77</v>
      </c>
      <c r="F441" s="1" t="s">
        <v>39</v>
      </c>
      <c r="G441" s="1" t="s">
        <v>40</v>
      </c>
      <c r="H441" s="1" t="s">
        <v>35</v>
      </c>
      <c r="I441" s="1" t="s">
        <v>35</v>
      </c>
      <c r="J441" s="1" t="s">
        <v>39</v>
      </c>
      <c r="K441" s="1" t="s">
        <v>42</v>
      </c>
      <c r="L441" s="1" t="s">
        <v>43</v>
      </c>
      <c r="M441" s="1" t="s">
        <v>44</v>
      </c>
      <c r="N441" s="1" t="s">
        <v>45</v>
      </c>
      <c r="O441" s="1" t="s">
        <v>45</v>
      </c>
      <c r="P441" s="1" t="s">
        <v>46</v>
      </c>
      <c r="Q441" s="1" t="s">
        <v>47</v>
      </c>
      <c r="R441" s="1" t="s">
        <v>80</v>
      </c>
      <c r="S441" s="1" t="s">
        <v>49</v>
      </c>
      <c r="T441" s="1" t="s">
        <v>50</v>
      </c>
      <c r="U441" s="1" t="s">
        <v>51</v>
      </c>
      <c r="V441" s="1" t="s">
        <v>52</v>
      </c>
      <c r="W441" s="1" t="s">
        <v>53</v>
      </c>
      <c r="X441" s="1" t="s">
        <v>54</v>
      </c>
      <c r="Y441" s="1" t="s">
        <v>74</v>
      </c>
      <c r="Z441" s="1" t="s">
        <v>56</v>
      </c>
      <c r="AA441" s="1" t="s">
        <v>36</v>
      </c>
      <c r="AB441" s="1" t="s">
        <v>54</v>
      </c>
      <c r="AC441" s="1" t="s">
        <v>57</v>
      </c>
      <c r="AD441" s="1" t="s">
        <v>58</v>
      </c>
      <c r="AE441" s="1" t="s">
        <v>59</v>
      </c>
      <c r="AF441" s="1" t="s">
        <v>54</v>
      </c>
      <c r="AG441" s="1" t="s">
        <v>98</v>
      </c>
      <c r="AH441" s="1" t="s">
        <v>120</v>
      </c>
    </row>
    <row r="442" spans="1:34" x14ac:dyDescent="0.3">
      <c r="A442" s="1" t="s">
        <v>91</v>
      </c>
      <c r="B442" s="1" t="s">
        <v>61</v>
      </c>
      <c r="C442" s="1" t="s">
        <v>62</v>
      </c>
      <c r="D442" s="1" t="s">
        <v>63</v>
      </c>
      <c r="E442" s="1" t="s">
        <v>64</v>
      </c>
      <c r="F442" s="1" t="s">
        <v>65</v>
      </c>
      <c r="G442" s="1" t="s">
        <v>66</v>
      </c>
      <c r="H442" s="1" t="s">
        <v>61</v>
      </c>
      <c r="I442" s="1" t="s">
        <v>61</v>
      </c>
      <c r="J442" s="1" t="s">
        <v>65</v>
      </c>
      <c r="K442" s="1" t="s">
        <v>67</v>
      </c>
      <c r="L442" s="1" t="s">
        <v>66</v>
      </c>
      <c r="M442" s="1" t="s">
        <v>68</v>
      </c>
      <c r="N442" s="1" t="s">
        <v>63</v>
      </c>
      <c r="O442" s="1" t="s">
        <v>63</v>
      </c>
      <c r="P442" s="1" t="s">
        <v>69</v>
      </c>
      <c r="Q442" s="1" t="s">
        <v>70</v>
      </c>
      <c r="R442" s="1" t="s">
        <v>71</v>
      </c>
      <c r="S442" s="1" t="s">
        <v>63</v>
      </c>
      <c r="T442" s="1" t="s">
        <v>69</v>
      </c>
      <c r="U442" s="1" t="s">
        <v>69</v>
      </c>
      <c r="V442" s="1" t="s">
        <v>63</v>
      </c>
      <c r="W442" s="1" t="s">
        <v>68</v>
      </c>
      <c r="X442" s="1" t="s">
        <v>72</v>
      </c>
      <c r="Y442" s="1" t="s">
        <v>72</v>
      </c>
      <c r="Z442" s="1" t="s">
        <v>62</v>
      </c>
      <c r="AA442" s="1" t="s">
        <v>62</v>
      </c>
      <c r="AB442" s="1" t="s">
        <v>72</v>
      </c>
      <c r="AC442" s="1" t="s">
        <v>73</v>
      </c>
      <c r="AD442" s="1" t="s">
        <v>73</v>
      </c>
      <c r="AE442" s="1" t="s">
        <v>67</v>
      </c>
      <c r="AF442" s="1" t="s">
        <v>72</v>
      </c>
      <c r="AG442" s="1" t="s">
        <v>71</v>
      </c>
      <c r="AH442" s="1" t="s">
        <v>120</v>
      </c>
    </row>
    <row r="443" spans="1:34" x14ac:dyDescent="0.3">
      <c r="A443" s="1" t="s">
        <v>74</v>
      </c>
      <c r="B443" s="1" t="s">
        <v>61</v>
      </c>
      <c r="C443" s="1" t="s">
        <v>62</v>
      </c>
      <c r="D443" s="1" t="s">
        <v>63</v>
      </c>
      <c r="E443" s="1" t="s">
        <v>64</v>
      </c>
      <c r="F443" s="1" t="s">
        <v>65</v>
      </c>
      <c r="G443" s="1" t="s">
        <v>66</v>
      </c>
      <c r="H443" s="1" t="s">
        <v>61</v>
      </c>
      <c r="I443" s="1" t="s">
        <v>61</v>
      </c>
      <c r="J443" s="1" t="s">
        <v>65</v>
      </c>
      <c r="K443" s="1" t="s">
        <v>67</v>
      </c>
      <c r="L443" s="1" t="s">
        <v>66</v>
      </c>
      <c r="M443" s="1" t="s">
        <v>68</v>
      </c>
      <c r="N443" s="1" t="s">
        <v>63</v>
      </c>
      <c r="O443" s="1" t="s">
        <v>63</v>
      </c>
      <c r="P443" s="1" t="s">
        <v>69</v>
      </c>
      <c r="Q443" s="1" t="s">
        <v>70</v>
      </c>
      <c r="R443" s="1" t="s">
        <v>71</v>
      </c>
      <c r="S443" s="1" t="s">
        <v>63</v>
      </c>
      <c r="T443" s="1" t="s">
        <v>69</v>
      </c>
      <c r="U443" s="1" t="s">
        <v>69</v>
      </c>
      <c r="V443" s="1" t="s">
        <v>63</v>
      </c>
      <c r="W443" s="1" t="s">
        <v>68</v>
      </c>
      <c r="X443" s="1" t="s">
        <v>72</v>
      </c>
      <c r="Y443" s="1" t="s">
        <v>72</v>
      </c>
      <c r="Z443" s="1" t="s">
        <v>62</v>
      </c>
      <c r="AA443" s="1" t="s">
        <v>62</v>
      </c>
      <c r="AB443" s="1" t="s">
        <v>72</v>
      </c>
      <c r="AC443" s="1" t="s">
        <v>73</v>
      </c>
      <c r="AD443" s="1" t="s">
        <v>73</v>
      </c>
      <c r="AE443" s="1" t="s">
        <v>67</v>
      </c>
      <c r="AF443" s="1" t="s">
        <v>72</v>
      </c>
      <c r="AG443" s="1" t="s">
        <v>71</v>
      </c>
      <c r="AH443" s="1" t="s">
        <v>120</v>
      </c>
    </row>
    <row r="444" spans="1:34" x14ac:dyDescent="0.3">
      <c r="A444" s="1" t="s">
        <v>54</v>
      </c>
      <c r="B444" s="1" t="s">
        <v>41</v>
      </c>
      <c r="C444" s="1" t="s">
        <v>76</v>
      </c>
      <c r="D444" s="1" t="s">
        <v>37</v>
      </c>
      <c r="E444" s="1" t="s">
        <v>38</v>
      </c>
      <c r="F444" s="1" t="s">
        <v>39</v>
      </c>
      <c r="G444" s="1" t="s">
        <v>40</v>
      </c>
      <c r="H444" s="1" t="s">
        <v>35</v>
      </c>
      <c r="I444" s="1" t="s">
        <v>35</v>
      </c>
      <c r="J444" s="1" t="s">
        <v>39</v>
      </c>
      <c r="K444" s="1" t="s">
        <v>42</v>
      </c>
      <c r="L444" s="1" t="s">
        <v>43</v>
      </c>
      <c r="M444" s="1" t="s">
        <v>44</v>
      </c>
      <c r="N444" s="1" t="s">
        <v>45</v>
      </c>
      <c r="O444" s="1" t="s">
        <v>45</v>
      </c>
      <c r="P444" s="1" t="s">
        <v>103</v>
      </c>
      <c r="Q444" s="1" t="s">
        <v>47</v>
      </c>
      <c r="R444" s="1" t="s">
        <v>48</v>
      </c>
      <c r="S444" s="1" t="s">
        <v>49</v>
      </c>
      <c r="T444" s="1" t="s">
        <v>50</v>
      </c>
      <c r="U444" s="1" t="s">
        <v>51</v>
      </c>
      <c r="V444" s="1" t="s">
        <v>52</v>
      </c>
      <c r="W444" s="1" t="s">
        <v>53</v>
      </c>
      <c r="X444" s="1" t="s">
        <v>54</v>
      </c>
      <c r="Y444" s="1" t="s">
        <v>74</v>
      </c>
      <c r="Z444" s="1" t="s">
        <v>56</v>
      </c>
      <c r="AA444" s="1" t="s">
        <v>36</v>
      </c>
      <c r="AB444" s="1" t="s">
        <v>54</v>
      </c>
      <c r="AC444" s="1" t="s">
        <v>57</v>
      </c>
      <c r="AD444" s="1" t="s">
        <v>58</v>
      </c>
      <c r="AE444" s="1" t="s">
        <v>42</v>
      </c>
      <c r="AF444" s="1" t="s">
        <v>54</v>
      </c>
      <c r="AG444" s="1" t="s">
        <v>98</v>
      </c>
      <c r="AH444" s="1" t="s">
        <v>120</v>
      </c>
    </row>
    <row r="445" spans="1:34" x14ac:dyDescent="0.3">
      <c r="A445" s="1" t="s">
        <v>55</v>
      </c>
      <c r="B445" s="1" t="s">
        <v>41</v>
      </c>
      <c r="C445" s="1" t="s">
        <v>76</v>
      </c>
      <c r="D445" s="1" t="s">
        <v>37</v>
      </c>
      <c r="E445" s="1" t="s">
        <v>77</v>
      </c>
      <c r="F445" s="1" t="s">
        <v>39</v>
      </c>
      <c r="G445" s="1" t="s">
        <v>40</v>
      </c>
      <c r="H445" s="1" t="s">
        <v>35</v>
      </c>
      <c r="I445" s="1" t="s">
        <v>94</v>
      </c>
      <c r="J445" s="1" t="s">
        <v>92</v>
      </c>
      <c r="K445" s="1" t="s">
        <v>42</v>
      </c>
      <c r="L445" s="1" t="s">
        <v>43</v>
      </c>
      <c r="M445" s="1" t="s">
        <v>44</v>
      </c>
      <c r="N445" s="1" t="s">
        <v>45</v>
      </c>
      <c r="O445" s="1" t="s">
        <v>45</v>
      </c>
      <c r="P445" s="1" t="s">
        <v>46</v>
      </c>
      <c r="Q445" s="1" t="s">
        <v>47</v>
      </c>
      <c r="R445" s="1" t="s">
        <v>48</v>
      </c>
      <c r="S445" s="1" t="s">
        <v>49</v>
      </c>
      <c r="T445" s="1" t="s">
        <v>50</v>
      </c>
      <c r="U445" s="1" t="s">
        <v>51</v>
      </c>
      <c r="V445" s="1" t="s">
        <v>52</v>
      </c>
      <c r="W445" s="1" t="s">
        <v>53</v>
      </c>
      <c r="X445" s="1" t="s">
        <v>54</v>
      </c>
      <c r="Y445" s="1" t="s">
        <v>55</v>
      </c>
      <c r="Z445" s="1" t="s">
        <v>82</v>
      </c>
      <c r="AA445" s="1" t="s">
        <v>36</v>
      </c>
      <c r="AB445" s="1" t="s">
        <v>54</v>
      </c>
      <c r="AC445" s="1" t="s">
        <v>57</v>
      </c>
      <c r="AD445" s="1" t="s">
        <v>58</v>
      </c>
      <c r="AE445" s="1" t="s">
        <v>42</v>
      </c>
      <c r="AF445" s="1" t="s">
        <v>54</v>
      </c>
      <c r="AG445" s="1" t="s">
        <v>75</v>
      </c>
      <c r="AH445" s="1" t="s">
        <v>120</v>
      </c>
    </row>
    <row r="446" spans="1:34" x14ac:dyDescent="0.3">
      <c r="A446" s="1" t="s">
        <v>54</v>
      </c>
      <c r="B446" s="1" t="s">
        <v>35</v>
      </c>
      <c r="C446" s="1" t="s">
        <v>36</v>
      </c>
      <c r="D446" s="1" t="s">
        <v>49</v>
      </c>
      <c r="E446" s="1" t="s">
        <v>77</v>
      </c>
      <c r="F446" s="1" t="s">
        <v>39</v>
      </c>
      <c r="G446" s="1" t="s">
        <v>40</v>
      </c>
      <c r="H446" s="1" t="s">
        <v>35</v>
      </c>
      <c r="I446" s="1" t="s">
        <v>35</v>
      </c>
      <c r="J446" s="1" t="s">
        <v>39</v>
      </c>
      <c r="K446" s="1" t="s">
        <v>42</v>
      </c>
      <c r="L446" s="1" t="s">
        <v>43</v>
      </c>
      <c r="M446" s="1" t="s">
        <v>44</v>
      </c>
      <c r="N446" s="1" t="s">
        <v>45</v>
      </c>
      <c r="O446" s="1" t="s">
        <v>45</v>
      </c>
      <c r="P446" s="1" t="s">
        <v>46</v>
      </c>
      <c r="Q446" s="1" t="s">
        <v>47</v>
      </c>
      <c r="R446" s="1" t="s">
        <v>48</v>
      </c>
      <c r="S446" s="1" t="s">
        <v>49</v>
      </c>
      <c r="T446" s="1" t="s">
        <v>50</v>
      </c>
      <c r="U446" s="1" t="s">
        <v>51</v>
      </c>
      <c r="V446" s="1" t="s">
        <v>52</v>
      </c>
      <c r="W446" s="1" t="s">
        <v>53</v>
      </c>
      <c r="X446" s="1" t="s">
        <v>54</v>
      </c>
      <c r="Y446" s="1" t="s">
        <v>74</v>
      </c>
      <c r="Z446" s="1" t="s">
        <v>56</v>
      </c>
      <c r="AA446" s="1" t="s">
        <v>36</v>
      </c>
      <c r="AB446" s="1" t="s">
        <v>54</v>
      </c>
      <c r="AC446" s="1" t="s">
        <v>57</v>
      </c>
      <c r="AD446" s="1" t="s">
        <v>58</v>
      </c>
      <c r="AE446" s="1" t="s">
        <v>59</v>
      </c>
      <c r="AF446" s="1" t="s">
        <v>54</v>
      </c>
      <c r="AG446" s="1" t="s">
        <v>98</v>
      </c>
      <c r="AH446" s="1" t="s">
        <v>120</v>
      </c>
    </row>
    <row r="447" spans="1:34" x14ac:dyDescent="0.3">
      <c r="A447" s="1" t="s">
        <v>74</v>
      </c>
      <c r="B447" s="1" t="s">
        <v>61</v>
      </c>
      <c r="C447" s="1" t="s">
        <v>62</v>
      </c>
      <c r="D447" s="1" t="s">
        <v>63</v>
      </c>
      <c r="E447" s="1" t="s">
        <v>64</v>
      </c>
      <c r="F447" s="1" t="s">
        <v>65</v>
      </c>
      <c r="G447" s="1" t="s">
        <v>66</v>
      </c>
      <c r="H447" s="1" t="s">
        <v>61</v>
      </c>
      <c r="I447" s="1" t="s">
        <v>61</v>
      </c>
      <c r="J447" s="1" t="s">
        <v>65</v>
      </c>
      <c r="K447" s="1" t="s">
        <v>67</v>
      </c>
      <c r="L447" s="1" t="s">
        <v>66</v>
      </c>
      <c r="M447" s="1" t="s">
        <v>68</v>
      </c>
      <c r="N447" s="1" t="s">
        <v>63</v>
      </c>
      <c r="O447" s="1" t="s">
        <v>63</v>
      </c>
      <c r="P447" s="1" t="s">
        <v>69</v>
      </c>
      <c r="Q447" s="1" t="s">
        <v>70</v>
      </c>
      <c r="R447" s="1" t="s">
        <v>71</v>
      </c>
      <c r="S447" s="1" t="s">
        <v>63</v>
      </c>
      <c r="T447" s="1" t="s">
        <v>69</v>
      </c>
      <c r="U447" s="1" t="s">
        <v>69</v>
      </c>
      <c r="V447" s="1" t="s">
        <v>63</v>
      </c>
      <c r="W447" s="1" t="s">
        <v>68</v>
      </c>
      <c r="X447" s="1" t="s">
        <v>72</v>
      </c>
      <c r="Y447" s="1" t="s">
        <v>72</v>
      </c>
      <c r="Z447" s="1" t="s">
        <v>62</v>
      </c>
      <c r="AA447" s="1" t="s">
        <v>62</v>
      </c>
      <c r="AB447" s="1" t="s">
        <v>72</v>
      </c>
      <c r="AC447" s="1" t="s">
        <v>73</v>
      </c>
      <c r="AD447" s="1" t="s">
        <v>73</v>
      </c>
      <c r="AE447" s="1" t="s">
        <v>67</v>
      </c>
      <c r="AF447" s="1" t="s">
        <v>72</v>
      </c>
      <c r="AG447" s="1" t="s">
        <v>71</v>
      </c>
      <c r="AH447" s="1" t="s">
        <v>120</v>
      </c>
    </row>
    <row r="448" spans="1:34" x14ac:dyDescent="0.3">
      <c r="A448" s="1" t="s">
        <v>74</v>
      </c>
      <c r="B448" s="1" t="s">
        <v>61</v>
      </c>
      <c r="C448" s="1" t="s">
        <v>62</v>
      </c>
      <c r="D448" s="1" t="s">
        <v>63</v>
      </c>
      <c r="E448" s="1" t="s">
        <v>64</v>
      </c>
      <c r="F448" s="1" t="s">
        <v>65</v>
      </c>
      <c r="G448" s="1" t="s">
        <v>66</v>
      </c>
      <c r="H448" s="1" t="s">
        <v>61</v>
      </c>
      <c r="I448" s="1" t="s">
        <v>61</v>
      </c>
      <c r="J448" s="1" t="s">
        <v>65</v>
      </c>
      <c r="K448" s="1" t="s">
        <v>67</v>
      </c>
      <c r="L448" s="1" t="s">
        <v>66</v>
      </c>
      <c r="M448" s="1" t="s">
        <v>68</v>
      </c>
      <c r="N448" s="1" t="s">
        <v>63</v>
      </c>
      <c r="O448" s="1" t="s">
        <v>63</v>
      </c>
      <c r="P448" s="1" t="s">
        <v>69</v>
      </c>
      <c r="Q448" s="1" t="s">
        <v>70</v>
      </c>
      <c r="R448" s="1" t="s">
        <v>71</v>
      </c>
      <c r="S448" s="1" t="s">
        <v>63</v>
      </c>
      <c r="T448" s="1" t="s">
        <v>69</v>
      </c>
      <c r="U448" s="1" t="s">
        <v>69</v>
      </c>
      <c r="V448" s="1" t="s">
        <v>63</v>
      </c>
      <c r="W448" s="1" t="s">
        <v>68</v>
      </c>
      <c r="X448" s="1" t="s">
        <v>72</v>
      </c>
      <c r="Y448" s="1" t="s">
        <v>72</v>
      </c>
      <c r="Z448" s="1" t="s">
        <v>62</v>
      </c>
      <c r="AA448" s="1" t="s">
        <v>62</v>
      </c>
      <c r="AB448" s="1" t="s">
        <v>72</v>
      </c>
      <c r="AC448" s="1" t="s">
        <v>73</v>
      </c>
      <c r="AD448" s="1" t="s">
        <v>73</v>
      </c>
      <c r="AE448" s="1" t="s">
        <v>67</v>
      </c>
      <c r="AF448" s="1" t="s">
        <v>72</v>
      </c>
      <c r="AG448" s="1" t="s">
        <v>71</v>
      </c>
      <c r="AH448" s="1" t="s">
        <v>120</v>
      </c>
    </row>
    <row r="449" spans="1:34" x14ac:dyDescent="0.3">
      <c r="A449" s="1" t="s">
        <v>74</v>
      </c>
      <c r="B449" s="1" t="s">
        <v>61</v>
      </c>
      <c r="C449" s="1" t="s">
        <v>62</v>
      </c>
      <c r="D449" s="1" t="s">
        <v>63</v>
      </c>
      <c r="E449" s="1" t="s">
        <v>64</v>
      </c>
      <c r="F449" s="1" t="s">
        <v>65</v>
      </c>
      <c r="G449" s="1" t="s">
        <v>66</v>
      </c>
      <c r="H449" s="1" t="s">
        <v>61</v>
      </c>
      <c r="I449" s="1" t="s">
        <v>61</v>
      </c>
      <c r="J449" s="1" t="s">
        <v>65</v>
      </c>
      <c r="K449" s="1" t="s">
        <v>67</v>
      </c>
      <c r="L449" s="1" t="s">
        <v>66</v>
      </c>
      <c r="M449" s="1" t="s">
        <v>68</v>
      </c>
      <c r="N449" s="1" t="s">
        <v>63</v>
      </c>
      <c r="O449" s="1" t="s">
        <v>63</v>
      </c>
      <c r="P449" s="1" t="s">
        <v>69</v>
      </c>
      <c r="Q449" s="1" t="s">
        <v>70</v>
      </c>
      <c r="R449" s="1" t="s">
        <v>71</v>
      </c>
      <c r="S449" s="1" t="s">
        <v>63</v>
      </c>
      <c r="T449" s="1" t="s">
        <v>69</v>
      </c>
      <c r="U449" s="1" t="s">
        <v>69</v>
      </c>
      <c r="V449" s="1" t="s">
        <v>63</v>
      </c>
      <c r="W449" s="1" t="s">
        <v>68</v>
      </c>
      <c r="X449" s="1" t="s">
        <v>72</v>
      </c>
      <c r="Y449" s="1" t="s">
        <v>72</v>
      </c>
      <c r="Z449" s="1" t="s">
        <v>62</v>
      </c>
      <c r="AA449" s="1" t="s">
        <v>62</v>
      </c>
      <c r="AB449" s="1" t="s">
        <v>72</v>
      </c>
      <c r="AC449" s="1" t="s">
        <v>73</v>
      </c>
      <c r="AD449" s="1" t="s">
        <v>73</v>
      </c>
      <c r="AE449" s="1" t="s">
        <v>67</v>
      </c>
      <c r="AF449" s="1" t="s">
        <v>72</v>
      </c>
      <c r="AG449" s="1" t="s">
        <v>71</v>
      </c>
      <c r="AH449" s="1" t="s">
        <v>120</v>
      </c>
    </row>
    <row r="450" spans="1:34" x14ac:dyDescent="0.3">
      <c r="A450" s="1" t="s">
        <v>74</v>
      </c>
      <c r="B450" s="1" t="s">
        <v>61</v>
      </c>
      <c r="C450" s="1" t="s">
        <v>62</v>
      </c>
      <c r="D450" s="1" t="s">
        <v>63</v>
      </c>
      <c r="E450" s="1" t="s">
        <v>64</v>
      </c>
      <c r="F450" s="1" t="s">
        <v>65</v>
      </c>
      <c r="G450" s="1" t="s">
        <v>66</v>
      </c>
      <c r="H450" s="1" t="s">
        <v>61</v>
      </c>
      <c r="I450" s="1" t="s">
        <v>61</v>
      </c>
      <c r="J450" s="1" t="s">
        <v>65</v>
      </c>
      <c r="K450" s="1" t="s">
        <v>67</v>
      </c>
      <c r="L450" s="1" t="s">
        <v>66</v>
      </c>
      <c r="M450" s="1" t="s">
        <v>68</v>
      </c>
      <c r="N450" s="1" t="s">
        <v>63</v>
      </c>
      <c r="O450" s="1" t="s">
        <v>63</v>
      </c>
      <c r="P450" s="1" t="s">
        <v>69</v>
      </c>
      <c r="Q450" s="1" t="s">
        <v>70</v>
      </c>
      <c r="R450" s="1" t="s">
        <v>71</v>
      </c>
      <c r="S450" s="1" t="s">
        <v>63</v>
      </c>
      <c r="T450" s="1" t="s">
        <v>69</v>
      </c>
      <c r="U450" s="1" t="s">
        <v>69</v>
      </c>
      <c r="V450" s="1" t="s">
        <v>63</v>
      </c>
      <c r="W450" s="1" t="s">
        <v>68</v>
      </c>
      <c r="X450" s="1" t="s">
        <v>72</v>
      </c>
      <c r="Y450" s="1" t="s">
        <v>72</v>
      </c>
      <c r="Z450" s="1" t="s">
        <v>62</v>
      </c>
      <c r="AA450" s="1" t="s">
        <v>62</v>
      </c>
      <c r="AB450" s="1" t="s">
        <v>72</v>
      </c>
      <c r="AC450" s="1" t="s">
        <v>73</v>
      </c>
      <c r="AD450" s="1" t="s">
        <v>73</v>
      </c>
      <c r="AE450" s="1" t="s">
        <v>67</v>
      </c>
      <c r="AF450" s="1" t="s">
        <v>72</v>
      </c>
      <c r="AG450" s="1" t="s">
        <v>71</v>
      </c>
      <c r="AH450" s="1" t="s">
        <v>120</v>
      </c>
    </row>
    <row r="451" spans="1:34" x14ac:dyDescent="0.3">
      <c r="A451" s="1" t="s">
        <v>74</v>
      </c>
      <c r="B451" s="1" t="s">
        <v>61</v>
      </c>
      <c r="C451" s="1" t="s">
        <v>62</v>
      </c>
      <c r="D451" s="1" t="s">
        <v>63</v>
      </c>
      <c r="E451" s="1" t="s">
        <v>64</v>
      </c>
      <c r="F451" s="1" t="s">
        <v>65</v>
      </c>
      <c r="G451" s="1" t="s">
        <v>66</v>
      </c>
      <c r="H451" s="1" t="s">
        <v>61</v>
      </c>
      <c r="I451" s="1" t="s">
        <v>61</v>
      </c>
      <c r="J451" s="1" t="s">
        <v>65</v>
      </c>
      <c r="K451" s="1" t="s">
        <v>67</v>
      </c>
      <c r="L451" s="1" t="s">
        <v>66</v>
      </c>
      <c r="M451" s="1" t="s">
        <v>68</v>
      </c>
      <c r="N451" s="1" t="s">
        <v>63</v>
      </c>
      <c r="O451" s="1" t="s">
        <v>63</v>
      </c>
      <c r="P451" s="1" t="s">
        <v>69</v>
      </c>
      <c r="Q451" s="1" t="s">
        <v>70</v>
      </c>
      <c r="R451" s="1" t="s">
        <v>71</v>
      </c>
      <c r="S451" s="1" t="s">
        <v>63</v>
      </c>
      <c r="T451" s="1" t="s">
        <v>69</v>
      </c>
      <c r="U451" s="1" t="s">
        <v>69</v>
      </c>
      <c r="V451" s="1" t="s">
        <v>63</v>
      </c>
      <c r="W451" s="1" t="s">
        <v>68</v>
      </c>
      <c r="X451" s="1" t="s">
        <v>72</v>
      </c>
      <c r="Y451" s="1" t="s">
        <v>72</v>
      </c>
      <c r="Z451" s="1" t="s">
        <v>62</v>
      </c>
      <c r="AA451" s="1" t="s">
        <v>62</v>
      </c>
      <c r="AB451" s="1" t="s">
        <v>72</v>
      </c>
      <c r="AC451" s="1" t="s">
        <v>73</v>
      </c>
      <c r="AD451" s="1" t="s">
        <v>73</v>
      </c>
      <c r="AE451" s="1" t="s">
        <v>67</v>
      </c>
      <c r="AF451" s="1" t="s">
        <v>72</v>
      </c>
      <c r="AG451" s="1" t="s">
        <v>71</v>
      </c>
      <c r="AH451" s="1" t="s">
        <v>120</v>
      </c>
    </row>
    <row r="452" spans="1:34" x14ac:dyDescent="0.3">
      <c r="A452" s="1" t="s">
        <v>74</v>
      </c>
      <c r="B452" s="1" t="s">
        <v>61</v>
      </c>
      <c r="C452" s="1" t="s">
        <v>62</v>
      </c>
      <c r="D452" s="1" t="s">
        <v>63</v>
      </c>
      <c r="E452" s="1" t="s">
        <v>64</v>
      </c>
      <c r="F452" s="1" t="s">
        <v>65</v>
      </c>
      <c r="G452" s="1" t="s">
        <v>66</v>
      </c>
      <c r="H452" s="1" t="s">
        <v>61</v>
      </c>
      <c r="I452" s="1" t="s">
        <v>61</v>
      </c>
      <c r="J452" s="1" t="s">
        <v>65</v>
      </c>
      <c r="K452" s="1" t="s">
        <v>67</v>
      </c>
      <c r="L452" s="1" t="s">
        <v>66</v>
      </c>
      <c r="M452" s="1" t="s">
        <v>68</v>
      </c>
      <c r="N452" s="1" t="s">
        <v>63</v>
      </c>
      <c r="O452" s="1" t="s">
        <v>63</v>
      </c>
      <c r="P452" s="1" t="s">
        <v>69</v>
      </c>
      <c r="Q452" s="1" t="s">
        <v>70</v>
      </c>
      <c r="R452" s="1" t="s">
        <v>71</v>
      </c>
      <c r="S452" s="1" t="s">
        <v>63</v>
      </c>
      <c r="T452" s="1" t="s">
        <v>69</v>
      </c>
      <c r="U452" s="1" t="s">
        <v>69</v>
      </c>
      <c r="V452" s="1" t="s">
        <v>63</v>
      </c>
      <c r="W452" s="1" t="s">
        <v>68</v>
      </c>
      <c r="X452" s="1" t="s">
        <v>72</v>
      </c>
      <c r="Y452" s="1" t="s">
        <v>72</v>
      </c>
      <c r="Z452" s="1" t="s">
        <v>62</v>
      </c>
      <c r="AA452" s="1" t="s">
        <v>62</v>
      </c>
      <c r="AB452" s="1" t="s">
        <v>72</v>
      </c>
      <c r="AC452" s="1" t="s">
        <v>73</v>
      </c>
      <c r="AD452" s="1" t="s">
        <v>73</v>
      </c>
      <c r="AE452" s="1" t="s">
        <v>67</v>
      </c>
      <c r="AF452" s="1" t="s">
        <v>72</v>
      </c>
      <c r="AG452" s="1" t="s">
        <v>71</v>
      </c>
      <c r="AH452" s="1" t="s">
        <v>120</v>
      </c>
    </row>
    <row r="453" spans="1:34" x14ac:dyDescent="0.3">
      <c r="A453" s="1" t="s">
        <v>74</v>
      </c>
      <c r="B453" s="1" t="s">
        <v>35</v>
      </c>
      <c r="C453" s="1" t="s">
        <v>62</v>
      </c>
      <c r="D453" s="1" t="s">
        <v>37</v>
      </c>
      <c r="E453" s="1" t="s">
        <v>100</v>
      </c>
      <c r="F453" s="1" t="s">
        <v>65</v>
      </c>
      <c r="G453" s="1" t="s">
        <v>101</v>
      </c>
      <c r="H453" s="1" t="s">
        <v>61</v>
      </c>
      <c r="I453" s="1" t="s">
        <v>35</v>
      </c>
      <c r="J453" s="1" t="s">
        <v>102</v>
      </c>
      <c r="K453" s="1" t="s">
        <v>59</v>
      </c>
      <c r="L453" s="1" t="s">
        <v>66</v>
      </c>
      <c r="M453" s="1" t="s">
        <v>44</v>
      </c>
      <c r="N453" s="1" t="s">
        <v>81</v>
      </c>
      <c r="O453" s="1" t="s">
        <v>63</v>
      </c>
      <c r="P453" s="1" t="s">
        <v>103</v>
      </c>
      <c r="Q453" s="1" t="s">
        <v>47</v>
      </c>
      <c r="R453" s="1" t="s">
        <v>80</v>
      </c>
      <c r="S453" s="1" t="s">
        <v>49</v>
      </c>
      <c r="T453" s="1" t="s">
        <v>50</v>
      </c>
      <c r="U453" s="1" t="s">
        <v>51</v>
      </c>
      <c r="V453" s="1" t="s">
        <v>81</v>
      </c>
      <c r="W453" s="1" t="s">
        <v>53</v>
      </c>
      <c r="X453" s="1" t="s">
        <v>54</v>
      </c>
      <c r="Y453" s="1" t="s">
        <v>55</v>
      </c>
      <c r="Z453" s="1" t="s">
        <v>82</v>
      </c>
      <c r="AA453" s="1" t="s">
        <v>36</v>
      </c>
      <c r="AB453" s="1" t="s">
        <v>54</v>
      </c>
      <c r="AC453" s="1" t="s">
        <v>57</v>
      </c>
      <c r="AD453" s="1" t="s">
        <v>58</v>
      </c>
      <c r="AE453" s="1" t="s">
        <v>59</v>
      </c>
      <c r="AF453" s="1" t="s">
        <v>54</v>
      </c>
      <c r="AG453" s="1" t="s">
        <v>75</v>
      </c>
      <c r="AH453" s="1" t="s">
        <v>120</v>
      </c>
    </row>
    <row r="454" spans="1:34" x14ac:dyDescent="0.3">
      <c r="A454" s="1" t="s">
        <v>34</v>
      </c>
      <c r="B454" s="1" t="s">
        <v>35</v>
      </c>
      <c r="C454" s="1" t="s">
        <v>62</v>
      </c>
      <c r="D454" s="1" t="s">
        <v>37</v>
      </c>
      <c r="E454" s="1" t="s">
        <v>77</v>
      </c>
      <c r="F454" s="1" t="s">
        <v>39</v>
      </c>
      <c r="G454" s="1" t="s">
        <v>40</v>
      </c>
      <c r="H454" s="1" t="s">
        <v>35</v>
      </c>
      <c r="I454" s="1" t="s">
        <v>41</v>
      </c>
      <c r="J454" s="1" t="s">
        <v>39</v>
      </c>
      <c r="K454" s="1" t="s">
        <v>42</v>
      </c>
      <c r="L454" s="1" t="s">
        <v>43</v>
      </c>
      <c r="M454" s="1" t="s">
        <v>44</v>
      </c>
      <c r="N454" s="1" t="s">
        <v>45</v>
      </c>
      <c r="O454" s="1" t="s">
        <v>45</v>
      </c>
      <c r="P454" s="1" t="s">
        <v>103</v>
      </c>
      <c r="Q454" s="1" t="s">
        <v>47</v>
      </c>
      <c r="R454" s="1" t="s">
        <v>80</v>
      </c>
      <c r="S454" s="1" t="s">
        <v>49</v>
      </c>
      <c r="T454" s="1" t="s">
        <v>50</v>
      </c>
      <c r="U454" s="1" t="s">
        <v>51</v>
      </c>
      <c r="V454" s="1" t="s">
        <v>52</v>
      </c>
      <c r="W454" s="1" t="s">
        <v>53</v>
      </c>
      <c r="X454" s="1" t="s">
        <v>54</v>
      </c>
      <c r="Y454" s="1" t="s">
        <v>55</v>
      </c>
      <c r="Z454" s="1" t="s">
        <v>82</v>
      </c>
      <c r="AA454" s="1" t="s">
        <v>36</v>
      </c>
      <c r="AB454" s="1" t="s">
        <v>54</v>
      </c>
      <c r="AC454" s="1" t="s">
        <v>57</v>
      </c>
      <c r="AD454" s="1" t="s">
        <v>58</v>
      </c>
      <c r="AE454" s="1" t="s">
        <v>59</v>
      </c>
      <c r="AF454" s="1" t="s">
        <v>54</v>
      </c>
      <c r="AG454" s="1" t="s">
        <v>71</v>
      </c>
      <c r="AH454" s="1" t="s">
        <v>120</v>
      </c>
    </row>
    <row r="455" spans="1:34" x14ac:dyDescent="0.3">
      <c r="A455" s="1" t="s">
        <v>54</v>
      </c>
      <c r="B455" s="1" t="s">
        <v>94</v>
      </c>
      <c r="C455" s="1" t="s">
        <v>62</v>
      </c>
      <c r="D455" s="1" t="s">
        <v>37</v>
      </c>
      <c r="E455" s="1" t="s">
        <v>77</v>
      </c>
      <c r="F455" s="1" t="s">
        <v>39</v>
      </c>
      <c r="G455" s="1" t="s">
        <v>40</v>
      </c>
      <c r="H455" s="1" t="s">
        <v>35</v>
      </c>
      <c r="I455" s="1" t="s">
        <v>41</v>
      </c>
      <c r="J455" s="1" t="s">
        <v>39</v>
      </c>
      <c r="K455" s="1" t="s">
        <v>42</v>
      </c>
      <c r="L455" s="1" t="s">
        <v>43</v>
      </c>
      <c r="M455" s="1" t="s">
        <v>44</v>
      </c>
      <c r="N455" s="1" t="s">
        <v>45</v>
      </c>
      <c r="O455" s="1" t="s">
        <v>45</v>
      </c>
      <c r="P455" s="1" t="s">
        <v>103</v>
      </c>
      <c r="Q455" s="1" t="s">
        <v>47</v>
      </c>
      <c r="R455" s="1" t="s">
        <v>80</v>
      </c>
      <c r="S455" s="1" t="s">
        <v>49</v>
      </c>
      <c r="T455" s="1" t="s">
        <v>50</v>
      </c>
      <c r="U455" s="1" t="s">
        <v>51</v>
      </c>
      <c r="V455" s="1" t="s">
        <v>52</v>
      </c>
      <c r="W455" s="1" t="s">
        <v>53</v>
      </c>
      <c r="X455" s="1" t="s">
        <v>54</v>
      </c>
      <c r="Y455" s="1" t="s">
        <v>55</v>
      </c>
      <c r="Z455" s="1" t="s">
        <v>56</v>
      </c>
      <c r="AA455" s="1" t="s">
        <v>36</v>
      </c>
      <c r="AB455" s="1" t="s">
        <v>54</v>
      </c>
      <c r="AC455" s="1" t="s">
        <v>57</v>
      </c>
      <c r="AD455" s="1" t="s">
        <v>58</v>
      </c>
      <c r="AE455" s="1" t="s">
        <v>59</v>
      </c>
      <c r="AF455" s="1" t="s">
        <v>54</v>
      </c>
      <c r="AG455" s="1" t="s">
        <v>71</v>
      </c>
      <c r="AH455" s="1" t="s">
        <v>120</v>
      </c>
    </row>
    <row r="456" spans="1:34" x14ac:dyDescent="0.3">
      <c r="A456" s="1" t="s">
        <v>34</v>
      </c>
      <c r="B456" s="1" t="s">
        <v>35</v>
      </c>
      <c r="C456" s="1" t="s">
        <v>62</v>
      </c>
      <c r="D456" s="1" t="s">
        <v>49</v>
      </c>
      <c r="E456" s="1" t="s">
        <v>77</v>
      </c>
      <c r="F456" s="1" t="s">
        <v>39</v>
      </c>
      <c r="G456" s="1" t="s">
        <v>119</v>
      </c>
      <c r="H456" s="1" t="s">
        <v>35</v>
      </c>
      <c r="I456" s="1" t="s">
        <v>94</v>
      </c>
      <c r="J456" s="1" t="s">
        <v>39</v>
      </c>
      <c r="K456" s="1" t="s">
        <v>42</v>
      </c>
      <c r="L456" s="1" t="s">
        <v>43</v>
      </c>
      <c r="M456" s="1" t="s">
        <v>44</v>
      </c>
      <c r="N456" s="1" t="s">
        <v>45</v>
      </c>
      <c r="O456" s="1" t="s">
        <v>45</v>
      </c>
      <c r="P456" s="1" t="s">
        <v>103</v>
      </c>
      <c r="Q456" s="1" t="s">
        <v>47</v>
      </c>
      <c r="R456" s="1" t="s">
        <v>80</v>
      </c>
      <c r="S456" s="1" t="s">
        <v>49</v>
      </c>
      <c r="T456" s="1" t="s">
        <v>50</v>
      </c>
      <c r="U456" s="1" t="s">
        <v>51</v>
      </c>
      <c r="V456" s="1" t="s">
        <v>52</v>
      </c>
      <c r="W456" s="1" t="s">
        <v>53</v>
      </c>
      <c r="X456" s="1" t="s">
        <v>54</v>
      </c>
      <c r="Y456" s="1" t="s">
        <v>55</v>
      </c>
      <c r="Z456" s="1" t="s">
        <v>56</v>
      </c>
      <c r="AA456" s="1" t="s">
        <v>36</v>
      </c>
      <c r="AB456" s="1" t="s">
        <v>54</v>
      </c>
      <c r="AC456" s="1" t="s">
        <v>57</v>
      </c>
      <c r="AD456" s="1" t="s">
        <v>58</v>
      </c>
      <c r="AE456" s="1" t="s">
        <v>59</v>
      </c>
      <c r="AF456" s="1" t="s">
        <v>54</v>
      </c>
      <c r="AG456" s="1" t="s">
        <v>71</v>
      </c>
      <c r="AH456" s="1" t="s">
        <v>120</v>
      </c>
    </row>
    <row r="457" spans="1:34" x14ac:dyDescent="0.3">
      <c r="A457" s="1" t="s">
        <v>91</v>
      </c>
      <c r="B457" s="1" t="s">
        <v>35</v>
      </c>
      <c r="C457" s="1" t="s">
        <v>36</v>
      </c>
      <c r="D457" s="1" t="s">
        <v>37</v>
      </c>
      <c r="E457" s="1" t="s">
        <v>77</v>
      </c>
      <c r="F457" s="1" t="s">
        <v>39</v>
      </c>
      <c r="G457" s="1" t="s">
        <v>40</v>
      </c>
      <c r="H457" s="1" t="s">
        <v>35</v>
      </c>
      <c r="I457" s="1" t="s">
        <v>35</v>
      </c>
      <c r="J457" s="1" t="s">
        <v>39</v>
      </c>
      <c r="K457" s="1" t="s">
        <v>42</v>
      </c>
      <c r="L457" s="1" t="s">
        <v>43</v>
      </c>
      <c r="M457" s="1" t="s">
        <v>44</v>
      </c>
      <c r="N457" s="1" t="s">
        <v>45</v>
      </c>
      <c r="O457" s="1" t="s">
        <v>45</v>
      </c>
      <c r="P457" s="1" t="s">
        <v>103</v>
      </c>
      <c r="Q457" s="1" t="s">
        <v>47</v>
      </c>
      <c r="R457" s="1" t="s">
        <v>48</v>
      </c>
      <c r="S457" s="1" t="s">
        <v>49</v>
      </c>
      <c r="T457" s="1" t="s">
        <v>50</v>
      </c>
      <c r="U457" s="1" t="s">
        <v>51</v>
      </c>
      <c r="V457" s="1" t="s">
        <v>52</v>
      </c>
      <c r="W457" s="1" t="s">
        <v>53</v>
      </c>
      <c r="X457" s="1" t="s">
        <v>54</v>
      </c>
      <c r="Y457" s="1" t="s">
        <v>55</v>
      </c>
      <c r="Z457" s="1" t="s">
        <v>82</v>
      </c>
      <c r="AA457" s="1" t="s">
        <v>36</v>
      </c>
      <c r="AB457" s="1" t="s">
        <v>54</v>
      </c>
      <c r="AC457" s="1" t="s">
        <v>57</v>
      </c>
      <c r="AD457" s="1" t="s">
        <v>58</v>
      </c>
      <c r="AE457" s="1" t="s">
        <v>59</v>
      </c>
      <c r="AF457" s="1" t="s">
        <v>54</v>
      </c>
      <c r="AG457" s="1" t="s">
        <v>98</v>
      </c>
      <c r="AH457" s="1" t="s">
        <v>120</v>
      </c>
    </row>
    <row r="458" spans="1:34" x14ac:dyDescent="0.3">
      <c r="A458" s="1" t="s">
        <v>54</v>
      </c>
      <c r="B458" s="1" t="s">
        <v>35</v>
      </c>
      <c r="C458" s="1" t="s">
        <v>36</v>
      </c>
      <c r="D458" s="1" t="s">
        <v>37</v>
      </c>
      <c r="E458" s="1" t="s">
        <v>77</v>
      </c>
      <c r="F458" s="1" t="s">
        <v>39</v>
      </c>
      <c r="G458" s="1" t="s">
        <v>40</v>
      </c>
      <c r="H458" s="1" t="s">
        <v>35</v>
      </c>
      <c r="I458" s="1" t="s">
        <v>35</v>
      </c>
      <c r="J458" s="1" t="s">
        <v>39</v>
      </c>
      <c r="K458" s="1" t="s">
        <v>42</v>
      </c>
      <c r="L458" s="1" t="s">
        <v>79</v>
      </c>
      <c r="M458" s="1" t="s">
        <v>44</v>
      </c>
      <c r="N458" s="1" t="s">
        <v>45</v>
      </c>
      <c r="O458" s="1" t="s">
        <v>45</v>
      </c>
      <c r="P458" s="1" t="s">
        <v>103</v>
      </c>
      <c r="Q458" s="1" t="s">
        <v>47</v>
      </c>
      <c r="R458" s="1" t="s">
        <v>48</v>
      </c>
      <c r="S458" s="1" t="s">
        <v>49</v>
      </c>
      <c r="T458" s="1" t="s">
        <v>50</v>
      </c>
      <c r="U458" s="1" t="s">
        <v>51</v>
      </c>
      <c r="V458" s="1" t="s">
        <v>52</v>
      </c>
      <c r="W458" s="1" t="s">
        <v>53</v>
      </c>
      <c r="X458" s="1" t="s">
        <v>54</v>
      </c>
      <c r="Y458" s="1" t="s">
        <v>55</v>
      </c>
      <c r="Z458" s="1" t="s">
        <v>56</v>
      </c>
      <c r="AA458" s="1" t="s">
        <v>36</v>
      </c>
      <c r="AB458" s="1" t="s">
        <v>54</v>
      </c>
      <c r="AC458" s="1" t="s">
        <v>57</v>
      </c>
      <c r="AD458" s="1" t="s">
        <v>58</v>
      </c>
      <c r="AE458" s="1" t="s">
        <v>59</v>
      </c>
      <c r="AF458" s="1" t="s">
        <v>54</v>
      </c>
      <c r="AG458" s="1" t="s">
        <v>98</v>
      </c>
      <c r="AH458" s="1" t="s">
        <v>120</v>
      </c>
    </row>
    <row r="459" spans="1:34" x14ac:dyDescent="0.3">
      <c r="A459" s="1" t="s">
        <v>55</v>
      </c>
      <c r="B459" s="1" t="s">
        <v>35</v>
      </c>
      <c r="C459" s="1" t="s">
        <v>36</v>
      </c>
      <c r="D459" s="1" t="s">
        <v>37</v>
      </c>
      <c r="E459" s="1" t="s">
        <v>77</v>
      </c>
      <c r="F459" s="1" t="s">
        <v>39</v>
      </c>
      <c r="G459" s="1" t="s">
        <v>40</v>
      </c>
      <c r="H459" s="1" t="s">
        <v>35</v>
      </c>
      <c r="I459" s="1" t="s">
        <v>35</v>
      </c>
      <c r="J459" s="1" t="s">
        <v>39</v>
      </c>
      <c r="K459" s="1" t="s">
        <v>42</v>
      </c>
      <c r="L459" s="1" t="s">
        <v>43</v>
      </c>
      <c r="M459" s="1" t="s">
        <v>44</v>
      </c>
      <c r="N459" s="1" t="s">
        <v>45</v>
      </c>
      <c r="O459" s="1" t="s">
        <v>45</v>
      </c>
      <c r="P459" s="1" t="s">
        <v>103</v>
      </c>
      <c r="Q459" s="1" t="s">
        <v>47</v>
      </c>
      <c r="R459" s="1" t="s">
        <v>48</v>
      </c>
      <c r="S459" s="1" t="s">
        <v>49</v>
      </c>
      <c r="T459" s="1" t="s">
        <v>50</v>
      </c>
      <c r="U459" s="1" t="s">
        <v>51</v>
      </c>
      <c r="V459" s="1" t="s">
        <v>52</v>
      </c>
      <c r="W459" s="1" t="s">
        <v>53</v>
      </c>
      <c r="X459" s="1" t="s">
        <v>54</v>
      </c>
      <c r="Y459" s="1" t="s">
        <v>55</v>
      </c>
      <c r="Z459" s="1" t="s">
        <v>56</v>
      </c>
      <c r="AA459" s="1" t="s">
        <v>36</v>
      </c>
      <c r="AB459" s="1" t="s">
        <v>54</v>
      </c>
      <c r="AC459" s="1" t="s">
        <v>57</v>
      </c>
      <c r="AD459" s="1" t="s">
        <v>58</v>
      </c>
      <c r="AE459" s="1" t="s">
        <v>59</v>
      </c>
      <c r="AF459" s="1" t="s">
        <v>54</v>
      </c>
      <c r="AG459" s="1" t="s">
        <v>98</v>
      </c>
      <c r="AH459" s="1" t="s">
        <v>120</v>
      </c>
    </row>
    <row r="460" spans="1:34" x14ac:dyDescent="0.3">
      <c r="A460" s="1" t="s">
        <v>91</v>
      </c>
      <c r="B460" s="1" t="s">
        <v>35</v>
      </c>
      <c r="C460" s="1" t="s">
        <v>36</v>
      </c>
      <c r="D460" s="1" t="s">
        <v>49</v>
      </c>
      <c r="E460" s="1" t="s">
        <v>77</v>
      </c>
      <c r="F460" s="1" t="s">
        <v>39</v>
      </c>
      <c r="G460" s="1" t="s">
        <v>40</v>
      </c>
      <c r="H460" s="1" t="s">
        <v>35</v>
      </c>
      <c r="I460" s="1" t="s">
        <v>41</v>
      </c>
      <c r="J460" s="1" t="s">
        <v>39</v>
      </c>
      <c r="K460" s="1" t="s">
        <v>42</v>
      </c>
      <c r="L460" s="1" t="s">
        <v>88</v>
      </c>
      <c r="M460" s="1" t="s">
        <v>44</v>
      </c>
      <c r="N460" s="1" t="s">
        <v>45</v>
      </c>
      <c r="O460" s="1" t="s">
        <v>45</v>
      </c>
      <c r="P460" s="1" t="s">
        <v>103</v>
      </c>
      <c r="Q460" s="1" t="s">
        <v>47</v>
      </c>
      <c r="R460" s="1" t="s">
        <v>80</v>
      </c>
      <c r="S460" s="1" t="s">
        <v>49</v>
      </c>
      <c r="T460" s="1" t="s">
        <v>50</v>
      </c>
      <c r="U460" s="1" t="s">
        <v>51</v>
      </c>
      <c r="V460" s="1" t="s">
        <v>52</v>
      </c>
      <c r="W460" s="1" t="s">
        <v>53</v>
      </c>
      <c r="X460" s="1" t="s">
        <v>54</v>
      </c>
      <c r="Y460" s="1" t="s">
        <v>55</v>
      </c>
      <c r="Z460" s="1" t="s">
        <v>56</v>
      </c>
      <c r="AA460" s="1" t="s">
        <v>36</v>
      </c>
      <c r="AB460" s="1" t="s">
        <v>54</v>
      </c>
      <c r="AC460" s="1" t="s">
        <v>57</v>
      </c>
      <c r="AD460" s="1" t="s">
        <v>58</v>
      </c>
      <c r="AE460" s="1" t="s">
        <v>59</v>
      </c>
      <c r="AF460" s="1" t="s">
        <v>54</v>
      </c>
      <c r="AG460" s="1" t="s">
        <v>98</v>
      </c>
      <c r="AH460" s="1" t="s">
        <v>120</v>
      </c>
    </row>
    <row r="461" spans="1:34" x14ac:dyDescent="0.3">
      <c r="A461" s="1" t="s">
        <v>55</v>
      </c>
      <c r="B461" s="1" t="s">
        <v>94</v>
      </c>
      <c r="C461" s="1" t="s">
        <v>82</v>
      </c>
      <c r="D461" s="1" t="s">
        <v>49</v>
      </c>
      <c r="E461" s="1" t="s">
        <v>77</v>
      </c>
      <c r="F461" s="1" t="s">
        <v>39</v>
      </c>
      <c r="G461" s="1" t="s">
        <v>40</v>
      </c>
      <c r="H461" s="1" t="s">
        <v>35</v>
      </c>
      <c r="I461" s="1" t="s">
        <v>35</v>
      </c>
      <c r="J461" s="1" t="s">
        <v>39</v>
      </c>
      <c r="K461" s="1" t="s">
        <v>42</v>
      </c>
      <c r="L461" s="1" t="s">
        <v>43</v>
      </c>
      <c r="M461" s="1" t="s">
        <v>44</v>
      </c>
      <c r="N461" s="1" t="s">
        <v>45</v>
      </c>
      <c r="O461" s="1" t="s">
        <v>45</v>
      </c>
      <c r="P461" s="1" t="s">
        <v>103</v>
      </c>
      <c r="Q461" s="1" t="s">
        <v>47</v>
      </c>
      <c r="R461" s="1" t="s">
        <v>48</v>
      </c>
      <c r="S461" s="1" t="s">
        <v>49</v>
      </c>
      <c r="T461" s="1" t="s">
        <v>50</v>
      </c>
      <c r="U461" s="1" t="s">
        <v>51</v>
      </c>
      <c r="V461" s="1" t="s">
        <v>52</v>
      </c>
      <c r="W461" s="1" t="s">
        <v>53</v>
      </c>
      <c r="X461" s="1" t="s">
        <v>54</v>
      </c>
      <c r="Y461" s="1" t="s">
        <v>74</v>
      </c>
      <c r="Z461" s="1" t="s">
        <v>56</v>
      </c>
      <c r="AA461" s="1" t="s">
        <v>36</v>
      </c>
      <c r="AB461" s="1" t="s">
        <v>54</v>
      </c>
      <c r="AC461" s="1" t="s">
        <v>57</v>
      </c>
      <c r="AD461" s="1" t="s">
        <v>58</v>
      </c>
      <c r="AE461" s="1" t="s">
        <v>59</v>
      </c>
      <c r="AF461" s="1" t="s">
        <v>54</v>
      </c>
      <c r="AG461" s="1" t="s">
        <v>98</v>
      </c>
      <c r="AH461" s="1" t="s">
        <v>120</v>
      </c>
    </row>
    <row r="462" spans="1:34" x14ac:dyDescent="0.3">
      <c r="A462" s="1" t="s">
        <v>55</v>
      </c>
      <c r="B462" s="1" t="s">
        <v>41</v>
      </c>
      <c r="C462" s="1" t="s">
        <v>76</v>
      </c>
      <c r="D462" s="1" t="s">
        <v>37</v>
      </c>
      <c r="E462" s="1" t="s">
        <v>77</v>
      </c>
      <c r="F462" s="1" t="s">
        <v>39</v>
      </c>
      <c r="G462" s="1" t="s">
        <v>40</v>
      </c>
      <c r="H462" s="1" t="s">
        <v>35</v>
      </c>
      <c r="I462" s="1" t="s">
        <v>35</v>
      </c>
      <c r="J462" s="1" t="s">
        <v>39</v>
      </c>
      <c r="K462" s="1" t="s">
        <v>42</v>
      </c>
      <c r="L462" s="1" t="s">
        <v>43</v>
      </c>
      <c r="M462" s="1" t="s">
        <v>44</v>
      </c>
      <c r="N462" s="1" t="s">
        <v>45</v>
      </c>
      <c r="O462" s="1" t="s">
        <v>45</v>
      </c>
      <c r="P462" s="1" t="s">
        <v>103</v>
      </c>
      <c r="Q462" s="1" t="s">
        <v>47</v>
      </c>
      <c r="R462" s="1" t="s">
        <v>80</v>
      </c>
      <c r="S462" s="1" t="s">
        <v>49</v>
      </c>
      <c r="T462" s="1" t="s">
        <v>50</v>
      </c>
      <c r="U462" s="1" t="s">
        <v>51</v>
      </c>
      <c r="V462" s="1" t="s">
        <v>52</v>
      </c>
      <c r="W462" s="1" t="s">
        <v>53</v>
      </c>
      <c r="X462" s="1" t="s">
        <v>54</v>
      </c>
      <c r="Y462" s="1" t="s">
        <v>55</v>
      </c>
      <c r="Z462" s="1" t="s">
        <v>82</v>
      </c>
      <c r="AA462" s="1" t="s">
        <v>36</v>
      </c>
      <c r="AB462" s="1" t="s">
        <v>54</v>
      </c>
      <c r="AC462" s="1" t="s">
        <v>57</v>
      </c>
      <c r="AD462" s="1" t="s">
        <v>58</v>
      </c>
      <c r="AE462" s="1" t="s">
        <v>59</v>
      </c>
      <c r="AF462" s="1" t="s">
        <v>54</v>
      </c>
      <c r="AG462" s="1" t="s">
        <v>71</v>
      </c>
      <c r="AH462" s="1" t="s">
        <v>120</v>
      </c>
    </row>
    <row r="463" spans="1:34" x14ac:dyDescent="0.3">
      <c r="A463" s="1" t="s">
        <v>34</v>
      </c>
      <c r="B463" s="1" t="s">
        <v>94</v>
      </c>
      <c r="C463" s="1" t="s">
        <v>62</v>
      </c>
      <c r="D463" s="1" t="s">
        <v>37</v>
      </c>
      <c r="E463" s="1" t="s">
        <v>77</v>
      </c>
      <c r="F463" s="1" t="s">
        <v>39</v>
      </c>
      <c r="G463" s="1" t="s">
        <v>40</v>
      </c>
      <c r="H463" s="1" t="s">
        <v>35</v>
      </c>
      <c r="I463" s="1" t="s">
        <v>35</v>
      </c>
      <c r="J463" s="1" t="s">
        <v>39</v>
      </c>
      <c r="K463" s="1" t="s">
        <v>59</v>
      </c>
      <c r="L463" s="1" t="s">
        <v>66</v>
      </c>
      <c r="M463" s="1" t="s">
        <v>44</v>
      </c>
      <c r="N463" s="1" t="s">
        <v>45</v>
      </c>
      <c r="O463" s="1" t="s">
        <v>45</v>
      </c>
      <c r="P463" s="1" t="s">
        <v>103</v>
      </c>
      <c r="Q463" s="1" t="s">
        <v>47</v>
      </c>
      <c r="R463" s="1" t="s">
        <v>80</v>
      </c>
      <c r="S463" s="1" t="s">
        <v>49</v>
      </c>
      <c r="T463" s="1" t="s">
        <v>50</v>
      </c>
      <c r="U463" s="1" t="s">
        <v>51</v>
      </c>
      <c r="V463" s="1" t="s">
        <v>52</v>
      </c>
      <c r="W463" s="1" t="s">
        <v>53</v>
      </c>
      <c r="X463" s="1" t="s">
        <v>54</v>
      </c>
      <c r="Y463" s="1" t="s">
        <v>55</v>
      </c>
      <c r="Z463" s="1" t="s">
        <v>56</v>
      </c>
      <c r="AA463" s="1" t="s">
        <v>36</v>
      </c>
      <c r="AB463" s="1" t="s">
        <v>54</v>
      </c>
      <c r="AC463" s="1" t="s">
        <v>57</v>
      </c>
      <c r="AD463" s="1" t="s">
        <v>58</v>
      </c>
      <c r="AE463" s="1" t="s">
        <v>59</v>
      </c>
      <c r="AF463" s="1" t="s">
        <v>54</v>
      </c>
      <c r="AG463" s="1" t="s">
        <v>71</v>
      </c>
      <c r="AH463" s="1" t="s">
        <v>120</v>
      </c>
    </row>
    <row r="464" spans="1:34" x14ac:dyDescent="0.3">
      <c r="A464" s="1" t="s">
        <v>91</v>
      </c>
      <c r="B464" s="1" t="s">
        <v>35</v>
      </c>
      <c r="C464" s="1" t="s">
        <v>36</v>
      </c>
      <c r="D464" s="1" t="s">
        <v>37</v>
      </c>
      <c r="E464" s="1" t="s">
        <v>77</v>
      </c>
      <c r="F464" s="1" t="s">
        <v>39</v>
      </c>
      <c r="G464" s="1" t="s">
        <v>40</v>
      </c>
      <c r="H464" s="1" t="s">
        <v>35</v>
      </c>
      <c r="I464" s="1" t="s">
        <v>35</v>
      </c>
      <c r="J464" s="1" t="s">
        <v>78</v>
      </c>
      <c r="K464" s="1" t="s">
        <v>42</v>
      </c>
      <c r="L464" s="1" t="s">
        <v>79</v>
      </c>
      <c r="M464" s="1" t="s">
        <v>44</v>
      </c>
      <c r="N464" s="1" t="s">
        <v>45</v>
      </c>
      <c r="O464" s="1" t="s">
        <v>52</v>
      </c>
      <c r="P464" s="1" t="s">
        <v>103</v>
      </c>
      <c r="Q464" s="1" t="s">
        <v>47</v>
      </c>
      <c r="R464" s="1" t="s">
        <v>80</v>
      </c>
      <c r="S464" s="1" t="s">
        <v>49</v>
      </c>
      <c r="T464" s="1" t="s">
        <v>50</v>
      </c>
      <c r="U464" s="1" t="s">
        <v>51</v>
      </c>
      <c r="V464" s="1" t="s">
        <v>52</v>
      </c>
      <c r="W464" s="1" t="s">
        <v>53</v>
      </c>
      <c r="X464" s="1" t="s">
        <v>54</v>
      </c>
      <c r="Y464" s="1" t="s">
        <v>55</v>
      </c>
      <c r="Z464" s="1" t="s">
        <v>56</v>
      </c>
      <c r="AA464" s="1" t="s">
        <v>36</v>
      </c>
      <c r="AB464" s="1" t="s">
        <v>54</v>
      </c>
      <c r="AC464" s="1" t="s">
        <v>57</v>
      </c>
      <c r="AD464" s="1" t="s">
        <v>58</v>
      </c>
      <c r="AE464" s="1" t="s">
        <v>59</v>
      </c>
      <c r="AF464" s="1" t="s">
        <v>54</v>
      </c>
      <c r="AG464" s="1" t="s">
        <v>98</v>
      </c>
      <c r="AH464" s="1" t="s">
        <v>120</v>
      </c>
    </row>
    <row r="465" spans="1:34" x14ac:dyDescent="0.3">
      <c r="A465" s="1" t="s">
        <v>91</v>
      </c>
      <c r="B465" s="1" t="s">
        <v>41</v>
      </c>
      <c r="C465" s="1" t="s">
        <v>76</v>
      </c>
      <c r="D465" s="1" t="s">
        <v>37</v>
      </c>
      <c r="E465" s="1" t="s">
        <v>77</v>
      </c>
      <c r="F465" s="1" t="s">
        <v>39</v>
      </c>
      <c r="G465" s="1" t="s">
        <v>40</v>
      </c>
      <c r="H465" s="1" t="s">
        <v>35</v>
      </c>
      <c r="I465" s="1" t="s">
        <v>35</v>
      </c>
      <c r="J465" s="1" t="s">
        <v>78</v>
      </c>
      <c r="K465" s="1" t="s">
        <v>42</v>
      </c>
      <c r="L465" s="1" t="s">
        <v>43</v>
      </c>
      <c r="M465" s="1" t="s">
        <v>44</v>
      </c>
      <c r="N465" s="1" t="s">
        <v>45</v>
      </c>
      <c r="O465" s="1" t="s">
        <v>52</v>
      </c>
      <c r="P465" s="1" t="s">
        <v>103</v>
      </c>
      <c r="Q465" s="1" t="s">
        <v>47</v>
      </c>
      <c r="R465" s="1" t="s">
        <v>80</v>
      </c>
      <c r="S465" s="1" t="s">
        <v>49</v>
      </c>
      <c r="T465" s="1" t="s">
        <v>50</v>
      </c>
      <c r="U465" s="1" t="s">
        <v>51</v>
      </c>
      <c r="V465" s="1" t="s">
        <v>52</v>
      </c>
      <c r="W465" s="1" t="s">
        <v>53</v>
      </c>
      <c r="X465" s="1" t="s">
        <v>54</v>
      </c>
      <c r="Y465" s="1" t="s">
        <v>55</v>
      </c>
      <c r="Z465" s="1" t="s">
        <v>56</v>
      </c>
      <c r="AA465" s="1" t="s">
        <v>36</v>
      </c>
      <c r="AB465" s="1" t="s">
        <v>54</v>
      </c>
      <c r="AC465" s="1" t="s">
        <v>57</v>
      </c>
      <c r="AD465" s="1" t="s">
        <v>58</v>
      </c>
      <c r="AE465" s="1" t="s">
        <v>59</v>
      </c>
      <c r="AF465" s="1" t="s">
        <v>54</v>
      </c>
      <c r="AG465" s="1" t="s">
        <v>98</v>
      </c>
      <c r="AH465" s="1" t="s">
        <v>120</v>
      </c>
    </row>
    <row r="466" spans="1:34" x14ac:dyDescent="0.3">
      <c r="A466" s="1" t="s">
        <v>91</v>
      </c>
      <c r="B466" s="1" t="s">
        <v>41</v>
      </c>
      <c r="C466" s="1" t="s">
        <v>36</v>
      </c>
      <c r="D466" s="1" t="s">
        <v>37</v>
      </c>
      <c r="E466" s="1" t="s">
        <v>38</v>
      </c>
      <c r="F466" s="1" t="s">
        <v>39</v>
      </c>
      <c r="G466" s="1" t="s">
        <v>40</v>
      </c>
      <c r="H466" s="1" t="s">
        <v>35</v>
      </c>
      <c r="I466" s="1" t="s">
        <v>41</v>
      </c>
      <c r="J466" s="1" t="s">
        <v>39</v>
      </c>
      <c r="K466" s="1" t="s">
        <v>42</v>
      </c>
      <c r="L466" s="1" t="s">
        <v>43</v>
      </c>
      <c r="M466" s="1" t="s">
        <v>44</v>
      </c>
      <c r="N466" s="1" t="s">
        <v>45</v>
      </c>
      <c r="O466" s="1" t="s">
        <v>45</v>
      </c>
      <c r="P466" s="1" t="s">
        <v>103</v>
      </c>
      <c r="Q466" s="1" t="s">
        <v>47</v>
      </c>
      <c r="R466" s="1" t="s">
        <v>80</v>
      </c>
      <c r="S466" s="1" t="s">
        <v>49</v>
      </c>
      <c r="T466" s="1" t="s">
        <v>50</v>
      </c>
      <c r="U466" s="1" t="s">
        <v>51</v>
      </c>
      <c r="V466" s="1" t="s">
        <v>52</v>
      </c>
      <c r="W466" s="1" t="s">
        <v>53</v>
      </c>
      <c r="X466" s="1" t="s">
        <v>54</v>
      </c>
      <c r="Y466" s="1" t="s">
        <v>74</v>
      </c>
      <c r="Z466" s="1" t="s">
        <v>82</v>
      </c>
      <c r="AA466" s="1" t="s">
        <v>36</v>
      </c>
      <c r="AB466" s="1" t="s">
        <v>54</v>
      </c>
      <c r="AC466" s="1" t="s">
        <v>57</v>
      </c>
      <c r="AD466" s="1" t="s">
        <v>58</v>
      </c>
      <c r="AE466" s="1" t="s">
        <v>59</v>
      </c>
      <c r="AF466" s="1" t="s">
        <v>54</v>
      </c>
      <c r="AG466" s="1" t="s">
        <v>71</v>
      </c>
      <c r="AH466" s="1" t="s">
        <v>120</v>
      </c>
    </row>
    <row r="467" spans="1:34" x14ac:dyDescent="0.3">
      <c r="A467" s="1" t="s">
        <v>54</v>
      </c>
      <c r="B467" s="1" t="s">
        <v>41</v>
      </c>
      <c r="C467" s="1" t="s">
        <v>76</v>
      </c>
      <c r="D467" s="1" t="s">
        <v>37</v>
      </c>
      <c r="E467" s="1" t="s">
        <v>77</v>
      </c>
      <c r="F467" s="1" t="s">
        <v>39</v>
      </c>
      <c r="G467" s="1" t="s">
        <v>40</v>
      </c>
      <c r="H467" s="1" t="s">
        <v>35</v>
      </c>
      <c r="I467" s="1" t="s">
        <v>35</v>
      </c>
      <c r="J467" s="1" t="s">
        <v>39</v>
      </c>
      <c r="K467" s="1" t="s">
        <v>42</v>
      </c>
      <c r="L467" s="1" t="s">
        <v>79</v>
      </c>
      <c r="M467" s="1" t="s">
        <v>44</v>
      </c>
      <c r="N467" s="1" t="s">
        <v>45</v>
      </c>
      <c r="O467" s="1" t="s">
        <v>45</v>
      </c>
      <c r="P467" s="1" t="s">
        <v>103</v>
      </c>
      <c r="Q467" s="1" t="s">
        <v>47</v>
      </c>
      <c r="R467" s="1" t="s">
        <v>80</v>
      </c>
      <c r="S467" s="1" t="s">
        <v>49</v>
      </c>
      <c r="T467" s="1" t="s">
        <v>50</v>
      </c>
      <c r="U467" s="1" t="s">
        <v>51</v>
      </c>
      <c r="V467" s="1" t="s">
        <v>52</v>
      </c>
      <c r="W467" s="1" t="s">
        <v>53</v>
      </c>
      <c r="X467" s="1" t="s">
        <v>54</v>
      </c>
      <c r="Y467" s="1" t="s">
        <v>55</v>
      </c>
      <c r="Z467" s="1" t="s">
        <v>82</v>
      </c>
      <c r="AA467" s="1" t="s">
        <v>36</v>
      </c>
      <c r="AB467" s="1" t="s">
        <v>54</v>
      </c>
      <c r="AC467" s="1" t="s">
        <v>57</v>
      </c>
      <c r="AD467" s="1" t="s">
        <v>58</v>
      </c>
      <c r="AE467" s="1" t="s">
        <v>59</v>
      </c>
      <c r="AF467" s="1" t="s">
        <v>54</v>
      </c>
      <c r="AG467" s="1" t="s">
        <v>71</v>
      </c>
      <c r="AH467" s="1" t="s">
        <v>120</v>
      </c>
    </row>
    <row r="468" spans="1:34" x14ac:dyDescent="0.3">
      <c r="A468" s="1" t="s">
        <v>74</v>
      </c>
      <c r="B468" s="1" t="s">
        <v>61</v>
      </c>
      <c r="C468" s="1" t="s">
        <v>62</v>
      </c>
      <c r="D468" s="1" t="s">
        <v>63</v>
      </c>
      <c r="E468" s="1" t="s">
        <v>64</v>
      </c>
      <c r="F468" s="1" t="s">
        <v>65</v>
      </c>
      <c r="G468" s="1" t="s">
        <v>66</v>
      </c>
      <c r="H468" s="1" t="s">
        <v>61</v>
      </c>
      <c r="I468" s="1" t="s">
        <v>61</v>
      </c>
      <c r="J468" s="1" t="s">
        <v>65</v>
      </c>
      <c r="K468" s="1" t="s">
        <v>67</v>
      </c>
      <c r="L468" s="1" t="s">
        <v>66</v>
      </c>
      <c r="M468" s="1" t="s">
        <v>68</v>
      </c>
      <c r="N468" s="1" t="s">
        <v>63</v>
      </c>
      <c r="O468" s="1" t="s">
        <v>63</v>
      </c>
      <c r="P468" s="1" t="s">
        <v>69</v>
      </c>
      <c r="Q468" s="1" t="s">
        <v>70</v>
      </c>
      <c r="R468" s="1" t="s">
        <v>71</v>
      </c>
      <c r="S468" s="1" t="s">
        <v>63</v>
      </c>
      <c r="T468" s="1" t="s">
        <v>69</v>
      </c>
      <c r="U468" s="1" t="s">
        <v>69</v>
      </c>
      <c r="V468" s="1" t="s">
        <v>63</v>
      </c>
      <c r="W468" s="1" t="s">
        <v>68</v>
      </c>
      <c r="X468" s="1" t="s">
        <v>72</v>
      </c>
      <c r="Y468" s="1" t="s">
        <v>72</v>
      </c>
      <c r="Z468" s="1" t="s">
        <v>62</v>
      </c>
      <c r="AA468" s="1" t="s">
        <v>62</v>
      </c>
      <c r="AB468" s="1" t="s">
        <v>72</v>
      </c>
      <c r="AC468" s="1" t="s">
        <v>73</v>
      </c>
      <c r="AD468" s="1" t="s">
        <v>73</v>
      </c>
      <c r="AE468" s="1" t="s">
        <v>67</v>
      </c>
      <c r="AF468" s="1" t="s">
        <v>72</v>
      </c>
      <c r="AG468" s="1" t="s">
        <v>71</v>
      </c>
      <c r="AH468" s="1" t="s">
        <v>120</v>
      </c>
    </row>
    <row r="469" spans="1:34" x14ac:dyDescent="0.3">
      <c r="A469" s="1" t="s">
        <v>74</v>
      </c>
      <c r="B469" s="1" t="s">
        <v>61</v>
      </c>
      <c r="C469" s="1" t="s">
        <v>62</v>
      </c>
      <c r="D469" s="1" t="s">
        <v>63</v>
      </c>
      <c r="E469" s="1" t="s">
        <v>64</v>
      </c>
      <c r="F469" s="1" t="s">
        <v>65</v>
      </c>
      <c r="G469" s="1" t="s">
        <v>66</v>
      </c>
      <c r="H469" s="1" t="s">
        <v>61</v>
      </c>
      <c r="I469" s="1" t="s">
        <v>61</v>
      </c>
      <c r="J469" s="1" t="s">
        <v>65</v>
      </c>
      <c r="K469" s="1" t="s">
        <v>67</v>
      </c>
      <c r="L469" s="1" t="s">
        <v>66</v>
      </c>
      <c r="M469" s="1" t="s">
        <v>68</v>
      </c>
      <c r="N469" s="1" t="s">
        <v>63</v>
      </c>
      <c r="O469" s="1" t="s">
        <v>63</v>
      </c>
      <c r="P469" s="1" t="s">
        <v>69</v>
      </c>
      <c r="Q469" s="1" t="s">
        <v>70</v>
      </c>
      <c r="R469" s="1" t="s">
        <v>71</v>
      </c>
      <c r="S469" s="1" t="s">
        <v>63</v>
      </c>
      <c r="T469" s="1" t="s">
        <v>69</v>
      </c>
      <c r="U469" s="1" t="s">
        <v>69</v>
      </c>
      <c r="V469" s="1" t="s">
        <v>63</v>
      </c>
      <c r="W469" s="1" t="s">
        <v>68</v>
      </c>
      <c r="X469" s="1" t="s">
        <v>72</v>
      </c>
      <c r="Y469" s="1" t="s">
        <v>72</v>
      </c>
      <c r="Z469" s="1" t="s">
        <v>62</v>
      </c>
      <c r="AA469" s="1" t="s">
        <v>62</v>
      </c>
      <c r="AB469" s="1" t="s">
        <v>72</v>
      </c>
      <c r="AC469" s="1" t="s">
        <v>73</v>
      </c>
      <c r="AD469" s="1" t="s">
        <v>73</v>
      </c>
      <c r="AE469" s="1" t="s">
        <v>67</v>
      </c>
      <c r="AF469" s="1" t="s">
        <v>72</v>
      </c>
      <c r="AG469" s="1" t="s">
        <v>71</v>
      </c>
      <c r="AH469" s="1" t="s">
        <v>120</v>
      </c>
    </row>
    <row r="470" spans="1:34" x14ac:dyDescent="0.3">
      <c r="A470" s="1" t="s">
        <v>74</v>
      </c>
      <c r="B470" s="1" t="s">
        <v>61</v>
      </c>
      <c r="C470" s="1" t="s">
        <v>62</v>
      </c>
      <c r="D470" s="1" t="s">
        <v>63</v>
      </c>
      <c r="E470" s="1" t="s">
        <v>64</v>
      </c>
      <c r="F470" s="1" t="s">
        <v>65</v>
      </c>
      <c r="G470" s="1" t="s">
        <v>66</v>
      </c>
      <c r="H470" s="1" t="s">
        <v>61</v>
      </c>
      <c r="I470" s="1" t="s">
        <v>61</v>
      </c>
      <c r="J470" s="1" t="s">
        <v>65</v>
      </c>
      <c r="K470" s="1" t="s">
        <v>67</v>
      </c>
      <c r="L470" s="1" t="s">
        <v>66</v>
      </c>
      <c r="M470" s="1" t="s">
        <v>68</v>
      </c>
      <c r="N470" s="1" t="s">
        <v>63</v>
      </c>
      <c r="O470" s="1" t="s">
        <v>63</v>
      </c>
      <c r="P470" s="1" t="s">
        <v>69</v>
      </c>
      <c r="Q470" s="1" t="s">
        <v>70</v>
      </c>
      <c r="R470" s="1" t="s">
        <v>71</v>
      </c>
      <c r="S470" s="1" t="s">
        <v>63</v>
      </c>
      <c r="T470" s="1" t="s">
        <v>69</v>
      </c>
      <c r="U470" s="1" t="s">
        <v>69</v>
      </c>
      <c r="V470" s="1" t="s">
        <v>63</v>
      </c>
      <c r="W470" s="1" t="s">
        <v>68</v>
      </c>
      <c r="X470" s="1" t="s">
        <v>72</v>
      </c>
      <c r="Y470" s="1" t="s">
        <v>72</v>
      </c>
      <c r="Z470" s="1" t="s">
        <v>62</v>
      </c>
      <c r="AA470" s="1" t="s">
        <v>62</v>
      </c>
      <c r="AB470" s="1" t="s">
        <v>72</v>
      </c>
      <c r="AC470" s="1" t="s">
        <v>73</v>
      </c>
      <c r="AD470" s="1" t="s">
        <v>73</v>
      </c>
      <c r="AE470" s="1" t="s">
        <v>67</v>
      </c>
      <c r="AF470" s="1" t="s">
        <v>72</v>
      </c>
      <c r="AG470" s="1" t="s">
        <v>71</v>
      </c>
      <c r="AH470" s="1" t="s">
        <v>120</v>
      </c>
    </row>
    <row r="471" spans="1:34" x14ac:dyDescent="0.3">
      <c r="A471" s="1" t="s">
        <v>91</v>
      </c>
      <c r="B471" s="1" t="s">
        <v>35</v>
      </c>
      <c r="C471" s="1" t="s">
        <v>36</v>
      </c>
      <c r="D471" s="1" t="s">
        <v>37</v>
      </c>
      <c r="E471" s="1" t="s">
        <v>77</v>
      </c>
      <c r="F471" s="1" t="s">
        <v>39</v>
      </c>
      <c r="G471" s="1" t="s">
        <v>40</v>
      </c>
      <c r="H471" s="1" t="s">
        <v>35</v>
      </c>
      <c r="I471" s="1" t="s">
        <v>41</v>
      </c>
      <c r="J471" s="1" t="s">
        <v>39</v>
      </c>
      <c r="K471" s="1" t="s">
        <v>42</v>
      </c>
      <c r="L471" s="1" t="s">
        <v>43</v>
      </c>
      <c r="M471" s="1" t="s">
        <v>44</v>
      </c>
      <c r="N471" s="1" t="s">
        <v>45</v>
      </c>
      <c r="O471" s="1" t="s">
        <v>45</v>
      </c>
      <c r="P471" s="1" t="s">
        <v>46</v>
      </c>
      <c r="Q471" s="1" t="s">
        <v>47</v>
      </c>
      <c r="R471" s="1" t="s">
        <v>80</v>
      </c>
      <c r="S471" s="1" t="s">
        <v>49</v>
      </c>
      <c r="T471" s="1" t="s">
        <v>50</v>
      </c>
      <c r="U471" s="1" t="s">
        <v>51</v>
      </c>
      <c r="V471" s="1" t="s">
        <v>52</v>
      </c>
      <c r="W471" s="1" t="s">
        <v>53</v>
      </c>
      <c r="X471" s="1" t="s">
        <v>54</v>
      </c>
      <c r="Y471" s="1" t="s">
        <v>55</v>
      </c>
      <c r="Z471" s="1" t="s">
        <v>82</v>
      </c>
      <c r="AA471" s="1" t="s">
        <v>36</v>
      </c>
      <c r="AB471" s="1" t="s">
        <v>54</v>
      </c>
      <c r="AC471" s="1" t="s">
        <v>57</v>
      </c>
      <c r="AD471" s="1" t="s">
        <v>58</v>
      </c>
      <c r="AE471" s="1" t="s">
        <v>59</v>
      </c>
      <c r="AF471" s="1" t="s">
        <v>54</v>
      </c>
      <c r="AG471" s="1" t="s">
        <v>98</v>
      </c>
      <c r="AH471" s="1" t="s">
        <v>120</v>
      </c>
    </row>
    <row r="472" spans="1:34" x14ac:dyDescent="0.3">
      <c r="A472" s="1" t="s">
        <v>34</v>
      </c>
      <c r="B472" s="1" t="s">
        <v>35</v>
      </c>
      <c r="C472" s="1" t="s">
        <v>62</v>
      </c>
      <c r="D472" s="1" t="s">
        <v>83</v>
      </c>
      <c r="E472" s="1" t="s">
        <v>38</v>
      </c>
      <c r="F472" s="1" t="s">
        <v>39</v>
      </c>
      <c r="G472" s="1" t="s">
        <v>40</v>
      </c>
      <c r="H472" s="1" t="s">
        <v>35</v>
      </c>
      <c r="I472" s="1" t="s">
        <v>35</v>
      </c>
      <c r="J472" s="1" t="s">
        <v>39</v>
      </c>
      <c r="K472" s="1" t="s">
        <v>42</v>
      </c>
      <c r="L472" s="1" t="s">
        <v>43</v>
      </c>
      <c r="M472" s="1" t="s">
        <v>53</v>
      </c>
      <c r="N472" s="1" t="s">
        <v>45</v>
      </c>
      <c r="O472" s="1" t="s">
        <v>45</v>
      </c>
      <c r="P472" s="1" t="s">
        <v>103</v>
      </c>
      <c r="Q472" s="1" t="s">
        <v>47</v>
      </c>
      <c r="R472" s="1" t="s">
        <v>80</v>
      </c>
      <c r="S472" s="1" t="s">
        <v>49</v>
      </c>
      <c r="T472" s="1" t="s">
        <v>50</v>
      </c>
      <c r="U472" s="1" t="s">
        <v>51</v>
      </c>
      <c r="V472" s="1" t="s">
        <v>52</v>
      </c>
      <c r="W472" s="1" t="s">
        <v>53</v>
      </c>
      <c r="X472" s="1" t="s">
        <v>54</v>
      </c>
      <c r="Y472" s="1" t="s">
        <v>55</v>
      </c>
      <c r="Z472" s="1" t="s">
        <v>56</v>
      </c>
      <c r="AA472" s="1" t="s">
        <v>36</v>
      </c>
      <c r="AB472" s="1" t="s">
        <v>54</v>
      </c>
      <c r="AC472" s="1" t="s">
        <v>57</v>
      </c>
      <c r="AD472" s="1" t="s">
        <v>58</v>
      </c>
      <c r="AE472" s="1" t="s">
        <v>59</v>
      </c>
      <c r="AF472" s="1" t="s">
        <v>54</v>
      </c>
      <c r="AG472" s="1" t="s">
        <v>71</v>
      </c>
      <c r="AH472" s="1" t="s">
        <v>120</v>
      </c>
    </row>
    <row r="473" spans="1:34" x14ac:dyDescent="0.3">
      <c r="A473" s="1" t="s">
        <v>99</v>
      </c>
      <c r="B473" s="1" t="s">
        <v>35</v>
      </c>
      <c r="C473" s="1" t="s">
        <v>36</v>
      </c>
      <c r="D473" s="1" t="s">
        <v>37</v>
      </c>
      <c r="E473" s="1" t="s">
        <v>77</v>
      </c>
      <c r="F473" s="1" t="s">
        <v>39</v>
      </c>
      <c r="G473" s="1" t="s">
        <v>40</v>
      </c>
      <c r="H473" s="1" t="s">
        <v>35</v>
      </c>
      <c r="I473" s="1" t="s">
        <v>35</v>
      </c>
      <c r="J473" s="1" t="s">
        <v>78</v>
      </c>
      <c r="K473" s="1" t="s">
        <v>42</v>
      </c>
      <c r="L473" s="1" t="s">
        <v>43</v>
      </c>
      <c r="M473" s="1" t="s">
        <v>44</v>
      </c>
      <c r="N473" s="1" t="s">
        <v>45</v>
      </c>
      <c r="O473" s="1" t="s">
        <v>52</v>
      </c>
      <c r="P473" s="1" t="s">
        <v>103</v>
      </c>
      <c r="Q473" s="1" t="s">
        <v>47</v>
      </c>
      <c r="R473" s="1" t="s">
        <v>80</v>
      </c>
      <c r="S473" s="1" t="s">
        <v>49</v>
      </c>
      <c r="T473" s="1" t="s">
        <v>50</v>
      </c>
      <c r="U473" s="1" t="s">
        <v>51</v>
      </c>
      <c r="V473" s="1" t="s">
        <v>52</v>
      </c>
      <c r="W473" s="1" t="s">
        <v>53</v>
      </c>
      <c r="X473" s="1" t="s">
        <v>54</v>
      </c>
      <c r="Y473" s="1" t="s">
        <v>55</v>
      </c>
      <c r="Z473" s="1" t="s">
        <v>56</v>
      </c>
      <c r="AA473" s="1" t="s">
        <v>36</v>
      </c>
      <c r="AB473" s="1" t="s">
        <v>54</v>
      </c>
      <c r="AC473" s="1" t="s">
        <v>57</v>
      </c>
      <c r="AD473" s="1" t="s">
        <v>58</v>
      </c>
      <c r="AE473" s="1" t="s">
        <v>59</v>
      </c>
      <c r="AF473" s="1" t="s">
        <v>54</v>
      </c>
      <c r="AG473" s="1" t="s">
        <v>98</v>
      </c>
      <c r="AH473" s="1" t="s">
        <v>120</v>
      </c>
    </row>
    <row r="474" spans="1:34" x14ac:dyDescent="0.3">
      <c r="A474" s="1" t="s">
        <v>34</v>
      </c>
      <c r="B474" s="1" t="s">
        <v>35</v>
      </c>
      <c r="C474" s="1" t="s">
        <v>36</v>
      </c>
      <c r="D474" s="1" t="s">
        <v>37</v>
      </c>
      <c r="E474" s="1" t="s">
        <v>38</v>
      </c>
      <c r="F474" s="1" t="s">
        <v>39</v>
      </c>
      <c r="G474" s="1" t="s">
        <v>40</v>
      </c>
      <c r="H474" s="1" t="s">
        <v>35</v>
      </c>
      <c r="I474" s="1" t="s">
        <v>41</v>
      </c>
      <c r="J474" s="1" t="s">
        <v>39</v>
      </c>
      <c r="K474" s="1" t="s">
        <v>42</v>
      </c>
      <c r="L474" s="1" t="s">
        <v>79</v>
      </c>
      <c r="M474" s="1" t="s">
        <v>44</v>
      </c>
      <c r="N474" s="1" t="s">
        <v>45</v>
      </c>
      <c r="O474" s="1" t="s">
        <v>45</v>
      </c>
      <c r="P474" s="1" t="s">
        <v>46</v>
      </c>
      <c r="Q474" s="1" t="s">
        <v>47</v>
      </c>
      <c r="R474" s="1" t="s">
        <v>48</v>
      </c>
      <c r="S474" s="1" t="s">
        <v>49</v>
      </c>
      <c r="T474" s="1" t="s">
        <v>50</v>
      </c>
      <c r="U474" s="1" t="s">
        <v>51</v>
      </c>
      <c r="V474" s="1" t="s">
        <v>52</v>
      </c>
      <c r="W474" s="1" t="s">
        <v>53</v>
      </c>
      <c r="X474" s="1" t="s">
        <v>54</v>
      </c>
      <c r="Y474" s="1" t="s">
        <v>55</v>
      </c>
      <c r="Z474" s="1" t="s">
        <v>56</v>
      </c>
      <c r="AA474" s="1" t="s">
        <v>36</v>
      </c>
      <c r="AB474" s="1" t="s">
        <v>54</v>
      </c>
      <c r="AC474" s="1" t="s">
        <v>57</v>
      </c>
      <c r="AD474" s="1" t="s">
        <v>58</v>
      </c>
      <c r="AE474" s="1" t="s">
        <v>59</v>
      </c>
      <c r="AF474" s="1" t="s">
        <v>54</v>
      </c>
      <c r="AG474" s="1" t="s">
        <v>75</v>
      </c>
      <c r="AH474" s="1" t="s">
        <v>120</v>
      </c>
    </row>
    <row r="475" spans="1:34" x14ac:dyDescent="0.3">
      <c r="A475" s="1" t="s">
        <v>55</v>
      </c>
      <c r="B475" s="1" t="s">
        <v>41</v>
      </c>
      <c r="C475" s="1" t="s">
        <v>76</v>
      </c>
      <c r="D475" s="1" t="s">
        <v>49</v>
      </c>
      <c r="E475" s="1" t="s">
        <v>77</v>
      </c>
      <c r="F475" s="1" t="s">
        <v>39</v>
      </c>
      <c r="G475" s="1" t="s">
        <v>40</v>
      </c>
      <c r="H475" s="1" t="s">
        <v>35</v>
      </c>
      <c r="I475" s="1" t="s">
        <v>94</v>
      </c>
      <c r="J475" s="1" t="s">
        <v>92</v>
      </c>
      <c r="K475" s="1" t="s">
        <v>42</v>
      </c>
      <c r="L475" s="1" t="s">
        <v>43</v>
      </c>
      <c r="M475" s="1" t="s">
        <v>44</v>
      </c>
      <c r="N475" s="1" t="s">
        <v>45</v>
      </c>
      <c r="O475" s="1" t="s">
        <v>45</v>
      </c>
      <c r="P475" s="1" t="s">
        <v>46</v>
      </c>
      <c r="Q475" s="1" t="s">
        <v>47</v>
      </c>
      <c r="R475" s="1" t="s">
        <v>48</v>
      </c>
      <c r="S475" s="1" t="s">
        <v>49</v>
      </c>
      <c r="T475" s="1" t="s">
        <v>50</v>
      </c>
      <c r="U475" s="1" t="s">
        <v>51</v>
      </c>
      <c r="V475" s="1" t="s">
        <v>52</v>
      </c>
      <c r="W475" s="1" t="s">
        <v>53</v>
      </c>
      <c r="X475" s="1" t="s">
        <v>54</v>
      </c>
      <c r="Y475" s="1" t="s">
        <v>55</v>
      </c>
      <c r="Z475" s="1" t="s">
        <v>82</v>
      </c>
      <c r="AA475" s="1" t="s">
        <v>36</v>
      </c>
      <c r="AB475" s="1" t="s">
        <v>54</v>
      </c>
      <c r="AC475" s="1" t="s">
        <v>57</v>
      </c>
      <c r="AD475" s="1" t="s">
        <v>58</v>
      </c>
      <c r="AE475" s="1" t="s">
        <v>42</v>
      </c>
      <c r="AF475" s="1" t="s">
        <v>54</v>
      </c>
      <c r="AG475" s="1" t="s">
        <v>60</v>
      </c>
      <c r="AH475" s="1" t="s">
        <v>120</v>
      </c>
    </row>
    <row r="476" spans="1:34" x14ac:dyDescent="0.3">
      <c r="A476" s="1" t="s">
        <v>85</v>
      </c>
      <c r="B476" s="1" t="s">
        <v>35</v>
      </c>
      <c r="C476" s="1" t="s">
        <v>62</v>
      </c>
      <c r="D476" s="1" t="s">
        <v>37</v>
      </c>
      <c r="E476" s="1" t="s">
        <v>77</v>
      </c>
      <c r="F476" s="1" t="s">
        <v>39</v>
      </c>
      <c r="G476" s="1" t="s">
        <v>40</v>
      </c>
      <c r="H476" s="1" t="s">
        <v>35</v>
      </c>
      <c r="I476" s="1" t="s">
        <v>35</v>
      </c>
      <c r="J476" s="1" t="s">
        <v>39</v>
      </c>
      <c r="K476" s="1" t="s">
        <v>42</v>
      </c>
      <c r="L476" s="1" t="s">
        <v>43</v>
      </c>
      <c r="M476" s="1" t="s">
        <v>44</v>
      </c>
      <c r="N476" s="1" t="s">
        <v>45</v>
      </c>
      <c r="O476" s="1" t="s">
        <v>45</v>
      </c>
      <c r="P476" s="1" t="s">
        <v>103</v>
      </c>
      <c r="Q476" s="1" t="s">
        <v>47</v>
      </c>
      <c r="R476" s="1" t="s">
        <v>80</v>
      </c>
      <c r="S476" s="1" t="s">
        <v>49</v>
      </c>
      <c r="T476" s="1" t="s">
        <v>50</v>
      </c>
      <c r="U476" s="1" t="s">
        <v>51</v>
      </c>
      <c r="V476" s="1" t="s">
        <v>81</v>
      </c>
      <c r="W476" s="1" t="s">
        <v>53</v>
      </c>
      <c r="X476" s="1" t="s">
        <v>54</v>
      </c>
      <c r="Y476" s="1" t="s">
        <v>55</v>
      </c>
      <c r="Z476" s="1" t="s">
        <v>82</v>
      </c>
      <c r="AA476" s="1" t="s">
        <v>36</v>
      </c>
      <c r="AB476" s="1" t="s">
        <v>54</v>
      </c>
      <c r="AC476" s="1" t="s">
        <v>57</v>
      </c>
      <c r="AD476" s="1" t="s">
        <v>58</v>
      </c>
      <c r="AE476" s="1" t="s">
        <v>59</v>
      </c>
      <c r="AF476" s="1" t="s">
        <v>54</v>
      </c>
      <c r="AG476" s="1" t="s">
        <v>71</v>
      </c>
      <c r="AH476" s="1" t="s">
        <v>120</v>
      </c>
    </row>
    <row r="477" spans="1:34" x14ac:dyDescent="0.3">
      <c r="A477" s="1" t="s">
        <v>74</v>
      </c>
      <c r="B477" s="1" t="s">
        <v>41</v>
      </c>
      <c r="C477" s="1" t="s">
        <v>76</v>
      </c>
      <c r="D477" s="1" t="s">
        <v>37</v>
      </c>
      <c r="E477" s="1" t="s">
        <v>77</v>
      </c>
      <c r="F477" s="1" t="s">
        <v>39</v>
      </c>
      <c r="G477" s="1" t="s">
        <v>40</v>
      </c>
      <c r="H477" s="1" t="s">
        <v>35</v>
      </c>
      <c r="I477" s="1" t="s">
        <v>94</v>
      </c>
      <c r="J477" s="1" t="s">
        <v>39</v>
      </c>
      <c r="K477" s="1" t="s">
        <v>42</v>
      </c>
      <c r="L477" s="1" t="s">
        <v>79</v>
      </c>
      <c r="M477" s="1" t="s">
        <v>44</v>
      </c>
      <c r="N477" s="1" t="s">
        <v>45</v>
      </c>
      <c r="O477" s="1" t="s">
        <v>45</v>
      </c>
      <c r="P477" s="1" t="s">
        <v>46</v>
      </c>
      <c r="Q477" s="1" t="s">
        <v>47</v>
      </c>
      <c r="R477" s="1" t="s">
        <v>48</v>
      </c>
      <c r="S477" s="1" t="s">
        <v>49</v>
      </c>
      <c r="T477" s="1" t="s">
        <v>50</v>
      </c>
      <c r="U477" s="1" t="s">
        <v>51</v>
      </c>
      <c r="V477" s="1" t="s">
        <v>52</v>
      </c>
      <c r="W477" s="1" t="s">
        <v>53</v>
      </c>
      <c r="X477" s="1" t="s">
        <v>54</v>
      </c>
      <c r="Y477" s="1" t="s">
        <v>55</v>
      </c>
      <c r="Z477" s="1" t="s">
        <v>82</v>
      </c>
      <c r="AA477" s="1" t="s">
        <v>36</v>
      </c>
      <c r="AB477" s="1" t="s">
        <v>54</v>
      </c>
      <c r="AC477" s="1" t="s">
        <v>57</v>
      </c>
      <c r="AD477" s="1" t="s">
        <v>58</v>
      </c>
      <c r="AE477" s="1" t="s">
        <v>42</v>
      </c>
      <c r="AF477" s="1" t="s">
        <v>54</v>
      </c>
      <c r="AG477" s="1" t="s">
        <v>75</v>
      </c>
      <c r="AH477" s="1" t="s">
        <v>120</v>
      </c>
    </row>
    <row r="478" spans="1:34" x14ac:dyDescent="0.3">
      <c r="A478" s="1" t="s">
        <v>74</v>
      </c>
      <c r="B478" s="1" t="s">
        <v>41</v>
      </c>
      <c r="C478" s="1" t="s">
        <v>36</v>
      </c>
      <c r="D478" s="1" t="s">
        <v>83</v>
      </c>
      <c r="E478" s="1" t="s">
        <v>38</v>
      </c>
      <c r="F478" s="1" t="s">
        <v>39</v>
      </c>
      <c r="G478" s="1" t="s">
        <v>40</v>
      </c>
      <c r="H478" s="1" t="s">
        <v>35</v>
      </c>
      <c r="I478" s="1" t="s">
        <v>41</v>
      </c>
      <c r="J478" s="1" t="s">
        <v>39</v>
      </c>
      <c r="K478" s="1" t="s">
        <v>42</v>
      </c>
      <c r="L478" s="1" t="s">
        <v>43</v>
      </c>
      <c r="M478" s="1" t="s">
        <v>44</v>
      </c>
      <c r="N478" s="1" t="s">
        <v>49</v>
      </c>
      <c r="O478" s="1" t="s">
        <v>45</v>
      </c>
      <c r="P478" s="1" t="s">
        <v>103</v>
      </c>
      <c r="Q478" s="1" t="s">
        <v>47</v>
      </c>
      <c r="R478" s="1" t="s">
        <v>80</v>
      </c>
      <c r="S478" s="1" t="s">
        <v>49</v>
      </c>
      <c r="T478" s="1" t="s">
        <v>50</v>
      </c>
      <c r="U478" s="1" t="s">
        <v>51</v>
      </c>
      <c r="V478" s="1" t="s">
        <v>52</v>
      </c>
      <c r="W478" s="1" t="s">
        <v>53</v>
      </c>
      <c r="X478" s="1" t="s">
        <v>54</v>
      </c>
      <c r="Y478" s="1" t="s">
        <v>55</v>
      </c>
      <c r="Z478" s="1" t="s">
        <v>82</v>
      </c>
      <c r="AA478" s="1" t="s">
        <v>36</v>
      </c>
      <c r="AB478" s="1" t="s">
        <v>54</v>
      </c>
      <c r="AC478" s="1" t="s">
        <v>57</v>
      </c>
      <c r="AD478" s="1" t="s">
        <v>58</v>
      </c>
      <c r="AE478" s="1" t="s">
        <v>59</v>
      </c>
      <c r="AF478" s="1" t="s">
        <v>54</v>
      </c>
      <c r="AG478" s="1" t="s">
        <v>71</v>
      </c>
      <c r="AH478" s="1" t="s">
        <v>120</v>
      </c>
    </row>
    <row r="479" spans="1:34" x14ac:dyDescent="0.3">
      <c r="A479" s="1" t="s">
        <v>34</v>
      </c>
      <c r="B479" s="1" t="s">
        <v>41</v>
      </c>
      <c r="C479" s="1" t="s">
        <v>76</v>
      </c>
      <c r="D479" s="1" t="s">
        <v>49</v>
      </c>
      <c r="E479" s="1" t="s">
        <v>77</v>
      </c>
      <c r="F479" s="1" t="s">
        <v>86</v>
      </c>
      <c r="G479" s="1" t="s">
        <v>40</v>
      </c>
      <c r="H479" s="1" t="s">
        <v>35</v>
      </c>
      <c r="I479" s="1" t="s">
        <v>94</v>
      </c>
      <c r="J479" s="1" t="s">
        <v>39</v>
      </c>
      <c r="K479" s="1" t="s">
        <v>42</v>
      </c>
      <c r="L479" s="1" t="s">
        <v>43</v>
      </c>
      <c r="M479" s="1" t="s">
        <v>44</v>
      </c>
      <c r="N479" s="1" t="s">
        <v>45</v>
      </c>
      <c r="O479" s="1" t="s">
        <v>45</v>
      </c>
      <c r="P479" s="1" t="s">
        <v>46</v>
      </c>
      <c r="Q479" s="1" t="s">
        <v>47</v>
      </c>
      <c r="R479" s="1" t="s">
        <v>48</v>
      </c>
      <c r="S479" s="1" t="s">
        <v>45</v>
      </c>
      <c r="T479" s="1" t="s">
        <v>50</v>
      </c>
      <c r="U479" s="1" t="s">
        <v>51</v>
      </c>
      <c r="V479" s="1" t="s">
        <v>52</v>
      </c>
      <c r="W479" s="1" t="s">
        <v>53</v>
      </c>
      <c r="X479" s="1" t="s">
        <v>91</v>
      </c>
      <c r="Y479" s="1" t="s">
        <v>55</v>
      </c>
      <c r="Z479" s="1" t="s">
        <v>56</v>
      </c>
      <c r="AA479" s="1" t="s">
        <v>36</v>
      </c>
      <c r="AB479" s="1" t="s">
        <v>54</v>
      </c>
      <c r="AC479" s="1" t="s">
        <v>57</v>
      </c>
      <c r="AD479" s="1" t="s">
        <v>58</v>
      </c>
      <c r="AE479" s="1" t="s">
        <v>59</v>
      </c>
      <c r="AF479" s="1" t="s">
        <v>54</v>
      </c>
      <c r="AG479" s="1" t="s">
        <v>98</v>
      </c>
      <c r="AH479" s="1" t="s">
        <v>120</v>
      </c>
    </row>
    <row r="480" spans="1:34" x14ac:dyDescent="0.3">
      <c r="A480" s="1" t="s">
        <v>54</v>
      </c>
      <c r="B480" s="1" t="s">
        <v>41</v>
      </c>
      <c r="C480" s="1" t="s">
        <v>76</v>
      </c>
      <c r="D480" s="1" t="s">
        <v>49</v>
      </c>
      <c r="E480" s="1" t="s">
        <v>77</v>
      </c>
      <c r="F480" s="1" t="s">
        <v>86</v>
      </c>
      <c r="G480" s="1" t="s">
        <v>40</v>
      </c>
      <c r="H480" s="1" t="s">
        <v>41</v>
      </c>
      <c r="I480" s="1" t="s">
        <v>35</v>
      </c>
      <c r="J480" s="1" t="s">
        <v>39</v>
      </c>
      <c r="K480" s="1" t="s">
        <v>42</v>
      </c>
      <c r="L480" s="1" t="s">
        <v>79</v>
      </c>
      <c r="M480" s="1" t="s">
        <v>44</v>
      </c>
      <c r="N480" s="1" t="s">
        <v>45</v>
      </c>
      <c r="O480" s="1" t="s">
        <v>45</v>
      </c>
      <c r="P480" s="1" t="s">
        <v>46</v>
      </c>
      <c r="Q480" s="1" t="s">
        <v>47</v>
      </c>
      <c r="R480" s="1" t="s">
        <v>48</v>
      </c>
      <c r="S480" s="1" t="s">
        <v>49</v>
      </c>
      <c r="T480" s="1" t="s">
        <v>50</v>
      </c>
      <c r="U480" s="1" t="s">
        <v>51</v>
      </c>
      <c r="V480" s="1" t="s">
        <v>52</v>
      </c>
      <c r="W480" s="1" t="s">
        <v>53</v>
      </c>
      <c r="X480" s="1" t="s">
        <v>91</v>
      </c>
      <c r="Y480" s="1" t="s">
        <v>55</v>
      </c>
      <c r="Z480" s="1" t="s">
        <v>56</v>
      </c>
      <c r="AA480" s="1" t="s">
        <v>36</v>
      </c>
      <c r="AB480" s="1" t="s">
        <v>54</v>
      </c>
      <c r="AC480" s="1" t="s">
        <v>57</v>
      </c>
      <c r="AD480" s="1" t="s">
        <v>58</v>
      </c>
      <c r="AE480" s="1" t="s">
        <v>59</v>
      </c>
      <c r="AF480" s="1" t="s">
        <v>54</v>
      </c>
      <c r="AG480" s="1" t="s">
        <v>98</v>
      </c>
      <c r="AH480" s="1" t="s">
        <v>120</v>
      </c>
    </row>
    <row r="481" spans="1:34" x14ac:dyDescent="0.3">
      <c r="A481" s="1" t="s">
        <v>74</v>
      </c>
      <c r="B481" s="1" t="s">
        <v>61</v>
      </c>
      <c r="C481" s="1" t="s">
        <v>62</v>
      </c>
      <c r="D481" s="1" t="s">
        <v>63</v>
      </c>
      <c r="E481" s="1" t="s">
        <v>64</v>
      </c>
      <c r="F481" s="1" t="s">
        <v>65</v>
      </c>
      <c r="G481" s="1" t="s">
        <v>66</v>
      </c>
      <c r="H481" s="1" t="s">
        <v>61</v>
      </c>
      <c r="I481" s="1" t="s">
        <v>61</v>
      </c>
      <c r="J481" s="1" t="s">
        <v>65</v>
      </c>
      <c r="K481" s="1" t="s">
        <v>67</v>
      </c>
      <c r="L481" s="1" t="s">
        <v>66</v>
      </c>
      <c r="M481" s="1" t="s">
        <v>68</v>
      </c>
      <c r="N481" s="1" t="s">
        <v>63</v>
      </c>
      <c r="O481" s="1" t="s">
        <v>63</v>
      </c>
      <c r="P481" s="1" t="s">
        <v>69</v>
      </c>
      <c r="Q481" s="1" t="s">
        <v>70</v>
      </c>
      <c r="R481" s="1" t="s">
        <v>71</v>
      </c>
      <c r="S481" s="1" t="s">
        <v>63</v>
      </c>
      <c r="T481" s="1" t="s">
        <v>69</v>
      </c>
      <c r="U481" s="1" t="s">
        <v>69</v>
      </c>
      <c r="V481" s="1" t="s">
        <v>63</v>
      </c>
      <c r="W481" s="1" t="s">
        <v>68</v>
      </c>
      <c r="X481" s="1" t="s">
        <v>72</v>
      </c>
      <c r="Y481" s="1" t="s">
        <v>72</v>
      </c>
      <c r="Z481" s="1" t="s">
        <v>62</v>
      </c>
      <c r="AA481" s="1" t="s">
        <v>62</v>
      </c>
      <c r="AB481" s="1" t="s">
        <v>72</v>
      </c>
      <c r="AC481" s="1" t="s">
        <v>73</v>
      </c>
      <c r="AD481" s="1" t="s">
        <v>73</v>
      </c>
      <c r="AE481" s="1" t="s">
        <v>67</v>
      </c>
      <c r="AF481" s="1" t="s">
        <v>72</v>
      </c>
      <c r="AG481" s="1" t="s">
        <v>71</v>
      </c>
      <c r="AH481" s="1" t="s">
        <v>120</v>
      </c>
    </row>
    <row r="482" spans="1:34" x14ac:dyDescent="0.3">
      <c r="A482" s="1" t="s">
        <v>74</v>
      </c>
      <c r="B482" s="1" t="s">
        <v>61</v>
      </c>
      <c r="C482" s="1" t="s">
        <v>62</v>
      </c>
      <c r="D482" s="1" t="s">
        <v>63</v>
      </c>
      <c r="E482" s="1" t="s">
        <v>64</v>
      </c>
      <c r="F482" s="1" t="s">
        <v>65</v>
      </c>
      <c r="G482" s="1" t="s">
        <v>66</v>
      </c>
      <c r="H482" s="1" t="s">
        <v>61</v>
      </c>
      <c r="I482" s="1" t="s">
        <v>61</v>
      </c>
      <c r="J482" s="1" t="s">
        <v>65</v>
      </c>
      <c r="K482" s="1" t="s">
        <v>67</v>
      </c>
      <c r="L482" s="1" t="s">
        <v>66</v>
      </c>
      <c r="M482" s="1" t="s">
        <v>68</v>
      </c>
      <c r="N482" s="1" t="s">
        <v>63</v>
      </c>
      <c r="O482" s="1" t="s">
        <v>63</v>
      </c>
      <c r="P482" s="1" t="s">
        <v>69</v>
      </c>
      <c r="Q482" s="1" t="s">
        <v>70</v>
      </c>
      <c r="R482" s="1" t="s">
        <v>71</v>
      </c>
      <c r="S482" s="1" t="s">
        <v>63</v>
      </c>
      <c r="T482" s="1" t="s">
        <v>69</v>
      </c>
      <c r="U482" s="1" t="s">
        <v>69</v>
      </c>
      <c r="V482" s="1" t="s">
        <v>63</v>
      </c>
      <c r="W482" s="1" t="s">
        <v>68</v>
      </c>
      <c r="X482" s="1" t="s">
        <v>72</v>
      </c>
      <c r="Y482" s="1" t="s">
        <v>72</v>
      </c>
      <c r="Z482" s="1" t="s">
        <v>62</v>
      </c>
      <c r="AA482" s="1" t="s">
        <v>62</v>
      </c>
      <c r="AB482" s="1" t="s">
        <v>72</v>
      </c>
      <c r="AC482" s="1" t="s">
        <v>73</v>
      </c>
      <c r="AD482" s="1" t="s">
        <v>73</v>
      </c>
      <c r="AE482" s="1" t="s">
        <v>67</v>
      </c>
      <c r="AF482" s="1" t="s">
        <v>72</v>
      </c>
      <c r="AG482" s="1" t="s">
        <v>71</v>
      </c>
      <c r="AH482" s="1" t="s">
        <v>120</v>
      </c>
    </row>
    <row r="483" spans="1:34" x14ac:dyDescent="0.3">
      <c r="A483" s="1" t="s">
        <v>74</v>
      </c>
      <c r="B483" s="1" t="s">
        <v>61</v>
      </c>
      <c r="C483" s="1" t="s">
        <v>62</v>
      </c>
      <c r="D483" s="1" t="s">
        <v>63</v>
      </c>
      <c r="E483" s="1" t="s">
        <v>64</v>
      </c>
      <c r="F483" s="1" t="s">
        <v>65</v>
      </c>
      <c r="G483" s="1" t="s">
        <v>66</v>
      </c>
      <c r="H483" s="1" t="s">
        <v>61</v>
      </c>
      <c r="I483" s="1" t="s">
        <v>61</v>
      </c>
      <c r="J483" s="1" t="s">
        <v>65</v>
      </c>
      <c r="K483" s="1" t="s">
        <v>67</v>
      </c>
      <c r="L483" s="1" t="s">
        <v>66</v>
      </c>
      <c r="M483" s="1" t="s">
        <v>68</v>
      </c>
      <c r="N483" s="1" t="s">
        <v>63</v>
      </c>
      <c r="O483" s="1" t="s">
        <v>63</v>
      </c>
      <c r="P483" s="1" t="s">
        <v>69</v>
      </c>
      <c r="Q483" s="1" t="s">
        <v>70</v>
      </c>
      <c r="R483" s="1" t="s">
        <v>71</v>
      </c>
      <c r="S483" s="1" t="s">
        <v>63</v>
      </c>
      <c r="T483" s="1" t="s">
        <v>69</v>
      </c>
      <c r="U483" s="1" t="s">
        <v>69</v>
      </c>
      <c r="V483" s="1" t="s">
        <v>63</v>
      </c>
      <c r="W483" s="1" t="s">
        <v>68</v>
      </c>
      <c r="X483" s="1" t="s">
        <v>72</v>
      </c>
      <c r="Y483" s="1" t="s">
        <v>72</v>
      </c>
      <c r="Z483" s="1" t="s">
        <v>62</v>
      </c>
      <c r="AA483" s="1" t="s">
        <v>62</v>
      </c>
      <c r="AB483" s="1" t="s">
        <v>72</v>
      </c>
      <c r="AC483" s="1" t="s">
        <v>73</v>
      </c>
      <c r="AD483" s="1" t="s">
        <v>73</v>
      </c>
      <c r="AE483" s="1" t="s">
        <v>67</v>
      </c>
      <c r="AF483" s="1" t="s">
        <v>72</v>
      </c>
      <c r="AG483" s="1" t="s">
        <v>71</v>
      </c>
      <c r="AH483" s="1" t="s">
        <v>120</v>
      </c>
    </row>
    <row r="484" spans="1:34" x14ac:dyDescent="0.3">
      <c r="A484" s="1" t="s">
        <v>74</v>
      </c>
      <c r="B484" s="1" t="s">
        <v>61</v>
      </c>
      <c r="C484" s="1" t="s">
        <v>62</v>
      </c>
      <c r="D484" s="1" t="s">
        <v>63</v>
      </c>
      <c r="E484" s="1" t="s">
        <v>64</v>
      </c>
      <c r="F484" s="1" t="s">
        <v>65</v>
      </c>
      <c r="G484" s="1" t="s">
        <v>66</v>
      </c>
      <c r="H484" s="1" t="s">
        <v>61</v>
      </c>
      <c r="I484" s="1" t="s">
        <v>61</v>
      </c>
      <c r="J484" s="1" t="s">
        <v>65</v>
      </c>
      <c r="K484" s="1" t="s">
        <v>67</v>
      </c>
      <c r="L484" s="1" t="s">
        <v>66</v>
      </c>
      <c r="M484" s="1" t="s">
        <v>68</v>
      </c>
      <c r="N484" s="1" t="s">
        <v>63</v>
      </c>
      <c r="O484" s="1" t="s">
        <v>63</v>
      </c>
      <c r="P484" s="1" t="s">
        <v>69</v>
      </c>
      <c r="Q484" s="1" t="s">
        <v>70</v>
      </c>
      <c r="R484" s="1" t="s">
        <v>71</v>
      </c>
      <c r="S484" s="1" t="s">
        <v>63</v>
      </c>
      <c r="T484" s="1" t="s">
        <v>69</v>
      </c>
      <c r="U484" s="1" t="s">
        <v>69</v>
      </c>
      <c r="V484" s="1" t="s">
        <v>63</v>
      </c>
      <c r="W484" s="1" t="s">
        <v>68</v>
      </c>
      <c r="X484" s="1" t="s">
        <v>72</v>
      </c>
      <c r="Y484" s="1" t="s">
        <v>72</v>
      </c>
      <c r="Z484" s="1" t="s">
        <v>62</v>
      </c>
      <c r="AA484" s="1" t="s">
        <v>62</v>
      </c>
      <c r="AB484" s="1" t="s">
        <v>72</v>
      </c>
      <c r="AC484" s="1" t="s">
        <v>73</v>
      </c>
      <c r="AD484" s="1" t="s">
        <v>73</v>
      </c>
      <c r="AE484" s="1" t="s">
        <v>67</v>
      </c>
      <c r="AF484" s="1" t="s">
        <v>72</v>
      </c>
      <c r="AG484" s="1" t="s">
        <v>71</v>
      </c>
      <c r="AH484" s="1" t="s">
        <v>120</v>
      </c>
    </row>
    <row r="485" spans="1:34" x14ac:dyDescent="0.3">
      <c r="A485" s="1" t="s">
        <v>54</v>
      </c>
      <c r="B485" s="1" t="s">
        <v>41</v>
      </c>
      <c r="C485" s="1" t="s">
        <v>76</v>
      </c>
      <c r="D485" s="1" t="s">
        <v>37</v>
      </c>
      <c r="E485" s="1" t="s">
        <v>77</v>
      </c>
      <c r="F485" s="1" t="s">
        <v>39</v>
      </c>
      <c r="G485" s="1" t="s">
        <v>40</v>
      </c>
      <c r="H485" s="1" t="s">
        <v>35</v>
      </c>
      <c r="I485" s="1" t="s">
        <v>35</v>
      </c>
      <c r="J485" s="1" t="s">
        <v>78</v>
      </c>
      <c r="K485" s="1" t="s">
        <v>42</v>
      </c>
      <c r="L485" s="1" t="s">
        <v>79</v>
      </c>
      <c r="M485" s="1" t="s">
        <v>44</v>
      </c>
      <c r="N485" s="1" t="s">
        <v>45</v>
      </c>
      <c r="O485" s="1" t="s">
        <v>52</v>
      </c>
      <c r="P485" s="1" t="s">
        <v>103</v>
      </c>
      <c r="Q485" s="1" t="s">
        <v>47</v>
      </c>
      <c r="R485" s="1" t="s">
        <v>80</v>
      </c>
      <c r="S485" s="1" t="s">
        <v>49</v>
      </c>
      <c r="T485" s="1" t="s">
        <v>50</v>
      </c>
      <c r="U485" s="1" t="s">
        <v>51</v>
      </c>
      <c r="V485" s="1" t="s">
        <v>52</v>
      </c>
      <c r="W485" s="1" t="s">
        <v>53</v>
      </c>
      <c r="X485" s="1" t="s">
        <v>54</v>
      </c>
      <c r="Y485" s="1" t="s">
        <v>55</v>
      </c>
      <c r="Z485" s="1" t="s">
        <v>56</v>
      </c>
      <c r="AA485" s="1" t="s">
        <v>36</v>
      </c>
      <c r="AB485" s="1" t="s">
        <v>54</v>
      </c>
      <c r="AC485" s="1" t="s">
        <v>57</v>
      </c>
      <c r="AD485" s="1" t="s">
        <v>58</v>
      </c>
      <c r="AE485" s="1" t="s">
        <v>59</v>
      </c>
      <c r="AF485" s="1" t="s">
        <v>54</v>
      </c>
      <c r="AG485" s="1" t="s">
        <v>98</v>
      </c>
      <c r="AH485" s="1" t="s">
        <v>120</v>
      </c>
    </row>
    <row r="486" spans="1:34" x14ac:dyDescent="0.3">
      <c r="A486" s="1" t="s">
        <v>91</v>
      </c>
      <c r="B486" s="1" t="s">
        <v>61</v>
      </c>
      <c r="C486" s="1" t="s">
        <v>62</v>
      </c>
      <c r="D486" s="1" t="s">
        <v>63</v>
      </c>
      <c r="E486" s="1" t="s">
        <v>64</v>
      </c>
      <c r="F486" s="1" t="s">
        <v>65</v>
      </c>
      <c r="G486" s="1" t="s">
        <v>66</v>
      </c>
      <c r="H486" s="1" t="s">
        <v>61</v>
      </c>
      <c r="I486" s="1" t="s">
        <v>61</v>
      </c>
      <c r="J486" s="1" t="s">
        <v>65</v>
      </c>
      <c r="K486" s="1" t="s">
        <v>67</v>
      </c>
      <c r="L486" s="1" t="s">
        <v>66</v>
      </c>
      <c r="M486" s="1" t="s">
        <v>68</v>
      </c>
      <c r="N486" s="1" t="s">
        <v>63</v>
      </c>
      <c r="O486" s="1" t="s">
        <v>63</v>
      </c>
      <c r="P486" s="1" t="s">
        <v>69</v>
      </c>
      <c r="Q486" s="1" t="s">
        <v>70</v>
      </c>
      <c r="R486" s="1" t="s">
        <v>71</v>
      </c>
      <c r="S486" s="1" t="s">
        <v>63</v>
      </c>
      <c r="T486" s="1" t="s">
        <v>69</v>
      </c>
      <c r="U486" s="1" t="s">
        <v>69</v>
      </c>
      <c r="V486" s="1" t="s">
        <v>63</v>
      </c>
      <c r="W486" s="1" t="s">
        <v>68</v>
      </c>
      <c r="X486" s="1" t="s">
        <v>72</v>
      </c>
      <c r="Y486" s="1" t="s">
        <v>72</v>
      </c>
      <c r="Z486" s="1" t="s">
        <v>62</v>
      </c>
      <c r="AA486" s="1" t="s">
        <v>62</v>
      </c>
      <c r="AB486" s="1" t="s">
        <v>72</v>
      </c>
      <c r="AC486" s="1" t="s">
        <v>73</v>
      </c>
      <c r="AD486" s="1" t="s">
        <v>73</v>
      </c>
      <c r="AE486" s="1" t="s">
        <v>67</v>
      </c>
      <c r="AF486" s="1" t="s">
        <v>72</v>
      </c>
      <c r="AG486" s="1" t="s">
        <v>71</v>
      </c>
      <c r="AH486" s="1" t="s">
        <v>120</v>
      </c>
    </row>
    <row r="487" spans="1:34" x14ac:dyDescent="0.3">
      <c r="A487" s="1" t="s">
        <v>91</v>
      </c>
      <c r="B487" s="1" t="s">
        <v>35</v>
      </c>
      <c r="C487" s="1" t="s">
        <v>36</v>
      </c>
      <c r="D487" s="1" t="s">
        <v>37</v>
      </c>
      <c r="E487" s="1" t="s">
        <v>77</v>
      </c>
      <c r="F487" s="1" t="s">
        <v>39</v>
      </c>
      <c r="G487" s="1" t="s">
        <v>40</v>
      </c>
      <c r="H487" s="1" t="s">
        <v>35</v>
      </c>
      <c r="I487" s="1" t="s">
        <v>35</v>
      </c>
      <c r="J487" s="1" t="s">
        <v>78</v>
      </c>
      <c r="K487" s="1" t="s">
        <v>42</v>
      </c>
      <c r="L487" s="1" t="s">
        <v>43</v>
      </c>
      <c r="M487" s="1" t="s">
        <v>95</v>
      </c>
      <c r="N487" s="1" t="s">
        <v>45</v>
      </c>
      <c r="O487" s="1" t="s">
        <v>52</v>
      </c>
      <c r="P487" s="1" t="s">
        <v>103</v>
      </c>
      <c r="Q487" s="1" t="s">
        <v>47</v>
      </c>
      <c r="R487" s="1" t="s">
        <v>80</v>
      </c>
      <c r="S487" s="1" t="s">
        <v>49</v>
      </c>
      <c r="T487" s="1" t="s">
        <v>50</v>
      </c>
      <c r="U487" s="1" t="s">
        <v>51</v>
      </c>
      <c r="V487" s="1" t="s">
        <v>52</v>
      </c>
      <c r="W487" s="1" t="s">
        <v>53</v>
      </c>
      <c r="X487" s="1" t="s">
        <v>54</v>
      </c>
      <c r="Y487" s="1" t="s">
        <v>55</v>
      </c>
      <c r="Z487" s="1" t="s">
        <v>56</v>
      </c>
      <c r="AA487" s="1" t="s">
        <v>36</v>
      </c>
      <c r="AB487" s="1" t="s">
        <v>54</v>
      </c>
      <c r="AC487" s="1" t="s">
        <v>57</v>
      </c>
      <c r="AD487" s="1" t="s">
        <v>58</v>
      </c>
      <c r="AE487" s="1" t="s">
        <v>59</v>
      </c>
      <c r="AF487" s="1" t="s">
        <v>54</v>
      </c>
      <c r="AG487" s="1" t="s">
        <v>98</v>
      </c>
      <c r="AH487" s="1" t="s">
        <v>120</v>
      </c>
    </row>
    <row r="488" spans="1:34" x14ac:dyDescent="0.3">
      <c r="A488" s="1" t="s">
        <v>74</v>
      </c>
      <c r="B488" s="1" t="s">
        <v>41</v>
      </c>
      <c r="C488" s="1" t="s">
        <v>76</v>
      </c>
      <c r="D488" s="1" t="s">
        <v>37</v>
      </c>
      <c r="E488" s="1" t="s">
        <v>38</v>
      </c>
      <c r="F488" s="1" t="s">
        <v>39</v>
      </c>
      <c r="G488" s="1" t="s">
        <v>40</v>
      </c>
      <c r="H488" s="1" t="s">
        <v>35</v>
      </c>
      <c r="I488" s="1" t="s">
        <v>35</v>
      </c>
      <c r="J488" s="1" t="s">
        <v>39</v>
      </c>
      <c r="K488" s="1" t="s">
        <v>42</v>
      </c>
      <c r="L488" s="1" t="s">
        <v>43</v>
      </c>
      <c r="M488" s="1" t="s">
        <v>53</v>
      </c>
      <c r="N488" s="1" t="s">
        <v>45</v>
      </c>
      <c r="O488" s="1" t="s">
        <v>45</v>
      </c>
      <c r="P488" s="1" t="s">
        <v>103</v>
      </c>
      <c r="Q488" s="1" t="s">
        <v>47</v>
      </c>
      <c r="R488" s="1" t="s">
        <v>80</v>
      </c>
      <c r="S488" s="1" t="s">
        <v>49</v>
      </c>
      <c r="T488" s="1" t="s">
        <v>50</v>
      </c>
      <c r="U488" s="1" t="s">
        <v>51</v>
      </c>
      <c r="V488" s="1" t="s">
        <v>81</v>
      </c>
      <c r="W488" s="1" t="s">
        <v>53</v>
      </c>
      <c r="X488" s="1" t="s">
        <v>54</v>
      </c>
      <c r="Y488" s="1" t="s">
        <v>55</v>
      </c>
      <c r="Z488" s="1" t="s">
        <v>82</v>
      </c>
      <c r="AA488" s="1" t="s">
        <v>36</v>
      </c>
      <c r="AB488" s="1" t="s">
        <v>54</v>
      </c>
      <c r="AC488" s="1" t="s">
        <v>57</v>
      </c>
      <c r="AD488" s="1" t="s">
        <v>58</v>
      </c>
      <c r="AE488" s="1" t="s">
        <v>59</v>
      </c>
      <c r="AF488" s="1" t="s">
        <v>54</v>
      </c>
      <c r="AG488" s="1" t="s">
        <v>71</v>
      </c>
      <c r="AH488" s="1" t="s">
        <v>120</v>
      </c>
    </row>
    <row r="489" spans="1:34" x14ac:dyDescent="0.3">
      <c r="A489" s="1" t="s">
        <v>55</v>
      </c>
      <c r="B489" s="1" t="s">
        <v>94</v>
      </c>
      <c r="C489" s="1" t="s">
        <v>62</v>
      </c>
      <c r="D489" s="1" t="s">
        <v>37</v>
      </c>
      <c r="E489" s="1" t="s">
        <v>77</v>
      </c>
      <c r="F489" s="1" t="s">
        <v>39</v>
      </c>
      <c r="G489" s="1" t="s">
        <v>40</v>
      </c>
      <c r="H489" s="1" t="s">
        <v>35</v>
      </c>
      <c r="I489" s="1" t="s">
        <v>35</v>
      </c>
      <c r="J489" s="1" t="s">
        <v>39</v>
      </c>
      <c r="K489" s="1" t="s">
        <v>42</v>
      </c>
      <c r="L489" s="1" t="s">
        <v>43</v>
      </c>
      <c r="M489" s="1" t="s">
        <v>44</v>
      </c>
      <c r="N489" s="1" t="s">
        <v>45</v>
      </c>
      <c r="O489" s="1" t="s">
        <v>45</v>
      </c>
      <c r="P489" s="1" t="s">
        <v>103</v>
      </c>
      <c r="Q489" s="1" t="s">
        <v>47</v>
      </c>
      <c r="R489" s="1" t="s">
        <v>80</v>
      </c>
      <c r="S489" s="1" t="s">
        <v>49</v>
      </c>
      <c r="T489" s="1" t="s">
        <v>50</v>
      </c>
      <c r="U489" s="1" t="s">
        <v>51</v>
      </c>
      <c r="V489" s="1" t="s">
        <v>52</v>
      </c>
      <c r="W489" s="1" t="s">
        <v>53</v>
      </c>
      <c r="X489" s="1" t="s">
        <v>54</v>
      </c>
      <c r="Y489" s="1" t="s">
        <v>55</v>
      </c>
      <c r="Z489" s="1" t="s">
        <v>82</v>
      </c>
      <c r="AA489" s="1" t="s">
        <v>36</v>
      </c>
      <c r="AB489" s="1" t="s">
        <v>54</v>
      </c>
      <c r="AC489" s="1" t="s">
        <v>57</v>
      </c>
      <c r="AD489" s="1" t="s">
        <v>58</v>
      </c>
      <c r="AE489" s="1" t="s">
        <v>59</v>
      </c>
      <c r="AF489" s="1" t="s">
        <v>54</v>
      </c>
      <c r="AG489" s="1" t="s">
        <v>71</v>
      </c>
      <c r="AH489" s="1" t="s">
        <v>120</v>
      </c>
    </row>
    <row r="490" spans="1:34" x14ac:dyDescent="0.3">
      <c r="A490" s="1" t="s">
        <v>74</v>
      </c>
      <c r="B490" s="1" t="s">
        <v>61</v>
      </c>
      <c r="C490" s="1" t="s">
        <v>62</v>
      </c>
      <c r="D490" s="1" t="s">
        <v>63</v>
      </c>
      <c r="E490" s="1" t="s">
        <v>64</v>
      </c>
      <c r="F490" s="1" t="s">
        <v>65</v>
      </c>
      <c r="G490" s="1" t="s">
        <v>66</v>
      </c>
      <c r="H490" s="1" t="s">
        <v>61</v>
      </c>
      <c r="I490" s="1" t="s">
        <v>61</v>
      </c>
      <c r="J490" s="1" t="s">
        <v>65</v>
      </c>
      <c r="K490" s="1" t="s">
        <v>67</v>
      </c>
      <c r="L490" s="1" t="s">
        <v>66</v>
      </c>
      <c r="M490" s="1" t="s">
        <v>68</v>
      </c>
      <c r="N490" s="1" t="s">
        <v>63</v>
      </c>
      <c r="O490" s="1" t="s">
        <v>63</v>
      </c>
      <c r="P490" s="1" t="s">
        <v>69</v>
      </c>
      <c r="Q490" s="1" t="s">
        <v>70</v>
      </c>
      <c r="R490" s="1" t="s">
        <v>71</v>
      </c>
      <c r="S490" s="1" t="s">
        <v>63</v>
      </c>
      <c r="T490" s="1" t="s">
        <v>69</v>
      </c>
      <c r="U490" s="1" t="s">
        <v>69</v>
      </c>
      <c r="V490" s="1" t="s">
        <v>63</v>
      </c>
      <c r="W490" s="1" t="s">
        <v>68</v>
      </c>
      <c r="X490" s="1" t="s">
        <v>72</v>
      </c>
      <c r="Y490" s="1" t="s">
        <v>72</v>
      </c>
      <c r="Z490" s="1" t="s">
        <v>62</v>
      </c>
      <c r="AA490" s="1" t="s">
        <v>62</v>
      </c>
      <c r="AB490" s="1" t="s">
        <v>72</v>
      </c>
      <c r="AC490" s="1" t="s">
        <v>73</v>
      </c>
      <c r="AD490" s="1" t="s">
        <v>73</v>
      </c>
      <c r="AE490" s="1" t="s">
        <v>67</v>
      </c>
      <c r="AF490" s="1" t="s">
        <v>72</v>
      </c>
      <c r="AG490" s="1" t="s">
        <v>71</v>
      </c>
      <c r="AH490" s="1" t="s">
        <v>120</v>
      </c>
    </row>
    <row r="491" spans="1:34" x14ac:dyDescent="0.3">
      <c r="A491" s="1" t="s">
        <v>74</v>
      </c>
      <c r="B491" s="1" t="s">
        <v>61</v>
      </c>
      <c r="C491" s="1" t="s">
        <v>62</v>
      </c>
      <c r="D491" s="1" t="s">
        <v>63</v>
      </c>
      <c r="E491" s="1" t="s">
        <v>64</v>
      </c>
      <c r="F491" s="1" t="s">
        <v>65</v>
      </c>
      <c r="G491" s="1" t="s">
        <v>66</v>
      </c>
      <c r="H491" s="1" t="s">
        <v>61</v>
      </c>
      <c r="I491" s="1" t="s">
        <v>61</v>
      </c>
      <c r="J491" s="1" t="s">
        <v>65</v>
      </c>
      <c r="K491" s="1" t="s">
        <v>67</v>
      </c>
      <c r="L491" s="1" t="s">
        <v>66</v>
      </c>
      <c r="M491" s="1" t="s">
        <v>68</v>
      </c>
      <c r="N491" s="1" t="s">
        <v>63</v>
      </c>
      <c r="O491" s="1" t="s">
        <v>63</v>
      </c>
      <c r="P491" s="1" t="s">
        <v>69</v>
      </c>
      <c r="Q491" s="1" t="s">
        <v>70</v>
      </c>
      <c r="R491" s="1" t="s">
        <v>71</v>
      </c>
      <c r="S491" s="1" t="s">
        <v>63</v>
      </c>
      <c r="T491" s="1" t="s">
        <v>69</v>
      </c>
      <c r="U491" s="1" t="s">
        <v>69</v>
      </c>
      <c r="V491" s="1" t="s">
        <v>63</v>
      </c>
      <c r="W491" s="1" t="s">
        <v>68</v>
      </c>
      <c r="X491" s="1" t="s">
        <v>72</v>
      </c>
      <c r="Y491" s="1" t="s">
        <v>72</v>
      </c>
      <c r="Z491" s="1" t="s">
        <v>62</v>
      </c>
      <c r="AA491" s="1" t="s">
        <v>62</v>
      </c>
      <c r="AB491" s="1" t="s">
        <v>72</v>
      </c>
      <c r="AC491" s="1" t="s">
        <v>73</v>
      </c>
      <c r="AD491" s="1" t="s">
        <v>73</v>
      </c>
      <c r="AE491" s="1" t="s">
        <v>67</v>
      </c>
      <c r="AF491" s="1" t="s">
        <v>72</v>
      </c>
      <c r="AG491" s="1" t="s">
        <v>71</v>
      </c>
      <c r="AH491" s="1" t="s">
        <v>120</v>
      </c>
    </row>
    <row r="492" spans="1:34" x14ac:dyDescent="0.3">
      <c r="A492" s="1" t="s">
        <v>99</v>
      </c>
      <c r="B492" s="1" t="s">
        <v>94</v>
      </c>
      <c r="C492" s="1" t="s">
        <v>76</v>
      </c>
      <c r="D492" s="1" t="s">
        <v>37</v>
      </c>
      <c r="E492" s="1" t="s">
        <v>77</v>
      </c>
      <c r="F492" s="1" t="s">
        <v>39</v>
      </c>
      <c r="G492" s="1" t="s">
        <v>40</v>
      </c>
      <c r="H492" s="1" t="s">
        <v>35</v>
      </c>
      <c r="I492" s="1" t="s">
        <v>35</v>
      </c>
      <c r="J492" s="1" t="s">
        <v>39</v>
      </c>
      <c r="K492" s="1" t="s">
        <v>42</v>
      </c>
      <c r="L492" s="1" t="s">
        <v>79</v>
      </c>
      <c r="M492" s="1" t="s">
        <v>44</v>
      </c>
      <c r="N492" s="1" t="s">
        <v>49</v>
      </c>
      <c r="O492" s="1" t="s">
        <v>45</v>
      </c>
      <c r="P492" s="1" t="s">
        <v>46</v>
      </c>
      <c r="Q492" s="1" t="s">
        <v>47</v>
      </c>
      <c r="R492" s="1" t="s">
        <v>80</v>
      </c>
      <c r="S492" s="1" t="s">
        <v>49</v>
      </c>
      <c r="T492" s="1" t="s">
        <v>50</v>
      </c>
      <c r="U492" s="1" t="s">
        <v>51</v>
      </c>
      <c r="V492" s="1" t="s">
        <v>52</v>
      </c>
      <c r="W492" s="1" t="s">
        <v>53</v>
      </c>
      <c r="X492" s="1" t="s">
        <v>54</v>
      </c>
      <c r="Y492" s="1" t="s">
        <v>55</v>
      </c>
      <c r="Z492" s="1" t="s">
        <v>56</v>
      </c>
      <c r="AA492" s="1" t="s">
        <v>36</v>
      </c>
      <c r="AB492" s="1" t="s">
        <v>54</v>
      </c>
      <c r="AC492" s="1" t="s">
        <v>57</v>
      </c>
      <c r="AD492" s="1" t="s">
        <v>58</v>
      </c>
      <c r="AE492" s="1" t="s">
        <v>59</v>
      </c>
      <c r="AF492" s="1" t="s">
        <v>54</v>
      </c>
      <c r="AG492" s="1" t="s">
        <v>98</v>
      </c>
      <c r="AH492" s="1" t="s">
        <v>120</v>
      </c>
    </row>
    <row r="493" spans="1:34" x14ac:dyDescent="0.3">
      <c r="A493" s="1" t="s">
        <v>74</v>
      </c>
      <c r="B493" s="1" t="s">
        <v>61</v>
      </c>
      <c r="C493" s="1" t="s">
        <v>62</v>
      </c>
      <c r="D493" s="1" t="s">
        <v>63</v>
      </c>
      <c r="E493" s="1" t="s">
        <v>64</v>
      </c>
      <c r="F493" s="1" t="s">
        <v>65</v>
      </c>
      <c r="G493" s="1" t="s">
        <v>66</v>
      </c>
      <c r="H493" s="1" t="s">
        <v>61</v>
      </c>
      <c r="I493" s="1" t="s">
        <v>61</v>
      </c>
      <c r="J493" s="1" t="s">
        <v>65</v>
      </c>
      <c r="K493" s="1" t="s">
        <v>67</v>
      </c>
      <c r="L493" s="1" t="s">
        <v>66</v>
      </c>
      <c r="M493" s="1" t="s">
        <v>68</v>
      </c>
      <c r="N493" s="1" t="s">
        <v>63</v>
      </c>
      <c r="O493" s="1" t="s">
        <v>63</v>
      </c>
      <c r="P493" s="1" t="s">
        <v>69</v>
      </c>
      <c r="Q493" s="1" t="s">
        <v>70</v>
      </c>
      <c r="R493" s="1" t="s">
        <v>71</v>
      </c>
      <c r="S493" s="1" t="s">
        <v>63</v>
      </c>
      <c r="T493" s="1" t="s">
        <v>69</v>
      </c>
      <c r="U493" s="1" t="s">
        <v>69</v>
      </c>
      <c r="V493" s="1" t="s">
        <v>63</v>
      </c>
      <c r="W493" s="1" t="s">
        <v>68</v>
      </c>
      <c r="X493" s="1" t="s">
        <v>72</v>
      </c>
      <c r="Y493" s="1" t="s">
        <v>72</v>
      </c>
      <c r="Z493" s="1" t="s">
        <v>62</v>
      </c>
      <c r="AA493" s="1" t="s">
        <v>62</v>
      </c>
      <c r="AB493" s="1" t="s">
        <v>72</v>
      </c>
      <c r="AC493" s="1" t="s">
        <v>73</v>
      </c>
      <c r="AD493" s="1" t="s">
        <v>73</v>
      </c>
      <c r="AE493" s="1" t="s">
        <v>67</v>
      </c>
      <c r="AF493" s="1" t="s">
        <v>72</v>
      </c>
      <c r="AG493" s="1" t="s">
        <v>71</v>
      </c>
      <c r="AH493" s="1" t="s">
        <v>120</v>
      </c>
    </row>
    <row r="494" spans="1:34" x14ac:dyDescent="0.3">
      <c r="A494" s="1" t="s">
        <v>55</v>
      </c>
      <c r="B494" s="1" t="s">
        <v>35</v>
      </c>
      <c r="C494" s="1" t="s">
        <v>62</v>
      </c>
      <c r="D494" s="1" t="s">
        <v>37</v>
      </c>
      <c r="E494" s="1" t="s">
        <v>100</v>
      </c>
      <c r="F494" s="1" t="s">
        <v>65</v>
      </c>
      <c r="G494" s="1" t="s">
        <v>101</v>
      </c>
      <c r="H494" s="1" t="s">
        <v>61</v>
      </c>
      <c r="I494" s="1" t="s">
        <v>41</v>
      </c>
      <c r="J494" s="1" t="s">
        <v>102</v>
      </c>
      <c r="K494" s="1" t="s">
        <v>59</v>
      </c>
      <c r="L494" s="1" t="s">
        <v>66</v>
      </c>
      <c r="M494" s="1" t="s">
        <v>44</v>
      </c>
      <c r="N494" s="1" t="s">
        <v>81</v>
      </c>
      <c r="O494" s="1" t="s">
        <v>63</v>
      </c>
      <c r="P494" s="1" t="s">
        <v>103</v>
      </c>
      <c r="Q494" s="1" t="s">
        <v>47</v>
      </c>
      <c r="R494" s="1" t="s">
        <v>80</v>
      </c>
      <c r="S494" s="1" t="s">
        <v>49</v>
      </c>
      <c r="T494" s="1" t="s">
        <v>50</v>
      </c>
      <c r="U494" s="1" t="s">
        <v>51</v>
      </c>
      <c r="V494" s="1" t="s">
        <v>81</v>
      </c>
      <c r="W494" s="1" t="s">
        <v>53</v>
      </c>
      <c r="X494" s="1" t="s">
        <v>54</v>
      </c>
      <c r="Y494" s="1" t="s">
        <v>55</v>
      </c>
      <c r="Z494" s="1" t="s">
        <v>82</v>
      </c>
      <c r="AA494" s="1" t="s">
        <v>36</v>
      </c>
      <c r="AB494" s="1" t="s">
        <v>54</v>
      </c>
      <c r="AC494" s="1" t="s">
        <v>57</v>
      </c>
      <c r="AD494" s="1" t="s">
        <v>58</v>
      </c>
      <c r="AE494" s="1" t="s">
        <v>59</v>
      </c>
      <c r="AF494" s="1" t="s">
        <v>54</v>
      </c>
      <c r="AG494" s="1" t="s">
        <v>75</v>
      </c>
      <c r="AH494" s="1" t="s">
        <v>120</v>
      </c>
    </row>
    <row r="495" spans="1:34" x14ac:dyDescent="0.3">
      <c r="A495" s="1" t="s">
        <v>99</v>
      </c>
      <c r="B495" s="1" t="s">
        <v>41</v>
      </c>
      <c r="C495" s="1" t="s">
        <v>76</v>
      </c>
      <c r="D495" s="1" t="s">
        <v>37</v>
      </c>
      <c r="E495" s="1" t="s">
        <v>77</v>
      </c>
      <c r="F495" s="1" t="s">
        <v>39</v>
      </c>
      <c r="G495" s="1" t="s">
        <v>40</v>
      </c>
      <c r="H495" s="1" t="s">
        <v>35</v>
      </c>
      <c r="I495" s="1" t="s">
        <v>94</v>
      </c>
      <c r="J495" s="1" t="s">
        <v>39</v>
      </c>
      <c r="K495" s="1" t="s">
        <v>42</v>
      </c>
      <c r="L495" s="1" t="s">
        <v>43</v>
      </c>
      <c r="M495" s="1" t="s">
        <v>44</v>
      </c>
      <c r="N495" s="1" t="s">
        <v>45</v>
      </c>
      <c r="O495" s="1" t="s">
        <v>45</v>
      </c>
      <c r="P495" s="1" t="s">
        <v>46</v>
      </c>
      <c r="Q495" s="1" t="s">
        <v>47</v>
      </c>
      <c r="R495" s="1" t="s">
        <v>80</v>
      </c>
      <c r="S495" s="1" t="s">
        <v>49</v>
      </c>
      <c r="T495" s="1" t="s">
        <v>50</v>
      </c>
      <c r="U495" s="1" t="s">
        <v>51</v>
      </c>
      <c r="V495" s="1" t="s">
        <v>52</v>
      </c>
      <c r="W495" s="1" t="s">
        <v>53</v>
      </c>
      <c r="X495" s="1" t="s">
        <v>54</v>
      </c>
      <c r="Y495" s="1" t="s">
        <v>55</v>
      </c>
      <c r="Z495" s="1" t="s">
        <v>56</v>
      </c>
      <c r="AA495" s="1" t="s">
        <v>36</v>
      </c>
      <c r="AB495" s="1" t="s">
        <v>54</v>
      </c>
      <c r="AC495" s="1" t="s">
        <v>57</v>
      </c>
      <c r="AD495" s="1" t="s">
        <v>58</v>
      </c>
      <c r="AE495" s="1" t="s">
        <v>59</v>
      </c>
      <c r="AF495" s="1" t="s">
        <v>54</v>
      </c>
      <c r="AG495" s="1" t="s">
        <v>98</v>
      </c>
      <c r="AH495" s="1" t="s">
        <v>120</v>
      </c>
    </row>
    <row r="496" spans="1:34" x14ac:dyDescent="0.3">
      <c r="A496" s="1" t="s">
        <v>34</v>
      </c>
      <c r="B496" s="1" t="s">
        <v>35</v>
      </c>
      <c r="C496" s="1" t="s">
        <v>62</v>
      </c>
      <c r="D496" s="1" t="s">
        <v>37</v>
      </c>
      <c r="E496" s="1" t="s">
        <v>77</v>
      </c>
      <c r="F496" s="1" t="s">
        <v>39</v>
      </c>
      <c r="G496" s="1" t="s">
        <v>40</v>
      </c>
      <c r="H496" s="1" t="s">
        <v>35</v>
      </c>
      <c r="I496" s="1" t="s">
        <v>35</v>
      </c>
      <c r="J496" s="1" t="s">
        <v>39</v>
      </c>
      <c r="K496" s="1" t="s">
        <v>42</v>
      </c>
      <c r="L496" s="1" t="s">
        <v>79</v>
      </c>
      <c r="M496" s="1" t="s">
        <v>44</v>
      </c>
      <c r="N496" s="1" t="s">
        <v>45</v>
      </c>
      <c r="O496" s="1" t="s">
        <v>45</v>
      </c>
      <c r="P496" s="1" t="s">
        <v>103</v>
      </c>
      <c r="Q496" s="1" t="s">
        <v>47</v>
      </c>
      <c r="R496" s="1" t="s">
        <v>80</v>
      </c>
      <c r="S496" s="1" t="s">
        <v>49</v>
      </c>
      <c r="T496" s="1" t="s">
        <v>50</v>
      </c>
      <c r="U496" s="1" t="s">
        <v>51</v>
      </c>
      <c r="V496" s="1" t="s">
        <v>52</v>
      </c>
      <c r="W496" s="1" t="s">
        <v>53</v>
      </c>
      <c r="X496" s="1" t="s">
        <v>54</v>
      </c>
      <c r="Y496" s="1" t="s">
        <v>55</v>
      </c>
      <c r="Z496" s="1" t="s">
        <v>82</v>
      </c>
      <c r="AA496" s="1" t="s">
        <v>36</v>
      </c>
      <c r="AB496" s="1" t="s">
        <v>54</v>
      </c>
      <c r="AC496" s="1" t="s">
        <v>57</v>
      </c>
      <c r="AD496" s="1" t="s">
        <v>58</v>
      </c>
      <c r="AE496" s="1" t="s">
        <v>59</v>
      </c>
      <c r="AF496" s="1" t="s">
        <v>54</v>
      </c>
      <c r="AG496" s="1" t="s">
        <v>71</v>
      </c>
      <c r="AH496" s="1" t="s">
        <v>120</v>
      </c>
    </row>
    <row r="497" spans="1:34" x14ac:dyDescent="0.3">
      <c r="A497" s="1" t="s">
        <v>55</v>
      </c>
      <c r="B497" s="1" t="s">
        <v>94</v>
      </c>
      <c r="C497" s="1" t="s">
        <v>62</v>
      </c>
      <c r="D497" s="1" t="s">
        <v>49</v>
      </c>
      <c r="E497" s="1" t="s">
        <v>77</v>
      </c>
      <c r="F497" s="1" t="s">
        <v>39</v>
      </c>
      <c r="G497" s="1" t="s">
        <v>40</v>
      </c>
      <c r="H497" s="1" t="s">
        <v>35</v>
      </c>
      <c r="I497" s="1" t="s">
        <v>41</v>
      </c>
      <c r="J497" s="1" t="s">
        <v>39</v>
      </c>
      <c r="K497" s="1" t="s">
        <v>42</v>
      </c>
      <c r="L497" s="1" t="s">
        <v>79</v>
      </c>
      <c r="M497" s="1" t="s">
        <v>44</v>
      </c>
      <c r="N497" s="1" t="s">
        <v>45</v>
      </c>
      <c r="O497" s="1" t="s">
        <v>45</v>
      </c>
      <c r="P497" s="1" t="s">
        <v>103</v>
      </c>
      <c r="Q497" s="1" t="s">
        <v>47</v>
      </c>
      <c r="R497" s="1" t="s">
        <v>80</v>
      </c>
      <c r="S497" s="1" t="s">
        <v>49</v>
      </c>
      <c r="T497" s="1" t="s">
        <v>50</v>
      </c>
      <c r="U497" s="1" t="s">
        <v>51</v>
      </c>
      <c r="V497" s="1" t="s">
        <v>52</v>
      </c>
      <c r="W497" s="1" t="s">
        <v>53</v>
      </c>
      <c r="X497" s="1" t="s">
        <v>54</v>
      </c>
      <c r="Y497" s="1" t="s">
        <v>55</v>
      </c>
      <c r="Z497" s="1" t="s">
        <v>82</v>
      </c>
      <c r="AA497" s="1" t="s">
        <v>36</v>
      </c>
      <c r="AB497" s="1" t="s">
        <v>54</v>
      </c>
      <c r="AC497" s="1" t="s">
        <v>57</v>
      </c>
      <c r="AD497" s="1" t="s">
        <v>58</v>
      </c>
      <c r="AE497" s="1" t="s">
        <v>59</v>
      </c>
      <c r="AF497" s="1" t="s">
        <v>54</v>
      </c>
      <c r="AG497" s="1" t="s">
        <v>71</v>
      </c>
      <c r="AH497" s="1" t="s">
        <v>120</v>
      </c>
    </row>
    <row r="498" spans="1:34" x14ac:dyDescent="0.3">
      <c r="A498" s="1" t="s">
        <v>74</v>
      </c>
      <c r="B498" s="1" t="s">
        <v>35</v>
      </c>
      <c r="C498" s="1" t="s">
        <v>62</v>
      </c>
      <c r="D498" s="1" t="s">
        <v>37</v>
      </c>
      <c r="E498" s="1" t="s">
        <v>77</v>
      </c>
      <c r="F498" s="1" t="s">
        <v>39</v>
      </c>
      <c r="G498" s="1" t="s">
        <v>40</v>
      </c>
      <c r="H498" s="1" t="s">
        <v>35</v>
      </c>
      <c r="I498" s="1" t="s">
        <v>41</v>
      </c>
      <c r="J498" s="1" t="s">
        <v>39</v>
      </c>
      <c r="K498" s="1" t="s">
        <v>42</v>
      </c>
      <c r="L498" s="1" t="s">
        <v>43</v>
      </c>
      <c r="M498" s="1" t="s">
        <v>44</v>
      </c>
      <c r="N498" s="1" t="s">
        <v>45</v>
      </c>
      <c r="O498" s="1" t="s">
        <v>45</v>
      </c>
      <c r="P498" s="1" t="s">
        <v>103</v>
      </c>
      <c r="Q498" s="1" t="s">
        <v>47</v>
      </c>
      <c r="R498" s="1" t="s">
        <v>80</v>
      </c>
      <c r="S498" s="1" t="s">
        <v>49</v>
      </c>
      <c r="T498" s="1" t="s">
        <v>50</v>
      </c>
      <c r="U498" s="1" t="s">
        <v>51</v>
      </c>
      <c r="V498" s="1" t="s">
        <v>81</v>
      </c>
      <c r="W498" s="1" t="s">
        <v>53</v>
      </c>
      <c r="X498" s="1" t="s">
        <v>54</v>
      </c>
      <c r="Y498" s="1" t="s">
        <v>55</v>
      </c>
      <c r="Z498" s="1" t="s">
        <v>82</v>
      </c>
      <c r="AA498" s="1" t="s">
        <v>36</v>
      </c>
      <c r="AB498" s="1" t="s">
        <v>54</v>
      </c>
      <c r="AC498" s="1" t="s">
        <v>57</v>
      </c>
      <c r="AD498" s="1" t="s">
        <v>58</v>
      </c>
      <c r="AE498" s="1" t="s">
        <v>59</v>
      </c>
      <c r="AF498" s="1" t="s">
        <v>54</v>
      </c>
      <c r="AG498" s="1" t="s">
        <v>71</v>
      </c>
      <c r="AH498" s="1" t="s">
        <v>120</v>
      </c>
    </row>
    <row r="499" spans="1:34" x14ac:dyDescent="0.3">
      <c r="A499" s="1" t="s">
        <v>54</v>
      </c>
      <c r="B499" s="1" t="s">
        <v>35</v>
      </c>
      <c r="C499" s="1" t="s">
        <v>36</v>
      </c>
      <c r="D499" s="1" t="s">
        <v>37</v>
      </c>
      <c r="E499" s="1" t="s">
        <v>77</v>
      </c>
      <c r="F499" s="1" t="s">
        <v>39</v>
      </c>
      <c r="G499" s="1" t="s">
        <v>40</v>
      </c>
      <c r="H499" s="1" t="s">
        <v>35</v>
      </c>
      <c r="I499" s="1" t="s">
        <v>35</v>
      </c>
      <c r="J499" s="1" t="s">
        <v>78</v>
      </c>
      <c r="K499" s="1" t="s">
        <v>42</v>
      </c>
      <c r="L499" s="1" t="s">
        <v>79</v>
      </c>
      <c r="M499" s="1" t="s">
        <v>44</v>
      </c>
      <c r="N499" s="1" t="s">
        <v>45</v>
      </c>
      <c r="O499" s="1" t="s">
        <v>52</v>
      </c>
      <c r="P499" s="1" t="s">
        <v>103</v>
      </c>
      <c r="Q499" s="1" t="s">
        <v>47</v>
      </c>
      <c r="R499" s="1" t="s">
        <v>80</v>
      </c>
      <c r="S499" s="1" t="s">
        <v>49</v>
      </c>
      <c r="T499" s="1" t="s">
        <v>50</v>
      </c>
      <c r="U499" s="1" t="s">
        <v>51</v>
      </c>
      <c r="V499" s="1" t="s">
        <v>52</v>
      </c>
      <c r="W499" s="1" t="s">
        <v>53</v>
      </c>
      <c r="X499" s="1" t="s">
        <v>54</v>
      </c>
      <c r="Y499" s="1" t="s">
        <v>55</v>
      </c>
      <c r="Z499" s="1" t="s">
        <v>56</v>
      </c>
      <c r="AA499" s="1" t="s">
        <v>36</v>
      </c>
      <c r="AB499" s="1" t="s">
        <v>54</v>
      </c>
      <c r="AC499" s="1" t="s">
        <v>57</v>
      </c>
      <c r="AD499" s="1" t="s">
        <v>58</v>
      </c>
      <c r="AE499" s="1" t="s">
        <v>59</v>
      </c>
      <c r="AF499" s="1" t="s">
        <v>54</v>
      </c>
      <c r="AG499" s="1" t="s">
        <v>98</v>
      </c>
      <c r="AH499" s="1" t="s">
        <v>120</v>
      </c>
    </row>
    <row r="500" spans="1:34" x14ac:dyDescent="0.3">
      <c r="A500" s="1" t="s">
        <v>99</v>
      </c>
      <c r="B500" s="1" t="s">
        <v>41</v>
      </c>
      <c r="C500" s="1" t="s">
        <v>76</v>
      </c>
      <c r="D500" s="1" t="s">
        <v>49</v>
      </c>
      <c r="E500" s="1" t="s">
        <v>77</v>
      </c>
      <c r="F500" s="1" t="s">
        <v>39</v>
      </c>
      <c r="G500" s="1" t="s">
        <v>40</v>
      </c>
      <c r="H500" s="1" t="s">
        <v>35</v>
      </c>
      <c r="I500" s="1" t="s">
        <v>35</v>
      </c>
      <c r="J500" s="1" t="s">
        <v>78</v>
      </c>
      <c r="K500" s="1" t="s">
        <v>42</v>
      </c>
      <c r="L500" s="1" t="s">
        <v>79</v>
      </c>
      <c r="M500" s="1" t="s">
        <v>44</v>
      </c>
      <c r="N500" s="1" t="s">
        <v>45</v>
      </c>
      <c r="O500" s="1" t="s">
        <v>52</v>
      </c>
      <c r="P500" s="1" t="s">
        <v>103</v>
      </c>
      <c r="Q500" s="1" t="s">
        <v>47</v>
      </c>
      <c r="R500" s="1" t="s">
        <v>80</v>
      </c>
      <c r="S500" s="1" t="s">
        <v>49</v>
      </c>
      <c r="T500" s="1" t="s">
        <v>50</v>
      </c>
      <c r="U500" s="1" t="s">
        <v>51</v>
      </c>
      <c r="V500" s="1" t="s">
        <v>52</v>
      </c>
      <c r="W500" s="1" t="s">
        <v>53</v>
      </c>
      <c r="X500" s="1" t="s">
        <v>54</v>
      </c>
      <c r="Y500" s="1" t="s">
        <v>55</v>
      </c>
      <c r="Z500" s="1" t="s">
        <v>56</v>
      </c>
      <c r="AA500" s="1" t="s">
        <v>36</v>
      </c>
      <c r="AB500" s="1" t="s">
        <v>54</v>
      </c>
      <c r="AC500" s="1" t="s">
        <v>57</v>
      </c>
      <c r="AD500" s="1" t="s">
        <v>58</v>
      </c>
      <c r="AE500" s="1" t="s">
        <v>59</v>
      </c>
      <c r="AF500" s="1" t="s">
        <v>54</v>
      </c>
      <c r="AG500" s="1" t="s">
        <v>98</v>
      </c>
      <c r="AH500" s="1" t="s">
        <v>120</v>
      </c>
    </row>
    <row r="501" spans="1:34" x14ac:dyDescent="0.3">
      <c r="A501" s="1" t="s">
        <v>55</v>
      </c>
      <c r="B501" s="1" t="s">
        <v>35</v>
      </c>
      <c r="C501" s="1" t="s">
        <v>36</v>
      </c>
      <c r="D501" s="1" t="s">
        <v>37</v>
      </c>
      <c r="E501" s="1" t="s">
        <v>100</v>
      </c>
      <c r="F501" s="1" t="s">
        <v>65</v>
      </c>
      <c r="G501" s="1" t="s">
        <v>40</v>
      </c>
      <c r="H501" s="1" t="s">
        <v>35</v>
      </c>
      <c r="I501" s="1" t="s">
        <v>35</v>
      </c>
      <c r="J501" s="1" t="s">
        <v>78</v>
      </c>
      <c r="K501" s="1" t="s">
        <v>42</v>
      </c>
      <c r="L501" s="1" t="s">
        <v>43</v>
      </c>
      <c r="M501" s="1" t="s">
        <v>44</v>
      </c>
      <c r="N501" s="1" t="s">
        <v>49</v>
      </c>
      <c r="O501" s="1" t="s">
        <v>45</v>
      </c>
      <c r="P501" s="1" t="s">
        <v>103</v>
      </c>
      <c r="Q501" s="1" t="s">
        <v>47</v>
      </c>
      <c r="R501" s="1" t="s">
        <v>80</v>
      </c>
      <c r="S501" s="1" t="s">
        <v>49</v>
      </c>
      <c r="T501" s="1" t="s">
        <v>50</v>
      </c>
      <c r="U501" s="1" t="s">
        <v>51</v>
      </c>
      <c r="V501" s="1" t="s">
        <v>52</v>
      </c>
      <c r="W501" s="1" t="s">
        <v>53</v>
      </c>
      <c r="X501" s="1" t="s">
        <v>54</v>
      </c>
      <c r="Y501" s="1" t="s">
        <v>55</v>
      </c>
      <c r="Z501" s="1" t="s">
        <v>56</v>
      </c>
      <c r="AA501" s="1" t="s">
        <v>36</v>
      </c>
      <c r="AB501" s="1" t="s">
        <v>54</v>
      </c>
      <c r="AC501" s="1" t="s">
        <v>57</v>
      </c>
      <c r="AD501" s="1" t="s">
        <v>58</v>
      </c>
      <c r="AE501" s="1" t="s">
        <v>59</v>
      </c>
      <c r="AF501" s="1" t="s">
        <v>54</v>
      </c>
      <c r="AG501" s="1" t="s">
        <v>98</v>
      </c>
      <c r="AH501" s="1" t="s">
        <v>120</v>
      </c>
    </row>
    <row r="502" spans="1:34" x14ac:dyDescent="0.3">
      <c r="A502" s="1" t="s">
        <v>34</v>
      </c>
      <c r="B502" s="1" t="s">
        <v>41</v>
      </c>
      <c r="C502" s="1" t="s">
        <v>82</v>
      </c>
      <c r="D502" s="1" t="s">
        <v>37</v>
      </c>
      <c r="E502" s="1" t="s">
        <v>38</v>
      </c>
      <c r="F502" s="1" t="s">
        <v>39</v>
      </c>
      <c r="G502" s="1" t="s">
        <v>40</v>
      </c>
      <c r="H502" s="1" t="s">
        <v>35</v>
      </c>
      <c r="I502" s="1" t="s">
        <v>35</v>
      </c>
      <c r="J502" s="1" t="s">
        <v>39</v>
      </c>
      <c r="K502" s="1" t="s">
        <v>42</v>
      </c>
      <c r="L502" s="1" t="s">
        <v>79</v>
      </c>
      <c r="M502" s="1" t="s">
        <v>44</v>
      </c>
      <c r="N502" s="1" t="s">
        <v>49</v>
      </c>
      <c r="O502" s="1" t="s">
        <v>45</v>
      </c>
      <c r="P502" s="1" t="s">
        <v>116</v>
      </c>
      <c r="Q502" s="1" t="s">
        <v>47</v>
      </c>
      <c r="R502" s="1" t="s">
        <v>80</v>
      </c>
      <c r="S502" s="1" t="s">
        <v>45</v>
      </c>
      <c r="T502" s="1" t="s">
        <v>50</v>
      </c>
      <c r="U502" s="1" t="s">
        <v>51</v>
      </c>
      <c r="V502" s="1" t="s">
        <v>52</v>
      </c>
      <c r="W502" s="1" t="s">
        <v>53</v>
      </c>
      <c r="X502" s="1" t="s">
        <v>54</v>
      </c>
      <c r="Y502" s="1" t="s">
        <v>55</v>
      </c>
      <c r="Z502" s="1" t="s">
        <v>56</v>
      </c>
      <c r="AA502" s="1" t="s">
        <v>36</v>
      </c>
      <c r="AB502" s="1" t="s">
        <v>54</v>
      </c>
      <c r="AC502" s="1" t="s">
        <v>57</v>
      </c>
      <c r="AD502" s="1" t="s">
        <v>58</v>
      </c>
      <c r="AE502" s="1" t="s">
        <v>59</v>
      </c>
      <c r="AF502" s="1" t="s">
        <v>54</v>
      </c>
      <c r="AG502" s="1" t="s">
        <v>98</v>
      </c>
      <c r="AH502" s="1" t="s">
        <v>120</v>
      </c>
    </row>
    <row r="503" spans="1:34" x14ac:dyDescent="0.3">
      <c r="A503" s="1" t="s">
        <v>34</v>
      </c>
      <c r="B503" s="1" t="s">
        <v>35</v>
      </c>
      <c r="C503" s="1" t="s">
        <v>36</v>
      </c>
      <c r="D503" s="1" t="s">
        <v>49</v>
      </c>
      <c r="E503" s="1" t="s">
        <v>77</v>
      </c>
      <c r="F503" s="1" t="s">
        <v>86</v>
      </c>
      <c r="G503" s="1" t="s">
        <v>40</v>
      </c>
      <c r="H503" s="1" t="s">
        <v>41</v>
      </c>
      <c r="I503" s="1" t="s">
        <v>35</v>
      </c>
      <c r="J503" s="1" t="s">
        <v>39</v>
      </c>
      <c r="K503" s="1" t="s">
        <v>42</v>
      </c>
      <c r="L503" s="1" t="s">
        <v>43</v>
      </c>
      <c r="M503" s="1" t="s">
        <v>44</v>
      </c>
      <c r="N503" s="1" t="s">
        <v>45</v>
      </c>
      <c r="O503" s="1" t="s">
        <v>45</v>
      </c>
      <c r="P503" s="1" t="s">
        <v>46</v>
      </c>
      <c r="Q503" s="1" t="s">
        <v>47</v>
      </c>
      <c r="R503" s="1" t="s">
        <v>48</v>
      </c>
      <c r="S503" s="1" t="s">
        <v>49</v>
      </c>
      <c r="T503" s="1" t="s">
        <v>50</v>
      </c>
      <c r="U503" s="1" t="s">
        <v>51</v>
      </c>
      <c r="V503" s="1" t="s">
        <v>52</v>
      </c>
      <c r="W503" s="1" t="s">
        <v>53</v>
      </c>
      <c r="X503" s="1" t="s">
        <v>54</v>
      </c>
      <c r="Y503" s="1" t="s">
        <v>55</v>
      </c>
      <c r="Z503" s="1" t="s">
        <v>56</v>
      </c>
      <c r="AA503" s="1" t="s">
        <v>36</v>
      </c>
      <c r="AB503" s="1" t="s">
        <v>54</v>
      </c>
      <c r="AC503" s="1" t="s">
        <v>57</v>
      </c>
      <c r="AD503" s="1" t="s">
        <v>58</v>
      </c>
      <c r="AE503" s="1" t="s">
        <v>59</v>
      </c>
      <c r="AF503" s="1" t="s">
        <v>54</v>
      </c>
      <c r="AG503" s="1" t="s">
        <v>75</v>
      </c>
      <c r="AH503" s="1" t="s">
        <v>120</v>
      </c>
    </row>
    <row r="504" spans="1:34" x14ac:dyDescent="0.3">
      <c r="A504" s="1" t="s">
        <v>91</v>
      </c>
      <c r="B504" s="1" t="s">
        <v>94</v>
      </c>
      <c r="C504" s="1" t="s">
        <v>36</v>
      </c>
      <c r="D504" s="1" t="s">
        <v>49</v>
      </c>
      <c r="E504" s="1" t="s">
        <v>77</v>
      </c>
      <c r="F504" s="1" t="s">
        <v>39</v>
      </c>
      <c r="G504" s="1" t="s">
        <v>40</v>
      </c>
      <c r="H504" s="1" t="s">
        <v>35</v>
      </c>
      <c r="I504" s="1" t="s">
        <v>35</v>
      </c>
      <c r="J504" s="1" t="s">
        <v>39</v>
      </c>
      <c r="K504" s="1" t="s">
        <v>42</v>
      </c>
      <c r="L504" s="1" t="s">
        <v>43</v>
      </c>
      <c r="M504" s="1" t="s">
        <v>44</v>
      </c>
      <c r="N504" s="1" t="s">
        <v>45</v>
      </c>
      <c r="O504" s="1" t="s">
        <v>45</v>
      </c>
      <c r="P504" s="1" t="s">
        <v>103</v>
      </c>
      <c r="Q504" s="1" t="s">
        <v>47</v>
      </c>
      <c r="R504" s="1" t="s">
        <v>48</v>
      </c>
      <c r="S504" s="1" t="s">
        <v>49</v>
      </c>
      <c r="T504" s="1" t="s">
        <v>50</v>
      </c>
      <c r="U504" s="1" t="s">
        <v>51</v>
      </c>
      <c r="V504" s="1" t="s">
        <v>81</v>
      </c>
      <c r="W504" s="1" t="s">
        <v>53</v>
      </c>
      <c r="X504" s="1" t="s">
        <v>54</v>
      </c>
      <c r="Y504" s="1" t="s">
        <v>74</v>
      </c>
      <c r="Z504" s="1" t="s">
        <v>56</v>
      </c>
      <c r="AA504" s="1" t="s">
        <v>36</v>
      </c>
      <c r="AB504" s="1" t="s">
        <v>54</v>
      </c>
      <c r="AC504" s="1" t="s">
        <v>57</v>
      </c>
      <c r="AD504" s="1" t="s">
        <v>58</v>
      </c>
      <c r="AE504" s="1" t="s">
        <v>59</v>
      </c>
      <c r="AF504" s="1" t="s">
        <v>54</v>
      </c>
      <c r="AG504" s="1" t="s">
        <v>98</v>
      </c>
      <c r="AH504" s="1" t="s">
        <v>120</v>
      </c>
    </row>
    <row r="505" spans="1:34" x14ac:dyDescent="0.3">
      <c r="A505" s="1" t="s">
        <v>74</v>
      </c>
      <c r="B505" s="1" t="s">
        <v>41</v>
      </c>
      <c r="C505" s="1" t="s">
        <v>76</v>
      </c>
      <c r="D505" s="1" t="s">
        <v>83</v>
      </c>
      <c r="E505" s="1" t="s">
        <v>38</v>
      </c>
      <c r="F505" s="1" t="s">
        <v>39</v>
      </c>
      <c r="G505" s="1" t="s">
        <v>40</v>
      </c>
      <c r="H505" s="1" t="s">
        <v>35</v>
      </c>
      <c r="I505" s="1" t="s">
        <v>41</v>
      </c>
      <c r="J505" s="1" t="s">
        <v>96</v>
      </c>
      <c r="K505" s="1" t="s">
        <v>42</v>
      </c>
      <c r="L505" s="1" t="s">
        <v>43</v>
      </c>
      <c r="M505" s="1" t="s">
        <v>44</v>
      </c>
      <c r="N505" s="1" t="s">
        <v>45</v>
      </c>
      <c r="O505" s="1" t="s">
        <v>52</v>
      </c>
      <c r="P505" s="1" t="s">
        <v>103</v>
      </c>
      <c r="Q505" s="1" t="s">
        <v>47</v>
      </c>
      <c r="R505" s="1" t="s">
        <v>80</v>
      </c>
      <c r="S505" s="1" t="s">
        <v>49</v>
      </c>
      <c r="T505" s="1" t="s">
        <v>50</v>
      </c>
      <c r="U505" s="1" t="s">
        <v>51</v>
      </c>
      <c r="V505" s="1" t="s">
        <v>52</v>
      </c>
      <c r="W505" s="1" t="s">
        <v>53</v>
      </c>
      <c r="X505" s="1" t="s">
        <v>54</v>
      </c>
      <c r="Y505" s="1" t="s">
        <v>55</v>
      </c>
      <c r="Z505" s="1" t="s">
        <v>56</v>
      </c>
      <c r="AA505" s="1" t="s">
        <v>36</v>
      </c>
      <c r="AB505" s="1" t="s">
        <v>54</v>
      </c>
      <c r="AC505" s="1" t="s">
        <v>57</v>
      </c>
      <c r="AD505" s="1" t="s">
        <v>58</v>
      </c>
      <c r="AE505" s="1" t="s">
        <v>59</v>
      </c>
      <c r="AF505" s="1" t="s">
        <v>54</v>
      </c>
      <c r="AG505" s="1" t="s">
        <v>98</v>
      </c>
      <c r="AH505" s="1" t="s">
        <v>120</v>
      </c>
    </row>
    <row r="506" spans="1:34" x14ac:dyDescent="0.3">
      <c r="A506" s="1" t="s">
        <v>91</v>
      </c>
      <c r="B506" s="1" t="s">
        <v>41</v>
      </c>
      <c r="C506" s="1" t="s">
        <v>76</v>
      </c>
      <c r="D506" s="1" t="s">
        <v>83</v>
      </c>
      <c r="E506" s="1" t="s">
        <v>38</v>
      </c>
      <c r="F506" s="1" t="s">
        <v>39</v>
      </c>
      <c r="G506" s="1" t="s">
        <v>40</v>
      </c>
      <c r="H506" s="1" t="s">
        <v>35</v>
      </c>
      <c r="I506" s="1" t="s">
        <v>41</v>
      </c>
      <c r="J506" s="1" t="s">
        <v>96</v>
      </c>
      <c r="K506" s="1" t="s">
        <v>42</v>
      </c>
      <c r="L506" s="1" t="s">
        <v>43</v>
      </c>
      <c r="M506" s="1" t="s">
        <v>44</v>
      </c>
      <c r="N506" s="1" t="s">
        <v>45</v>
      </c>
      <c r="O506" s="1" t="s">
        <v>52</v>
      </c>
      <c r="P506" s="1" t="s">
        <v>103</v>
      </c>
      <c r="Q506" s="1" t="s">
        <v>47</v>
      </c>
      <c r="R506" s="1" t="s">
        <v>80</v>
      </c>
      <c r="S506" s="1" t="s">
        <v>49</v>
      </c>
      <c r="T506" s="1" t="s">
        <v>50</v>
      </c>
      <c r="U506" s="1" t="s">
        <v>51</v>
      </c>
      <c r="V506" s="1" t="s">
        <v>52</v>
      </c>
      <c r="W506" s="1" t="s">
        <v>53</v>
      </c>
      <c r="X506" s="1" t="s">
        <v>54</v>
      </c>
      <c r="Y506" s="1" t="s">
        <v>55</v>
      </c>
      <c r="Z506" s="1" t="s">
        <v>56</v>
      </c>
      <c r="AA506" s="1" t="s">
        <v>36</v>
      </c>
      <c r="AB506" s="1" t="s">
        <v>54</v>
      </c>
      <c r="AC506" s="1" t="s">
        <v>57</v>
      </c>
      <c r="AD506" s="1" t="s">
        <v>58</v>
      </c>
      <c r="AE506" s="1" t="s">
        <v>59</v>
      </c>
      <c r="AF506" s="1" t="s">
        <v>54</v>
      </c>
      <c r="AG506" s="1" t="s">
        <v>98</v>
      </c>
      <c r="AH506" s="1" t="s">
        <v>120</v>
      </c>
    </row>
    <row r="507" spans="1:34" x14ac:dyDescent="0.3">
      <c r="A507" s="1" t="s">
        <v>34</v>
      </c>
      <c r="B507" s="1" t="s">
        <v>35</v>
      </c>
      <c r="C507" s="1" t="s">
        <v>36</v>
      </c>
      <c r="D507" s="1" t="s">
        <v>37</v>
      </c>
      <c r="E507" s="1" t="s">
        <v>100</v>
      </c>
      <c r="F507" s="1" t="s">
        <v>65</v>
      </c>
      <c r="G507" s="1" t="s">
        <v>40</v>
      </c>
      <c r="H507" s="1" t="s">
        <v>35</v>
      </c>
      <c r="I507" s="1" t="s">
        <v>35</v>
      </c>
      <c r="J507" s="1" t="s">
        <v>78</v>
      </c>
      <c r="K507" s="1" t="s">
        <v>42</v>
      </c>
      <c r="L507" s="1" t="s">
        <v>43</v>
      </c>
      <c r="M507" s="1" t="s">
        <v>44</v>
      </c>
      <c r="N507" s="1" t="s">
        <v>49</v>
      </c>
      <c r="O507" s="1" t="s">
        <v>45</v>
      </c>
      <c r="P507" s="1" t="s">
        <v>103</v>
      </c>
      <c r="Q507" s="1" t="s">
        <v>47</v>
      </c>
      <c r="R507" s="1" t="s">
        <v>80</v>
      </c>
      <c r="S507" s="1" t="s">
        <v>49</v>
      </c>
      <c r="T507" s="1" t="s">
        <v>50</v>
      </c>
      <c r="U507" s="1" t="s">
        <v>51</v>
      </c>
      <c r="V507" s="1" t="s">
        <v>52</v>
      </c>
      <c r="W507" s="1" t="s">
        <v>53</v>
      </c>
      <c r="X507" s="1" t="s">
        <v>54</v>
      </c>
      <c r="Y507" s="1" t="s">
        <v>55</v>
      </c>
      <c r="Z507" s="1" t="s">
        <v>56</v>
      </c>
      <c r="AA507" s="1" t="s">
        <v>36</v>
      </c>
      <c r="AB507" s="1" t="s">
        <v>54</v>
      </c>
      <c r="AC507" s="1" t="s">
        <v>57</v>
      </c>
      <c r="AD507" s="1" t="s">
        <v>58</v>
      </c>
      <c r="AE507" s="1" t="s">
        <v>59</v>
      </c>
      <c r="AF507" s="1" t="s">
        <v>54</v>
      </c>
      <c r="AG507" s="1" t="s">
        <v>98</v>
      </c>
      <c r="AH507" s="1" t="s">
        <v>120</v>
      </c>
    </row>
    <row r="508" spans="1:34" x14ac:dyDescent="0.3">
      <c r="A508" s="1" t="s">
        <v>91</v>
      </c>
      <c r="B508" s="1" t="s">
        <v>41</v>
      </c>
      <c r="C508" s="1" t="s">
        <v>76</v>
      </c>
      <c r="D508" s="1" t="s">
        <v>37</v>
      </c>
      <c r="E508" s="1" t="s">
        <v>77</v>
      </c>
      <c r="F508" s="1" t="s">
        <v>39</v>
      </c>
      <c r="G508" s="1" t="s">
        <v>79</v>
      </c>
      <c r="H508" s="1" t="s">
        <v>41</v>
      </c>
      <c r="I508" s="1" t="s">
        <v>94</v>
      </c>
      <c r="J508" s="1" t="s">
        <v>39</v>
      </c>
      <c r="K508" s="1" t="s">
        <v>42</v>
      </c>
      <c r="L508" s="1" t="s">
        <v>79</v>
      </c>
      <c r="M508" s="1" t="s">
        <v>44</v>
      </c>
      <c r="N508" s="1" t="s">
        <v>45</v>
      </c>
      <c r="O508" s="1" t="s">
        <v>45</v>
      </c>
      <c r="P508" s="1" t="s">
        <v>103</v>
      </c>
      <c r="Q508" s="1" t="s">
        <v>47</v>
      </c>
      <c r="R508" s="1" t="s">
        <v>48</v>
      </c>
      <c r="S508" s="1" t="s">
        <v>49</v>
      </c>
      <c r="T508" s="1" t="s">
        <v>50</v>
      </c>
      <c r="U508" s="1" t="s">
        <v>51</v>
      </c>
      <c r="V508" s="1" t="s">
        <v>52</v>
      </c>
      <c r="W508" s="1" t="s">
        <v>53</v>
      </c>
      <c r="X508" s="1" t="s">
        <v>54</v>
      </c>
      <c r="Y508" s="1" t="s">
        <v>55</v>
      </c>
      <c r="Z508" s="1" t="s">
        <v>82</v>
      </c>
      <c r="AA508" s="1" t="s">
        <v>36</v>
      </c>
      <c r="AB508" s="1" t="s">
        <v>54</v>
      </c>
      <c r="AC508" s="1" t="s">
        <v>57</v>
      </c>
      <c r="AD508" s="1" t="s">
        <v>58</v>
      </c>
      <c r="AE508" s="1" t="s">
        <v>59</v>
      </c>
      <c r="AF508" s="1" t="s">
        <v>54</v>
      </c>
      <c r="AG508" s="1" t="s">
        <v>98</v>
      </c>
      <c r="AH508" s="1" t="s">
        <v>120</v>
      </c>
    </row>
    <row r="509" spans="1:34" x14ac:dyDescent="0.3">
      <c r="A509" s="1" t="s">
        <v>34</v>
      </c>
      <c r="B509" s="1" t="s">
        <v>41</v>
      </c>
      <c r="C509" s="1" t="s">
        <v>76</v>
      </c>
      <c r="D509" s="1" t="s">
        <v>37</v>
      </c>
      <c r="E509" s="1" t="s">
        <v>77</v>
      </c>
      <c r="F509" s="1" t="s">
        <v>39</v>
      </c>
      <c r="G509" s="1" t="s">
        <v>40</v>
      </c>
      <c r="H509" s="1" t="s">
        <v>35</v>
      </c>
      <c r="I509" s="1" t="s">
        <v>35</v>
      </c>
      <c r="J509" s="1" t="s">
        <v>96</v>
      </c>
      <c r="K509" s="1" t="s">
        <v>42</v>
      </c>
      <c r="L509" s="1" t="s">
        <v>79</v>
      </c>
      <c r="M509" s="1" t="s">
        <v>44</v>
      </c>
      <c r="N509" s="1" t="s">
        <v>45</v>
      </c>
      <c r="O509" s="1" t="s">
        <v>52</v>
      </c>
      <c r="P509" s="1" t="s">
        <v>103</v>
      </c>
      <c r="Q509" s="1" t="s">
        <v>47</v>
      </c>
      <c r="R509" s="1" t="s">
        <v>80</v>
      </c>
      <c r="S509" s="1" t="s">
        <v>49</v>
      </c>
      <c r="T509" s="1" t="s">
        <v>50</v>
      </c>
      <c r="U509" s="1" t="s">
        <v>51</v>
      </c>
      <c r="V509" s="1" t="s">
        <v>52</v>
      </c>
      <c r="W509" s="1" t="s">
        <v>53</v>
      </c>
      <c r="X509" s="1" t="s">
        <v>54</v>
      </c>
      <c r="Y509" s="1" t="s">
        <v>55</v>
      </c>
      <c r="Z509" s="1" t="s">
        <v>56</v>
      </c>
      <c r="AA509" s="1" t="s">
        <v>36</v>
      </c>
      <c r="AB509" s="1" t="s">
        <v>54</v>
      </c>
      <c r="AC509" s="1" t="s">
        <v>57</v>
      </c>
      <c r="AD509" s="1" t="s">
        <v>58</v>
      </c>
      <c r="AE509" s="1" t="s">
        <v>59</v>
      </c>
      <c r="AF509" s="1" t="s">
        <v>54</v>
      </c>
      <c r="AG509" s="1" t="s">
        <v>98</v>
      </c>
      <c r="AH509" s="1" t="s">
        <v>120</v>
      </c>
    </row>
    <row r="510" spans="1:34" x14ac:dyDescent="0.3">
      <c r="A510" s="1" t="s">
        <v>54</v>
      </c>
      <c r="B510" s="1" t="s">
        <v>35</v>
      </c>
      <c r="C510" s="1" t="s">
        <v>36</v>
      </c>
      <c r="D510" s="1" t="s">
        <v>37</v>
      </c>
      <c r="E510" s="1" t="s">
        <v>77</v>
      </c>
      <c r="F510" s="1" t="s">
        <v>39</v>
      </c>
      <c r="G510" s="1" t="s">
        <v>40</v>
      </c>
      <c r="H510" s="1" t="s">
        <v>41</v>
      </c>
      <c r="I510" s="1" t="s">
        <v>35</v>
      </c>
      <c r="J510" s="1" t="s">
        <v>39</v>
      </c>
      <c r="K510" s="1" t="s">
        <v>42</v>
      </c>
      <c r="L510" s="1" t="s">
        <v>79</v>
      </c>
      <c r="M510" s="1" t="s">
        <v>44</v>
      </c>
      <c r="N510" s="1" t="s">
        <v>45</v>
      </c>
      <c r="O510" s="1" t="s">
        <v>45</v>
      </c>
      <c r="P510" s="1" t="s">
        <v>46</v>
      </c>
      <c r="Q510" s="1" t="s">
        <v>47</v>
      </c>
      <c r="R510" s="1" t="s">
        <v>48</v>
      </c>
      <c r="S510" s="1" t="s">
        <v>49</v>
      </c>
      <c r="T510" s="1" t="s">
        <v>50</v>
      </c>
      <c r="U510" s="1" t="s">
        <v>51</v>
      </c>
      <c r="V510" s="1" t="s">
        <v>52</v>
      </c>
      <c r="W510" s="1" t="s">
        <v>53</v>
      </c>
      <c r="X510" s="1" t="s">
        <v>54</v>
      </c>
      <c r="Y510" s="1" t="s">
        <v>55</v>
      </c>
      <c r="Z510" s="1" t="s">
        <v>56</v>
      </c>
      <c r="AA510" s="1" t="s">
        <v>36</v>
      </c>
      <c r="AB510" s="1" t="s">
        <v>54</v>
      </c>
      <c r="AC510" s="1" t="s">
        <v>57</v>
      </c>
      <c r="AD510" s="1" t="s">
        <v>58</v>
      </c>
      <c r="AE510" s="1" t="s">
        <v>59</v>
      </c>
      <c r="AF510" s="1" t="s">
        <v>54</v>
      </c>
      <c r="AG510" s="1" t="s">
        <v>98</v>
      </c>
      <c r="AH510" s="1" t="s">
        <v>120</v>
      </c>
    </row>
    <row r="511" spans="1:34" x14ac:dyDescent="0.3">
      <c r="A511" s="1" t="s">
        <v>91</v>
      </c>
      <c r="B511" s="1" t="s">
        <v>87</v>
      </c>
      <c r="C511" s="1" t="s">
        <v>82</v>
      </c>
      <c r="D511" s="1" t="s">
        <v>49</v>
      </c>
      <c r="E511" s="1" t="s">
        <v>77</v>
      </c>
      <c r="F511" s="1" t="s">
        <v>86</v>
      </c>
      <c r="G511" s="1" t="s">
        <v>40</v>
      </c>
      <c r="H511" s="1" t="s">
        <v>35</v>
      </c>
      <c r="I511" s="1" t="s">
        <v>94</v>
      </c>
      <c r="J511" s="1" t="s">
        <v>39</v>
      </c>
      <c r="K511" s="1" t="s">
        <v>42</v>
      </c>
      <c r="L511" s="1" t="s">
        <v>43</v>
      </c>
      <c r="M511" s="1" t="s">
        <v>44</v>
      </c>
      <c r="N511" s="1" t="s">
        <v>45</v>
      </c>
      <c r="O511" s="1" t="s">
        <v>45</v>
      </c>
      <c r="P511" s="1" t="s">
        <v>46</v>
      </c>
      <c r="Q511" s="1" t="s">
        <v>47</v>
      </c>
      <c r="R511" s="1" t="s">
        <v>80</v>
      </c>
      <c r="S511" s="1" t="s">
        <v>49</v>
      </c>
      <c r="T511" s="1" t="s">
        <v>50</v>
      </c>
      <c r="U511" s="1" t="s">
        <v>51</v>
      </c>
      <c r="V511" s="1" t="s">
        <v>52</v>
      </c>
      <c r="W511" s="1" t="s">
        <v>53</v>
      </c>
      <c r="X511" s="1" t="s">
        <v>54</v>
      </c>
      <c r="Y511" s="1" t="s">
        <v>74</v>
      </c>
      <c r="Z511" s="1" t="s">
        <v>56</v>
      </c>
      <c r="AA511" s="1" t="s">
        <v>36</v>
      </c>
      <c r="AB511" s="1" t="s">
        <v>54</v>
      </c>
      <c r="AC511" s="1" t="s">
        <v>57</v>
      </c>
      <c r="AD511" s="1" t="s">
        <v>58</v>
      </c>
      <c r="AE511" s="1" t="s">
        <v>42</v>
      </c>
      <c r="AF511" s="1" t="s">
        <v>54</v>
      </c>
      <c r="AG511" s="1" t="s">
        <v>75</v>
      </c>
      <c r="AH511" s="1" t="s">
        <v>120</v>
      </c>
    </row>
    <row r="512" spans="1:34" x14ac:dyDescent="0.3">
      <c r="A512" s="1" t="s">
        <v>55</v>
      </c>
      <c r="B512" s="1" t="s">
        <v>41</v>
      </c>
      <c r="C512" s="1" t="s">
        <v>76</v>
      </c>
      <c r="D512" s="1" t="s">
        <v>83</v>
      </c>
      <c r="E512" s="1" t="s">
        <v>38</v>
      </c>
      <c r="F512" s="1" t="s">
        <v>39</v>
      </c>
      <c r="G512" s="1" t="s">
        <v>40</v>
      </c>
      <c r="H512" s="1" t="s">
        <v>35</v>
      </c>
      <c r="I512" s="1" t="s">
        <v>35</v>
      </c>
      <c r="J512" s="1" t="s">
        <v>39</v>
      </c>
      <c r="K512" s="1" t="s">
        <v>42</v>
      </c>
      <c r="L512" s="1" t="s">
        <v>43</v>
      </c>
      <c r="M512" s="1" t="s">
        <v>44</v>
      </c>
      <c r="N512" s="1" t="s">
        <v>45</v>
      </c>
      <c r="O512" s="1" t="s">
        <v>45</v>
      </c>
      <c r="P512" s="1" t="s">
        <v>50</v>
      </c>
      <c r="Q512" s="1" t="s">
        <v>93</v>
      </c>
      <c r="R512" s="1" t="s">
        <v>48</v>
      </c>
      <c r="S512" s="1" t="s">
        <v>49</v>
      </c>
      <c r="T512" s="1" t="s">
        <v>50</v>
      </c>
      <c r="U512" s="1" t="s">
        <v>51</v>
      </c>
      <c r="V512" s="1" t="s">
        <v>52</v>
      </c>
      <c r="W512" s="1" t="s">
        <v>53</v>
      </c>
      <c r="X512" s="1" t="s">
        <v>54</v>
      </c>
      <c r="Y512" s="1" t="s">
        <v>55</v>
      </c>
      <c r="Z512" s="1" t="s">
        <v>56</v>
      </c>
      <c r="AA512" s="1" t="s">
        <v>36</v>
      </c>
      <c r="AB512" s="1" t="s">
        <v>54</v>
      </c>
      <c r="AC512" s="1" t="s">
        <v>57</v>
      </c>
      <c r="AD512" s="1" t="s">
        <v>58</v>
      </c>
      <c r="AE512" s="1" t="s">
        <v>42</v>
      </c>
      <c r="AF512" s="1" t="s">
        <v>54</v>
      </c>
      <c r="AG512" s="1" t="s">
        <v>75</v>
      </c>
      <c r="AH512" s="1" t="s">
        <v>120</v>
      </c>
    </row>
    <row r="513" spans="1:34" x14ac:dyDescent="0.3">
      <c r="A513" s="1" t="s">
        <v>54</v>
      </c>
      <c r="B513" s="1" t="s">
        <v>35</v>
      </c>
      <c r="C513" s="1" t="s">
        <v>62</v>
      </c>
      <c r="D513" s="1" t="s">
        <v>37</v>
      </c>
      <c r="E513" s="1" t="s">
        <v>77</v>
      </c>
      <c r="F513" s="1" t="s">
        <v>39</v>
      </c>
      <c r="G513" s="1" t="s">
        <v>40</v>
      </c>
      <c r="H513" s="1" t="s">
        <v>35</v>
      </c>
      <c r="I513" s="1" t="s">
        <v>35</v>
      </c>
      <c r="J513" s="1" t="s">
        <v>39</v>
      </c>
      <c r="K513" s="1" t="s">
        <v>42</v>
      </c>
      <c r="L513" s="1" t="s">
        <v>43</v>
      </c>
      <c r="M513" s="1" t="s">
        <v>44</v>
      </c>
      <c r="N513" s="1" t="s">
        <v>45</v>
      </c>
      <c r="O513" s="1" t="s">
        <v>45</v>
      </c>
      <c r="P513" s="1" t="s">
        <v>103</v>
      </c>
      <c r="Q513" s="1" t="s">
        <v>47</v>
      </c>
      <c r="R513" s="1" t="s">
        <v>80</v>
      </c>
      <c r="S513" s="1" t="s">
        <v>49</v>
      </c>
      <c r="T513" s="1" t="s">
        <v>50</v>
      </c>
      <c r="U513" s="1" t="s">
        <v>51</v>
      </c>
      <c r="V513" s="1" t="s">
        <v>52</v>
      </c>
      <c r="W513" s="1" t="s">
        <v>53</v>
      </c>
      <c r="X513" s="1" t="s">
        <v>54</v>
      </c>
      <c r="Y513" s="1" t="s">
        <v>55</v>
      </c>
      <c r="Z513" s="1" t="s">
        <v>82</v>
      </c>
      <c r="AA513" s="1" t="s">
        <v>36</v>
      </c>
      <c r="AB513" s="1" t="s">
        <v>54</v>
      </c>
      <c r="AC513" s="1" t="s">
        <v>57</v>
      </c>
      <c r="AD513" s="1" t="s">
        <v>58</v>
      </c>
      <c r="AE513" s="1" t="s">
        <v>59</v>
      </c>
      <c r="AF513" s="1" t="s">
        <v>54</v>
      </c>
      <c r="AG513" s="1" t="s">
        <v>71</v>
      </c>
      <c r="AH513" s="1" t="s">
        <v>120</v>
      </c>
    </row>
    <row r="514" spans="1:34" x14ac:dyDescent="0.3">
      <c r="A514" s="1" t="s">
        <v>34</v>
      </c>
      <c r="B514" s="1" t="s">
        <v>35</v>
      </c>
      <c r="C514" s="1" t="s">
        <v>62</v>
      </c>
      <c r="D514" s="1" t="s">
        <v>37</v>
      </c>
      <c r="E514" s="1" t="s">
        <v>38</v>
      </c>
      <c r="F514" s="1" t="s">
        <v>39</v>
      </c>
      <c r="G514" s="1" t="s">
        <v>40</v>
      </c>
      <c r="H514" s="1" t="s">
        <v>35</v>
      </c>
      <c r="I514" s="1" t="s">
        <v>41</v>
      </c>
      <c r="J514" s="1" t="s">
        <v>78</v>
      </c>
      <c r="K514" s="1" t="s">
        <v>42</v>
      </c>
      <c r="L514" s="1" t="s">
        <v>79</v>
      </c>
      <c r="M514" s="1" t="s">
        <v>44</v>
      </c>
      <c r="N514" s="1" t="s">
        <v>45</v>
      </c>
      <c r="O514" s="1" t="s">
        <v>45</v>
      </c>
      <c r="P514" s="1" t="s">
        <v>103</v>
      </c>
      <c r="Q514" s="1" t="s">
        <v>47</v>
      </c>
      <c r="R514" s="1" t="s">
        <v>80</v>
      </c>
      <c r="S514" s="1" t="s">
        <v>49</v>
      </c>
      <c r="T514" s="1" t="s">
        <v>50</v>
      </c>
      <c r="U514" s="1" t="s">
        <v>51</v>
      </c>
      <c r="V514" s="1" t="s">
        <v>52</v>
      </c>
      <c r="W514" s="1" t="s">
        <v>53</v>
      </c>
      <c r="X514" s="1" t="s">
        <v>54</v>
      </c>
      <c r="Y514" s="1" t="s">
        <v>55</v>
      </c>
      <c r="Z514" s="1" t="s">
        <v>56</v>
      </c>
      <c r="AA514" s="1" t="s">
        <v>36</v>
      </c>
      <c r="AB514" s="1" t="s">
        <v>54</v>
      </c>
      <c r="AC514" s="1" t="s">
        <v>57</v>
      </c>
      <c r="AD514" s="1" t="s">
        <v>58</v>
      </c>
      <c r="AE514" s="1" t="s">
        <v>59</v>
      </c>
      <c r="AF514" s="1" t="s">
        <v>54</v>
      </c>
      <c r="AG514" s="1" t="s">
        <v>71</v>
      </c>
      <c r="AH514" s="1" t="s">
        <v>120</v>
      </c>
    </row>
    <row r="515" spans="1:34" x14ac:dyDescent="0.3">
      <c r="A515" s="1" t="s">
        <v>34</v>
      </c>
      <c r="B515" s="1" t="s">
        <v>35</v>
      </c>
      <c r="C515" s="1" t="s">
        <v>62</v>
      </c>
      <c r="D515" s="1" t="s">
        <v>37</v>
      </c>
      <c r="E515" s="1" t="s">
        <v>77</v>
      </c>
      <c r="F515" s="1" t="s">
        <v>39</v>
      </c>
      <c r="G515" s="1" t="s">
        <v>40</v>
      </c>
      <c r="H515" s="1" t="s">
        <v>35</v>
      </c>
      <c r="I515" s="1" t="s">
        <v>35</v>
      </c>
      <c r="J515" s="1" t="s">
        <v>39</v>
      </c>
      <c r="K515" s="1" t="s">
        <v>42</v>
      </c>
      <c r="L515" s="1" t="s">
        <v>43</v>
      </c>
      <c r="M515" s="1" t="s">
        <v>44</v>
      </c>
      <c r="N515" s="1" t="s">
        <v>45</v>
      </c>
      <c r="O515" s="1" t="s">
        <v>45</v>
      </c>
      <c r="P515" s="1" t="s">
        <v>103</v>
      </c>
      <c r="Q515" s="1" t="s">
        <v>47</v>
      </c>
      <c r="R515" s="1" t="s">
        <v>48</v>
      </c>
      <c r="S515" s="1" t="s">
        <v>49</v>
      </c>
      <c r="T515" s="1" t="s">
        <v>50</v>
      </c>
      <c r="U515" s="1" t="s">
        <v>51</v>
      </c>
      <c r="V515" s="1" t="s">
        <v>52</v>
      </c>
      <c r="W515" s="1" t="s">
        <v>53</v>
      </c>
      <c r="X515" s="1" t="s">
        <v>54</v>
      </c>
      <c r="Y515" s="1" t="s">
        <v>55</v>
      </c>
      <c r="Z515" s="1" t="s">
        <v>82</v>
      </c>
      <c r="AA515" s="1" t="s">
        <v>36</v>
      </c>
      <c r="AB515" s="1" t="s">
        <v>54</v>
      </c>
      <c r="AC515" s="1" t="s">
        <v>57</v>
      </c>
      <c r="AD515" s="1" t="s">
        <v>58</v>
      </c>
      <c r="AE515" s="1" t="s">
        <v>59</v>
      </c>
      <c r="AF515" s="1" t="s">
        <v>54</v>
      </c>
      <c r="AG515" s="1" t="s">
        <v>71</v>
      </c>
      <c r="AH515" s="1" t="s">
        <v>120</v>
      </c>
    </row>
    <row r="516" spans="1:34" x14ac:dyDescent="0.3">
      <c r="A516" s="1" t="s">
        <v>34</v>
      </c>
      <c r="B516" s="1" t="s">
        <v>35</v>
      </c>
      <c r="C516" s="1" t="s">
        <v>62</v>
      </c>
      <c r="D516" s="1" t="s">
        <v>37</v>
      </c>
      <c r="E516" s="1" t="s">
        <v>77</v>
      </c>
      <c r="F516" s="1" t="s">
        <v>39</v>
      </c>
      <c r="G516" s="1" t="s">
        <v>40</v>
      </c>
      <c r="H516" s="1" t="s">
        <v>35</v>
      </c>
      <c r="I516" s="1" t="s">
        <v>35</v>
      </c>
      <c r="J516" s="1" t="s">
        <v>39</v>
      </c>
      <c r="K516" s="1" t="s">
        <v>42</v>
      </c>
      <c r="L516" s="1" t="s">
        <v>43</v>
      </c>
      <c r="M516" s="1" t="s">
        <v>44</v>
      </c>
      <c r="N516" s="1" t="s">
        <v>45</v>
      </c>
      <c r="O516" s="1" t="s">
        <v>45</v>
      </c>
      <c r="P516" s="1" t="s">
        <v>103</v>
      </c>
      <c r="Q516" s="1" t="s">
        <v>47</v>
      </c>
      <c r="R516" s="1" t="s">
        <v>80</v>
      </c>
      <c r="S516" s="1" t="s">
        <v>49</v>
      </c>
      <c r="T516" s="1" t="s">
        <v>50</v>
      </c>
      <c r="U516" s="1" t="s">
        <v>51</v>
      </c>
      <c r="V516" s="1" t="s">
        <v>52</v>
      </c>
      <c r="W516" s="1" t="s">
        <v>53</v>
      </c>
      <c r="X516" s="1" t="s">
        <v>54</v>
      </c>
      <c r="Y516" s="1" t="s">
        <v>55</v>
      </c>
      <c r="Z516" s="1" t="s">
        <v>82</v>
      </c>
      <c r="AA516" s="1" t="s">
        <v>36</v>
      </c>
      <c r="AB516" s="1" t="s">
        <v>54</v>
      </c>
      <c r="AC516" s="1" t="s">
        <v>57</v>
      </c>
      <c r="AD516" s="1" t="s">
        <v>58</v>
      </c>
      <c r="AE516" s="1" t="s">
        <v>59</v>
      </c>
      <c r="AF516" s="1" t="s">
        <v>54</v>
      </c>
      <c r="AG516" s="1" t="s">
        <v>71</v>
      </c>
      <c r="AH516" s="1" t="s">
        <v>120</v>
      </c>
    </row>
    <row r="517" spans="1:34" x14ac:dyDescent="0.3">
      <c r="A517" s="1" t="s">
        <v>85</v>
      </c>
      <c r="B517" s="1" t="s">
        <v>94</v>
      </c>
      <c r="C517" s="1" t="s">
        <v>62</v>
      </c>
      <c r="D517" s="1" t="s">
        <v>37</v>
      </c>
      <c r="E517" s="1" t="s">
        <v>77</v>
      </c>
      <c r="F517" s="1" t="s">
        <v>39</v>
      </c>
      <c r="G517" s="1" t="s">
        <v>40</v>
      </c>
      <c r="H517" s="1" t="s">
        <v>35</v>
      </c>
      <c r="I517" s="1" t="s">
        <v>35</v>
      </c>
      <c r="J517" s="1" t="s">
        <v>39</v>
      </c>
      <c r="K517" s="1" t="s">
        <v>42</v>
      </c>
      <c r="L517" s="1" t="s">
        <v>43</v>
      </c>
      <c r="M517" s="1" t="s">
        <v>44</v>
      </c>
      <c r="N517" s="1" t="s">
        <v>45</v>
      </c>
      <c r="O517" s="1" t="s">
        <v>45</v>
      </c>
      <c r="P517" s="1" t="s">
        <v>103</v>
      </c>
      <c r="Q517" s="1" t="s">
        <v>47</v>
      </c>
      <c r="R517" s="1" t="s">
        <v>80</v>
      </c>
      <c r="S517" s="1" t="s">
        <v>49</v>
      </c>
      <c r="T517" s="1" t="s">
        <v>50</v>
      </c>
      <c r="U517" s="1" t="s">
        <v>51</v>
      </c>
      <c r="V517" s="1" t="s">
        <v>52</v>
      </c>
      <c r="W517" s="1" t="s">
        <v>53</v>
      </c>
      <c r="X517" s="1" t="s">
        <v>54</v>
      </c>
      <c r="Y517" s="1" t="s">
        <v>55</v>
      </c>
      <c r="Z517" s="1" t="s">
        <v>56</v>
      </c>
      <c r="AA517" s="1" t="s">
        <v>36</v>
      </c>
      <c r="AB517" s="1" t="s">
        <v>54</v>
      </c>
      <c r="AC517" s="1" t="s">
        <v>57</v>
      </c>
      <c r="AD517" s="1" t="s">
        <v>58</v>
      </c>
      <c r="AE517" s="1" t="s">
        <v>59</v>
      </c>
      <c r="AF517" s="1" t="s">
        <v>54</v>
      </c>
      <c r="AG517" s="1" t="s">
        <v>71</v>
      </c>
      <c r="AH517" s="1" t="s">
        <v>121</v>
      </c>
    </row>
    <row r="518" spans="1:34" x14ac:dyDescent="0.3">
      <c r="A518" s="1" t="s">
        <v>34</v>
      </c>
      <c r="B518" s="1" t="s">
        <v>94</v>
      </c>
      <c r="C518" s="1" t="s">
        <v>62</v>
      </c>
      <c r="D518" s="1" t="s">
        <v>37</v>
      </c>
      <c r="E518" s="1" t="s">
        <v>38</v>
      </c>
      <c r="F518" s="1" t="s">
        <v>39</v>
      </c>
      <c r="G518" s="1" t="s">
        <v>40</v>
      </c>
      <c r="H518" s="1" t="s">
        <v>35</v>
      </c>
      <c r="I518" s="1" t="s">
        <v>35</v>
      </c>
      <c r="J518" s="1" t="s">
        <v>39</v>
      </c>
      <c r="K518" s="1" t="s">
        <v>42</v>
      </c>
      <c r="L518" s="1" t="s">
        <v>43</v>
      </c>
      <c r="M518" s="1" t="s">
        <v>44</v>
      </c>
      <c r="N518" s="1" t="s">
        <v>45</v>
      </c>
      <c r="O518" s="1" t="s">
        <v>45</v>
      </c>
      <c r="P518" s="1" t="s">
        <v>103</v>
      </c>
      <c r="Q518" s="1" t="s">
        <v>47</v>
      </c>
      <c r="R518" s="1" t="s">
        <v>48</v>
      </c>
      <c r="S518" s="1" t="s">
        <v>49</v>
      </c>
      <c r="T518" s="1" t="s">
        <v>50</v>
      </c>
      <c r="U518" s="1" t="s">
        <v>51</v>
      </c>
      <c r="V518" s="1" t="s">
        <v>52</v>
      </c>
      <c r="W518" s="1" t="s">
        <v>53</v>
      </c>
      <c r="X518" s="1" t="s">
        <v>54</v>
      </c>
      <c r="Y518" s="1" t="s">
        <v>55</v>
      </c>
      <c r="Z518" s="1" t="s">
        <v>56</v>
      </c>
      <c r="AA518" s="1" t="s">
        <v>36</v>
      </c>
      <c r="AB518" s="1" t="s">
        <v>54</v>
      </c>
      <c r="AC518" s="1" t="s">
        <v>57</v>
      </c>
      <c r="AD518" s="1" t="s">
        <v>58</v>
      </c>
      <c r="AE518" s="1" t="s">
        <v>59</v>
      </c>
      <c r="AF518" s="1" t="s">
        <v>54</v>
      </c>
      <c r="AG518" s="1" t="s">
        <v>71</v>
      </c>
      <c r="AH518" s="1" t="s">
        <v>120</v>
      </c>
    </row>
    <row r="519" spans="1:34" x14ac:dyDescent="0.3">
      <c r="A519" s="1" t="s">
        <v>99</v>
      </c>
      <c r="B519" s="1" t="s">
        <v>35</v>
      </c>
      <c r="C519" s="1" t="s">
        <v>62</v>
      </c>
      <c r="D519" s="1" t="s">
        <v>49</v>
      </c>
      <c r="E519" s="1" t="s">
        <v>77</v>
      </c>
      <c r="F519" s="1" t="s">
        <v>39</v>
      </c>
      <c r="G519" s="1" t="s">
        <v>40</v>
      </c>
      <c r="H519" s="1" t="s">
        <v>35</v>
      </c>
      <c r="I519" s="1" t="s">
        <v>35</v>
      </c>
      <c r="J519" s="1" t="s">
        <v>39</v>
      </c>
      <c r="K519" s="1" t="s">
        <v>97</v>
      </c>
      <c r="L519" s="1" t="s">
        <v>66</v>
      </c>
      <c r="M519" s="1" t="s">
        <v>44</v>
      </c>
      <c r="N519" s="1" t="s">
        <v>45</v>
      </c>
      <c r="O519" s="1" t="s">
        <v>45</v>
      </c>
      <c r="P519" s="1" t="s">
        <v>103</v>
      </c>
      <c r="Q519" s="1" t="s">
        <v>47</v>
      </c>
      <c r="R519" s="1" t="s">
        <v>80</v>
      </c>
      <c r="S519" s="1" t="s">
        <v>49</v>
      </c>
      <c r="T519" s="1" t="s">
        <v>50</v>
      </c>
      <c r="U519" s="1" t="s">
        <v>51</v>
      </c>
      <c r="V519" s="1" t="s">
        <v>52</v>
      </c>
      <c r="W519" s="1" t="s">
        <v>53</v>
      </c>
      <c r="X519" s="1" t="s">
        <v>54</v>
      </c>
      <c r="Y519" s="1" t="s">
        <v>55</v>
      </c>
      <c r="Z519" s="1" t="s">
        <v>82</v>
      </c>
      <c r="AA519" s="1" t="s">
        <v>36</v>
      </c>
      <c r="AB519" s="1" t="s">
        <v>54</v>
      </c>
      <c r="AC519" s="1" t="s">
        <v>57</v>
      </c>
      <c r="AD519" s="1" t="s">
        <v>58</v>
      </c>
      <c r="AE519" s="1" t="s">
        <v>59</v>
      </c>
      <c r="AF519" s="1" t="s">
        <v>54</v>
      </c>
      <c r="AG519" s="1" t="s">
        <v>71</v>
      </c>
      <c r="AH519" s="1" t="s">
        <v>120</v>
      </c>
    </row>
    <row r="520" spans="1:34" x14ac:dyDescent="0.3">
      <c r="A520" s="1" t="s">
        <v>54</v>
      </c>
      <c r="B520" s="1" t="s">
        <v>35</v>
      </c>
      <c r="C520" s="1" t="s">
        <v>36</v>
      </c>
      <c r="D520" s="1" t="s">
        <v>37</v>
      </c>
      <c r="E520" s="1" t="s">
        <v>38</v>
      </c>
      <c r="F520" s="1" t="s">
        <v>39</v>
      </c>
      <c r="G520" s="1" t="s">
        <v>40</v>
      </c>
      <c r="H520" s="1" t="s">
        <v>35</v>
      </c>
      <c r="I520" s="1" t="s">
        <v>41</v>
      </c>
      <c r="J520" s="1" t="s">
        <v>39</v>
      </c>
      <c r="K520" s="1" t="s">
        <v>42</v>
      </c>
      <c r="L520" s="1" t="s">
        <v>43</v>
      </c>
      <c r="M520" s="1" t="s">
        <v>44</v>
      </c>
      <c r="N520" s="1" t="s">
        <v>45</v>
      </c>
      <c r="O520" s="1" t="s">
        <v>45</v>
      </c>
      <c r="P520" s="1" t="s">
        <v>46</v>
      </c>
      <c r="Q520" s="1" t="s">
        <v>47</v>
      </c>
      <c r="R520" s="1" t="s">
        <v>80</v>
      </c>
      <c r="S520" s="1" t="s">
        <v>49</v>
      </c>
      <c r="T520" s="1" t="s">
        <v>50</v>
      </c>
      <c r="U520" s="1" t="s">
        <v>51</v>
      </c>
      <c r="V520" s="1" t="s">
        <v>52</v>
      </c>
      <c r="W520" s="1" t="s">
        <v>53</v>
      </c>
      <c r="X520" s="1" t="s">
        <v>54</v>
      </c>
      <c r="Y520" s="1" t="s">
        <v>55</v>
      </c>
      <c r="Z520" s="1" t="s">
        <v>56</v>
      </c>
      <c r="AA520" s="1" t="s">
        <v>36</v>
      </c>
      <c r="AB520" s="1" t="s">
        <v>54</v>
      </c>
      <c r="AC520" s="1" t="s">
        <v>57</v>
      </c>
      <c r="AD520" s="1" t="s">
        <v>58</v>
      </c>
      <c r="AE520" s="1" t="s">
        <v>59</v>
      </c>
      <c r="AF520" s="1" t="s">
        <v>54</v>
      </c>
      <c r="AG520" s="1" t="s">
        <v>98</v>
      </c>
      <c r="AH520" s="1" t="s">
        <v>120</v>
      </c>
    </row>
    <row r="521" spans="1:34" x14ac:dyDescent="0.3">
      <c r="A521" s="1" t="s">
        <v>74</v>
      </c>
      <c r="B521" s="1" t="s">
        <v>35</v>
      </c>
      <c r="C521" s="1" t="s">
        <v>36</v>
      </c>
      <c r="D521" s="1" t="s">
        <v>83</v>
      </c>
      <c r="E521" s="1" t="s">
        <v>38</v>
      </c>
      <c r="F521" s="1" t="s">
        <v>39</v>
      </c>
      <c r="G521" s="1" t="s">
        <v>40</v>
      </c>
      <c r="H521" s="1" t="s">
        <v>35</v>
      </c>
      <c r="I521" s="1" t="s">
        <v>35</v>
      </c>
      <c r="J521" s="1" t="s">
        <v>78</v>
      </c>
      <c r="K521" s="1" t="s">
        <v>42</v>
      </c>
      <c r="L521" s="1" t="s">
        <v>43</v>
      </c>
      <c r="M521" s="1" t="s">
        <v>44</v>
      </c>
      <c r="N521" s="1" t="s">
        <v>45</v>
      </c>
      <c r="O521" s="1" t="s">
        <v>52</v>
      </c>
      <c r="P521" s="1" t="s">
        <v>103</v>
      </c>
      <c r="Q521" s="1" t="s">
        <v>47</v>
      </c>
      <c r="R521" s="1" t="s">
        <v>80</v>
      </c>
      <c r="S521" s="1" t="s">
        <v>49</v>
      </c>
      <c r="T521" s="1" t="s">
        <v>50</v>
      </c>
      <c r="U521" s="1" t="s">
        <v>51</v>
      </c>
      <c r="V521" s="1" t="s">
        <v>52</v>
      </c>
      <c r="W521" s="1" t="s">
        <v>53</v>
      </c>
      <c r="X521" s="1" t="s">
        <v>54</v>
      </c>
      <c r="Y521" s="1" t="s">
        <v>55</v>
      </c>
      <c r="Z521" s="1" t="s">
        <v>56</v>
      </c>
      <c r="AA521" s="1" t="s">
        <v>36</v>
      </c>
      <c r="AB521" s="1" t="s">
        <v>54</v>
      </c>
      <c r="AC521" s="1" t="s">
        <v>57</v>
      </c>
      <c r="AD521" s="1" t="s">
        <v>58</v>
      </c>
      <c r="AE521" s="1" t="s">
        <v>59</v>
      </c>
      <c r="AF521" s="1" t="s">
        <v>54</v>
      </c>
      <c r="AG521" s="1" t="s">
        <v>98</v>
      </c>
      <c r="AH521" s="1" t="s">
        <v>120</v>
      </c>
    </row>
    <row r="522" spans="1:34" x14ac:dyDescent="0.3">
      <c r="A522" s="1" t="s">
        <v>91</v>
      </c>
      <c r="B522" s="1" t="s">
        <v>41</v>
      </c>
      <c r="C522" s="1" t="s">
        <v>76</v>
      </c>
      <c r="D522" s="1" t="s">
        <v>37</v>
      </c>
      <c r="E522" s="1" t="s">
        <v>77</v>
      </c>
      <c r="F522" s="1" t="s">
        <v>39</v>
      </c>
      <c r="G522" s="1" t="s">
        <v>40</v>
      </c>
      <c r="H522" s="1" t="s">
        <v>35</v>
      </c>
      <c r="I522" s="1" t="s">
        <v>35</v>
      </c>
      <c r="J522" s="1" t="s">
        <v>39</v>
      </c>
      <c r="K522" s="1" t="s">
        <v>42</v>
      </c>
      <c r="L522" s="1" t="s">
        <v>43</v>
      </c>
      <c r="M522" s="1" t="s">
        <v>53</v>
      </c>
      <c r="N522" s="1" t="s">
        <v>45</v>
      </c>
      <c r="O522" s="1" t="s">
        <v>45</v>
      </c>
      <c r="P522" s="1" t="s">
        <v>103</v>
      </c>
      <c r="Q522" s="1" t="s">
        <v>47</v>
      </c>
      <c r="R522" s="1" t="s">
        <v>80</v>
      </c>
      <c r="S522" s="1" t="s">
        <v>49</v>
      </c>
      <c r="T522" s="1" t="s">
        <v>50</v>
      </c>
      <c r="U522" s="1" t="s">
        <v>51</v>
      </c>
      <c r="V522" s="1" t="s">
        <v>52</v>
      </c>
      <c r="W522" s="1" t="s">
        <v>53</v>
      </c>
      <c r="X522" s="1" t="s">
        <v>54</v>
      </c>
      <c r="Y522" s="1" t="s">
        <v>74</v>
      </c>
      <c r="Z522" s="1" t="s">
        <v>82</v>
      </c>
      <c r="AA522" s="1" t="s">
        <v>36</v>
      </c>
      <c r="AB522" s="1" t="s">
        <v>54</v>
      </c>
      <c r="AC522" s="1" t="s">
        <v>57</v>
      </c>
      <c r="AD522" s="1" t="s">
        <v>58</v>
      </c>
      <c r="AE522" s="1" t="s">
        <v>59</v>
      </c>
      <c r="AF522" s="1" t="s">
        <v>54</v>
      </c>
      <c r="AG522" s="1" t="s">
        <v>71</v>
      </c>
      <c r="AH522" s="1" t="s">
        <v>120</v>
      </c>
    </row>
    <row r="523" spans="1:34" x14ac:dyDescent="0.35">
      <c r="A523" s="1" t="s">
        <v>55</v>
      </c>
      <c r="B523" s="1" t="s">
        <v>94</v>
      </c>
      <c r="C523" s="1" t="s">
        <v>62</v>
      </c>
      <c r="D523" s="1" t="s">
        <v>83</v>
      </c>
      <c r="E523" s="1" t="s">
        <v>38</v>
      </c>
      <c r="F523" s="1" t="s">
        <v>39</v>
      </c>
      <c r="G523" s="1" t="s">
        <v>40</v>
      </c>
      <c r="H523" s="1" t="s">
        <v>35</v>
      </c>
      <c r="I523" s="1" t="s">
        <v>41</v>
      </c>
      <c r="J523" s="1" t="s">
        <v>39</v>
      </c>
      <c r="K523" s="1" t="s">
        <v>42</v>
      </c>
      <c r="L523" s="1" t="s">
        <v>43</v>
      </c>
      <c r="M523" s="1" t="s">
        <v>53</v>
      </c>
      <c r="N523" s="1" t="s">
        <v>45</v>
      </c>
      <c r="O523" s="1" t="s">
        <v>45</v>
      </c>
      <c r="P523" s="1" t="s">
        <v>103</v>
      </c>
      <c r="Q523" s="1" t="s">
        <v>47</v>
      </c>
      <c r="R523" s="1" t="s">
        <v>80</v>
      </c>
      <c r="S523" s="1" t="s">
        <v>49</v>
      </c>
      <c r="T523" s="1" t="s">
        <v>50</v>
      </c>
      <c r="U523" s="1" t="s">
        <v>51</v>
      </c>
      <c r="V523" s="1" t="s">
        <v>81</v>
      </c>
      <c r="W523" s="1" t="s">
        <v>53</v>
      </c>
      <c r="X523" s="1" t="s">
        <v>54</v>
      </c>
      <c r="Y523" s="1" t="s">
        <v>55</v>
      </c>
      <c r="Z523" s="1" t="s">
        <v>82</v>
      </c>
      <c r="AA523" s="1" t="s">
        <v>36</v>
      </c>
      <c r="AB523" s="1" t="s">
        <v>54</v>
      </c>
      <c r="AC523" s="1" t="s">
        <v>57</v>
      </c>
      <c r="AD523" s="1" t="s">
        <v>58</v>
      </c>
      <c r="AE523" s="1" t="s">
        <v>59</v>
      </c>
      <c r="AF523" s="1" t="s">
        <v>54</v>
      </c>
      <c r="AG523" s="1" t="s">
        <v>71</v>
      </c>
      <c r="AH523" s="1" t="s">
        <v>120</v>
      </c>
    </row>
    <row r="524" spans="1:34" x14ac:dyDescent="0.35">
      <c r="A524" s="1" t="s">
        <v>74</v>
      </c>
      <c r="B524" s="1" t="s">
        <v>61</v>
      </c>
      <c r="C524" s="1" t="s">
        <v>62</v>
      </c>
      <c r="D524" s="1" t="s">
        <v>63</v>
      </c>
      <c r="E524" s="1" t="s">
        <v>64</v>
      </c>
      <c r="F524" s="1" t="s">
        <v>65</v>
      </c>
      <c r="G524" s="1" t="s">
        <v>66</v>
      </c>
      <c r="H524" s="1" t="s">
        <v>61</v>
      </c>
      <c r="I524" s="1" t="s">
        <v>61</v>
      </c>
      <c r="J524" s="1" t="s">
        <v>65</v>
      </c>
      <c r="K524" s="1" t="s">
        <v>67</v>
      </c>
      <c r="L524" s="1" t="s">
        <v>66</v>
      </c>
      <c r="M524" s="1" t="s">
        <v>68</v>
      </c>
      <c r="N524" s="1" t="s">
        <v>63</v>
      </c>
      <c r="O524" s="1" t="s">
        <v>63</v>
      </c>
      <c r="P524" s="1" t="s">
        <v>69</v>
      </c>
      <c r="Q524" s="1" t="s">
        <v>70</v>
      </c>
      <c r="R524" s="1" t="s">
        <v>71</v>
      </c>
      <c r="S524" s="1" t="s">
        <v>63</v>
      </c>
      <c r="T524" s="1" t="s">
        <v>69</v>
      </c>
      <c r="U524" s="1" t="s">
        <v>69</v>
      </c>
      <c r="V524" s="1" t="s">
        <v>63</v>
      </c>
      <c r="W524" s="1" t="s">
        <v>68</v>
      </c>
      <c r="X524" s="1" t="s">
        <v>72</v>
      </c>
      <c r="Y524" s="1" t="s">
        <v>72</v>
      </c>
      <c r="Z524" s="1" t="s">
        <v>62</v>
      </c>
      <c r="AA524" s="1" t="s">
        <v>62</v>
      </c>
      <c r="AB524" s="1" t="s">
        <v>72</v>
      </c>
      <c r="AC524" s="1" t="s">
        <v>73</v>
      </c>
      <c r="AD524" s="1" t="s">
        <v>73</v>
      </c>
      <c r="AE524" s="1" t="s">
        <v>67</v>
      </c>
      <c r="AF524" s="1" t="s">
        <v>72</v>
      </c>
      <c r="AG524" s="1" t="s">
        <v>71</v>
      </c>
      <c r="AH524" s="1" t="s">
        <v>120</v>
      </c>
    </row>
    <row r="525" spans="1:34" x14ac:dyDescent="0.35">
      <c r="A525" s="1" t="s">
        <v>54</v>
      </c>
      <c r="B525" s="1" t="s">
        <v>94</v>
      </c>
      <c r="C525" s="1" t="s">
        <v>62</v>
      </c>
      <c r="D525" s="1" t="s">
        <v>37</v>
      </c>
      <c r="E525" s="1" t="s">
        <v>77</v>
      </c>
      <c r="F525" s="1" t="s">
        <v>39</v>
      </c>
      <c r="G525" s="1" t="s">
        <v>40</v>
      </c>
      <c r="H525" s="1" t="s">
        <v>35</v>
      </c>
      <c r="I525" s="1" t="s">
        <v>41</v>
      </c>
      <c r="J525" s="1" t="s">
        <v>39</v>
      </c>
      <c r="K525" s="1" t="s">
        <v>59</v>
      </c>
      <c r="L525" s="1" t="s">
        <v>66</v>
      </c>
      <c r="M525" s="1" t="s">
        <v>44</v>
      </c>
      <c r="N525" s="1" t="s">
        <v>45</v>
      </c>
      <c r="O525" s="1" t="s">
        <v>45</v>
      </c>
      <c r="P525" s="1" t="s">
        <v>103</v>
      </c>
      <c r="Q525" s="1" t="s">
        <v>47</v>
      </c>
      <c r="R525" s="1" t="s">
        <v>80</v>
      </c>
      <c r="S525" s="1" t="s">
        <v>49</v>
      </c>
      <c r="T525" s="1" t="s">
        <v>50</v>
      </c>
      <c r="U525" s="1" t="s">
        <v>51</v>
      </c>
      <c r="V525" s="1" t="s">
        <v>52</v>
      </c>
      <c r="W525" s="1" t="s">
        <v>53</v>
      </c>
      <c r="X525" s="1" t="s">
        <v>54</v>
      </c>
      <c r="Y525" s="1" t="s">
        <v>55</v>
      </c>
      <c r="Z525" s="1" t="s">
        <v>56</v>
      </c>
      <c r="AA525" s="1" t="s">
        <v>36</v>
      </c>
      <c r="AB525" s="1" t="s">
        <v>54</v>
      </c>
      <c r="AC525" s="1" t="s">
        <v>57</v>
      </c>
      <c r="AD525" s="1" t="s">
        <v>58</v>
      </c>
      <c r="AE525" s="1" t="s">
        <v>59</v>
      </c>
      <c r="AF525" s="1" t="s">
        <v>54</v>
      </c>
      <c r="AG525" s="1" t="s">
        <v>71</v>
      </c>
      <c r="AH525" s="1" t="s">
        <v>120</v>
      </c>
    </row>
    <row r="526" spans="1:34" x14ac:dyDescent="0.35">
      <c r="A526" s="1" t="s">
        <v>91</v>
      </c>
      <c r="B526" s="1" t="s">
        <v>61</v>
      </c>
      <c r="C526" s="1" t="s">
        <v>62</v>
      </c>
      <c r="D526" s="1" t="s">
        <v>63</v>
      </c>
      <c r="E526" s="1" t="s">
        <v>64</v>
      </c>
      <c r="F526" s="1" t="s">
        <v>65</v>
      </c>
      <c r="G526" s="1" t="s">
        <v>66</v>
      </c>
      <c r="H526" s="1" t="s">
        <v>61</v>
      </c>
      <c r="I526" s="1" t="s">
        <v>61</v>
      </c>
      <c r="J526" s="1" t="s">
        <v>65</v>
      </c>
      <c r="K526" s="1" t="s">
        <v>67</v>
      </c>
      <c r="L526" s="1" t="s">
        <v>66</v>
      </c>
      <c r="M526" s="1" t="s">
        <v>68</v>
      </c>
      <c r="N526" s="1" t="s">
        <v>63</v>
      </c>
      <c r="O526" s="1" t="s">
        <v>63</v>
      </c>
      <c r="P526" s="1" t="s">
        <v>69</v>
      </c>
      <c r="Q526" s="1" t="s">
        <v>70</v>
      </c>
      <c r="R526" s="1" t="s">
        <v>71</v>
      </c>
      <c r="S526" s="1" t="s">
        <v>63</v>
      </c>
      <c r="T526" s="1" t="s">
        <v>69</v>
      </c>
      <c r="U526" s="1" t="s">
        <v>69</v>
      </c>
      <c r="V526" s="1" t="s">
        <v>63</v>
      </c>
      <c r="W526" s="1" t="s">
        <v>68</v>
      </c>
      <c r="X526" s="1" t="s">
        <v>72</v>
      </c>
      <c r="Y526" s="1" t="s">
        <v>72</v>
      </c>
      <c r="Z526" s="1" t="s">
        <v>62</v>
      </c>
      <c r="AA526" s="1" t="s">
        <v>62</v>
      </c>
      <c r="AB526" s="1" t="s">
        <v>72</v>
      </c>
      <c r="AC526" s="1" t="s">
        <v>73</v>
      </c>
      <c r="AD526" s="1" t="s">
        <v>73</v>
      </c>
      <c r="AE526" s="1" t="s">
        <v>67</v>
      </c>
      <c r="AF526" s="1" t="s">
        <v>72</v>
      </c>
      <c r="AG526" s="1" t="s">
        <v>71</v>
      </c>
      <c r="AH526" s="1" t="s">
        <v>120</v>
      </c>
    </row>
    <row r="527" spans="1:34" x14ac:dyDescent="0.35">
      <c r="A527" s="1" t="s">
        <v>54</v>
      </c>
      <c r="B527" s="1" t="s">
        <v>94</v>
      </c>
      <c r="C527" s="1" t="s">
        <v>62</v>
      </c>
      <c r="D527" s="1" t="s">
        <v>37</v>
      </c>
      <c r="E527" s="1" t="s">
        <v>77</v>
      </c>
      <c r="F527" s="1" t="s">
        <v>39</v>
      </c>
      <c r="G527" s="1" t="s">
        <v>40</v>
      </c>
      <c r="H527" s="1" t="s">
        <v>35</v>
      </c>
      <c r="I527" s="1" t="s">
        <v>35</v>
      </c>
      <c r="J527" s="1" t="s">
        <v>39</v>
      </c>
      <c r="K527" s="1" t="s">
        <v>42</v>
      </c>
      <c r="L527" s="1" t="s">
        <v>43</v>
      </c>
      <c r="M527" s="1" t="s">
        <v>44</v>
      </c>
      <c r="N527" s="1" t="s">
        <v>45</v>
      </c>
      <c r="O527" s="1" t="s">
        <v>45</v>
      </c>
      <c r="P527" s="1" t="s">
        <v>103</v>
      </c>
      <c r="Q527" s="1" t="s">
        <v>47</v>
      </c>
      <c r="R527" s="1" t="s">
        <v>80</v>
      </c>
      <c r="S527" s="1" t="s">
        <v>49</v>
      </c>
      <c r="T527" s="1" t="s">
        <v>50</v>
      </c>
      <c r="U527" s="1" t="s">
        <v>51</v>
      </c>
      <c r="V527" s="1" t="s">
        <v>52</v>
      </c>
      <c r="W527" s="1" t="s">
        <v>53</v>
      </c>
      <c r="X527" s="1" t="s">
        <v>54</v>
      </c>
      <c r="Y527" s="1" t="s">
        <v>55</v>
      </c>
      <c r="Z527" s="1" t="s">
        <v>82</v>
      </c>
      <c r="AA527" s="1" t="s">
        <v>36</v>
      </c>
      <c r="AB527" s="1" t="s">
        <v>54</v>
      </c>
      <c r="AC527" s="1" t="s">
        <v>57</v>
      </c>
      <c r="AD527" s="1" t="s">
        <v>58</v>
      </c>
      <c r="AE527" s="1" t="s">
        <v>59</v>
      </c>
      <c r="AF527" s="1" t="s">
        <v>54</v>
      </c>
      <c r="AG527" s="1" t="s">
        <v>71</v>
      </c>
      <c r="AH527" s="1" t="s">
        <v>120</v>
      </c>
    </row>
    <row r="528" spans="1:34" x14ac:dyDescent="0.35">
      <c r="A528" s="1" t="s">
        <v>91</v>
      </c>
      <c r="B528" s="1" t="s">
        <v>35</v>
      </c>
      <c r="C528" s="1" t="s">
        <v>62</v>
      </c>
      <c r="D528" s="1" t="s">
        <v>49</v>
      </c>
      <c r="E528" s="1" t="s">
        <v>77</v>
      </c>
      <c r="F528" s="1" t="s">
        <v>39</v>
      </c>
      <c r="G528" s="1" t="s">
        <v>40</v>
      </c>
      <c r="H528" s="1" t="s">
        <v>35</v>
      </c>
      <c r="I528" s="1" t="s">
        <v>41</v>
      </c>
      <c r="J528" s="1" t="s">
        <v>39</v>
      </c>
      <c r="K528" s="1" t="s">
        <v>42</v>
      </c>
      <c r="L528" s="1" t="s">
        <v>43</v>
      </c>
      <c r="M528" s="1" t="s">
        <v>53</v>
      </c>
      <c r="N528" s="1" t="s">
        <v>45</v>
      </c>
      <c r="O528" s="1" t="s">
        <v>45</v>
      </c>
      <c r="P528" s="1" t="s">
        <v>103</v>
      </c>
      <c r="Q528" s="1" t="s">
        <v>47</v>
      </c>
      <c r="R528" s="1" t="s">
        <v>80</v>
      </c>
      <c r="S528" s="1" t="s">
        <v>49</v>
      </c>
      <c r="T528" s="1" t="s">
        <v>50</v>
      </c>
      <c r="U528" s="1" t="s">
        <v>51</v>
      </c>
      <c r="V528" s="1" t="s">
        <v>52</v>
      </c>
      <c r="W528" s="1" t="s">
        <v>53</v>
      </c>
      <c r="X528" s="1" t="s">
        <v>54</v>
      </c>
      <c r="Y528" s="1" t="s">
        <v>55</v>
      </c>
      <c r="Z528" s="1" t="s">
        <v>56</v>
      </c>
      <c r="AA528" s="1" t="s">
        <v>36</v>
      </c>
      <c r="AB528" s="1" t="s">
        <v>54</v>
      </c>
      <c r="AC528" s="1" t="s">
        <v>57</v>
      </c>
      <c r="AD528" s="1" t="s">
        <v>58</v>
      </c>
      <c r="AE528" s="1" t="s">
        <v>59</v>
      </c>
      <c r="AF528" s="1" t="s">
        <v>54</v>
      </c>
      <c r="AG528" s="1" t="s">
        <v>71</v>
      </c>
      <c r="AH528" s="1" t="s">
        <v>120</v>
      </c>
    </row>
    <row r="529" spans="1:34" x14ac:dyDescent="0.35">
      <c r="A529" s="1" t="s">
        <v>99</v>
      </c>
      <c r="B529" s="1" t="s">
        <v>35</v>
      </c>
      <c r="C529" s="1" t="s">
        <v>36</v>
      </c>
      <c r="D529" s="1" t="s">
        <v>83</v>
      </c>
      <c r="E529" s="1" t="s">
        <v>38</v>
      </c>
      <c r="F529" s="1" t="s">
        <v>39</v>
      </c>
      <c r="G529" s="1" t="s">
        <v>40</v>
      </c>
      <c r="H529" s="1" t="s">
        <v>35</v>
      </c>
      <c r="I529" s="1" t="s">
        <v>35</v>
      </c>
      <c r="J529" s="1" t="s">
        <v>78</v>
      </c>
      <c r="K529" s="1" t="s">
        <v>42</v>
      </c>
      <c r="L529" s="1" t="s">
        <v>43</v>
      </c>
      <c r="M529" s="1" t="s">
        <v>44</v>
      </c>
      <c r="N529" s="1" t="s">
        <v>45</v>
      </c>
      <c r="O529" s="1" t="s">
        <v>52</v>
      </c>
      <c r="P529" s="1" t="s">
        <v>103</v>
      </c>
      <c r="Q529" s="1" t="s">
        <v>47</v>
      </c>
      <c r="R529" s="1" t="s">
        <v>80</v>
      </c>
      <c r="S529" s="1" t="s">
        <v>49</v>
      </c>
      <c r="T529" s="1" t="s">
        <v>50</v>
      </c>
      <c r="U529" s="1" t="s">
        <v>51</v>
      </c>
      <c r="V529" s="1" t="s">
        <v>52</v>
      </c>
      <c r="W529" s="1" t="s">
        <v>53</v>
      </c>
      <c r="X529" s="1" t="s">
        <v>54</v>
      </c>
      <c r="Y529" s="1" t="s">
        <v>55</v>
      </c>
      <c r="Z529" s="1" t="s">
        <v>56</v>
      </c>
      <c r="AA529" s="1" t="s">
        <v>36</v>
      </c>
      <c r="AB529" s="1" t="s">
        <v>54</v>
      </c>
      <c r="AC529" s="1" t="s">
        <v>57</v>
      </c>
      <c r="AD529" s="1" t="s">
        <v>58</v>
      </c>
      <c r="AE529" s="1" t="s">
        <v>59</v>
      </c>
      <c r="AF529" s="1" t="s">
        <v>54</v>
      </c>
      <c r="AG529" s="1" t="s">
        <v>98</v>
      </c>
      <c r="AH529" s="1" t="s">
        <v>121</v>
      </c>
    </row>
    <row r="530" spans="1:34" x14ac:dyDescent="0.35">
      <c r="A530" s="1" t="s">
        <v>99</v>
      </c>
      <c r="B530" s="1" t="s">
        <v>35</v>
      </c>
      <c r="C530" s="1" t="s">
        <v>36</v>
      </c>
      <c r="D530" s="1" t="s">
        <v>37</v>
      </c>
      <c r="E530" s="1" t="s">
        <v>77</v>
      </c>
      <c r="F530" s="1" t="s">
        <v>39</v>
      </c>
      <c r="G530" s="1" t="s">
        <v>40</v>
      </c>
      <c r="H530" s="1" t="s">
        <v>35</v>
      </c>
      <c r="I530" s="1" t="s">
        <v>35</v>
      </c>
      <c r="J530" s="1" t="s">
        <v>78</v>
      </c>
      <c r="K530" s="1" t="s">
        <v>42</v>
      </c>
      <c r="L530" s="1" t="s">
        <v>43</v>
      </c>
      <c r="M530" s="1" t="s">
        <v>44</v>
      </c>
      <c r="N530" s="1" t="s">
        <v>45</v>
      </c>
      <c r="O530" s="1" t="s">
        <v>52</v>
      </c>
      <c r="P530" s="1" t="s">
        <v>51</v>
      </c>
      <c r="Q530" s="1" t="s">
        <v>47</v>
      </c>
      <c r="R530" s="1" t="s">
        <v>80</v>
      </c>
      <c r="S530" s="1" t="s">
        <v>49</v>
      </c>
      <c r="T530" s="1" t="s">
        <v>50</v>
      </c>
      <c r="U530" s="1" t="s">
        <v>51</v>
      </c>
      <c r="V530" s="1" t="s">
        <v>52</v>
      </c>
      <c r="W530" s="1" t="s">
        <v>53</v>
      </c>
      <c r="X530" s="1" t="s">
        <v>54</v>
      </c>
      <c r="Y530" s="1" t="s">
        <v>55</v>
      </c>
      <c r="Z530" s="1" t="s">
        <v>56</v>
      </c>
      <c r="AA530" s="1" t="s">
        <v>36</v>
      </c>
      <c r="AB530" s="1" t="s">
        <v>54</v>
      </c>
      <c r="AC530" s="1" t="s">
        <v>57</v>
      </c>
      <c r="AD530" s="1" t="s">
        <v>58</v>
      </c>
      <c r="AE530" s="1" t="s">
        <v>59</v>
      </c>
      <c r="AF530" s="1" t="s">
        <v>54</v>
      </c>
      <c r="AG530" s="1" t="s">
        <v>98</v>
      </c>
      <c r="AH530" s="1" t="s">
        <v>121</v>
      </c>
    </row>
    <row r="531" spans="1:34" x14ac:dyDescent="0.35">
      <c r="A531" s="1" t="s">
        <v>74</v>
      </c>
      <c r="B531" s="1" t="s">
        <v>35</v>
      </c>
      <c r="C531" s="1" t="s">
        <v>36</v>
      </c>
      <c r="D531" s="1" t="s">
        <v>37</v>
      </c>
      <c r="E531" s="1" t="s">
        <v>77</v>
      </c>
      <c r="F531" s="1" t="s">
        <v>39</v>
      </c>
      <c r="G531" s="1" t="s">
        <v>40</v>
      </c>
      <c r="H531" s="1" t="s">
        <v>35</v>
      </c>
      <c r="I531" s="1" t="s">
        <v>41</v>
      </c>
      <c r="J531" s="1" t="s">
        <v>39</v>
      </c>
      <c r="K531" s="1" t="s">
        <v>42</v>
      </c>
      <c r="L531" s="1" t="s">
        <v>79</v>
      </c>
      <c r="M531" s="1" t="s">
        <v>44</v>
      </c>
      <c r="N531" s="1" t="s">
        <v>45</v>
      </c>
      <c r="O531" s="1" t="s">
        <v>45</v>
      </c>
      <c r="P531" s="1" t="s">
        <v>46</v>
      </c>
      <c r="Q531" s="1" t="s">
        <v>47</v>
      </c>
      <c r="R531" s="1" t="s">
        <v>80</v>
      </c>
      <c r="S531" s="1" t="s">
        <v>49</v>
      </c>
      <c r="T531" s="1" t="s">
        <v>50</v>
      </c>
      <c r="U531" s="1" t="s">
        <v>51</v>
      </c>
      <c r="V531" s="1" t="s">
        <v>52</v>
      </c>
      <c r="W531" s="1" t="s">
        <v>53</v>
      </c>
      <c r="X531" s="1" t="s">
        <v>54</v>
      </c>
      <c r="Y531" s="1" t="s">
        <v>55</v>
      </c>
      <c r="Z531" s="1" t="s">
        <v>82</v>
      </c>
      <c r="AA531" s="1" t="s">
        <v>36</v>
      </c>
      <c r="AB531" s="1" t="s">
        <v>54</v>
      </c>
      <c r="AC531" s="1" t="s">
        <v>57</v>
      </c>
      <c r="AD531" s="1" t="s">
        <v>58</v>
      </c>
      <c r="AE531" s="1" t="s">
        <v>59</v>
      </c>
      <c r="AF531" s="1" t="s">
        <v>54</v>
      </c>
      <c r="AG531" s="1" t="s">
        <v>98</v>
      </c>
      <c r="AH531" s="1" t="s">
        <v>120</v>
      </c>
    </row>
    <row r="532" spans="1:34" x14ac:dyDescent="0.35">
      <c r="A532" s="1" t="s">
        <v>54</v>
      </c>
      <c r="B532" s="1" t="s">
        <v>35</v>
      </c>
      <c r="C532" s="1" t="s">
        <v>36</v>
      </c>
      <c r="D532" s="1" t="s">
        <v>37</v>
      </c>
      <c r="E532" s="1" t="s">
        <v>38</v>
      </c>
      <c r="F532" s="1" t="s">
        <v>39</v>
      </c>
      <c r="G532" s="1" t="s">
        <v>40</v>
      </c>
      <c r="H532" s="1" t="s">
        <v>35</v>
      </c>
      <c r="I532" s="1" t="s">
        <v>41</v>
      </c>
      <c r="J532" s="1" t="s">
        <v>39</v>
      </c>
      <c r="K532" s="1" t="s">
        <v>42</v>
      </c>
      <c r="L532" s="1" t="s">
        <v>79</v>
      </c>
      <c r="M532" s="1" t="s">
        <v>44</v>
      </c>
      <c r="N532" s="1" t="s">
        <v>49</v>
      </c>
      <c r="O532" s="1" t="s">
        <v>45</v>
      </c>
      <c r="P532" s="1" t="s">
        <v>103</v>
      </c>
      <c r="Q532" s="1" t="s">
        <v>47</v>
      </c>
      <c r="R532" s="1" t="s">
        <v>80</v>
      </c>
      <c r="S532" s="1" t="s">
        <v>49</v>
      </c>
      <c r="T532" s="1" t="s">
        <v>50</v>
      </c>
      <c r="U532" s="1" t="s">
        <v>51</v>
      </c>
      <c r="V532" s="1" t="s">
        <v>81</v>
      </c>
      <c r="W532" s="1" t="s">
        <v>53</v>
      </c>
      <c r="X532" s="1" t="s">
        <v>54</v>
      </c>
      <c r="Y532" s="1" t="s">
        <v>55</v>
      </c>
      <c r="Z532" s="1" t="s">
        <v>82</v>
      </c>
      <c r="AA532" s="1" t="s">
        <v>36</v>
      </c>
      <c r="AB532" s="1" t="s">
        <v>54</v>
      </c>
      <c r="AC532" s="1" t="s">
        <v>57</v>
      </c>
      <c r="AD532" s="1" t="s">
        <v>58</v>
      </c>
      <c r="AE532" s="1" t="s">
        <v>59</v>
      </c>
      <c r="AF532" s="1" t="s">
        <v>54</v>
      </c>
      <c r="AG532" s="1" t="s">
        <v>98</v>
      </c>
      <c r="AH532" s="1" t="s">
        <v>120</v>
      </c>
    </row>
    <row r="533" spans="1:34" x14ac:dyDescent="0.35">
      <c r="A533" s="1" t="s">
        <v>99</v>
      </c>
      <c r="B533" s="1" t="s">
        <v>35</v>
      </c>
      <c r="C533" s="1" t="s">
        <v>36</v>
      </c>
      <c r="D533" s="1" t="s">
        <v>107</v>
      </c>
      <c r="E533" s="1" t="s">
        <v>38</v>
      </c>
      <c r="F533" s="1" t="s">
        <v>39</v>
      </c>
      <c r="G533" s="1" t="s">
        <v>40</v>
      </c>
      <c r="H533" s="1" t="s">
        <v>35</v>
      </c>
      <c r="I533" s="1" t="s">
        <v>35</v>
      </c>
      <c r="J533" s="1" t="s">
        <v>39</v>
      </c>
      <c r="K533" s="1" t="s">
        <v>42</v>
      </c>
      <c r="L533" s="1" t="s">
        <v>40</v>
      </c>
      <c r="M533" s="1" t="s">
        <v>44</v>
      </c>
      <c r="N533" s="1" t="s">
        <v>45</v>
      </c>
      <c r="O533" s="1" t="s">
        <v>52</v>
      </c>
      <c r="P533" s="1" t="s">
        <v>103</v>
      </c>
      <c r="Q533" s="1" t="s">
        <v>47</v>
      </c>
      <c r="R533" s="1" t="s">
        <v>80</v>
      </c>
      <c r="S533" s="1" t="s">
        <v>49</v>
      </c>
      <c r="T533" s="1" t="s">
        <v>50</v>
      </c>
      <c r="U533" s="1" t="s">
        <v>51</v>
      </c>
      <c r="V533" s="1" t="s">
        <v>52</v>
      </c>
      <c r="W533" s="1" t="s">
        <v>53</v>
      </c>
      <c r="X533" s="1" t="s">
        <v>54</v>
      </c>
      <c r="Y533" s="1" t="s">
        <v>55</v>
      </c>
      <c r="Z533" s="1" t="s">
        <v>56</v>
      </c>
      <c r="AA533" s="1" t="s">
        <v>36</v>
      </c>
      <c r="AB533" s="1" t="s">
        <v>54</v>
      </c>
      <c r="AC533" s="1" t="s">
        <v>57</v>
      </c>
      <c r="AD533" s="1" t="s">
        <v>58</v>
      </c>
      <c r="AE533" s="1" t="s">
        <v>59</v>
      </c>
      <c r="AF533" s="1" t="s">
        <v>54</v>
      </c>
      <c r="AG533" s="1" t="s">
        <v>98</v>
      </c>
      <c r="AH533" s="1" t="s">
        <v>121</v>
      </c>
    </row>
    <row r="534" spans="1:34" x14ac:dyDescent="0.35">
      <c r="A534" s="1" t="s">
        <v>54</v>
      </c>
      <c r="B534" s="1" t="s">
        <v>35</v>
      </c>
      <c r="C534" s="1" t="s">
        <v>36</v>
      </c>
      <c r="D534" s="1" t="s">
        <v>37</v>
      </c>
      <c r="E534" s="1" t="s">
        <v>77</v>
      </c>
      <c r="F534" s="1" t="s">
        <v>39</v>
      </c>
      <c r="G534" s="1" t="s">
        <v>40</v>
      </c>
      <c r="H534" s="1" t="s">
        <v>35</v>
      </c>
      <c r="I534" s="1" t="s">
        <v>35</v>
      </c>
      <c r="J534" s="1" t="s">
        <v>39</v>
      </c>
      <c r="K534" s="1" t="s">
        <v>42</v>
      </c>
      <c r="L534" s="1" t="s">
        <v>79</v>
      </c>
      <c r="M534" s="1" t="s">
        <v>44</v>
      </c>
      <c r="N534" s="1" t="s">
        <v>45</v>
      </c>
      <c r="O534" s="1" t="s">
        <v>45</v>
      </c>
      <c r="P534" s="1" t="s">
        <v>46</v>
      </c>
      <c r="Q534" s="1" t="s">
        <v>47</v>
      </c>
      <c r="R534" s="1" t="s">
        <v>48</v>
      </c>
      <c r="S534" s="1" t="s">
        <v>49</v>
      </c>
      <c r="T534" s="1" t="s">
        <v>50</v>
      </c>
      <c r="U534" s="1" t="s">
        <v>51</v>
      </c>
      <c r="V534" s="1" t="s">
        <v>52</v>
      </c>
      <c r="W534" s="1" t="s">
        <v>53</v>
      </c>
      <c r="X534" s="1" t="s">
        <v>54</v>
      </c>
      <c r="Y534" s="1" t="s">
        <v>55</v>
      </c>
      <c r="Z534" s="1" t="s">
        <v>82</v>
      </c>
      <c r="AA534" s="1" t="s">
        <v>36</v>
      </c>
      <c r="AB534" s="1" t="s">
        <v>54</v>
      </c>
      <c r="AC534" s="1" t="s">
        <v>57</v>
      </c>
      <c r="AD534" s="1" t="s">
        <v>58</v>
      </c>
      <c r="AE534" s="1" t="s">
        <v>59</v>
      </c>
      <c r="AF534" s="1" t="s">
        <v>54</v>
      </c>
      <c r="AG534" s="1" t="s">
        <v>98</v>
      </c>
      <c r="AH534" s="1" t="s">
        <v>120</v>
      </c>
    </row>
    <row r="535" spans="1:34" x14ac:dyDescent="0.35">
      <c r="A535" s="1" t="s">
        <v>99</v>
      </c>
      <c r="B535" s="1" t="s">
        <v>41</v>
      </c>
      <c r="C535" s="1" t="s">
        <v>76</v>
      </c>
      <c r="D535" s="1" t="s">
        <v>37</v>
      </c>
      <c r="E535" s="1" t="s">
        <v>77</v>
      </c>
      <c r="F535" s="1" t="s">
        <v>39</v>
      </c>
      <c r="G535" s="1" t="s">
        <v>40</v>
      </c>
      <c r="H535" s="1" t="s">
        <v>41</v>
      </c>
      <c r="I535" s="1" t="s">
        <v>35</v>
      </c>
      <c r="J535" s="1" t="s">
        <v>39</v>
      </c>
      <c r="K535" s="1" t="s">
        <v>42</v>
      </c>
      <c r="L535" s="1" t="s">
        <v>43</v>
      </c>
      <c r="M535" s="1" t="s">
        <v>44</v>
      </c>
      <c r="N535" s="1" t="s">
        <v>45</v>
      </c>
      <c r="O535" s="1" t="s">
        <v>52</v>
      </c>
      <c r="P535" s="1" t="s">
        <v>103</v>
      </c>
      <c r="Q535" s="1" t="s">
        <v>47</v>
      </c>
      <c r="R535" s="1" t="s">
        <v>80</v>
      </c>
      <c r="S535" s="1" t="s">
        <v>49</v>
      </c>
      <c r="T535" s="1" t="s">
        <v>50</v>
      </c>
      <c r="U535" s="1" t="s">
        <v>51</v>
      </c>
      <c r="V535" s="1" t="s">
        <v>52</v>
      </c>
      <c r="W535" s="1" t="s">
        <v>53</v>
      </c>
      <c r="X535" s="1" t="s">
        <v>54</v>
      </c>
      <c r="Y535" s="1" t="s">
        <v>55</v>
      </c>
      <c r="Z535" s="1" t="s">
        <v>56</v>
      </c>
      <c r="AA535" s="1" t="s">
        <v>36</v>
      </c>
      <c r="AB535" s="1" t="s">
        <v>54</v>
      </c>
      <c r="AC535" s="1" t="s">
        <v>57</v>
      </c>
      <c r="AD535" s="1" t="s">
        <v>58</v>
      </c>
      <c r="AE535" s="1" t="s">
        <v>59</v>
      </c>
      <c r="AF535" s="1" t="s">
        <v>54</v>
      </c>
      <c r="AG535" s="1" t="s">
        <v>98</v>
      </c>
      <c r="AH535" s="1" t="s">
        <v>120</v>
      </c>
    </row>
    <row r="536" spans="1:34" x14ac:dyDescent="0.35">
      <c r="A536" s="1" t="s">
        <v>34</v>
      </c>
      <c r="B536" s="1" t="s">
        <v>41</v>
      </c>
      <c r="C536" s="1" t="s">
        <v>76</v>
      </c>
      <c r="D536" s="1" t="s">
        <v>49</v>
      </c>
      <c r="E536" s="1" t="s">
        <v>77</v>
      </c>
      <c r="F536" s="1" t="s">
        <v>39</v>
      </c>
      <c r="G536" s="1" t="s">
        <v>40</v>
      </c>
      <c r="H536" s="1" t="s">
        <v>35</v>
      </c>
      <c r="I536" s="1" t="s">
        <v>94</v>
      </c>
      <c r="J536" s="1" t="s">
        <v>39</v>
      </c>
      <c r="K536" s="1" t="s">
        <v>42</v>
      </c>
      <c r="L536" s="1" t="s">
        <v>43</v>
      </c>
      <c r="M536" s="1" t="s">
        <v>44</v>
      </c>
      <c r="N536" s="1" t="s">
        <v>45</v>
      </c>
      <c r="O536" s="1" t="s">
        <v>45</v>
      </c>
      <c r="P536" s="1" t="s">
        <v>46</v>
      </c>
      <c r="Q536" s="1" t="s">
        <v>47</v>
      </c>
      <c r="R536" s="1" t="s">
        <v>48</v>
      </c>
      <c r="S536" s="1" t="s">
        <v>49</v>
      </c>
      <c r="T536" s="1" t="s">
        <v>50</v>
      </c>
      <c r="U536" s="1" t="s">
        <v>51</v>
      </c>
      <c r="V536" s="1" t="s">
        <v>52</v>
      </c>
      <c r="W536" s="1" t="s">
        <v>53</v>
      </c>
      <c r="X536" s="1" t="s">
        <v>54</v>
      </c>
      <c r="Y536" s="1" t="s">
        <v>74</v>
      </c>
      <c r="Z536" s="1" t="s">
        <v>56</v>
      </c>
      <c r="AA536" s="1" t="s">
        <v>36</v>
      </c>
      <c r="AB536" s="1" t="s">
        <v>54</v>
      </c>
      <c r="AC536" s="1" t="s">
        <v>57</v>
      </c>
      <c r="AD536" s="1" t="s">
        <v>58</v>
      </c>
      <c r="AE536" s="1" t="s">
        <v>42</v>
      </c>
      <c r="AF536" s="1" t="s">
        <v>54</v>
      </c>
      <c r="AG536" s="1" t="s">
        <v>60</v>
      </c>
      <c r="AH536" s="1" t="s">
        <v>120</v>
      </c>
    </row>
    <row r="537" spans="1:34" x14ac:dyDescent="0.35">
      <c r="A537" s="1" t="s">
        <v>34</v>
      </c>
      <c r="B537" s="1" t="s">
        <v>94</v>
      </c>
      <c r="C537" s="1" t="s">
        <v>62</v>
      </c>
      <c r="D537" s="1" t="s">
        <v>49</v>
      </c>
      <c r="E537" s="1" t="s">
        <v>77</v>
      </c>
      <c r="F537" s="1" t="s">
        <v>39</v>
      </c>
      <c r="G537" s="1" t="s">
        <v>40</v>
      </c>
      <c r="H537" s="1" t="s">
        <v>35</v>
      </c>
      <c r="I537" s="1" t="s">
        <v>35</v>
      </c>
      <c r="J537" s="1" t="s">
        <v>39</v>
      </c>
      <c r="K537" s="1" t="s">
        <v>42</v>
      </c>
      <c r="L537" s="1" t="s">
        <v>43</v>
      </c>
      <c r="M537" s="1" t="s">
        <v>44</v>
      </c>
      <c r="N537" s="1" t="s">
        <v>45</v>
      </c>
      <c r="O537" s="1" t="s">
        <v>45</v>
      </c>
      <c r="P537" s="1" t="s">
        <v>103</v>
      </c>
      <c r="Q537" s="1" t="s">
        <v>47</v>
      </c>
      <c r="R537" s="1" t="s">
        <v>80</v>
      </c>
      <c r="S537" s="1" t="s">
        <v>49</v>
      </c>
      <c r="T537" s="1" t="s">
        <v>50</v>
      </c>
      <c r="U537" s="1" t="s">
        <v>51</v>
      </c>
      <c r="V537" s="1" t="s">
        <v>52</v>
      </c>
      <c r="W537" s="1" t="s">
        <v>53</v>
      </c>
      <c r="X537" s="1" t="s">
        <v>54</v>
      </c>
      <c r="Y537" s="1" t="s">
        <v>55</v>
      </c>
      <c r="Z537" s="1" t="s">
        <v>82</v>
      </c>
      <c r="AA537" s="1" t="s">
        <v>36</v>
      </c>
      <c r="AB537" s="1" t="s">
        <v>54</v>
      </c>
      <c r="AC537" s="1" t="s">
        <v>57</v>
      </c>
      <c r="AD537" s="1" t="s">
        <v>58</v>
      </c>
      <c r="AE537" s="1" t="s">
        <v>59</v>
      </c>
      <c r="AF537" s="1" t="s">
        <v>54</v>
      </c>
      <c r="AG537" s="1" t="s">
        <v>71</v>
      </c>
      <c r="AH537" s="1" t="s">
        <v>120</v>
      </c>
    </row>
    <row r="538" spans="1:34" x14ac:dyDescent="0.35">
      <c r="A538" s="1" t="s">
        <v>91</v>
      </c>
      <c r="B538" s="1" t="s">
        <v>87</v>
      </c>
      <c r="C538" s="1" t="s">
        <v>82</v>
      </c>
      <c r="D538" s="1" t="s">
        <v>49</v>
      </c>
      <c r="E538" s="1" t="s">
        <v>77</v>
      </c>
      <c r="F538" s="1" t="s">
        <v>39</v>
      </c>
      <c r="G538" s="1" t="s">
        <v>88</v>
      </c>
      <c r="H538" s="1" t="s">
        <v>35</v>
      </c>
      <c r="I538" s="1" t="s">
        <v>41</v>
      </c>
      <c r="J538" s="1" t="s">
        <v>39</v>
      </c>
      <c r="K538" s="1" t="s">
        <v>59</v>
      </c>
      <c r="L538" s="1" t="s">
        <v>66</v>
      </c>
      <c r="M538" s="1" t="s">
        <v>44</v>
      </c>
      <c r="N538" s="1" t="s">
        <v>52</v>
      </c>
      <c r="O538" s="1" t="s">
        <v>45</v>
      </c>
      <c r="P538" s="1" t="s">
        <v>46</v>
      </c>
      <c r="Q538" s="1" t="s">
        <v>47</v>
      </c>
      <c r="R538" s="1" t="s">
        <v>80</v>
      </c>
      <c r="S538" s="1" t="s">
        <v>49</v>
      </c>
      <c r="T538" s="1" t="s">
        <v>50</v>
      </c>
      <c r="U538" s="1" t="s">
        <v>51</v>
      </c>
      <c r="V538" s="1" t="s">
        <v>52</v>
      </c>
      <c r="W538" s="1" t="s">
        <v>53</v>
      </c>
      <c r="X538" s="1" t="s">
        <v>54</v>
      </c>
      <c r="Y538" s="1" t="s">
        <v>74</v>
      </c>
      <c r="Z538" s="1" t="s">
        <v>82</v>
      </c>
      <c r="AA538" s="1" t="s">
        <v>36</v>
      </c>
      <c r="AB538" s="1" t="s">
        <v>54</v>
      </c>
      <c r="AC538" s="1" t="s">
        <v>57</v>
      </c>
      <c r="AD538" s="1" t="s">
        <v>58</v>
      </c>
      <c r="AE538" s="1" t="s">
        <v>59</v>
      </c>
      <c r="AF538" s="1" t="s">
        <v>54</v>
      </c>
      <c r="AG538" s="1" t="s">
        <v>75</v>
      </c>
      <c r="AH538" s="1" t="s">
        <v>120</v>
      </c>
    </row>
    <row r="539" spans="1:34" x14ac:dyDescent="0.35">
      <c r="A539" s="1" t="s">
        <v>74</v>
      </c>
      <c r="B539" s="1" t="s">
        <v>41</v>
      </c>
      <c r="C539" s="1" t="s">
        <v>76</v>
      </c>
      <c r="D539" s="1" t="s">
        <v>49</v>
      </c>
      <c r="E539" s="1" t="s">
        <v>77</v>
      </c>
      <c r="F539" s="1" t="s">
        <v>39</v>
      </c>
      <c r="G539" s="1" t="s">
        <v>40</v>
      </c>
      <c r="H539" s="1" t="s">
        <v>35</v>
      </c>
      <c r="I539" s="1" t="s">
        <v>41</v>
      </c>
      <c r="J539" s="1" t="s">
        <v>39</v>
      </c>
      <c r="K539" s="1" t="s">
        <v>59</v>
      </c>
      <c r="L539" s="1" t="s">
        <v>66</v>
      </c>
      <c r="M539" s="1" t="s">
        <v>44</v>
      </c>
      <c r="N539" s="1" t="s">
        <v>45</v>
      </c>
      <c r="O539" s="1" t="s">
        <v>45</v>
      </c>
      <c r="P539" s="1" t="s">
        <v>103</v>
      </c>
      <c r="Q539" s="1" t="s">
        <v>47</v>
      </c>
      <c r="R539" s="1" t="s">
        <v>80</v>
      </c>
      <c r="S539" s="1" t="s">
        <v>49</v>
      </c>
      <c r="T539" s="1" t="s">
        <v>50</v>
      </c>
      <c r="U539" s="1" t="s">
        <v>51</v>
      </c>
      <c r="V539" s="1" t="s">
        <v>52</v>
      </c>
      <c r="W539" s="1" t="s">
        <v>53</v>
      </c>
      <c r="X539" s="1" t="s">
        <v>54</v>
      </c>
      <c r="Y539" s="1" t="s">
        <v>55</v>
      </c>
      <c r="Z539" s="1" t="s">
        <v>82</v>
      </c>
      <c r="AA539" s="1" t="s">
        <v>36</v>
      </c>
      <c r="AB539" s="1" t="s">
        <v>54</v>
      </c>
      <c r="AC539" s="1" t="s">
        <v>57</v>
      </c>
      <c r="AD539" s="1" t="s">
        <v>58</v>
      </c>
      <c r="AE539" s="1" t="s">
        <v>59</v>
      </c>
      <c r="AF539" s="1" t="s">
        <v>54</v>
      </c>
      <c r="AG539" s="1" t="s">
        <v>71</v>
      </c>
      <c r="AH539" s="1" t="s">
        <v>120</v>
      </c>
    </row>
    <row r="540" spans="1:34" x14ac:dyDescent="0.35">
      <c r="A540" s="1" t="s">
        <v>91</v>
      </c>
      <c r="B540" s="1" t="s">
        <v>35</v>
      </c>
      <c r="C540" s="1" t="s">
        <v>62</v>
      </c>
      <c r="D540" s="1" t="s">
        <v>37</v>
      </c>
      <c r="E540" s="1" t="s">
        <v>77</v>
      </c>
      <c r="F540" s="1" t="s">
        <v>39</v>
      </c>
      <c r="G540" s="1" t="s">
        <v>40</v>
      </c>
      <c r="H540" s="1" t="s">
        <v>35</v>
      </c>
      <c r="I540" s="1" t="s">
        <v>35</v>
      </c>
      <c r="J540" s="1" t="s">
        <v>39</v>
      </c>
      <c r="K540" s="1" t="s">
        <v>42</v>
      </c>
      <c r="L540" s="1" t="s">
        <v>43</v>
      </c>
      <c r="M540" s="1" t="s">
        <v>44</v>
      </c>
      <c r="N540" s="1" t="s">
        <v>45</v>
      </c>
      <c r="O540" s="1" t="s">
        <v>45</v>
      </c>
      <c r="P540" s="1" t="s">
        <v>103</v>
      </c>
      <c r="Q540" s="1" t="s">
        <v>47</v>
      </c>
      <c r="R540" s="1" t="s">
        <v>80</v>
      </c>
      <c r="S540" s="1" t="s">
        <v>49</v>
      </c>
      <c r="T540" s="1" t="s">
        <v>50</v>
      </c>
      <c r="U540" s="1" t="s">
        <v>51</v>
      </c>
      <c r="V540" s="1" t="s">
        <v>52</v>
      </c>
      <c r="W540" s="1" t="s">
        <v>53</v>
      </c>
      <c r="X540" s="1" t="s">
        <v>54</v>
      </c>
      <c r="Y540" s="1" t="s">
        <v>55</v>
      </c>
      <c r="Z540" s="1" t="s">
        <v>82</v>
      </c>
      <c r="AA540" s="1" t="s">
        <v>36</v>
      </c>
      <c r="AB540" s="1" t="s">
        <v>54</v>
      </c>
      <c r="AC540" s="1" t="s">
        <v>57</v>
      </c>
      <c r="AD540" s="1" t="s">
        <v>58</v>
      </c>
      <c r="AE540" s="1" t="s">
        <v>59</v>
      </c>
      <c r="AF540" s="1" t="s">
        <v>54</v>
      </c>
      <c r="AG540" s="1" t="s">
        <v>71</v>
      </c>
      <c r="AH540" s="1" t="s">
        <v>120</v>
      </c>
    </row>
    <row r="541" spans="1:34" x14ac:dyDescent="0.35">
      <c r="A541" s="1" t="s">
        <v>55</v>
      </c>
      <c r="B541" s="1" t="s">
        <v>35</v>
      </c>
      <c r="C541" s="1" t="s">
        <v>62</v>
      </c>
      <c r="D541" s="1" t="s">
        <v>49</v>
      </c>
      <c r="E541" s="1" t="s">
        <v>77</v>
      </c>
      <c r="F541" s="1" t="s">
        <v>39</v>
      </c>
      <c r="G541" s="1" t="s">
        <v>40</v>
      </c>
      <c r="H541" s="1" t="s">
        <v>35</v>
      </c>
      <c r="I541" s="1" t="s">
        <v>41</v>
      </c>
      <c r="J541" s="1" t="s">
        <v>39</v>
      </c>
      <c r="K541" s="1" t="s">
        <v>42</v>
      </c>
      <c r="L541" s="1" t="s">
        <v>43</v>
      </c>
      <c r="M541" s="1" t="s">
        <v>44</v>
      </c>
      <c r="N541" s="1" t="s">
        <v>45</v>
      </c>
      <c r="O541" s="1" t="s">
        <v>45</v>
      </c>
      <c r="P541" s="1" t="s">
        <v>103</v>
      </c>
      <c r="Q541" s="1" t="s">
        <v>47</v>
      </c>
      <c r="R541" s="1" t="s">
        <v>80</v>
      </c>
      <c r="S541" s="1" t="s">
        <v>49</v>
      </c>
      <c r="T541" s="1" t="s">
        <v>50</v>
      </c>
      <c r="U541" s="1" t="s">
        <v>51</v>
      </c>
      <c r="V541" s="1" t="s">
        <v>52</v>
      </c>
      <c r="W541" s="1" t="s">
        <v>53</v>
      </c>
      <c r="X541" s="1" t="s">
        <v>54</v>
      </c>
      <c r="Y541" s="1" t="s">
        <v>55</v>
      </c>
      <c r="Z541" s="1" t="s">
        <v>82</v>
      </c>
      <c r="AA541" s="1" t="s">
        <v>36</v>
      </c>
      <c r="AB541" s="1" t="s">
        <v>54</v>
      </c>
      <c r="AC541" s="1" t="s">
        <v>57</v>
      </c>
      <c r="AD541" s="1" t="s">
        <v>58</v>
      </c>
      <c r="AE541" s="1" t="s">
        <v>59</v>
      </c>
      <c r="AF541" s="1" t="s">
        <v>54</v>
      </c>
      <c r="AG541" s="1" t="s">
        <v>71</v>
      </c>
      <c r="AH541" s="1" t="s">
        <v>120</v>
      </c>
    </row>
    <row r="542" spans="1:34" x14ac:dyDescent="0.35">
      <c r="A542" s="1" t="s">
        <v>34</v>
      </c>
      <c r="B542" s="1" t="s">
        <v>94</v>
      </c>
      <c r="C542" s="1" t="s">
        <v>62</v>
      </c>
      <c r="D542" s="1" t="s">
        <v>49</v>
      </c>
      <c r="E542" s="1" t="s">
        <v>38</v>
      </c>
      <c r="F542" s="1" t="s">
        <v>39</v>
      </c>
      <c r="G542" s="1" t="s">
        <v>40</v>
      </c>
      <c r="H542" s="1" t="s">
        <v>35</v>
      </c>
      <c r="I542" s="1" t="s">
        <v>41</v>
      </c>
      <c r="J542" s="1" t="s">
        <v>39</v>
      </c>
      <c r="K542" s="1" t="s">
        <v>42</v>
      </c>
      <c r="L542" s="1" t="s">
        <v>43</v>
      </c>
      <c r="M542" s="1" t="s">
        <v>44</v>
      </c>
      <c r="N542" s="1" t="s">
        <v>45</v>
      </c>
      <c r="O542" s="1" t="s">
        <v>45</v>
      </c>
      <c r="P542" s="1" t="s">
        <v>103</v>
      </c>
      <c r="Q542" s="1" t="s">
        <v>47</v>
      </c>
      <c r="R542" s="1" t="s">
        <v>80</v>
      </c>
      <c r="S542" s="1" t="s">
        <v>49</v>
      </c>
      <c r="T542" s="1" t="s">
        <v>50</v>
      </c>
      <c r="U542" s="1" t="s">
        <v>51</v>
      </c>
      <c r="V542" s="1" t="s">
        <v>52</v>
      </c>
      <c r="W542" s="1" t="s">
        <v>53</v>
      </c>
      <c r="X542" s="1" t="s">
        <v>54</v>
      </c>
      <c r="Y542" s="1" t="s">
        <v>55</v>
      </c>
      <c r="Z542" s="1" t="s">
        <v>56</v>
      </c>
      <c r="AA542" s="1" t="s">
        <v>36</v>
      </c>
      <c r="AB542" s="1" t="s">
        <v>54</v>
      </c>
      <c r="AC542" s="1" t="s">
        <v>57</v>
      </c>
      <c r="AD542" s="1" t="s">
        <v>58</v>
      </c>
      <c r="AE542" s="1" t="s">
        <v>59</v>
      </c>
      <c r="AF542" s="1" t="s">
        <v>54</v>
      </c>
      <c r="AG542" s="1" t="s">
        <v>71</v>
      </c>
      <c r="AH542" s="1" t="s">
        <v>120</v>
      </c>
    </row>
    <row r="543" spans="1:34" x14ac:dyDescent="0.35">
      <c r="A543" s="1" t="s">
        <v>34</v>
      </c>
      <c r="B543" s="1" t="s">
        <v>94</v>
      </c>
      <c r="C543" s="1" t="s">
        <v>62</v>
      </c>
      <c r="D543" s="1" t="s">
        <v>37</v>
      </c>
      <c r="E543" s="1" t="s">
        <v>77</v>
      </c>
      <c r="F543" s="1" t="s">
        <v>39</v>
      </c>
      <c r="G543" s="1" t="s">
        <v>40</v>
      </c>
      <c r="H543" s="1" t="s">
        <v>35</v>
      </c>
      <c r="I543" s="1" t="s">
        <v>41</v>
      </c>
      <c r="J543" s="1" t="s">
        <v>39</v>
      </c>
      <c r="K543" s="1" t="s">
        <v>59</v>
      </c>
      <c r="L543" s="1" t="s">
        <v>66</v>
      </c>
      <c r="M543" s="1" t="s">
        <v>44</v>
      </c>
      <c r="N543" s="1" t="s">
        <v>49</v>
      </c>
      <c r="O543" s="1" t="s">
        <v>45</v>
      </c>
      <c r="P543" s="1" t="s">
        <v>103</v>
      </c>
      <c r="Q543" s="1" t="s">
        <v>47</v>
      </c>
      <c r="R543" s="1" t="s">
        <v>80</v>
      </c>
      <c r="S543" s="1" t="s">
        <v>49</v>
      </c>
      <c r="T543" s="1" t="s">
        <v>50</v>
      </c>
      <c r="U543" s="1" t="s">
        <v>51</v>
      </c>
      <c r="V543" s="1" t="s">
        <v>52</v>
      </c>
      <c r="W543" s="1" t="s">
        <v>53</v>
      </c>
      <c r="X543" s="1" t="s">
        <v>54</v>
      </c>
      <c r="Y543" s="1" t="s">
        <v>55</v>
      </c>
      <c r="Z543" s="1" t="s">
        <v>82</v>
      </c>
      <c r="AA543" s="1" t="s">
        <v>36</v>
      </c>
      <c r="AB543" s="1" t="s">
        <v>54</v>
      </c>
      <c r="AC543" s="1" t="s">
        <v>57</v>
      </c>
      <c r="AD543" s="1" t="s">
        <v>58</v>
      </c>
      <c r="AE543" s="1" t="s">
        <v>59</v>
      </c>
      <c r="AF543" s="1" t="s">
        <v>54</v>
      </c>
      <c r="AG543" s="1" t="s">
        <v>71</v>
      </c>
      <c r="AH543" s="1" t="s">
        <v>120</v>
      </c>
    </row>
    <row r="544" spans="1:34" x14ac:dyDescent="0.35">
      <c r="A544" s="1" t="s">
        <v>55</v>
      </c>
      <c r="B544" s="1" t="s">
        <v>41</v>
      </c>
      <c r="C544" s="1" t="s">
        <v>76</v>
      </c>
      <c r="D544" s="1" t="s">
        <v>37</v>
      </c>
      <c r="E544" s="1" t="s">
        <v>77</v>
      </c>
      <c r="F544" s="1" t="s">
        <v>39</v>
      </c>
      <c r="G544" s="1" t="s">
        <v>40</v>
      </c>
      <c r="H544" s="1" t="s">
        <v>35</v>
      </c>
      <c r="I544" s="1" t="s">
        <v>94</v>
      </c>
      <c r="J544" s="1" t="s">
        <v>39</v>
      </c>
      <c r="K544" s="1" t="s">
        <v>42</v>
      </c>
      <c r="L544" s="1" t="s">
        <v>43</v>
      </c>
      <c r="M544" s="1" t="s">
        <v>44</v>
      </c>
      <c r="N544" s="1" t="s">
        <v>45</v>
      </c>
      <c r="O544" s="1" t="s">
        <v>45</v>
      </c>
      <c r="P544" s="1" t="s">
        <v>103</v>
      </c>
      <c r="Q544" s="1" t="s">
        <v>47</v>
      </c>
      <c r="R544" s="1" t="s">
        <v>80</v>
      </c>
      <c r="S544" s="1" t="s">
        <v>49</v>
      </c>
      <c r="T544" s="1" t="s">
        <v>50</v>
      </c>
      <c r="U544" s="1" t="s">
        <v>51</v>
      </c>
      <c r="V544" s="1" t="s">
        <v>52</v>
      </c>
      <c r="W544" s="1" t="s">
        <v>53</v>
      </c>
      <c r="X544" s="1" t="s">
        <v>54</v>
      </c>
      <c r="Y544" s="1" t="s">
        <v>55</v>
      </c>
      <c r="Z544" s="1" t="s">
        <v>82</v>
      </c>
      <c r="AA544" s="1" t="s">
        <v>36</v>
      </c>
      <c r="AB544" s="1" t="s">
        <v>54</v>
      </c>
      <c r="AC544" s="1" t="s">
        <v>57</v>
      </c>
      <c r="AD544" s="1" t="s">
        <v>58</v>
      </c>
      <c r="AE544" s="1" t="s">
        <v>59</v>
      </c>
      <c r="AF544" s="1" t="s">
        <v>54</v>
      </c>
      <c r="AG544" s="1" t="s">
        <v>71</v>
      </c>
      <c r="AH544" s="1" t="s">
        <v>120</v>
      </c>
    </row>
    <row r="545" spans="1:34" x14ac:dyDescent="0.35">
      <c r="A545" s="1" t="s">
        <v>54</v>
      </c>
      <c r="B545" s="1" t="s">
        <v>41</v>
      </c>
      <c r="C545" s="1" t="s">
        <v>76</v>
      </c>
      <c r="D545" s="1" t="s">
        <v>83</v>
      </c>
      <c r="E545" s="1" t="s">
        <v>38</v>
      </c>
      <c r="F545" s="1" t="s">
        <v>39</v>
      </c>
      <c r="G545" s="1" t="s">
        <v>40</v>
      </c>
      <c r="H545" s="1" t="s">
        <v>35</v>
      </c>
      <c r="I545" s="1" t="s">
        <v>35</v>
      </c>
      <c r="J545" s="1" t="s">
        <v>39</v>
      </c>
      <c r="K545" s="1" t="s">
        <v>42</v>
      </c>
      <c r="L545" s="1" t="s">
        <v>43</v>
      </c>
      <c r="M545" s="1" t="s">
        <v>53</v>
      </c>
      <c r="N545" s="1" t="s">
        <v>45</v>
      </c>
      <c r="O545" s="1" t="s">
        <v>45</v>
      </c>
      <c r="P545" s="1" t="s">
        <v>103</v>
      </c>
      <c r="Q545" s="1" t="s">
        <v>47</v>
      </c>
      <c r="R545" s="1" t="s">
        <v>80</v>
      </c>
      <c r="S545" s="1" t="s">
        <v>49</v>
      </c>
      <c r="T545" s="1" t="s">
        <v>50</v>
      </c>
      <c r="U545" s="1" t="s">
        <v>51</v>
      </c>
      <c r="V545" s="1" t="s">
        <v>81</v>
      </c>
      <c r="W545" s="1" t="s">
        <v>53</v>
      </c>
      <c r="X545" s="1" t="s">
        <v>54</v>
      </c>
      <c r="Y545" s="1" t="s">
        <v>55</v>
      </c>
      <c r="Z545" s="1" t="s">
        <v>82</v>
      </c>
      <c r="AA545" s="1" t="s">
        <v>36</v>
      </c>
      <c r="AB545" s="1" t="s">
        <v>54</v>
      </c>
      <c r="AC545" s="1" t="s">
        <v>57</v>
      </c>
      <c r="AD545" s="1" t="s">
        <v>58</v>
      </c>
      <c r="AE545" s="1" t="s">
        <v>59</v>
      </c>
      <c r="AF545" s="1" t="s">
        <v>54</v>
      </c>
      <c r="AG545" s="1" t="s">
        <v>71</v>
      </c>
      <c r="AH545" s="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"/>
  <sheetViews>
    <sheetView workbookViewId="0">
      <selection activeCell="AO4" sqref="AO4"/>
    </sheetView>
  </sheetViews>
  <sheetFormatPr defaultRowHeight="14.5" x14ac:dyDescent="0.35"/>
  <sheetData>
    <row r="1" spans="1:34" ht="14.4" x14ac:dyDescent="0.3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</row>
    <row r="2" spans="1:34" ht="14.4" x14ac:dyDescent="0.3">
      <c r="A2" s="1" t="s">
        <v>54</v>
      </c>
      <c r="B2" s="1" t="s">
        <v>35</v>
      </c>
      <c r="C2" s="1" t="s">
        <v>36</v>
      </c>
      <c r="D2" s="1" t="s">
        <v>49</v>
      </c>
      <c r="E2" s="1" t="s">
        <v>77</v>
      </c>
      <c r="F2" s="1" t="s">
        <v>39</v>
      </c>
      <c r="G2" s="1" t="s">
        <v>40</v>
      </c>
      <c r="H2" s="1" t="s">
        <v>35</v>
      </c>
      <c r="I2" s="1" t="s">
        <v>35</v>
      </c>
      <c r="J2" s="1" t="s">
        <v>39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74</v>
      </c>
      <c r="Z2" s="1" t="s">
        <v>56</v>
      </c>
      <c r="AA2" s="1" t="s">
        <v>36</v>
      </c>
      <c r="AB2" s="1" t="s">
        <v>54</v>
      </c>
      <c r="AC2" s="1" t="s">
        <v>57</v>
      </c>
      <c r="AD2" s="1" t="s">
        <v>58</v>
      </c>
      <c r="AE2" s="1" t="s">
        <v>59</v>
      </c>
      <c r="AF2" s="1" t="s">
        <v>54</v>
      </c>
      <c r="AG2" s="1" t="s">
        <v>98</v>
      </c>
      <c r="AH2" s="1" t="s">
        <v>120</v>
      </c>
    </row>
    <row r="3" spans="1:34" ht="14.4" x14ac:dyDescent="0.3">
      <c r="A3" s="1" t="s">
        <v>74</v>
      </c>
      <c r="B3" s="1" t="s">
        <v>156</v>
      </c>
      <c r="C3" s="1" t="s">
        <v>157</v>
      </c>
      <c r="D3" s="1" t="s">
        <v>158</v>
      </c>
      <c r="E3" s="1" t="s">
        <v>159</v>
      </c>
      <c r="F3" s="1" t="s">
        <v>160</v>
      </c>
      <c r="G3" s="1"/>
      <c r="H3" s="1" t="s">
        <v>156</v>
      </c>
      <c r="I3" s="1" t="s">
        <v>156</v>
      </c>
      <c r="J3" s="1" t="s">
        <v>160</v>
      </c>
      <c r="K3" s="1" t="s">
        <v>161</v>
      </c>
      <c r="L3" s="1"/>
      <c r="M3" s="1" t="s">
        <v>162</v>
      </c>
      <c r="N3" s="1" t="s">
        <v>158</v>
      </c>
      <c r="O3" s="1" t="s">
        <v>158</v>
      </c>
      <c r="P3" s="1" t="s">
        <v>163</v>
      </c>
      <c r="Q3" s="1" t="s">
        <v>164</v>
      </c>
      <c r="R3" s="1" t="s">
        <v>165</v>
      </c>
      <c r="S3" s="1" t="s">
        <v>158</v>
      </c>
      <c r="T3" s="1" t="s">
        <v>163</v>
      </c>
      <c r="U3" s="1" t="s">
        <v>163</v>
      </c>
      <c r="V3" s="1" t="s">
        <v>158</v>
      </c>
      <c r="W3" s="1" t="s">
        <v>162</v>
      </c>
      <c r="X3" s="1" t="s">
        <v>166</v>
      </c>
      <c r="Y3" s="1" t="s">
        <v>166</v>
      </c>
      <c r="Z3" s="1" t="s">
        <v>157</v>
      </c>
      <c r="AA3" s="1" t="s">
        <v>157</v>
      </c>
      <c r="AB3" s="1" t="s">
        <v>166</v>
      </c>
      <c r="AC3" s="1" t="s">
        <v>167</v>
      </c>
      <c r="AD3" s="1" t="s">
        <v>167</v>
      </c>
      <c r="AE3" s="1" t="s">
        <v>161</v>
      </c>
      <c r="AF3" s="1" t="s">
        <v>166</v>
      </c>
      <c r="AG3" s="1" t="s">
        <v>165</v>
      </c>
      <c r="AH3" s="1" t="s">
        <v>120</v>
      </c>
    </row>
    <row r="4" spans="1:34" ht="14.4" x14ac:dyDescent="0.3">
      <c r="A4" s="1" t="s">
        <v>74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/>
      <c r="H4" s="1" t="s">
        <v>156</v>
      </c>
      <c r="I4" s="1" t="s">
        <v>156</v>
      </c>
      <c r="J4" s="1" t="s">
        <v>160</v>
      </c>
      <c r="K4" s="1" t="s">
        <v>161</v>
      </c>
      <c r="L4" s="1"/>
      <c r="M4" s="1" t="s">
        <v>162</v>
      </c>
      <c r="N4" s="1" t="s">
        <v>158</v>
      </c>
      <c r="O4" s="1" t="s">
        <v>158</v>
      </c>
      <c r="P4" s="1" t="s">
        <v>163</v>
      </c>
      <c r="Q4" s="1" t="s">
        <v>164</v>
      </c>
      <c r="R4" s="1" t="s">
        <v>165</v>
      </c>
      <c r="S4" s="1" t="s">
        <v>158</v>
      </c>
      <c r="T4" s="1" t="s">
        <v>163</v>
      </c>
      <c r="U4" s="1" t="s">
        <v>163</v>
      </c>
      <c r="V4" s="1" t="s">
        <v>158</v>
      </c>
      <c r="W4" s="1" t="s">
        <v>162</v>
      </c>
      <c r="X4" s="1" t="s">
        <v>166</v>
      </c>
      <c r="Y4" s="1" t="s">
        <v>166</v>
      </c>
      <c r="Z4" s="1" t="s">
        <v>157</v>
      </c>
      <c r="AA4" s="1" t="s">
        <v>157</v>
      </c>
      <c r="AB4" s="1" t="s">
        <v>166</v>
      </c>
      <c r="AC4" s="1" t="s">
        <v>167</v>
      </c>
      <c r="AD4" s="1" t="s">
        <v>167</v>
      </c>
      <c r="AE4" s="1" t="s">
        <v>161</v>
      </c>
      <c r="AF4" s="1" t="s">
        <v>166</v>
      </c>
      <c r="AG4" s="1" t="s">
        <v>165</v>
      </c>
      <c r="AH4" s="1" t="s">
        <v>120</v>
      </c>
    </row>
    <row r="5" spans="1:34" ht="14.4" x14ac:dyDescent="0.3">
      <c r="A5" s="1" t="s">
        <v>74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/>
      <c r="H5" s="1" t="s">
        <v>156</v>
      </c>
      <c r="I5" s="1" t="s">
        <v>156</v>
      </c>
      <c r="J5" s="1" t="s">
        <v>160</v>
      </c>
      <c r="K5" s="1" t="s">
        <v>161</v>
      </c>
      <c r="L5" s="1"/>
      <c r="M5" s="1" t="s">
        <v>162</v>
      </c>
      <c r="N5" s="1" t="s">
        <v>158</v>
      </c>
      <c r="O5" s="1" t="s">
        <v>158</v>
      </c>
      <c r="P5" s="1" t="s">
        <v>163</v>
      </c>
      <c r="Q5" s="1" t="s">
        <v>164</v>
      </c>
      <c r="R5" s="1" t="s">
        <v>165</v>
      </c>
      <c r="S5" s="1" t="s">
        <v>158</v>
      </c>
      <c r="T5" s="1" t="s">
        <v>163</v>
      </c>
      <c r="U5" s="1" t="s">
        <v>163</v>
      </c>
      <c r="V5" s="1" t="s">
        <v>158</v>
      </c>
      <c r="W5" s="1" t="s">
        <v>162</v>
      </c>
      <c r="X5" s="1" t="s">
        <v>166</v>
      </c>
      <c r="Y5" s="1" t="s">
        <v>166</v>
      </c>
      <c r="Z5" s="1" t="s">
        <v>157</v>
      </c>
      <c r="AA5" s="1" t="s">
        <v>157</v>
      </c>
      <c r="AB5" s="1" t="s">
        <v>166</v>
      </c>
      <c r="AC5" s="1" t="s">
        <v>167</v>
      </c>
      <c r="AD5" s="1" t="s">
        <v>167</v>
      </c>
      <c r="AE5" s="1" t="s">
        <v>161</v>
      </c>
      <c r="AF5" s="1" t="s">
        <v>166</v>
      </c>
      <c r="AG5" s="1" t="s">
        <v>165</v>
      </c>
      <c r="AH5" s="1" t="s">
        <v>120</v>
      </c>
    </row>
    <row r="6" spans="1:34" ht="14.4" x14ac:dyDescent="0.3">
      <c r="A6" s="1" t="s">
        <v>74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/>
      <c r="H6" s="1" t="s">
        <v>156</v>
      </c>
      <c r="I6" s="1" t="s">
        <v>156</v>
      </c>
      <c r="J6" s="1" t="s">
        <v>160</v>
      </c>
      <c r="K6" s="1" t="s">
        <v>161</v>
      </c>
      <c r="L6" s="1"/>
      <c r="M6" s="1" t="s">
        <v>162</v>
      </c>
      <c r="N6" s="1" t="s">
        <v>158</v>
      </c>
      <c r="O6" s="1" t="s">
        <v>158</v>
      </c>
      <c r="P6" s="1" t="s">
        <v>163</v>
      </c>
      <c r="Q6" s="1" t="s">
        <v>164</v>
      </c>
      <c r="R6" s="1" t="s">
        <v>165</v>
      </c>
      <c r="S6" s="1" t="s">
        <v>158</v>
      </c>
      <c r="T6" s="1" t="s">
        <v>163</v>
      </c>
      <c r="U6" s="1" t="s">
        <v>163</v>
      </c>
      <c r="V6" s="1" t="s">
        <v>158</v>
      </c>
      <c r="W6" s="1" t="s">
        <v>162</v>
      </c>
      <c r="X6" s="1" t="s">
        <v>166</v>
      </c>
      <c r="Y6" s="1" t="s">
        <v>166</v>
      </c>
      <c r="Z6" s="1" t="s">
        <v>157</v>
      </c>
      <c r="AA6" s="1" t="s">
        <v>157</v>
      </c>
      <c r="AB6" s="1" t="s">
        <v>166</v>
      </c>
      <c r="AC6" s="1" t="s">
        <v>167</v>
      </c>
      <c r="AD6" s="1" t="s">
        <v>167</v>
      </c>
      <c r="AE6" s="1" t="s">
        <v>161</v>
      </c>
      <c r="AF6" s="1" t="s">
        <v>166</v>
      </c>
      <c r="AG6" s="1" t="s">
        <v>165</v>
      </c>
      <c r="AH6" s="1" t="s">
        <v>120</v>
      </c>
    </row>
    <row r="7" spans="1:34" ht="14.4" x14ac:dyDescent="0.3">
      <c r="A7" s="1" t="s">
        <v>74</v>
      </c>
      <c r="B7" s="1" t="s">
        <v>156</v>
      </c>
      <c r="C7" s="1" t="s">
        <v>157</v>
      </c>
      <c r="D7" s="1" t="s">
        <v>158</v>
      </c>
      <c r="E7" s="1" t="s">
        <v>159</v>
      </c>
      <c r="F7" s="1" t="s">
        <v>160</v>
      </c>
      <c r="G7" s="1"/>
      <c r="H7" s="1" t="s">
        <v>156</v>
      </c>
      <c r="I7" s="1" t="s">
        <v>156</v>
      </c>
      <c r="J7" s="1" t="s">
        <v>160</v>
      </c>
      <c r="K7" s="1" t="s">
        <v>161</v>
      </c>
      <c r="L7" s="1"/>
      <c r="M7" s="1" t="s">
        <v>162</v>
      </c>
      <c r="N7" s="1" t="s">
        <v>158</v>
      </c>
      <c r="O7" s="1" t="s">
        <v>158</v>
      </c>
      <c r="P7" s="1" t="s">
        <v>163</v>
      </c>
      <c r="Q7" s="1" t="s">
        <v>164</v>
      </c>
      <c r="R7" s="1" t="s">
        <v>165</v>
      </c>
      <c r="S7" s="1" t="s">
        <v>158</v>
      </c>
      <c r="T7" s="1" t="s">
        <v>163</v>
      </c>
      <c r="U7" s="1" t="s">
        <v>163</v>
      </c>
      <c r="V7" s="1" t="s">
        <v>158</v>
      </c>
      <c r="W7" s="1" t="s">
        <v>162</v>
      </c>
      <c r="X7" s="1" t="s">
        <v>166</v>
      </c>
      <c r="Y7" s="1" t="s">
        <v>166</v>
      </c>
      <c r="Z7" s="1" t="s">
        <v>157</v>
      </c>
      <c r="AA7" s="1" t="s">
        <v>157</v>
      </c>
      <c r="AB7" s="1" t="s">
        <v>166</v>
      </c>
      <c r="AC7" s="1" t="s">
        <v>167</v>
      </c>
      <c r="AD7" s="1" t="s">
        <v>167</v>
      </c>
      <c r="AE7" s="1" t="s">
        <v>161</v>
      </c>
      <c r="AF7" s="1" t="s">
        <v>166</v>
      </c>
      <c r="AG7" s="1" t="s">
        <v>165</v>
      </c>
      <c r="AH7" s="1" t="s">
        <v>120</v>
      </c>
    </row>
    <row r="8" spans="1:34" ht="14.4" x14ac:dyDescent="0.3">
      <c r="A8" s="1" t="s">
        <v>74</v>
      </c>
      <c r="B8" s="1" t="s">
        <v>156</v>
      </c>
      <c r="C8" s="1" t="s">
        <v>157</v>
      </c>
      <c r="D8" s="1" t="s">
        <v>158</v>
      </c>
      <c r="E8" s="1" t="s">
        <v>159</v>
      </c>
      <c r="F8" s="1" t="s">
        <v>160</v>
      </c>
      <c r="G8" s="1"/>
      <c r="H8" s="1" t="s">
        <v>156</v>
      </c>
      <c r="I8" s="1" t="s">
        <v>156</v>
      </c>
      <c r="J8" s="1" t="s">
        <v>160</v>
      </c>
      <c r="K8" s="1" t="s">
        <v>161</v>
      </c>
      <c r="L8" s="1"/>
      <c r="M8" s="1" t="s">
        <v>162</v>
      </c>
      <c r="N8" s="1" t="s">
        <v>158</v>
      </c>
      <c r="O8" s="1" t="s">
        <v>158</v>
      </c>
      <c r="P8" s="1" t="s">
        <v>163</v>
      </c>
      <c r="Q8" s="1" t="s">
        <v>164</v>
      </c>
      <c r="R8" s="1" t="s">
        <v>165</v>
      </c>
      <c r="S8" s="1" t="s">
        <v>158</v>
      </c>
      <c r="T8" s="1" t="s">
        <v>163</v>
      </c>
      <c r="U8" s="1" t="s">
        <v>163</v>
      </c>
      <c r="V8" s="1" t="s">
        <v>158</v>
      </c>
      <c r="W8" s="1" t="s">
        <v>162</v>
      </c>
      <c r="X8" s="1" t="s">
        <v>166</v>
      </c>
      <c r="Y8" s="1" t="s">
        <v>166</v>
      </c>
      <c r="Z8" s="1" t="s">
        <v>157</v>
      </c>
      <c r="AA8" s="1" t="s">
        <v>157</v>
      </c>
      <c r="AB8" s="1" t="s">
        <v>166</v>
      </c>
      <c r="AC8" s="1" t="s">
        <v>167</v>
      </c>
      <c r="AD8" s="1" t="s">
        <v>167</v>
      </c>
      <c r="AE8" s="1" t="s">
        <v>161</v>
      </c>
      <c r="AF8" s="1" t="s">
        <v>166</v>
      </c>
      <c r="AG8" s="1" t="s">
        <v>165</v>
      </c>
      <c r="AH8" s="1" t="s">
        <v>120</v>
      </c>
    </row>
    <row r="9" spans="1:34" ht="14.4" x14ac:dyDescent="0.3">
      <c r="A9" s="1" t="s">
        <v>74</v>
      </c>
      <c r="B9" s="1" t="s">
        <v>35</v>
      </c>
      <c r="C9" s="1" t="s">
        <v>157</v>
      </c>
      <c r="D9" s="1" t="s">
        <v>37</v>
      </c>
      <c r="E9" s="1" t="s">
        <v>100</v>
      </c>
      <c r="F9" s="1" t="s">
        <v>160</v>
      </c>
      <c r="G9" s="1" t="s">
        <v>101</v>
      </c>
      <c r="H9" s="1" t="s">
        <v>156</v>
      </c>
      <c r="I9" s="1" t="s">
        <v>35</v>
      </c>
      <c r="J9" s="1" t="s">
        <v>102</v>
      </c>
      <c r="K9" s="1" t="s">
        <v>59</v>
      </c>
      <c r="L9" s="1"/>
      <c r="M9" s="1" t="s">
        <v>44</v>
      </c>
      <c r="N9" s="1" t="s">
        <v>81</v>
      </c>
      <c r="O9" s="1" t="s">
        <v>158</v>
      </c>
      <c r="P9" s="1" t="s">
        <v>103</v>
      </c>
      <c r="Q9" s="1" t="s">
        <v>47</v>
      </c>
      <c r="R9" s="1" t="s">
        <v>80</v>
      </c>
      <c r="S9" s="1" t="s">
        <v>49</v>
      </c>
      <c r="T9" s="1" t="s">
        <v>50</v>
      </c>
      <c r="U9" s="1" t="s">
        <v>51</v>
      </c>
      <c r="V9" s="1" t="s">
        <v>81</v>
      </c>
      <c r="W9" s="1" t="s">
        <v>53</v>
      </c>
      <c r="X9" s="1" t="s">
        <v>54</v>
      </c>
      <c r="Y9" s="1" t="s">
        <v>55</v>
      </c>
      <c r="Z9" s="1" t="s">
        <v>82</v>
      </c>
      <c r="AA9" s="1" t="s">
        <v>36</v>
      </c>
      <c r="AB9" s="1" t="s">
        <v>54</v>
      </c>
      <c r="AC9" s="1" t="s">
        <v>57</v>
      </c>
      <c r="AD9" s="1" t="s">
        <v>58</v>
      </c>
      <c r="AE9" s="1" t="s">
        <v>59</v>
      </c>
      <c r="AF9" s="1" t="s">
        <v>54</v>
      </c>
      <c r="AG9" s="1" t="s">
        <v>75</v>
      </c>
      <c r="AH9" s="1" t="s">
        <v>120</v>
      </c>
    </row>
    <row r="10" spans="1:34" ht="14.4" x14ac:dyDescent="0.3">
      <c r="A10" s="1" t="s">
        <v>34</v>
      </c>
      <c r="B10" s="1" t="s">
        <v>35</v>
      </c>
      <c r="C10" s="1" t="s">
        <v>157</v>
      </c>
      <c r="D10" s="1" t="s">
        <v>37</v>
      </c>
      <c r="E10" s="1" t="s">
        <v>77</v>
      </c>
      <c r="F10" s="1" t="s">
        <v>39</v>
      </c>
      <c r="G10" s="1" t="s">
        <v>40</v>
      </c>
      <c r="H10" s="1" t="s">
        <v>35</v>
      </c>
      <c r="I10" s="1" t="s">
        <v>41</v>
      </c>
      <c r="J10" s="1" t="s">
        <v>39</v>
      </c>
      <c r="K10" s="1" t="s">
        <v>42</v>
      </c>
      <c r="L10" s="1" t="s">
        <v>43</v>
      </c>
      <c r="M10" s="1" t="s">
        <v>44</v>
      </c>
      <c r="N10" s="1" t="s">
        <v>45</v>
      </c>
      <c r="O10" s="1" t="s">
        <v>45</v>
      </c>
      <c r="P10" s="1" t="s">
        <v>103</v>
      </c>
      <c r="Q10" s="1" t="s">
        <v>47</v>
      </c>
      <c r="R10" s="1" t="s">
        <v>80</v>
      </c>
      <c r="S10" s="1" t="s">
        <v>49</v>
      </c>
      <c r="T10" s="1" t="s">
        <v>50</v>
      </c>
      <c r="U10" s="1" t="s">
        <v>51</v>
      </c>
      <c r="V10" s="1" t="s">
        <v>52</v>
      </c>
      <c r="W10" s="1" t="s">
        <v>53</v>
      </c>
      <c r="X10" s="1" t="s">
        <v>54</v>
      </c>
      <c r="Y10" s="1" t="s">
        <v>55</v>
      </c>
      <c r="Z10" s="1" t="s">
        <v>82</v>
      </c>
      <c r="AA10" s="1" t="s">
        <v>36</v>
      </c>
      <c r="AB10" s="1" t="s">
        <v>54</v>
      </c>
      <c r="AC10" s="1" t="s">
        <v>57</v>
      </c>
      <c r="AD10" s="1" t="s">
        <v>58</v>
      </c>
      <c r="AE10" s="1" t="s">
        <v>59</v>
      </c>
      <c r="AF10" s="1" t="s">
        <v>54</v>
      </c>
      <c r="AG10" s="1" t="s">
        <v>165</v>
      </c>
      <c r="AH10" s="1" t="s">
        <v>120</v>
      </c>
    </row>
    <row r="11" spans="1:34" ht="14.4" x14ac:dyDescent="0.3">
      <c r="A11" s="1" t="s">
        <v>54</v>
      </c>
      <c r="B11" s="1" t="s">
        <v>94</v>
      </c>
      <c r="C11" s="1" t="s">
        <v>157</v>
      </c>
      <c r="D11" s="1" t="s">
        <v>37</v>
      </c>
      <c r="E11" s="1" t="s">
        <v>77</v>
      </c>
      <c r="F11" s="1" t="s">
        <v>39</v>
      </c>
      <c r="G11" s="1" t="s">
        <v>40</v>
      </c>
      <c r="H11" s="1" t="s">
        <v>35</v>
      </c>
      <c r="I11" s="1" t="s">
        <v>41</v>
      </c>
      <c r="J11" s="1" t="s">
        <v>39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45</v>
      </c>
      <c r="P11" s="1" t="s">
        <v>103</v>
      </c>
      <c r="Q11" s="1" t="s">
        <v>47</v>
      </c>
      <c r="R11" s="1" t="s">
        <v>80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53</v>
      </c>
      <c r="X11" s="1" t="s">
        <v>54</v>
      </c>
      <c r="Y11" s="1" t="s">
        <v>55</v>
      </c>
      <c r="Z11" s="1" t="s">
        <v>56</v>
      </c>
      <c r="AA11" s="1" t="s">
        <v>36</v>
      </c>
      <c r="AB11" s="1" t="s">
        <v>54</v>
      </c>
      <c r="AC11" s="1" t="s">
        <v>57</v>
      </c>
      <c r="AD11" s="1" t="s">
        <v>58</v>
      </c>
      <c r="AE11" s="1" t="s">
        <v>59</v>
      </c>
      <c r="AF11" s="1" t="s">
        <v>54</v>
      </c>
      <c r="AG11" s="1" t="s">
        <v>165</v>
      </c>
      <c r="AH11" s="1" t="s">
        <v>120</v>
      </c>
    </row>
    <row r="12" spans="1:34" ht="14.4" x14ac:dyDescent="0.3">
      <c r="A12" s="1" t="s">
        <v>34</v>
      </c>
      <c r="B12" s="1" t="s">
        <v>35</v>
      </c>
      <c r="C12" s="1" t="s">
        <v>157</v>
      </c>
      <c r="D12" s="1" t="s">
        <v>49</v>
      </c>
      <c r="E12" s="1" t="s">
        <v>77</v>
      </c>
      <c r="F12" s="1" t="s">
        <v>39</v>
      </c>
      <c r="G12" s="1" t="s">
        <v>119</v>
      </c>
      <c r="H12" s="1" t="s">
        <v>35</v>
      </c>
      <c r="I12" s="1" t="s">
        <v>94</v>
      </c>
      <c r="J12" s="1" t="s">
        <v>39</v>
      </c>
      <c r="K12" s="1" t="s">
        <v>42</v>
      </c>
      <c r="L12" s="1" t="s">
        <v>43</v>
      </c>
      <c r="M12" s="1" t="s">
        <v>44</v>
      </c>
      <c r="N12" s="1" t="s">
        <v>45</v>
      </c>
      <c r="O12" s="1" t="s">
        <v>45</v>
      </c>
      <c r="P12" s="1" t="s">
        <v>103</v>
      </c>
      <c r="Q12" s="1" t="s">
        <v>47</v>
      </c>
      <c r="R12" s="1" t="s">
        <v>80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53</v>
      </c>
      <c r="X12" s="1" t="s">
        <v>54</v>
      </c>
      <c r="Y12" s="1" t="s">
        <v>55</v>
      </c>
      <c r="Z12" s="1" t="s">
        <v>56</v>
      </c>
      <c r="AA12" s="1" t="s">
        <v>36</v>
      </c>
      <c r="AB12" s="1" t="s">
        <v>54</v>
      </c>
      <c r="AC12" s="1" t="s">
        <v>57</v>
      </c>
      <c r="AD12" s="1" t="s">
        <v>58</v>
      </c>
      <c r="AE12" s="1" t="s">
        <v>59</v>
      </c>
      <c r="AF12" s="1" t="s">
        <v>54</v>
      </c>
      <c r="AG12" s="1" t="s">
        <v>165</v>
      </c>
      <c r="AH12" s="1" t="s">
        <v>120</v>
      </c>
    </row>
    <row r="13" spans="1:34" ht="14.4" x14ac:dyDescent="0.3">
      <c r="A13" s="1" t="s">
        <v>91</v>
      </c>
      <c r="B13" s="1" t="s">
        <v>35</v>
      </c>
      <c r="C13" s="1" t="s">
        <v>36</v>
      </c>
      <c r="D13" s="1" t="s">
        <v>37</v>
      </c>
      <c r="E13" s="1" t="s">
        <v>77</v>
      </c>
      <c r="F13" s="1" t="s">
        <v>39</v>
      </c>
      <c r="G13" s="1" t="s">
        <v>40</v>
      </c>
      <c r="H13" s="1" t="s">
        <v>35</v>
      </c>
      <c r="I13" s="1" t="s">
        <v>35</v>
      </c>
      <c r="J13" s="1" t="s">
        <v>39</v>
      </c>
      <c r="K13" s="1" t="s">
        <v>42</v>
      </c>
      <c r="L13" s="1" t="s">
        <v>43</v>
      </c>
      <c r="M13" s="1" t="s">
        <v>44</v>
      </c>
      <c r="N13" s="1" t="s">
        <v>45</v>
      </c>
      <c r="O13" s="1" t="s">
        <v>45</v>
      </c>
      <c r="P13" s="1" t="s">
        <v>103</v>
      </c>
      <c r="Q13" s="1" t="s">
        <v>47</v>
      </c>
      <c r="R13" s="1" t="s">
        <v>48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53</v>
      </c>
      <c r="X13" s="1" t="s">
        <v>54</v>
      </c>
      <c r="Y13" s="1" t="s">
        <v>55</v>
      </c>
      <c r="Z13" s="1" t="s">
        <v>82</v>
      </c>
      <c r="AA13" s="1" t="s">
        <v>36</v>
      </c>
      <c r="AB13" s="1" t="s">
        <v>54</v>
      </c>
      <c r="AC13" s="1" t="s">
        <v>57</v>
      </c>
      <c r="AD13" s="1" t="s">
        <v>58</v>
      </c>
      <c r="AE13" s="1" t="s">
        <v>59</v>
      </c>
      <c r="AF13" s="1" t="s">
        <v>54</v>
      </c>
      <c r="AG13" s="1" t="s">
        <v>98</v>
      </c>
      <c r="AH13" s="1" t="s">
        <v>120</v>
      </c>
    </row>
    <row r="14" spans="1:34" ht="14.4" x14ac:dyDescent="0.3">
      <c r="A14" s="1" t="s">
        <v>54</v>
      </c>
      <c r="B14" s="1" t="s">
        <v>35</v>
      </c>
      <c r="C14" s="1" t="s">
        <v>36</v>
      </c>
      <c r="D14" s="1" t="s">
        <v>37</v>
      </c>
      <c r="E14" s="1" t="s">
        <v>77</v>
      </c>
      <c r="F14" s="1" t="s">
        <v>39</v>
      </c>
      <c r="G14" s="1" t="s">
        <v>40</v>
      </c>
      <c r="H14" s="1" t="s">
        <v>35</v>
      </c>
      <c r="I14" s="1" t="s">
        <v>35</v>
      </c>
      <c r="J14" s="1" t="s">
        <v>39</v>
      </c>
      <c r="K14" s="1" t="s">
        <v>42</v>
      </c>
      <c r="L14" s="1" t="s">
        <v>79</v>
      </c>
      <c r="M14" s="1" t="s">
        <v>44</v>
      </c>
      <c r="N14" s="1" t="s">
        <v>45</v>
      </c>
      <c r="O14" s="1" t="s">
        <v>45</v>
      </c>
      <c r="P14" s="1" t="s">
        <v>103</v>
      </c>
      <c r="Q14" s="1" t="s">
        <v>47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54</v>
      </c>
      <c r="Y14" s="1" t="s">
        <v>55</v>
      </c>
      <c r="Z14" s="1" t="s">
        <v>56</v>
      </c>
      <c r="AA14" s="1" t="s">
        <v>36</v>
      </c>
      <c r="AB14" s="1" t="s">
        <v>54</v>
      </c>
      <c r="AC14" s="1" t="s">
        <v>57</v>
      </c>
      <c r="AD14" s="1" t="s">
        <v>58</v>
      </c>
      <c r="AE14" s="1" t="s">
        <v>59</v>
      </c>
      <c r="AF14" s="1" t="s">
        <v>54</v>
      </c>
      <c r="AG14" s="1" t="s">
        <v>98</v>
      </c>
      <c r="AH14" s="1" t="s">
        <v>120</v>
      </c>
    </row>
    <row r="15" spans="1:34" ht="14.4" x14ac:dyDescent="0.3">
      <c r="A15" s="1" t="s">
        <v>55</v>
      </c>
      <c r="B15" s="1" t="s">
        <v>35</v>
      </c>
      <c r="C15" s="1" t="s">
        <v>36</v>
      </c>
      <c r="D15" s="1" t="s">
        <v>37</v>
      </c>
      <c r="E15" s="1" t="s">
        <v>77</v>
      </c>
      <c r="F15" s="1" t="s">
        <v>39</v>
      </c>
      <c r="G15" s="1" t="s">
        <v>40</v>
      </c>
      <c r="H15" s="1" t="s">
        <v>35</v>
      </c>
      <c r="I15" s="1" t="s">
        <v>35</v>
      </c>
      <c r="J15" s="1" t="s">
        <v>39</v>
      </c>
      <c r="K15" s="1" t="s">
        <v>42</v>
      </c>
      <c r="L15" s="1" t="s">
        <v>43</v>
      </c>
      <c r="M15" s="1" t="s">
        <v>44</v>
      </c>
      <c r="N15" s="1" t="s">
        <v>45</v>
      </c>
      <c r="O15" s="1" t="s">
        <v>45</v>
      </c>
      <c r="P15" s="1" t="s">
        <v>103</v>
      </c>
      <c r="Q15" s="1" t="s">
        <v>47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53</v>
      </c>
      <c r="X15" s="1" t="s">
        <v>54</v>
      </c>
      <c r="Y15" s="1" t="s">
        <v>55</v>
      </c>
      <c r="Z15" s="1" t="s">
        <v>56</v>
      </c>
      <c r="AA15" s="1" t="s">
        <v>36</v>
      </c>
      <c r="AB15" s="1" t="s">
        <v>54</v>
      </c>
      <c r="AC15" s="1" t="s">
        <v>57</v>
      </c>
      <c r="AD15" s="1" t="s">
        <v>58</v>
      </c>
      <c r="AE15" s="1" t="s">
        <v>59</v>
      </c>
      <c r="AF15" s="1" t="s">
        <v>54</v>
      </c>
      <c r="AG15" s="1" t="s">
        <v>98</v>
      </c>
      <c r="AH15" s="1" t="s">
        <v>120</v>
      </c>
    </row>
    <row r="16" spans="1:34" ht="14.4" x14ac:dyDescent="0.3">
      <c r="A16" s="1" t="s">
        <v>91</v>
      </c>
      <c r="B16" s="1" t="s">
        <v>35</v>
      </c>
      <c r="C16" s="1" t="s">
        <v>36</v>
      </c>
      <c r="D16" s="1" t="s">
        <v>49</v>
      </c>
      <c r="E16" s="1" t="s">
        <v>77</v>
      </c>
      <c r="F16" s="1" t="s">
        <v>39</v>
      </c>
      <c r="G16" s="1" t="s">
        <v>40</v>
      </c>
      <c r="H16" s="1" t="s">
        <v>35</v>
      </c>
      <c r="I16" s="1" t="s">
        <v>41</v>
      </c>
      <c r="J16" s="1" t="s">
        <v>39</v>
      </c>
      <c r="K16" s="1" t="s">
        <v>42</v>
      </c>
      <c r="L16" s="1" t="s">
        <v>88</v>
      </c>
      <c r="M16" s="1" t="s">
        <v>44</v>
      </c>
      <c r="N16" s="1" t="s">
        <v>45</v>
      </c>
      <c r="O16" s="1" t="s">
        <v>45</v>
      </c>
      <c r="P16" s="1" t="s">
        <v>103</v>
      </c>
      <c r="Q16" s="1" t="s">
        <v>47</v>
      </c>
      <c r="R16" s="1" t="s">
        <v>80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53</v>
      </c>
      <c r="X16" s="1" t="s">
        <v>54</v>
      </c>
      <c r="Y16" s="1" t="s">
        <v>55</v>
      </c>
      <c r="Z16" s="1" t="s">
        <v>56</v>
      </c>
      <c r="AA16" s="1" t="s">
        <v>36</v>
      </c>
      <c r="AB16" s="1" t="s">
        <v>54</v>
      </c>
      <c r="AC16" s="1" t="s">
        <v>57</v>
      </c>
      <c r="AD16" s="1" t="s">
        <v>58</v>
      </c>
      <c r="AE16" s="1" t="s">
        <v>59</v>
      </c>
      <c r="AF16" s="1" t="s">
        <v>54</v>
      </c>
      <c r="AG16" s="1" t="s">
        <v>98</v>
      </c>
      <c r="AH16" s="1" t="s">
        <v>120</v>
      </c>
    </row>
    <row r="17" spans="1:34" ht="14.4" x14ac:dyDescent="0.3">
      <c r="A17" s="1" t="s">
        <v>55</v>
      </c>
      <c r="B17" s="1" t="s">
        <v>94</v>
      </c>
      <c r="C17" s="1" t="s">
        <v>82</v>
      </c>
      <c r="D17" s="1" t="s">
        <v>49</v>
      </c>
      <c r="E17" s="1" t="s">
        <v>77</v>
      </c>
      <c r="F17" s="1" t="s">
        <v>39</v>
      </c>
      <c r="G17" s="1" t="s">
        <v>40</v>
      </c>
      <c r="H17" s="1" t="s">
        <v>35</v>
      </c>
      <c r="I17" s="1" t="s">
        <v>35</v>
      </c>
      <c r="J17" s="1" t="s">
        <v>39</v>
      </c>
      <c r="K17" s="1" t="s">
        <v>42</v>
      </c>
      <c r="L17" s="1" t="s">
        <v>43</v>
      </c>
      <c r="M17" s="1" t="s">
        <v>44</v>
      </c>
      <c r="N17" s="1" t="s">
        <v>45</v>
      </c>
      <c r="O17" s="1" t="s">
        <v>45</v>
      </c>
      <c r="P17" s="1" t="s">
        <v>103</v>
      </c>
      <c r="Q17" s="1" t="s">
        <v>47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53</v>
      </c>
      <c r="X17" s="1" t="s">
        <v>54</v>
      </c>
      <c r="Y17" s="1" t="s">
        <v>74</v>
      </c>
      <c r="Z17" s="1" t="s">
        <v>56</v>
      </c>
      <c r="AA17" s="1" t="s">
        <v>36</v>
      </c>
      <c r="AB17" s="1" t="s">
        <v>54</v>
      </c>
      <c r="AC17" s="1" t="s">
        <v>57</v>
      </c>
      <c r="AD17" s="1" t="s">
        <v>58</v>
      </c>
      <c r="AE17" s="1" t="s">
        <v>59</v>
      </c>
      <c r="AF17" s="1" t="s">
        <v>54</v>
      </c>
      <c r="AG17" s="1" t="s">
        <v>98</v>
      </c>
      <c r="AH17" s="1" t="s">
        <v>120</v>
      </c>
    </row>
    <row r="18" spans="1:34" ht="14.4" x14ac:dyDescent="0.3">
      <c r="A18" s="1" t="s">
        <v>55</v>
      </c>
      <c r="B18" s="1" t="s">
        <v>41</v>
      </c>
      <c r="C18" s="1" t="s">
        <v>76</v>
      </c>
      <c r="D18" s="1" t="s">
        <v>37</v>
      </c>
      <c r="E18" s="1" t="s">
        <v>77</v>
      </c>
      <c r="F18" s="1" t="s">
        <v>39</v>
      </c>
      <c r="G18" s="1" t="s">
        <v>40</v>
      </c>
      <c r="H18" s="1" t="s">
        <v>35</v>
      </c>
      <c r="I18" s="1" t="s">
        <v>35</v>
      </c>
      <c r="J18" s="1" t="s">
        <v>39</v>
      </c>
      <c r="K18" s="1" t="s">
        <v>42</v>
      </c>
      <c r="L18" s="1" t="s">
        <v>43</v>
      </c>
      <c r="M18" s="1" t="s">
        <v>44</v>
      </c>
      <c r="N18" s="1" t="s">
        <v>45</v>
      </c>
      <c r="O18" s="1" t="s">
        <v>45</v>
      </c>
      <c r="P18" s="1" t="s">
        <v>103</v>
      </c>
      <c r="Q18" s="1" t="s">
        <v>47</v>
      </c>
      <c r="R18" s="1" t="s">
        <v>80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53</v>
      </c>
      <c r="X18" s="1" t="s">
        <v>54</v>
      </c>
      <c r="Y18" s="1" t="s">
        <v>55</v>
      </c>
      <c r="Z18" s="1" t="s">
        <v>82</v>
      </c>
      <c r="AA18" s="1" t="s">
        <v>36</v>
      </c>
      <c r="AB18" s="1" t="s">
        <v>54</v>
      </c>
      <c r="AC18" s="1" t="s">
        <v>57</v>
      </c>
      <c r="AD18" s="1" t="s">
        <v>58</v>
      </c>
      <c r="AE18" s="1" t="s">
        <v>59</v>
      </c>
      <c r="AF18" s="1" t="s">
        <v>54</v>
      </c>
      <c r="AG18" s="1" t="s">
        <v>165</v>
      </c>
      <c r="AH18" s="1" t="s">
        <v>120</v>
      </c>
    </row>
    <row r="19" spans="1:34" ht="14.4" x14ac:dyDescent="0.3">
      <c r="A19" s="1" t="s">
        <v>34</v>
      </c>
      <c r="B19" s="1" t="s">
        <v>94</v>
      </c>
      <c r="C19" s="1" t="s">
        <v>157</v>
      </c>
      <c r="D19" s="1" t="s">
        <v>37</v>
      </c>
      <c r="E19" s="1" t="s">
        <v>77</v>
      </c>
      <c r="F19" s="1" t="s">
        <v>39</v>
      </c>
      <c r="G19" s="1" t="s">
        <v>40</v>
      </c>
      <c r="H19" s="1" t="s">
        <v>35</v>
      </c>
      <c r="I19" s="1" t="s">
        <v>35</v>
      </c>
      <c r="J19" s="1" t="s">
        <v>39</v>
      </c>
      <c r="K19" s="1" t="s">
        <v>59</v>
      </c>
      <c r="L19" s="1"/>
      <c r="M19" s="1" t="s">
        <v>44</v>
      </c>
      <c r="N19" s="1" t="s">
        <v>45</v>
      </c>
      <c r="O19" s="1" t="s">
        <v>45</v>
      </c>
      <c r="P19" s="1" t="s">
        <v>103</v>
      </c>
      <c r="Q19" s="1" t="s">
        <v>47</v>
      </c>
      <c r="R19" s="1" t="s">
        <v>80</v>
      </c>
      <c r="S19" s="1" t="s">
        <v>49</v>
      </c>
      <c r="T19" s="1" t="s">
        <v>50</v>
      </c>
      <c r="U19" s="1" t="s">
        <v>51</v>
      </c>
      <c r="V19" s="1" t="s">
        <v>52</v>
      </c>
      <c r="W19" s="1" t="s">
        <v>53</v>
      </c>
      <c r="X19" s="1" t="s">
        <v>54</v>
      </c>
      <c r="Y19" s="1" t="s">
        <v>55</v>
      </c>
      <c r="Z19" s="1" t="s">
        <v>56</v>
      </c>
      <c r="AA19" s="1" t="s">
        <v>36</v>
      </c>
      <c r="AB19" s="1" t="s">
        <v>54</v>
      </c>
      <c r="AC19" s="1" t="s">
        <v>57</v>
      </c>
      <c r="AD19" s="1" t="s">
        <v>58</v>
      </c>
      <c r="AE19" s="1" t="s">
        <v>59</v>
      </c>
      <c r="AF19" s="1" t="s">
        <v>54</v>
      </c>
      <c r="AG19" s="1" t="s">
        <v>165</v>
      </c>
      <c r="AH19" s="1" t="s">
        <v>120</v>
      </c>
    </row>
    <row r="20" spans="1:34" ht="14.4" x14ac:dyDescent="0.3">
      <c r="A20" s="1" t="s">
        <v>91</v>
      </c>
      <c r="B20" s="1" t="s">
        <v>35</v>
      </c>
      <c r="C20" s="1" t="s">
        <v>36</v>
      </c>
      <c r="D20" s="1" t="s">
        <v>37</v>
      </c>
      <c r="E20" s="1" t="s">
        <v>77</v>
      </c>
      <c r="F20" s="1" t="s">
        <v>39</v>
      </c>
      <c r="G20" s="1" t="s">
        <v>40</v>
      </c>
      <c r="H20" s="1" t="s">
        <v>35</v>
      </c>
      <c r="I20" s="1" t="s">
        <v>35</v>
      </c>
      <c r="J20" s="1" t="s">
        <v>78</v>
      </c>
      <c r="K20" s="1" t="s">
        <v>42</v>
      </c>
      <c r="L20" s="1" t="s">
        <v>79</v>
      </c>
      <c r="M20" s="1" t="s">
        <v>44</v>
      </c>
      <c r="N20" s="1" t="s">
        <v>45</v>
      </c>
      <c r="O20" s="1" t="s">
        <v>52</v>
      </c>
      <c r="P20" s="1" t="s">
        <v>103</v>
      </c>
      <c r="Q20" s="1" t="s">
        <v>47</v>
      </c>
      <c r="R20" s="1" t="s">
        <v>80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  <c r="Z20" s="1" t="s">
        <v>56</v>
      </c>
      <c r="AA20" s="1" t="s">
        <v>36</v>
      </c>
      <c r="AB20" s="1" t="s">
        <v>54</v>
      </c>
      <c r="AC20" s="1" t="s">
        <v>57</v>
      </c>
      <c r="AD20" s="1" t="s">
        <v>58</v>
      </c>
      <c r="AE20" s="1" t="s">
        <v>59</v>
      </c>
      <c r="AF20" s="1" t="s">
        <v>54</v>
      </c>
      <c r="AG20" s="1" t="s">
        <v>98</v>
      </c>
      <c r="AH20" s="1" t="s">
        <v>120</v>
      </c>
    </row>
    <row r="21" spans="1:34" x14ac:dyDescent="0.35">
      <c r="A21" s="1" t="s">
        <v>91</v>
      </c>
      <c r="B21" s="1" t="s">
        <v>41</v>
      </c>
      <c r="C21" s="1" t="s">
        <v>76</v>
      </c>
      <c r="D21" s="1" t="s">
        <v>37</v>
      </c>
      <c r="E21" s="1" t="s">
        <v>77</v>
      </c>
      <c r="F21" s="1" t="s">
        <v>39</v>
      </c>
      <c r="G21" s="1" t="s">
        <v>40</v>
      </c>
      <c r="H21" s="1" t="s">
        <v>35</v>
      </c>
      <c r="I21" s="1" t="s">
        <v>35</v>
      </c>
      <c r="J21" s="1" t="s">
        <v>78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52</v>
      </c>
      <c r="P21" s="1" t="s">
        <v>103</v>
      </c>
      <c r="Q21" s="1" t="s">
        <v>47</v>
      </c>
      <c r="R21" s="1" t="s">
        <v>80</v>
      </c>
      <c r="S21" s="1" t="s">
        <v>49</v>
      </c>
      <c r="T21" s="1" t="s">
        <v>50</v>
      </c>
      <c r="U21" s="1" t="s">
        <v>51</v>
      </c>
      <c r="V21" s="1" t="s">
        <v>52</v>
      </c>
      <c r="W21" s="1" t="s">
        <v>53</v>
      </c>
      <c r="X21" s="1" t="s">
        <v>54</v>
      </c>
      <c r="Y21" s="1" t="s">
        <v>55</v>
      </c>
      <c r="Z21" s="1" t="s">
        <v>56</v>
      </c>
      <c r="AA21" s="1" t="s">
        <v>36</v>
      </c>
      <c r="AB21" s="1" t="s">
        <v>54</v>
      </c>
      <c r="AC21" s="1" t="s">
        <v>57</v>
      </c>
      <c r="AD21" s="1" t="s">
        <v>58</v>
      </c>
      <c r="AE21" s="1" t="s">
        <v>59</v>
      </c>
      <c r="AF21" s="1" t="s">
        <v>54</v>
      </c>
      <c r="AG21" s="1" t="s">
        <v>98</v>
      </c>
      <c r="AH21" s="1" t="s">
        <v>120</v>
      </c>
    </row>
    <row r="22" spans="1:34" x14ac:dyDescent="0.35">
      <c r="A22" s="1" t="s">
        <v>91</v>
      </c>
      <c r="B22" s="1" t="s">
        <v>41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35</v>
      </c>
      <c r="I22" s="1" t="s">
        <v>41</v>
      </c>
      <c r="J22" s="1" t="s">
        <v>39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45</v>
      </c>
      <c r="P22" s="1" t="s">
        <v>103</v>
      </c>
      <c r="Q22" s="1" t="s">
        <v>47</v>
      </c>
      <c r="R22" s="1" t="s">
        <v>80</v>
      </c>
      <c r="S22" s="1" t="s">
        <v>49</v>
      </c>
      <c r="T22" s="1" t="s">
        <v>50</v>
      </c>
      <c r="U22" s="1" t="s">
        <v>51</v>
      </c>
      <c r="V22" s="1" t="s">
        <v>52</v>
      </c>
      <c r="W22" s="1" t="s">
        <v>53</v>
      </c>
      <c r="X22" s="1" t="s">
        <v>54</v>
      </c>
      <c r="Y22" s="1" t="s">
        <v>74</v>
      </c>
      <c r="Z22" s="1" t="s">
        <v>82</v>
      </c>
      <c r="AA22" s="1" t="s">
        <v>36</v>
      </c>
      <c r="AB22" s="1" t="s">
        <v>54</v>
      </c>
      <c r="AC22" s="1" t="s">
        <v>57</v>
      </c>
      <c r="AD22" s="1" t="s">
        <v>58</v>
      </c>
      <c r="AE22" s="1" t="s">
        <v>59</v>
      </c>
      <c r="AF22" s="1" t="s">
        <v>54</v>
      </c>
      <c r="AG22" s="1" t="s">
        <v>165</v>
      </c>
      <c r="AH22" s="1" t="s">
        <v>120</v>
      </c>
    </row>
    <row r="23" spans="1:34" x14ac:dyDescent="0.35">
      <c r="A23" s="1" t="s">
        <v>54</v>
      </c>
      <c r="B23" s="1" t="s">
        <v>41</v>
      </c>
      <c r="C23" s="1" t="s">
        <v>76</v>
      </c>
      <c r="D23" s="1" t="s">
        <v>37</v>
      </c>
      <c r="E23" s="1" t="s">
        <v>77</v>
      </c>
      <c r="F23" s="1" t="s">
        <v>39</v>
      </c>
      <c r="G23" s="1" t="s">
        <v>40</v>
      </c>
      <c r="H23" s="1" t="s">
        <v>35</v>
      </c>
      <c r="I23" s="1" t="s">
        <v>35</v>
      </c>
      <c r="J23" s="1" t="s">
        <v>39</v>
      </c>
      <c r="K23" s="1" t="s">
        <v>42</v>
      </c>
      <c r="L23" s="1" t="s">
        <v>79</v>
      </c>
      <c r="M23" s="1" t="s">
        <v>44</v>
      </c>
      <c r="N23" s="1" t="s">
        <v>45</v>
      </c>
      <c r="O23" s="1" t="s">
        <v>45</v>
      </c>
      <c r="P23" s="1" t="s">
        <v>103</v>
      </c>
      <c r="Q23" s="1" t="s">
        <v>47</v>
      </c>
      <c r="R23" s="1" t="s">
        <v>80</v>
      </c>
      <c r="S23" s="1" t="s">
        <v>49</v>
      </c>
      <c r="T23" s="1" t="s">
        <v>50</v>
      </c>
      <c r="U23" s="1" t="s">
        <v>51</v>
      </c>
      <c r="V23" s="1" t="s">
        <v>52</v>
      </c>
      <c r="W23" s="1" t="s">
        <v>53</v>
      </c>
      <c r="X23" s="1" t="s">
        <v>54</v>
      </c>
      <c r="Y23" s="1" t="s">
        <v>55</v>
      </c>
      <c r="Z23" s="1" t="s">
        <v>82</v>
      </c>
      <c r="AA23" s="1" t="s">
        <v>36</v>
      </c>
      <c r="AB23" s="1" t="s">
        <v>54</v>
      </c>
      <c r="AC23" s="1" t="s">
        <v>57</v>
      </c>
      <c r="AD23" s="1" t="s">
        <v>58</v>
      </c>
      <c r="AE23" s="1" t="s">
        <v>59</v>
      </c>
      <c r="AF23" s="1" t="s">
        <v>54</v>
      </c>
      <c r="AG23" s="1" t="s">
        <v>165</v>
      </c>
      <c r="AH23" s="1" t="s">
        <v>120</v>
      </c>
    </row>
    <row r="24" spans="1:34" x14ac:dyDescent="0.35">
      <c r="A24" s="1" t="s">
        <v>74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1"/>
      <c r="H24" s="1" t="s">
        <v>156</v>
      </c>
      <c r="I24" s="1" t="s">
        <v>156</v>
      </c>
      <c r="J24" s="1" t="s">
        <v>160</v>
      </c>
      <c r="K24" s="1" t="s">
        <v>161</v>
      </c>
      <c r="L24" s="1"/>
      <c r="M24" s="1" t="s">
        <v>162</v>
      </c>
      <c r="N24" s="1" t="s">
        <v>158</v>
      </c>
      <c r="O24" s="1" t="s">
        <v>158</v>
      </c>
      <c r="P24" s="1" t="s">
        <v>163</v>
      </c>
      <c r="Q24" s="1" t="s">
        <v>164</v>
      </c>
      <c r="R24" s="1" t="s">
        <v>165</v>
      </c>
      <c r="S24" s="1" t="s">
        <v>158</v>
      </c>
      <c r="T24" s="1" t="s">
        <v>163</v>
      </c>
      <c r="U24" s="1" t="s">
        <v>163</v>
      </c>
      <c r="V24" s="1" t="s">
        <v>158</v>
      </c>
      <c r="W24" s="1" t="s">
        <v>162</v>
      </c>
      <c r="X24" s="1" t="s">
        <v>166</v>
      </c>
      <c r="Y24" s="1" t="s">
        <v>166</v>
      </c>
      <c r="Z24" s="1" t="s">
        <v>157</v>
      </c>
      <c r="AA24" s="1" t="s">
        <v>157</v>
      </c>
      <c r="AB24" s="1" t="s">
        <v>166</v>
      </c>
      <c r="AC24" s="1" t="s">
        <v>167</v>
      </c>
      <c r="AD24" s="1" t="s">
        <v>167</v>
      </c>
      <c r="AE24" s="1" t="s">
        <v>161</v>
      </c>
      <c r="AF24" s="1" t="s">
        <v>166</v>
      </c>
      <c r="AG24" s="1" t="s">
        <v>165</v>
      </c>
      <c r="AH24" s="1" t="s">
        <v>120</v>
      </c>
    </row>
    <row r="25" spans="1:34" x14ac:dyDescent="0.35">
      <c r="A25" s="1" t="s">
        <v>74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160</v>
      </c>
      <c r="G25" s="1"/>
      <c r="H25" s="1" t="s">
        <v>156</v>
      </c>
      <c r="I25" s="1" t="s">
        <v>156</v>
      </c>
      <c r="J25" s="1" t="s">
        <v>160</v>
      </c>
      <c r="K25" s="1" t="s">
        <v>161</v>
      </c>
      <c r="L25" s="1"/>
      <c r="M25" s="1" t="s">
        <v>162</v>
      </c>
      <c r="N25" s="1" t="s">
        <v>158</v>
      </c>
      <c r="O25" s="1" t="s">
        <v>158</v>
      </c>
      <c r="P25" s="1" t="s">
        <v>163</v>
      </c>
      <c r="Q25" s="1" t="s">
        <v>164</v>
      </c>
      <c r="R25" s="1" t="s">
        <v>165</v>
      </c>
      <c r="S25" s="1" t="s">
        <v>158</v>
      </c>
      <c r="T25" s="1" t="s">
        <v>163</v>
      </c>
      <c r="U25" s="1" t="s">
        <v>163</v>
      </c>
      <c r="V25" s="1" t="s">
        <v>158</v>
      </c>
      <c r="W25" s="1" t="s">
        <v>162</v>
      </c>
      <c r="X25" s="1" t="s">
        <v>166</v>
      </c>
      <c r="Y25" s="1" t="s">
        <v>166</v>
      </c>
      <c r="Z25" s="1" t="s">
        <v>157</v>
      </c>
      <c r="AA25" s="1" t="s">
        <v>157</v>
      </c>
      <c r="AB25" s="1" t="s">
        <v>166</v>
      </c>
      <c r="AC25" s="1" t="s">
        <v>167</v>
      </c>
      <c r="AD25" s="1" t="s">
        <v>167</v>
      </c>
      <c r="AE25" s="1" t="s">
        <v>161</v>
      </c>
      <c r="AF25" s="1" t="s">
        <v>166</v>
      </c>
      <c r="AG25" s="1" t="s">
        <v>165</v>
      </c>
      <c r="AH25" s="1" t="s">
        <v>120</v>
      </c>
    </row>
    <row r="26" spans="1:34" x14ac:dyDescent="0.35">
      <c r="A26" s="1" t="s">
        <v>74</v>
      </c>
      <c r="B26" s="1" t="s">
        <v>156</v>
      </c>
      <c r="C26" s="1" t="s">
        <v>157</v>
      </c>
      <c r="D26" s="1" t="s">
        <v>158</v>
      </c>
      <c r="E26" s="1" t="s">
        <v>159</v>
      </c>
      <c r="F26" s="1" t="s">
        <v>160</v>
      </c>
      <c r="G26" s="1"/>
      <c r="H26" s="1" t="s">
        <v>156</v>
      </c>
      <c r="I26" s="1" t="s">
        <v>156</v>
      </c>
      <c r="J26" s="1" t="s">
        <v>160</v>
      </c>
      <c r="K26" s="1" t="s">
        <v>161</v>
      </c>
      <c r="L26" s="1"/>
      <c r="M26" s="1" t="s">
        <v>162</v>
      </c>
      <c r="N26" s="1" t="s">
        <v>158</v>
      </c>
      <c r="O26" s="1" t="s">
        <v>158</v>
      </c>
      <c r="P26" s="1" t="s">
        <v>163</v>
      </c>
      <c r="Q26" s="1" t="s">
        <v>164</v>
      </c>
      <c r="R26" s="1" t="s">
        <v>165</v>
      </c>
      <c r="S26" s="1" t="s">
        <v>158</v>
      </c>
      <c r="T26" s="1" t="s">
        <v>163</v>
      </c>
      <c r="U26" s="1" t="s">
        <v>163</v>
      </c>
      <c r="V26" s="1" t="s">
        <v>158</v>
      </c>
      <c r="W26" s="1" t="s">
        <v>162</v>
      </c>
      <c r="X26" s="1" t="s">
        <v>166</v>
      </c>
      <c r="Y26" s="1" t="s">
        <v>166</v>
      </c>
      <c r="Z26" s="1" t="s">
        <v>157</v>
      </c>
      <c r="AA26" s="1" t="s">
        <v>157</v>
      </c>
      <c r="AB26" s="1" t="s">
        <v>166</v>
      </c>
      <c r="AC26" s="1" t="s">
        <v>167</v>
      </c>
      <c r="AD26" s="1" t="s">
        <v>167</v>
      </c>
      <c r="AE26" s="1" t="s">
        <v>161</v>
      </c>
      <c r="AF26" s="1" t="s">
        <v>166</v>
      </c>
      <c r="AG26" s="1" t="s">
        <v>165</v>
      </c>
      <c r="AH26" s="1" t="s">
        <v>120</v>
      </c>
    </row>
    <row r="27" spans="1:34" x14ac:dyDescent="0.35">
      <c r="A27" s="1" t="s">
        <v>91</v>
      </c>
      <c r="B27" s="1" t="s">
        <v>35</v>
      </c>
      <c r="C27" s="1" t="s">
        <v>36</v>
      </c>
      <c r="D27" s="1" t="s">
        <v>37</v>
      </c>
      <c r="E27" s="1" t="s">
        <v>77</v>
      </c>
      <c r="F27" s="1" t="s">
        <v>39</v>
      </c>
      <c r="G27" s="1" t="s">
        <v>40</v>
      </c>
      <c r="H27" s="1" t="s">
        <v>35</v>
      </c>
      <c r="I27" s="1" t="s">
        <v>41</v>
      </c>
      <c r="J27" s="1" t="s">
        <v>39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45</v>
      </c>
      <c r="P27" s="1" t="s">
        <v>46</v>
      </c>
      <c r="Q27" s="1" t="s">
        <v>47</v>
      </c>
      <c r="R27" s="1" t="s">
        <v>80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82</v>
      </c>
      <c r="AA27" s="1" t="s">
        <v>36</v>
      </c>
      <c r="AB27" s="1" t="s">
        <v>54</v>
      </c>
      <c r="AC27" s="1" t="s">
        <v>57</v>
      </c>
      <c r="AD27" s="1" t="s">
        <v>58</v>
      </c>
      <c r="AE27" s="1" t="s">
        <v>59</v>
      </c>
      <c r="AF27" s="1" t="s">
        <v>54</v>
      </c>
      <c r="AG27" s="1" t="s">
        <v>98</v>
      </c>
      <c r="AH27" s="1" t="s">
        <v>120</v>
      </c>
    </row>
    <row r="28" spans="1:34" x14ac:dyDescent="0.35">
      <c r="A28" s="1" t="s">
        <v>34</v>
      </c>
      <c r="B28" s="1" t="s">
        <v>35</v>
      </c>
      <c r="C28" s="1" t="s">
        <v>157</v>
      </c>
      <c r="D28" s="1" t="s">
        <v>83</v>
      </c>
      <c r="E28" s="1" t="s">
        <v>38</v>
      </c>
      <c r="F28" s="1" t="s">
        <v>39</v>
      </c>
      <c r="G28" s="1" t="s">
        <v>40</v>
      </c>
      <c r="H28" s="1" t="s">
        <v>35</v>
      </c>
      <c r="I28" s="1" t="s">
        <v>35</v>
      </c>
      <c r="J28" s="1" t="s">
        <v>39</v>
      </c>
      <c r="K28" s="1" t="s">
        <v>42</v>
      </c>
      <c r="L28" s="1" t="s">
        <v>43</v>
      </c>
      <c r="M28" s="1" t="s">
        <v>53</v>
      </c>
      <c r="N28" s="1" t="s">
        <v>45</v>
      </c>
      <c r="O28" s="1" t="s">
        <v>45</v>
      </c>
      <c r="P28" s="1" t="s">
        <v>103</v>
      </c>
      <c r="Q28" s="1" t="s">
        <v>47</v>
      </c>
      <c r="R28" s="1" t="s">
        <v>80</v>
      </c>
      <c r="S28" s="1" t="s">
        <v>49</v>
      </c>
      <c r="T28" s="1" t="s">
        <v>50</v>
      </c>
      <c r="U28" s="1" t="s">
        <v>51</v>
      </c>
      <c r="V28" s="1" t="s">
        <v>52</v>
      </c>
      <c r="W28" s="1" t="s">
        <v>53</v>
      </c>
      <c r="X28" s="1" t="s">
        <v>54</v>
      </c>
      <c r="Y28" s="1" t="s">
        <v>55</v>
      </c>
      <c r="Z28" s="1" t="s">
        <v>56</v>
      </c>
      <c r="AA28" s="1" t="s">
        <v>36</v>
      </c>
      <c r="AB28" s="1" t="s">
        <v>54</v>
      </c>
      <c r="AC28" s="1" t="s">
        <v>57</v>
      </c>
      <c r="AD28" s="1" t="s">
        <v>58</v>
      </c>
      <c r="AE28" s="1" t="s">
        <v>59</v>
      </c>
      <c r="AF28" s="1" t="s">
        <v>54</v>
      </c>
      <c r="AG28" s="1" t="s">
        <v>165</v>
      </c>
      <c r="AH28" s="1" t="s">
        <v>120</v>
      </c>
    </row>
    <row r="29" spans="1:34" x14ac:dyDescent="0.35">
      <c r="A29" s="1" t="s">
        <v>99</v>
      </c>
      <c r="B29" s="1" t="s">
        <v>35</v>
      </c>
      <c r="C29" s="1" t="s">
        <v>36</v>
      </c>
      <c r="D29" s="1" t="s">
        <v>37</v>
      </c>
      <c r="E29" s="1" t="s">
        <v>77</v>
      </c>
      <c r="F29" s="1" t="s">
        <v>39</v>
      </c>
      <c r="G29" s="1" t="s">
        <v>40</v>
      </c>
      <c r="H29" s="1" t="s">
        <v>35</v>
      </c>
      <c r="I29" s="1" t="s">
        <v>35</v>
      </c>
      <c r="J29" s="1" t="s">
        <v>78</v>
      </c>
      <c r="K29" s="1" t="s">
        <v>42</v>
      </c>
      <c r="L29" s="1" t="s">
        <v>43</v>
      </c>
      <c r="M29" s="1" t="s">
        <v>44</v>
      </c>
      <c r="N29" s="1" t="s">
        <v>45</v>
      </c>
      <c r="O29" s="1" t="s">
        <v>52</v>
      </c>
      <c r="P29" s="1" t="s">
        <v>103</v>
      </c>
      <c r="Q29" s="1" t="s">
        <v>47</v>
      </c>
      <c r="R29" s="1" t="s">
        <v>80</v>
      </c>
      <c r="S29" s="1" t="s">
        <v>49</v>
      </c>
      <c r="T29" s="1" t="s">
        <v>50</v>
      </c>
      <c r="U29" s="1" t="s">
        <v>51</v>
      </c>
      <c r="V29" s="1" t="s">
        <v>52</v>
      </c>
      <c r="W29" s="1" t="s">
        <v>53</v>
      </c>
      <c r="X29" s="1" t="s">
        <v>54</v>
      </c>
      <c r="Y29" s="1" t="s">
        <v>55</v>
      </c>
      <c r="Z29" s="1" t="s">
        <v>56</v>
      </c>
      <c r="AA29" s="1" t="s">
        <v>36</v>
      </c>
      <c r="AB29" s="1" t="s">
        <v>54</v>
      </c>
      <c r="AC29" s="1" t="s">
        <v>57</v>
      </c>
      <c r="AD29" s="1" t="s">
        <v>58</v>
      </c>
      <c r="AE29" s="1" t="s">
        <v>59</v>
      </c>
      <c r="AF29" s="1" t="s">
        <v>54</v>
      </c>
      <c r="AG29" s="1" t="s">
        <v>98</v>
      </c>
      <c r="AH29" s="1" t="s">
        <v>120</v>
      </c>
    </row>
    <row r="30" spans="1:34" x14ac:dyDescent="0.35">
      <c r="A30" s="1" t="s">
        <v>34</v>
      </c>
      <c r="B30" s="1" t="s">
        <v>35</v>
      </c>
      <c r="C30" s="1" t="s">
        <v>36</v>
      </c>
      <c r="D30" s="1" t="s">
        <v>37</v>
      </c>
      <c r="E30" s="1" t="s">
        <v>38</v>
      </c>
      <c r="F30" s="1" t="s">
        <v>39</v>
      </c>
      <c r="G30" s="1" t="s">
        <v>40</v>
      </c>
      <c r="H30" s="1" t="s">
        <v>35</v>
      </c>
      <c r="I30" s="1" t="s">
        <v>41</v>
      </c>
      <c r="J30" s="1" t="s">
        <v>39</v>
      </c>
      <c r="K30" s="1" t="s">
        <v>42</v>
      </c>
      <c r="L30" s="1" t="s">
        <v>79</v>
      </c>
      <c r="M30" s="1" t="s">
        <v>44</v>
      </c>
      <c r="N30" s="1" t="s">
        <v>45</v>
      </c>
      <c r="O30" s="1" t="s">
        <v>45</v>
      </c>
      <c r="P30" s="1" t="s">
        <v>46</v>
      </c>
      <c r="Q30" s="1" t="s">
        <v>47</v>
      </c>
      <c r="R30" s="1" t="s">
        <v>48</v>
      </c>
      <c r="S30" s="1" t="s">
        <v>49</v>
      </c>
      <c r="T30" s="1" t="s">
        <v>50</v>
      </c>
      <c r="U30" s="1" t="s">
        <v>51</v>
      </c>
      <c r="V30" s="1" t="s">
        <v>52</v>
      </c>
      <c r="W30" s="1" t="s">
        <v>53</v>
      </c>
      <c r="X30" s="1" t="s">
        <v>54</v>
      </c>
      <c r="Y30" s="1" t="s">
        <v>55</v>
      </c>
      <c r="Z30" s="1" t="s">
        <v>56</v>
      </c>
      <c r="AA30" s="1" t="s">
        <v>36</v>
      </c>
      <c r="AB30" s="1" t="s">
        <v>54</v>
      </c>
      <c r="AC30" s="1" t="s">
        <v>57</v>
      </c>
      <c r="AD30" s="1" t="s">
        <v>58</v>
      </c>
      <c r="AE30" s="1" t="s">
        <v>59</v>
      </c>
      <c r="AF30" s="1" t="s">
        <v>54</v>
      </c>
      <c r="AG30" s="1" t="s">
        <v>75</v>
      </c>
      <c r="AH30" s="1" t="s">
        <v>120</v>
      </c>
    </row>
    <row r="31" spans="1:34" x14ac:dyDescent="0.35">
      <c r="A31" s="1" t="s">
        <v>55</v>
      </c>
      <c r="B31" s="1" t="s">
        <v>41</v>
      </c>
      <c r="C31" s="1" t="s">
        <v>76</v>
      </c>
      <c r="D31" s="1" t="s">
        <v>49</v>
      </c>
      <c r="E31" s="1" t="s">
        <v>77</v>
      </c>
      <c r="F31" s="1" t="s">
        <v>39</v>
      </c>
      <c r="G31" s="1" t="s">
        <v>40</v>
      </c>
      <c r="H31" s="1" t="s">
        <v>35</v>
      </c>
      <c r="I31" s="1" t="s">
        <v>94</v>
      </c>
      <c r="J31" s="1" t="s">
        <v>92</v>
      </c>
      <c r="K31" s="1" t="s">
        <v>42</v>
      </c>
      <c r="L31" s="1" t="s">
        <v>43</v>
      </c>
      <c r="M31" s="1" t="s">
        <v>44</v>
      </c>
      <c r="N31" s="1" t="s">
        <v>45</v>
      </c>
      <c r="O31" s="1" t="s">
        <v>45</v>
      </c>
      <c r="P31" s="1" t="s">
        <v>46</v>
      </c>
      <c r="Q31" s="1" t="s">
        <v>47</v>
      </c>
      <c r="R31" s="1" t="s">
        <v>48</v>
      </c>
      <c r="S31" s="1" t="s">
        <v>49</v>
      </c>
      <c r="T31" s="1" t="s">
        <v>50</v>
      </c>
      <c r="U31" s="1" t="s">
        <v>51</v>
      </c>
      <c r="V31" s="1" t="s">
        <v>52</v>
      </c>
      <c r="W31" s="1" t="s">
        <v>53</v>
      </c>
      <c r="X31" s="1" t="s">
        <v>54</v>
      </c>
      <c r="Y31" s="1" t="s">
        <v>55</v>
      </c>
      <c r="Z31" s="1" t="s">
        <v>82</v>
      </c>
      <c r="AA31" s="1" t="s">
        <v>36</v>
      </c>
      <c r="AB31" s="1" t="s">
        <v>54</v>
      </c>
      <c r="AC31" s="1" t="s">
        <v>57</v>
      </c>
      <c r="AD31" s="1" t="s">
        <v>58</v>
      </c>
      <c r="AE31" s="1" t="s">
        <v>42</v>
      </c>
      <c r="AF31" s="1" t="s">
        <v>54</v>
      </c>
      <c r="AG31" s="1" t="s">
        <v>60</v>
      </c>
      <c r="AH31" s="1" t="s">
        <v>120</v>
      </c>
    </row>
    <row r="32" spans="1:34" x14ac:dyDescent="0.35">
      <c r="A32" s="1" t="s">
        <v>85</v>
      </c>
      <c r="B32" s="1" t="s">
        <v>35</v>
      </c>
      <c r="C32" s="1" t="s">
        <v>157</v>
      </c>
      <c r="D32" s="1" t="s">
        <v>37</v>
      </c>
      <c r="E32" s="1" t="s">
        <v>77</v>
      </c>
      <c r="F32" s="1" t="s">
        <v>39</v>
      </c>
      <c r="G32" s="1" t="s">
        <v>40</v>
      </c>
      <c r="H32" s="1" t="s">
        <v>35</v>
      </c>
      <c r="I32" s="1" t="s">
        <v>35</v>
      </c>
      <c r="J32" s="1" t="s">
        <v>39</v>
      </c>
      <c r="K32" s="1" t="s">
        <v>42</v>
      </c>
      <c r="L32" s="1" t="s">
        <v>43</v>
      </c>
      <c r="M32" s="1" t="s">
        <v>44</v>
      </c>
      <c r="N32" s="1" t="s">
        <v>45</v>
      </c>
      <c r="O32" s="1" t="s">
        <v>45</v>
      </c>
      <c r="P32" s="1" t="s">
        <v>103</v>
      </c>
      <c r="Q32" s="1" t="s">
        <v>47</v>
      </c>
      <c r="R32" s="1" t="s">
        <v>80</v>
      </c>
      <c r="S32" s="1" t="s">
        <v>49</v>
      </c>
      <c r="T32" s="1" t="s">
        <v>50</v>
      </c>
      <c r="U32" s="1" t="s">
        <v>51</v>
      </c>
      <c r="V32" s="1" t="s">
        <v>81</v>
      </c>
      <c r="W32" s="1" t="s">
        <v>53</v>
      </c>
      <c r="X32" s="1" t="s">
        <v>54</v>
      </c>
      <c r="Y32" s="1" t="s">
        <v>55</v>
      </c>
      <c r="Z32" s="1" t="s">
        <v>82</v>
      </c>
      <c r="AA32" s="1" t="s">
        <v>36</v>
      </c>
      <c r="AB32" s="1" t="s">
        <v>54</v>
      </c>
      <c r="AC32" s="1" t="s">
        <v>57</v>
      </c>
      <c r="AD32" s="1" t="s">
        <v>58</v>
      </c>
      <c r="AE32" s="1" t="s">
        <v>59</v>
      </c>
      <c r="AF32" s="1" t="s">
        <v>54</v>
      </c>
      <c r="AG32" s="1" t="s">
        <v>165</v>
      </c>
      <c r="AH32" s="1" t="s">
        <v>120</v>
      </c>
    </row>
    <row r="33" spans="1:34" x14ac:dyDescent="0.35">
      <c r="A33" s="1" t="s">
        <v>74</v>
      </c>
      <c r="B33" s="1" t="s">
        <v>41</v>
      </c>
      <c r="C33" s="1" t="s">
        <v>76</v>
      </c>
      <c r="D33" s="1" t="s">
        <v>37</v>
      </c>
      <c r="E33" s="1" t="s">
        <v>77</v>
      </c>
      <c r="F33" s="1" t="s">
        <v>39</v>
      </c>
      <c r="G33" s="1" t="s">
        <v>40</v>
      </c>
      <c r="H33" s="1" t="s">
        <v>35</v>
      </c>
      <c r="I33" s="1" t="s">
        <v>94</v>
      </c>
      <c r="J33" s="1" t="s">
        <v>39</v>
      </c>
      <c r="K33" s="1" t="s">
        <v>42</v>
      </c>
      <c r="L33" s="1" t="s">
        <v>79</v>
      </c>
      <c r="M33" s="1" t="s">
        <v>44</v>
      </c>
      <c r="N33" s="1" t="s">
        <v>45</v>
      </c>
      <c r="O33" s="1" t="s">
        <v>45</v>
      </c>
      <c r="P33" s="1" t="s">
        <v>46</v>
      </c>
      <c r="Q33" s="1" t="s">
        <v>47</v>
      </c>
      <c r="R33" s="1" t="s">
        <v>48</v>
      </c>
      <c r="S33" s="1" t="s">
        <v>49</v>
      </c>
      <c r="T33" s="1" t="s">
        <v>50</v>
      </c>
      <c r="U33" s="1" t="s">
        <v>51</v>
      </c>
      <c r="V33" s="1" t="s">
        <v>52</v>
      </c>
      <c r="W33" s="1" t="s">
        <v>53</v>
      </c>
      <c r="X33" s="1" t="s">
        <v>54</v>
      </c>
      <c r="Y33" s="1" t="s">
        <v>55</v>
      </c>
      <c r="Z33" s="1" t="s">
        <v>82</v>
      </c>
      <c r="AA33" s="1" t="s">
        <v>36</v>
      </c>
      <c r="AB33" s="1" t="s">
        <v>54</v>
      </c>
      <c r="AC33" s="1" t="s">
        <v>57</v>
      </c>
      <c r="AD33" s="1" t="s">
        <v>58</v>
      </c>
      <c r="AE33" s="1" t="s">
        <v>42</v>
      </c>
      <c r="AF33" s="1" t="s">
        <v>54</v>
      </c>
      <c r="AG33" s="1" t="s">
        <v>75</v>
      </c>
      <c r="AH33" s="1" t="s">
        <v>120</v>
      </c>
    </row>
    <row r="34" spans="1:34" x14ac:dyDescent="0.35">
      <c r="A34" s="1" t="s">
        <v>74</v>
      </c>
      <c r="B34" s="1" t="s">
        <v>41</v>
      </c>
      <c r="C34" s="1" t="s">
        <v>36</v>
      </c>
      <c r="D34" s="1" t="s">
        <v>83</v>
      </c>
      <c r="E34" s="1" t="s">
        <v>38</v>
      </c>
      <c r="F34" s="1" t="s">
        <v>39</v>
      </c>
      <c r="G34" s="1" t="s">
        <v>40</v>
      </c>
      <c r="H34" s="1" t="s">
        <v>35</v>
      </c>
      <c r="I34" s="1" t="s">
        <v>41</v>
      </c>
      <c r="J34" s="1" t="s">
        <v>39</v>
      </c>
      <c r="K34" s="1" t="s">
        <v>42</v>
      </c>
      <c r="L34" s="1" t="s">
        <v>43</v>
      </c>
      <c r="M34" s="1" t="s">
        <v>44</v>
      </c>
      <c r="N34" s="1" t="s">
        <v>49</v>
      </c>
      <c r="O34" s="1" t="s">
        <v>45</v>
      </c>
      <c r="P34" s="1" t="s">
        <v>103</v>
      </c>
      <c r="Q34" s="1" t="s">
        <v>47</v>
      </c>
      <c r="R34" s="1" t="s">
        <v>80</v>
      </c>
      <c r="S34" s="1" t="s">
        <v>49</v>
      </c>
      <c r="T34" s="1" t="s">
        <v>50</v>
      </c>
      <c r="U34" s="1" t="s">
        <v>51</v>
      </c>
      <c r="V34" s="1" t="s">
        <v>52</v>
      </c>
      <c r="W34" s="1" t="s">
        <v>53</v>
      </c>
      <c r="X34" s="1" t="s">
        <v>54</v>
      </c>
      <c r="Y34" s="1" t="s">
        <v>55</v>
      </c>
      <c r="Z34" s="1" t="s">
        <v>82</v>
      </c>
      <c r="AA34" s="1" t="s">
        <v>36</v>
      </c>
      <c r="AB34" s="1" t="s">
        <v>54</v>
      </c>
      <c r="AC34" s="1" t="s">
        <v>57</v>
      </c>
      <c r="AD34" s="1" t="s">
        <v>58</v>
      </c>
      <c r="AE34" s="1" t="s">
        <v>59</v>
      </c>
      <c r="AF34" s="1" t="s">
        <v>54</v>
      </c>
      <c r="AG34" s="1" t="s">
        <v>165</v>
      </c>
      <c r="AH34" s="1" t="s">
        <v>120</v>
      </c>
    </row>
    <row r="35" spans="1:34" x14ac:dyDescent="0.35">
      <c r="A35" s="1" t="s">
        <v>34</v>
      </c>
      <c r="B35" s="1" t="s">
        <v>41</v>
      </c>
      <c r="C35" s="1" t="s">
        <v>76</v>
      </c>
      <c r="D35" s="1" t="s">
        <v>49</v>
      </c>
      <c r="E35" s="1" t="s">
        <v>77</v>
      </c>
      <c r="F35" s="1" t="s">
        <v>86</v>
      </c>
      <c r="G35" s="1" t="s">
        <v>40</v>
      </c>
      <c r="H35" s="1" t="s">
        <v>35</v>
      </c>
      <c r="I35" s="1" t="s">
        <v>94</v>
      </c>
      <c r="J35" s="1" t="s">
        <v>39</v>
      </c>
      <c r="K35" s="1" t="s">
        <v>42</v>
      </c>
      <c r="L35" s="1" t="s">
        <v>43</v>
      </c>
      <c r="M35" s="1" t="s">
        <v>44</v>
      </c>
      <c r="N35" s="1" t="s">
        <v>45</v>
      </c>
      <c r="O35" s="1" t="s">
        <v>45</v>
      </c>
      <c r="P35" s="1" t="s">
        <v>46</v>
      </c>
      <c r="Q35" s="1" t="s">
        <v>47</v>
      </c>
      <c r="R35" s="1" t="s">
        <v>48</v>
      </c>
      <c r="S35" s="1" t="s">
        <v>45</v>
      </c>
      <c r="T35" s="1" t="s">
        <v>50</v>
      </c>
      <c r="U35" s="1" t="s">
        <v>51</v>
      </c>
      <c r="V35" s="1" t="s">
        <v>52</v>
      </c>
      <c r="W35" s="1" t="s">
        <v>53</v>
      </c>
      <c r="X35" s="1" t="s">
        <v>91</v>
      </c>
      <c r="Y35" s="1" t="s">
        <v>55</v>
      </c>
      <c r="Z35" s="1" t="s">
        <v>56</v>
      </c>
      <c r="AA35" s="1" t="s">
        <v>36</v>
      </c>
      <c r="AB35" s="1" t="s">
        <v>54</v>
      </c>
      <c r="AC35" s="1" t="s">
        <v>57</v>
      </c>
      <c r="AD35" s="1" t="s">
        <v>58</v>
      </c>
      <c r="AE35" s="1" t="s">
        <v>59</v>
      </c>
      <c r="AF35" s="1" t="s">
        <v>54</v>
      </c>
      <c r="AG35" s="1" t="s">
        <v>98</v>
      </c>
      <c r="AH35" s="1" t="s">
        <v>120</v>
      </c>
    </row>
    <row r="36" spans="1:34" x14ac:dyDescent="0.35">
      <c r="A36" s="1" t="s">
        <v>54</v>
      </c>
      <c r="B36" s="1" t="s">
        <v>41</v>
      </c>
      <c r="C36" s="1" t="s">
        <v>76</v>
      </c>
      <c r="D36" s="1" t="s">
        <v>49</v>
      </c>
      <c r="E36" s="1" t="s">
        <v>77</v>
      </c>
      <c r="F36" s="1" t="s">
        <v>86</v>
      </c>
      <c r="G36" s="1" t="s">
        <v>40</v>
      </c>
      <c r="H36" s="1" t="s">
        <v>41</v>
      </c>
      <c r="I36" s="1" t="s">
        <v>35</v>
      </c>
      <c r="J36" s="1" t="s">
        <v>39</v>
      </c>
      <c r="K36" s="1" t="s">
        <v>42</v>
      </c>
      <c r="L36" s="1" t="s">
        <v>79</v>
      </c>
      <c r="M36" s="1" t="s">
        <v>44</v>
      </c>
      <c r="N36" s="1" t="s">
        <v>45</v>
      </c>
      <c r="O36" s="1" t="s">
        <v>45</v>
      </c>
      <c r="P36" s="1" t="s">
        <v>46</v>
      </c>
      <c r="Q36" s="1" t="s">
        <v>47</v>
      </c>
      <c r="R36" s="1" t="s">
        <v>48</v>
      </c>
      <c r="S36" s="1" t="s">
        <v>49</v>
      </c>
      <c r="T36" s="1" t="s">
        <v>50</v>
      </c>
      <c r="U36" s="1" t="s">
        <v>51</v>
      </c>
      <c r="V36" s="1" t="s">
        <v>52</v>
      </c>
      <c r="W36" s="1" t="s">
        <v>53</v>
      </c>
      <c r="X36" s="1" t="s">
        <v>91</v>
      </c>
      <c r="Y36" s="1" t="s">
        <v>55</v>
      </c>
      <c r="Z36" s="1" t="s">
        <v>56</v>
      </c>
      <c r="AA36" s="1" t="s">
        <v>36</v>
      </c>
      <c r="AB36" s="1" t="s">
        <v>54</v>
      </c>
      <c r="AC36" s="1" t="s">
        <v>57</v>
      </c>
      <c r="AD36" s="1" t="s">
        <v>58</v>
      </c>
      <c r="AE36" s="1" t="s">
        <v>59</v>
      </c>
      <c r="AF36" s="1" t="s">
        <v>54</v>
      </c>
      <c r="AG36" s="1" t="s">
        <v>98</v>
      </c>
      <c r="AH36" s="1" t="s">
        <v>120</v>
      </c>
    </row>
    <row r="37" spans="1:34" x14ac:dyDescent="0.35">
      <c r="A37" s="1" t="s">
        <v>74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160</v>
      </c>
      <c r="G37" s="1"/>
      <c r="H37" s="1" t="s">
        <v>156</v>
      </c>
      <c r="I37" s="1" t="s">
        <v>156</v>
      </c>
      <c r="J37" s="1" t="s">
        <v>160</v>
      </c>
      <c r="K37" s="1" t="s">
        <v>161</v>
      </c>
      <c r="L37" s="1"/>
      <c r="M37" s="1" t="s">
        <v>162</v>
      </c>
      <c r="N37" s="1" t="s">
        <v>158</v>
      </c>
      <c r="O37" s="1" t="s">
        <v>158</v>
      </c>
      <c r="P37" s="1" t="s">
        <v>163</v>
      </c>
      <c r="Q37" s="1" t="s">
        <v>164</v>
      </c>
      <c r="R37" s="1" t="s">
        <v>165</v>
      </c>
      <c r="S37" s="1" t="s">
        <v>158</v>
      </c>
      <c r="T37" s="1" t="s">
        <v>163</v>
      </c>
      <c r="U37" s="1" t="s">
        <v>163</v>
      </c>
      <c r="V37" s="1" t="s">
        <v>158</v>
      </c>
      <c r="W37" s="1" t="s">
        <v>162</v>
      </c>
      <c r="X37" s="1" t="s">
        <v>166</v>
      </c>
      <c r="Y37" s="1" t="s">
        <v>166</v>
      </c>
      <c r="Z37" s="1" t="s">
        <v>157</v>
      </c>
      <c r="AA37" s="1" t="s">
        <v>157</v>
      </c>
      <c r="AB37" s="1" t="s">
        <v>166</v>
      </c>
      <c r="AC37" s="1" t="s">
        <v>167</v>
      </c>
      <c r="AD37" s="1" t="s">
        <v>167</v>
      </c>
      <c r="AE37" s="1" t="s">
        <v>161</v>
      </c>
      <c r="AF37" s="1" t="s">
        <v>166</v>
      </c>
      <c r="AG37" s="1" t="s">
        <v>165</v>
      </c>
      <c r="AH37" s="1" t="s">
        <v>120</v>
      </c>
    </row>
    <row r="38" spans="1:34" x14ac:dyDescent="0.35">
      <c r="A38" s="1" t="s">
        <v>74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160</v>
      </c>
      <c r="G38" s="1"/>
      <c r="H38" s="1" t="s">
        <v>156</v>
      </c>
      <c r="I38" s="1" t="s">
        <v>156</v>
      </c>
      <c r="J38" s="1" t="s">
        <v>160</v>
      </c>
      <c r="K38" s="1" t="s">
        <v>161</v>
      </c>
      <c r="L38" s="1"/>
      <c r="M38" s="1" t="s">
        <v>162</v>
      </c>
      <c r="N38" s="1" t="s">
        <v>158</v>
      </c>
      <c r="O38" s="1" t="s">
        <v>158</v>
      </c>
      <c r="P38" s="1" t="s">
        <v>163</v>
      </c>
      <c r="Q38" s="1" t="s">
        <v>164</v>
      </c>
      <c r="R38" s="1" t="s">
        <v>165</v>
      </c>
      <c r="S38" s="1" t="s">
        <v>158</v>
      </c>
      <c r="T38" s="1" t="s">
        <v>163</v>
      </c>
      <c r="U38" s="1" t="s">
        <v>163</v>
      </c>
      <c r="V38" s="1" t="s">
        <v>158</v>
      </c>
      <c r="W38" s="1" t="s">
        <v>162</v>
      </c>
      <c r="X38" s="1" t="s">
        <v>166</v>
      </c>
      <c r="Y38" s="1" t="s">
        <v>166</v>
      </c>
      <c r="Z38" s="1" t="s">
        <v>157</v>
      </c>
      <c r="AA38" s="1" t="s">
        <v>157</v>
      </c>
      <c r="AB38" s="1" t="s">
        <v>166</v>
      </c>
      <c r="AC38" s="1" t="s">
        <v>167</v>
      </c>
      <c r="AD38" s="1" t="s">
        <v>167</v>
      </c>
      <c r="AE38" s="1" t="s">
        <v>161</v>
      </c>
      <c r="AF38" s="1" t="s">
        <v>166</v>
      </c>
      <c r="AG38" s="1" t="s">
        <v>165</v>
      </c>
      <c r="AH38" s="1" t="s">
        <v>120</v>
      </c>
    </row>
    <row r="39" spans="1:34" x14ac:dyDescent="0.35">
      <c r="A39" s="1" t="s">
        <v>74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160</v>
      </c>
      <c r="G39" s="1"/>
      <c r="H39" s="1" t="s">
        <v>156</v>
      </c>
      <c r="I39" s="1" t="s">
        <v>156</v>
      </c>
      <c r="J39" s="1" t="s">
        <v>160</v>
      </c>
      <c r="K39" s="1" t="s">
        <v>161</v>
      </c>
      <c r="L39" s="1"/>
      <c r="M39" s="1" t="s">
        <v>162</v>
      </c>
      <c r="N39" s="1" t="s">
        <v>158</v>
      </c>
      <c r="O39" s="1" t="s">
        <v>158</v>
      </c>
      <c r="P39" s="1" t="s">
        <v>163</v>
      </c>
      <c r="Q39" s="1" t="s">
        <v>164</v>
      </c>
      <c r="R39" s="1" t="s">
        <v>165</v>
      </c>
      <c r="S39" s="1" t="s">
        <v>158</v>
      </c>
      <c r="T39" s="1" t="s">
        <v>163</v>
      </c>
      <c r="U39" s="1" t="s">
        <v>163</v>
      </c>
      <c r="V39" s="1" t="s">
        <v>158</v>
      </c>
      <c r="W39" s="1" t="s">
        <v>162</v>
      </c>
      <c r="X39" s="1" t="s">
        <v>166</v>
      </c>
      <c r="Y39" s="1" t="s">
        <v>166</v>
      </c>
      <c r="Z39" s="1" t="s">
        <v>157</v>
      </c>
      <c r="AA39" s="1" t="s">
        <v>157</v>
      </c>
      <c r="AB39" s="1" t="s">
        <v>166</v>
      </c>
      <c r="AC39" s="1" t="s">
        <v>167</v>
      </c>
      <c r="AD39" s="1" t="s">
        <v>167</v>
      </c>
      <c r="AE39" s="1" t="s">
        <v>161</v>
      </c>
      <c r="AF39" s="1" t="s">
        <v>166</v>
      </c>
      <c r="AG39" s="1" t="s">
        <v>165</v>
      </c>
      <c r="AH39" s="1" t="s">
        <v>120</v>
      </c>
    </row>
    <row r="40" spans="1:34" x14ac:dyDescent="0.35">
      <c r="A40" s="1" t="s">
        <v>74</v>
      </c>
      <c r="B40" s="1" t="s">
        <v>156</v>
      </c>
      <c r="C40" s="1" t="s">
        <v>157</v>
      </c>
      <c r="D40" s="1" t="s">
        <v>158</v>
      </c>
      <c r="E40" s="1" t="s">
        <v>159</v>
      </c>
      <c r="F40" s="1" t="s">
        <v>160</v>
      </c>
      <c r="G40" s="1"/>
      <c r="H40" s="1" t="s">
        <v>156</v>
      </c>
      <c r="I40" s="1" t="s">
        <v>156</v>
      </c>
      <c r="J40" s="1" t="s">
        <v>160</v>
      </c>
      <c r="K40" s="1" t="s">
        <v>161</v>
      </c>
      <c r="L40" s="1"/>
      <c r="M40" s="1" t="s">
        <v>162</v>
      </c>
      <c r="N40" s="1" t="s">
        <v>158</v>
      </c>
      <c r="O40" s="1" t="s">
        <v>158</v>
      </c>
      <c r="P40" s="1" t="s">
        <v>163</v>
      </c>
      <c r="Q40" s="1" t="s">
        <v>164</v>
      </c>
      <c r="R40" s="1" t="s">
        <v>165</v>
      </c>
      <c r="S40" s="1" t="s">
        <v>158</v>
      </c>
      <c r="T40" s="1" t="s">
        <v>163</v>
      </c>
      <c r="U40" s="1" t="s">
        <v>163</v>
      </c>
      <c r="V40" s="1" t="s">
        <v>158</v>
      </c>
      <c r="W40" s="1" t="s">
        <v>162</v>
      </c>
      <c r="X40" s="1" t="s">
        <v>166</v>
      </c>
      <c r="Y40" s="1" t="s">
        <v>166</v>
      </c>
      <c r="Z40" s="1" t="s">
        <v>157</v>
      </c>
      <c r="AA40" s="1" t="s">
        <v>157</v>
      </c>
      <c r="AB40" s="1" t="s">
        <v>166</v>
      </c>
      <c r="AC40" s="1" t="s">
        <v>167</v>
      </c>
      <c r="AD40" s="1" t="s">
        <v>167</v>
      </c>
      <c r="AE40" s="1" t="s">
        <v>161</v>
      </c>
      <c r="AF40" s="1" t="s">
        <v>166</v>
      </c>
      <c r="AG40" s="1" t="s">
        <v>165</v>
      </c>
      <c r="AH40" s="1" t="s">
        <v>120</v>
      </c>
    </row>
    <row r="41" spans="1:34" x14ac:dyDescent="0.35">
      <c r="A41" s="1" t="s">
        <v>54</v>
      </c>
      <c r="B41" s="1" t="s">
        <v>41</v>
      </c>
      <c r="C41" s="1" t="s">
        <v>76</v>
      </c>
      <c r="D41" s="1" t="s">
        <v>37</v>
      </c>
      <c r="E41" s="1" t="s">
        <v>77</v>
      </c>
      <c r="F41" s="1" t="s">
        <v>39</v>
      </c>
      <c r="G41" s="1" t="s">
        <v>40</v>
      </c>
      <c r="H41" s="1" t="s">
        <v>35</v>
      </c>
      <c r="I41" s="1" t="s">
        <v>35</v>
      </c>
      <c r="J41" s="1" t="s">
        <v>78</v>
      </c>
      <c r="K41" s="1" t="s">
        <v>42</v>
      </c>
      <c r="L41" s="1" t="s">
        <v>79</v>
      </c>
      <c r="M41" s="1" t="s">
        <v>44</v>
      </c>
      <c r="N41" s="1" t="s">
        <v>45</v>
      </c>
      <c r="O41" s="1" t="s">
        <v>52</v>
      </c>
      <c r="P41" s="1" t="s">
        <v>103</v>
      </c>
      <c r="Q41" s="1" t="s">
        <v>47</v>
      </c>
      <c r="R41" s="1" t="s">
        <v>80</v>
      </c>
      <c r="S41" s="1" t="s">
        <v>49</v>
      </c>
      <c r="T41" s="1" t="s">
        <v>50</v>
      </c>
      <c r="U41" s="1" t="s">
        <v>51</v>
      </c>
      <c r="V41" s="1" t="s">
        <v>52</v>
      </c>
      <c r="W41" s="1" t="s">
        <v>53</v>
      </c>
      <c r="X41" s="1" t="s">
        <v>54</v>
      </c>
      <c r="Y41" s="1" t="s">
        <v>55</v>
      </c>
      <c r="Z41" s="1" t="s">
        <v>56</v>
      </c>
      <c r="AA41" s="1" t="s">
        <v>36</v>
      </c>
      <c r="AB41" s="1" t="s">
        <v>54</v>
      </c>
      <c r="AC41" s="1" t="s">
        <v>57</v>
      </c>
      <c r="AD41" s="1" t="s">
        <v>58</v>
      </c>
      <c r="AE41" s="1" t="s">
        <v>59</v>
      </c>
      <c r="AF41" s="1" t="s">
        <v>54</v>
      </c>
      <c r="AG41" s="1" t="s">
        <v>98</v>
      </c>
      <c r="AH41" s="1" t="s">
        <v>120</v>
      </c>
    </row>
    <row r="42" spans="1:34" x14ac:dyDescent="0.35">
      <c r="A42" s="1" t="s">
        <v>91</v>
      </c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160</v>
      </c>
      <c r="G42" s="1"/>
      <c r="H42" s="1" t="s">
        <v>156</v>
      </c>
      <c r="I42" s="1" t="s">
        <v>156</v>
      </c>
      <c r="J42" s="1" t="s">
        <v>160</v>
      </c>
      <c r="K42" s="1" t="s">
        <v>161</v>
      </c>
      <c r="L42" s="1"/>
      <c r="M42" s="1" t="s">
        <v>162</v>
      </c>
      <c r="N42" s="1" t="s">
        <v>158</v>
      </c>
      <c r="O42" s="1" t="s">
        <v>158</v>
      </c>
      <c r="P42" s="1" t="s">
        <v>163</v>
      </c>
      <c r="Q42" s="1" t="s">
        <v>164</v>
      </c>
      <c r="R42" s="1" t="s">
        <v>165</v>
      </c>
      <c r="S42" s="1" t="s">
        <v>158</v>
      </c>
      <c r="T42" s="1" t="s">
        <v>163</v>
      </c>
      <c r="U42" s="1" t="s">
        <v>163</v>
      </c>
      <c r="V42" s="1" t="s">
        <v>158</v>
      </c>
      <c r="W42" s="1" t="s">
        <v>162</v>
      </c>
      <c r="X42" s="1" t="s">
        <v>166</v>
      </c>
      <c r="Y42" s="1" t="s">
        <v>166</v>
      </c>
      <c r="Z42" s="1" t="s">
        <v>157</v>
      </c>
      <c r="AA42" s="1" t="s">
        <v>157</v>
      </c>
      <c r="AB42" s="1" t="s">
        <v>166</v>
      </c>
      <c r="AC42" s="1" t="s">
        <v>167</v>
      </c>
      <c r="AD42" s="1" t="s">
        <v>167</v>
      </c>
      <c r="AE42" s="1" t="s">
        <v>161</v>
      </c>
      <c r="AF42" s="1" t="s">
        <v>166</v>
      </c>
      <c r="AG42" s="1" t="s">
        <v>165</v>
      </c>
      <c r="AH42" s="1" t="s">
        <v>120</v>
      </c>
    </row>
    <row r="43" spans="1:34" x14ac:dyDescent="0.35">
      <c r="A43" s="1" t="s">
        <v>91</v>
      </c>
      <c r="B43" s="1" t="s">
        <v>35</v>
      </c>
      <c r="C43" s="1" t="s">
        <v>36</v>
      </c>
      <c r="D43" s="1" t="s">
        <v>37</v>
      </c>
      <c r="E43" s="1" t="s">
        <v>77</v>
      </c>
      <c r="F43" s="1" t="s">
        <v>39</v>
      </c>
      <c r="G43" s="1" t="s">
        <v>40</v>
      </c>
      <c r="H43" s="1" t="s">
        <v>35</v>
      </c>
      <c r="I43" s="1" t="s">
        <v>35</v>
      </c>
      <c r="J43" s="1" t="s">
        <v>78</v>
      </c>
      <c r="K43" s="1" t="s">
        <v>42</v>
      </c>
      <c r="L43" s="1" t="s">
        <v>43</v>
      </c>
      <c r="M43" s="1" t="s">
        <v>95</v>
      </c>
      <c r="N43" s="1" t="s">
        <v>45</v>
      </c>
      <c r="O43" s="1" t="s">
        <v>52</v>
      </c>
      <c r="P43" s="1" t="s">
        <v>103</v>
      </c>
      <c r="Q43" s="1" t="s">
        <v>47</v>
      </c>
      <c r="R43" s="1" t="s">
        <v>80</v>
      </c>
      <c r="S43" s="1" t="s">
        <v>49</v>
      </c>
      <c r="T43" s="1" t="s">
        <v>50</v>
      </c>
      <c r="U43" s="1" t="s">
        <v>51</v>
      </c>
      <c r="V43" s="1" t="s">
        <v>52</v>
      </c>
      <c r="W43" s="1" t="s">
        <v>53</v>
      </c>
      <c r="X43" s="1" t="s">
        <v>54</v>
      </c>
      <c r="Y43" s="1" t="s">
        <v>55</v>
      </c>
      <c r="Z43" s="1" t="s">
        <v>56</v>
      </c>
      <c r="AA43" s="1" t="s">
        <v>36</v>
      </c>
      <c r="AB43" s="1" t="s">
        <v>54</v>
      </c>
      <c r="AC43" s="1" t="s">
        <v>57</v>
      </c>
      <c r="AD43" s="1" t="s">
        <v>58</v>
      </c>
      <c r="AE43" s="1" t="s">
        <v>59</v>
      </c>
      <c r="AF43" s="1" t="s">
        <v>54</v>
      </c>
      <c r="AG43" s="1" t="s">
        <v>98</v>
      </c>
      <c r="AH43" s="1" t="s">
        <v>120</v>
      </c>
    </row>
    <row r="44" spans="1:34" x14ac:dyDescent="0.35">
      <c r="A44" s="1" t="s">
        <v>74</v>
      </c>
      <c r="B44" s="1" t="s">
        <v>41</v>
      </c>
      <c r="C44" s="1" t="s">
        <v>76</v>
      </c>
      <c r="D44" s="1" t="s">
        <v>37</v>
      </c>
      <c r="E44" s="1" t="s">
        <v>38</v>
      </c>
      <c r="F44" s="1" t="s">
        <v>39</v>
      </c>
      <c r="G44" s="1" t="s">
        <v>40</v>
      </c>
      <c r="H44" s="1" t="s">
        <v>35</v>
      </c>
      <c r="I44" s="1" t="s">
        <v>35</v>
      </c>
      <c r="J44" s="1" t="s">
        <v>39</v>
      </c>
      <c r="K44" s="1" t="s">
        <v>42</v>
      </c>
      <c r="L44" s="1" t="s">
        <v>43</v>
      </c>
      <c r="M44" s="1" t="s">
        <v>53</v>
      </c>
      <c r="N44" s="1" t="s">
        <v>45</v>
      </c>
      <c r="O44" s="1" t="s">
        <v>45</v>
      </c>
      <c r="P44" s="1" t="s">
        <v>103</v>
      </c>
      <c r="Q44" s="1" t="s">
        <v>47</v>
      </c>
      <c r="R44" s="1" t="s">
        <v>80</v>
      </c>
      <c r="S44" s="1" t="s">
        <v>49</v>
      </c>
      <c r="T44" s="1" t="s">
        <v>50</v>
      </c>
      <c r="U44" s="1" t="s">
        <v>51</v>
      </c>
      <c r="V44" s="1" t="s">
        <v>81</v>
      </c>
      <c r="W44" s="1" t="s">
        <v>53</v>
      </c>
      <c r="X44" s="1" t="s">
        <v>54</v>
      </c>
      <c r="Y44" s="1" t="s">
        <v>55</v>
      </c>
      <c r="Z44" s="1" t="s">
        <v>82</v>
      </c>
      <c r="AA44" s="1" t="s">
        <v>36</v>
      </c>
      <c r="AB44" s="1" t="s">
        <v>54</v>
      </c>
      <c r="AC44" s="1" t="s">
        <v>57</v>
      </c>
      <c r="AD44" s="1" t="s">
        <v>58</v>
      </c>
      <c r="AE44" s="1" t="s">
        <v>59</v>
      </c>
      <c r="AF44" s="1" t="s">
        <v>54</v>
      </c>
      <c r="AG44" s="1" t="s">
        <v>165</v>
      </c>
      <c r="AH44" s="1" t="s">
        <v>120</v>
      </c>
    </row>
    <row r="45" spans="1:34" x14ac:dyDescent="0.35">
      <c r="A45" s="1" t="s">
        <v>55</v>
      </c>
      <c r="B45" s="1" t="s">
        <v>94</v>
      </c>
      <c r="C45" s="1" t="s">
        <v>157</v>
      </c>
      <c r="D45" s="1" t="s">
        <v>37</v>
      </c>
      <c r="E45" s="1" t="s">
        <v>77</v>
      </c>
      <c r="F45" s="1" t="s">
        <v>39</v>
      </c>
      <c r="G45" s="1" t="s">
        <v>40</v>
      </c>
      <c r="H45" s="1" t="s">
        <v>35</v>
      </c>
      <c r="I45" s="1" t="s">
        <v>35</v>
      </c>
      <c r="J45" s="1" t="s">
        <v>39</v>
      </c>
      <c r="K45" s="1" t="s">
        <v>42</v>
      </c>
      <c r="L45" s="1" t="s">
        <v>43</v>
      </c>
      <c r="M45" s="1" t="s">
        <v>44</v>
      </c>
      <c r="N45" s="1" t="s">
        <v>45</v>
      </c>
      <c r="O45" s="1" t="s">
        <v>45</v>
      </c>
      <c r="P45" s="1" t="s">
        <v>103</v>
      </c>
      <c r="Q45" s="1" t="s">
        <v>47</v>
      </c>
      <c r="R45" s="1" t="s">
        <v>80</v>
      </c>
      <c r="S45" s="1" t="s">
        <v>49</v>
      </c>
      <c r="T45" s="1" t="s">
        <v>50</v>
      </c>
      <c r="U45" s="1" t="s">
        <v>51</v>
      </c>
      <c r="V45" s="1" t="s">
        <v>52</v>
      </c>
      <c r="W45" s="1" t="s">
        <v>53</v>
      </c>
      <c r="X45" s="1" t="s">
        <v>54</v>
      </c>
      <c r="Y45" s="1" t="s">
        <v>55</v>
      </c>
      <c r="Z45" s="1" t="s">
        <v>82</v>
      </c>
      <c r="AA45" s="1" t="s">
        <v>36</v>
      </c>
      <c r="AB45" s="1" t="s">
        <v>54</v>
      </c>
      <c r="AC45" s="1" t="s">
        <v>57</v>
      </c>
      <c r="AD45" s="1" t="s">
        <v>58</v>
      </c>
      <c r="AE45" s="1" t="s">
        <v>59</v>
      </c>
      <c r="AF45" s="1" t="s">
        <v>54</v>
      </c>
      <c r="AG45" s="1" t="s">
        <v>165</v>
      </c>
      <c r="AH45" s="1" t="s">
        <v>120</v>
      </c>
    </row>
    <row r="46" spans="1:34" x14ac:dyDescent="0.35">
      <c r="A46" s="1" t="s">
        <v>74</v>
      </c>
      <c r="B46" s="1" t="s">
        <v>156</v>
      </c>
      <c r="C46" s="1" t="s">
        <v>157</v>
      </c>
      <c r="D46" s="1" t="s">
        <v>158</v>
      </c>
      <c r="E46" s="1" t="s">
        <v>159</v>
      </c>
      <c r="F46" s="1" t="s">
        <v>160</v>
      </c>
      <c r="G46" s="1"/>
      <c r="H46" s="1" t="s">
        <v>156</v>
      </c>
      <c r="I46" s="1" t="s">
        <v>156</v>
      </c>
      <c r="J46" s="1" t="s">
        <v>160</v>
      </c>
      <c r="K46" s="1" t="s">
        <v>161</v>
      </c>
      <c r="L46" s="1"/>
      <c r="M46" s="1" t="s">
        <v>162</v>
      </c>
      <c r="N46" s="1" t="s">
        <v>158</v>
      </c>
      <c r="O46" s="1" t="s">
        <v>158</v>
      </c>
      <c r="P46" s="1" t="s">
        <v>163</v>
      </c>
      <c r="Q46" s="1" t="s">
        <v>164</v>
      </c>
      <c r="R46" s="1" t="s">
        <v>165</v>
      </c>
      <c r="S46" s="1" t="s">
        <v>158</v>
      </c>
      <c r="T46" s="1" t="s">
        <v>163</v>
      </c>
      <c r="U46" s="1" t="s">
        <v>163</v>
      </c>
      <c r="V46" s="1" t="s">
        <v>158</v>
      </c>
      <c r="W46" s="1" t="s">
        <v>162</v>
      </c>
      <c r="X46" s="1" t="s">
        <v>166</v>
      </c>
      <c r="Y46" s="1" t="s">
        <v>166</v>
      </c>
      <c r="Z46" s="1" t="s">
        <v>157</v>
      </c>
      <c r="AA46" s="1" t="s">
        <v>157</v>
      </c>
      <c r="AB46" s="1" t="s">
        <v>166</v>
      </c>
      <c r="AC46" s="1" t="s">
        <v>167</v>
      </c>
      <c r="AD46" s="1" t="s">
        <v>167</v>
      </c>
      <c r="AE46" s="1" t="s">
        <v>161</v>
      </c>
      <c r="AF46" s="1" t="s">
        <v>166</v>
      </c>
      <c r="AG46" s="1" t="s">
        <v>165</v>
      </c>
      <c r="AH46" s="1" t="s">
        <v>120</v>
      </c>
    </row>
    <row r="47" spans="1:34" x14ac:dyDescent="0.35">
      <c r="A47" s="1" t="s">
        <v>74</v>
      </c>
      <c r="B47" s="1" t="s">
        <v>156</v>
      </c>
      <c r="C47" s="1" t="s">
        <v>157</v>
      </c>
      <c r="D47" s="1" t="s">
        <v>158</v>
      </c>
      <c r="E47" s="1" t="s">
        <v>159</v>
      </c>
      <c r="F47" s="1" t="s">
        <v>160</v>
      </c>
      <c r="G47" s="1"/>
      <c r="H47" s="1" t="s">
        <v>156</v>
      </c>
      <c r="I47" s="1" t="s">
        <v>156</v>
      </c>
      <c r="J47" s="1" t="s">
        <v>160</v>
      </c>
      <c r="K47" s="1" t="s">
        <v>161</v>
      </c>
      <c r="L47" s="1"/>
      <c r="M47" s="1" t="s">
        <v>162</v>
      </c>
      <c r="N47" s="1" t="s">
        <v>158</v>
      </c>
      <c r="O47" s="1" t="s">
        <v>158</v>
      </c>
      <c r="P47" s="1" t="s">
        <v>163</v>
      </c>
      <c r="Q47" s="1" t="s">
        <v>164</v>
      </c>
      <c r="R47" s="1" t="s">
        <v>165</v>
      </c>
      <c r="S47" s="1" t="s">
        <v>158</v>
      </c>
      <c r="T47" s="1" t="s">
        <v>163</v>
      </c>
      <c r="U47" s="1" t="s">
        <v>163</v>
      </c>
      <c r="V47" s="1" t="s">
        <v>158</v>
      </c>
      <c r="W47" s="1" t="s">
        <v>162</v>
      </c>
      <c r="X47" s="1" t="s">
        <v>166</v>
      </c>
      <c r="Y47" s="1" t="s">
        <v>166</v>
      </c>
      <c r="Z47" s="1" t="s">
        <v>157</v>
      </c>
      <c r="AA47" s="1" t="s">
        <v>157</v>
      </c>
      <c r="AB47" s="1" t="s">
        <v>166</v>
      </c>
      <c r="AC47" s="1" t="s">
        <v>167</v>
      </c>
      <c r="AD47" s="1" t="s">
        <v>167</v>
      </c>
      <c r="AE47" s="1" t="s">
        <v>161</v>
      </c>
      <c r="AF47" s="1" t="s">
        <v>166</v>
      </c>
      <c r="AG47" s="1" t="s">
        <v>165</v>
      </c>
      <c r="AH47" s="1" t="s">
        <v>120</v>
      </c>
    </row>
    <row r="48" spans="1:34" x14ac:dyDescent="0.35">
      <c r="A48" s="1" t="s">
        <v>99</v>
      </c>
      <c r="B48" s="1" t="s">
        <v>94</v>
      </c>
      <c r="C48" s="1" t="s">
        <v>76</v>
      </c>
      <c r="D48" s="1" t="s">
        <v>37</v>
      </c>
      <c r="E48" s="1" t="s">
        <v>77</v>
      </c>
      <c r="F48" s="1" t="s">
        <v>39</v>
      </c>
      <c r="G48" s="1" t="s">
        <v>40</v>
      </c>
      <c r="H48" s="1" t="s">
        <v>35</v>
      </c>
      <c r="I48" s="1" t="s">
        <v>35</v>
      </c>
      <c r="J48" s="1" t="s">
        <v>39</v>
      </c>
      <c r="K48" s="1" t="s">
        <v>42</v>
      </c>
      <c r="L48" s="1" t="s">
        <v>79</v>
      </c>
      <c r="M48" s="1" t="s">
        <v>44</v>
      </c>
      <c r="N48" s="1" t="s">
        <v>49</v>
      </c>
      <c r="O48" s="1" t="s">
        <v>45</v>
      </c>
      <c r="P48" s="1" t="s">
        <v>46</v>
      </c>
      <c r="Q48" s="1" t="s">
        <v>47</v>
      </c>
      <c r="R48" s="1" t="s">
        <v>80</v>
      </c>
      <c r="S48" s="1" t="s">
        <v>49</v>
      </c>
      <c r="T48" s="1" t="s">
        <v>50</v>
      </c>
      <c r="U48" s="1" t="s">
        <v>51</v>
      </c>
      <c r="V48" s="1" t="s">
        <v>52</v>
      </c>
      <c r="W48" s="1" t="s">
        <v>53</v>
      </c>
      <c r="X48" s="1" t="s">
        <v>54</v>
      </c>
      <c r="Y48" s="1" t="s">
        <v>55</v>
      </c>
      <c r="Z48" s="1" t="s">
        <v>56</v>
      </c>
      <c r="AA48" s="1" t="s">
        <v>36</v>
      </c>
      <c r="AB48" s="1" t="s">
        <v>54</v>
      </c>
      <c r="AC48" s="1" t="s">
        <v>57</v>
      </c>
      <c r="AD48" s="1" t="s">
        <v>58</v>
      </c>
      <c r="AE48" s="1" t="s">
        <v>59</v>
      </c>
      <c r="AF48" s="1" t="s">
        <v>54</v>
      </c>
      <c r="AG48" s="1" t="s">
        <v>98</v>
      </c>
      <c r="AH48" s="1" t="s">
        <v>120</v>
      </c>
    </row>
    <row r="49" spans="1:34" x14ac:dyDescent="0.35">
      <c r="A49" s="1" t="s">
        <v>74</v>
      </c>
      <c r="B49" s="1" t="s">
        <v>156</v>
      </c>
      <c r="C49" s="1" t="s">
        <v>157</v>
      </c>
      <c r="D49" s="1" t="s">
        <v>158</v>
      </c>
      <c r="E49" s="1" t="s">
        <v>159</v>
      </c>
      <c r="F49" s="1" t="s">
        <v>160</v>
      </c>
      <c r="G49" s="1"/>
      <c r="H49" s="1" t="s">
        <v>156</v>
      </c>
      <c r="I49" s="1" t="s">
        <v>156</v>
      </c>
      <c r="J49" s="1" t="s">
        <v>160</v>
      </c>
      <c r="K49" s="1" t="s">
        <v>161</v>
      </c>
      <c r="L49" s="1"/>
      <c r="M49" s="1" t="s">
        <v>162</v>
      </c>
      <c r="N49" s="1" t="s">
        <v>158</v>
      </c>
      <c r="O49" s="1" t="s">
        <v>158</v>
      </c>
      <c r="P49" s="1" t="s">
        <v>163</v>
      </c>
      <c r="Q49" s="1" t="s">
        <v>164</v>
      </c>
      <c r="R49" s="1" t="s">
        <v>165</v>
      </c>
      <c r="S49" s="1" t="s">
        <v>158</v>
      </c>
      <c r="T49" s="1" t="s">
        <v>163</v>
      </c>
      <c r="U49" s="1" t="s">
        <v>163</v>
      </c>
      <c r="V49" s="1" t="s">
        <v>158</v>
      </c>
      <c r="W49" s="1" t="s">
        <v>162</v>
      </c>
      <c r="X49" s="1" t="s">
        <v>166</v>
      </c>
      <c r="Y49" s="1" t="s">
        <v>166</v>
      </c>
      <c r="Z49" s="1" t="s">
        <v>157</v>
      </c>
      <c r="AA49" s="1" t="s">
        <v>157</v>
      </c>
      <c r="AB49" s="1" t="s">
        <v>166</v>
      </c>
      <c r="AC49" s="1" t="s">
        <v>167</v>
      </c>
      <c r="AD49" s="1" t="s">
        <v>167</v>
      </c>
      <c r="AE49" s="1" t="s">
        <v>161</v>
      </c>
      <c r="AF49" s="1" t="s">
        <v>166</v>
      </c>
      <c r="AG49" s="1" t="s">
        <v>165</v>
      </c>
      <c r="AH49" s="1" t="s">
        <v>120</v>
      </c>
    </row>
    <row r="50" spans="1:34" x14ac:dyDescent="0.35">
      <c r="A50" s="1" t="s">
        <v>55</v>
      </c>
      <c r="B50" s="1" t="s">
        <v>35</v>
      </c>
      <c r="C50" s="1" t="s">
        <v>157</v>
      </c>
      <c r="D50" s="1" t="s">
        <v>37</v>
      </c>
      <c r="E50" s="1" t="s">
        <v>100</v>
      </c>
      <c r="F50" s="1" t="s">
        <v>160</v>
      </c>
      <c r="G50" s="1" t="s">
        <v>101</v>
      </c>
      <c r="H50" s="1" t="s">
        <v>156</v>
      </c>
      <c r="I50" s="1" t="s">
        <v>41</v>
      </c>
      <c r="J50" s="1" t="s">
        <v>102</v>
      </c>
      <c r="K50" s="1" t="s">
        <v>59</v>
      </c>
      <c r="L50" s="1"/>
      <c r="M50" s="1" t="s">
        <v>44</v>
      </c>
      <c r="N50" s="1" t="s">
        <v>81</v>
      </c>
      <c r="O50" s="1" t="s">
        <v>158</v>
      </c>
      <c r="P50" s="1" t="s">
        <v>103</v>
      </c>
      <c r="Q50" s="1" t="s">
        <v>47</v>
      </c>
      <c r="R50" s="1" t="s">
        <v>80</v>
      </c>
      <c r="S50" s="1" t="s">
        <v>49</v>
      </c>
      <c r="T50" s="1" t="s">
        <v>50</v>
      </c>
      <c r="U50" s="1" t="s">
        <v>51</v>
      </c>
      <c r="V50" s="1" t="s">
        <v>81</v>
      </c>
      <c r="W50" s="1" t="s">
        <v>53</v>
      </c>
      <c r="X50" s="1" t="s">
        <v>54</v>
      </c>
      <c r="Y50" s="1" t="s">
        <v>55</v>
      </c>
      <c r="Z50" s="1" t="s">
        <v>82</v>
      </c>
      <c r="AA50" s="1" t="s">
        <v>36</v>
      </c>
      <c r="AB50" s="1" t="s">
        <v>54</v>
      </c>
      <c r="AC50" s="1" t="s">
        <v>57</v>
      </c>
      <c r="AD50" s="1" t="s">
        <v>58</v>
      </c>
      <c r="AE50" s="1" t="s">
        <v>59</v>
      </c>
      <c r="AF50" s="1" t="s">
        <v>54</v>
      </c>
      <c r="AG50" s="1" t="s">
        <v>75</v>
      </c>
      <c r="AH50" s="1" t="s">
        <v>120</v>
      </c>
    </row>
    <row r="51" spans="1:34" x14ac:dyDescent="0.35">
      <c r="A51" s="1" t="s">
        <v>99</v>
      </c>
      <c r="B51" s="1" t="s">
        <v>41</v>
      </c>
      <c r="C51" s="1" t="s">
        <v>76</v>
      </c>
      <c r="D51" s="1" t="s">
        <v>37</v>
      </c>
      <c r="E51" s="1" t="s">
        <v>77</v>
      </c>
      <c r="F51" s="1" t="s">
        <v>39</v>
      </c>
      <c r="G51" s="1" t="s">
        <v>40</v>
      </c>
      <c r="H51" s="1" t="s">
        <v>35</v>
      </c>
      <c r="I51" s="1" t="s">
        <v>94</v>
      </c>
      <c r="J51" s="1" t="s">
        <v>39</v>
      </c>
      <c r="K51" s="1" t="s">
        <v>42</v>
      </c>
      <c r="L51" s="1" t="s">
        <v>43</v>
      </c>
      <c r="M51" s="1" t="s">
        <v>44</v>
      </c>
      <c r="N51" s="1" t="s">
        <v>45</v>
      </c>
      <c r="O51" s="1" t="s">
        <v>45</v>
      </c>
      <c r="P51" s="1" t="s">
        <v>46</v>
      </c>
      <c r="Q51" s="1" t="s">
        <v>47</v>
      </c>
      <c r="R51" s="1" t="s">
        <v>80</v>
      </c>
      <c r="S51" s="1" t="s">
        <v>49</v>
      </c>
      <c r="T51" s="1" t="s">
        <v>50</v>
      </c>
      <c r="U51" s="1" t="s">
        <v>51</v>
      </c>
      <c r="V51" s="1" t="s">
        <v>52</v>
      </c>
      <c r="W51" s="1" t="s">
        <v>53</v>
      </c>
      <c r="X51" s="1" t="s">
        <v>54</v>
      </c>
      <c r="Y51" s="1" t="s">
        <v>55</v>
      </c>
      <c r="Z51" s="1" t="s">
        <v>56</v>
      </c>
      <c r="AA51" s="1" t="s">
        <v>36</v>
      </c>
      <c r="AB51" s="1" t="s">
        <v>54</v>
      </c>
      <c r="AC51" s="1" t="s">
        <v>57</v>
      </c>
      <c r="AD51" s="1" t="s">
        <v>58</v>
      </c>
      <c r="AE51" s="1" t="s">
        <v>59</v>
      </c>
      <c r="AF51" s="1" t="s">
        <v>54</v>
      </c>
      <c r="AG51" s="1" t="s">
        <v>98</v>
      </c>
      <c r="AH51" s="1" t="s">
        <v>120</v>
      </c>
    </row>
    <row r="52" spans="1:34" x14ac:dyDescent="0.35">
      <c r="A52" s="1" t="s">
        <v>34</v>
      </c>
      <c r="B52" s="1" t="s">
        <v>35</v>
      </c>
      <c r="C52" s="1" t="s">
        <v>157</v>
      </c>
      <c r="D52" s="1" t="s">
        <v>37</v>
      </c>
      <c r="E52" s="1" t="s">
        <v>77</v>
      </c>
      <c r="F52" s="1" t="s">
        <v>39</v>
      </c>
      <c r="G52" s="1" t="s">
        <v>40</v>
      </c>
      <c r="H52" s="1" t="s">
        <v>35</v>
      </c>
      <c r="I52" s="1" t="s">
        <v>35</v>
      </c>
      <c r="J52" s="1" t="s">
        <v>39</v>
      </c>
      <c r="K52" s="1" t="s">
        <v>42</v>
      </c>
      <c r="L52" s="1" t="s">
        <v>79</v>
      </c>
      <c r="M52" s="1" t="s">
        <v>44</v>
      </c>
      <c r="N52" s="1" t="s">
        <v>45</v>
      </c>
      <c r="O52" s="1" t="s">
        <v>45</v>
      </c>
      <c r="P52" s="1" t="s">
        <v>103</v>
      </c>
      <c r="Q52" s="1" t="s">
        <v>47</v>
      </c>
      <c r="R52" s="1" t="s">
        <v>80</v>
      </c>
      <c r="S52" s="1" t="s">
        <v>49</v>
      </c>
      <c r="T52" s="1" t="s">
        <v>50</v>
      </c>
      <c r="U52" s="1" t="s">
        <v>51</v>
      </c>
      <c r="V52" s="1" t="s">
        <v>52</v>
      </c>
      <c r="W52" s="1" t="s">
        <v>53</v>
      </c>
      <c r="X52" s="1" t="s">
        <v>54</v>
      </c>
      <c r="Y52" s="1" t="s">
        <v>55</v>
      </c>
      <c r="Z52" s="1" t="s">
        <v>82</v>
      </c>
      <c r="AA52" s="1" t="s">
        <v>36</v>
      </c>
      <c r="AB52" s="1" t="s">
        <v>54</v>
      </c>
      <c r="AC52" s="1" t="s">
        <v>57</v>
      </c>
      <c r="AD52" s="1" t="s">
        <v>58</v>
      </c>
      <c r="AE52" s="1" t="s">
        <v>59</v>
      </c>
      <c r="AF52" s="1" t="s">
        <v>54</v>
      </c>
      <c r="AG52" s="1" t="s">
        <v>165</v>
      </c>
      <c r="AH52" s="1" t="s">
        <v>120</v>
      </c>
    </row>
    <row r="53" spans="1:34" x14ac:dyDescent="0.35">
      <c r="A53" s="1" t="s">
        <v>55</v>
      </c>
      <c r="B53" s="1" t="s">
        <v>94</v>
      </c>
      <c r="C53" s="1" t="s">
        <v>157</v>
      </c>
      <c r="D53" s="1" t="s">
        <v>49</v>
      </c>
      <c r="E53" s="1" t="s">
        <v>77</v>
      </c>
      <c r="F53" s="1" t="s">
        <v>39</v>
      </c>
      <c r="G53" s="1" t="s">
        <v>40</v>
      </c>
      <c r="H53" s="1" t="s">
        <v>35</v>
      </c>
      <c r="I53" s="1" t="s">
        <v>41</v>
      </c>
      <c r="J53" s="1" t="s">
        <v>39</v>
      </c>
      <c r="K53" s="1" t="s">
        <v>42</v>
      </c>
      <c r="L53" s="1" t="s">
        <v>79</v>
      </c>
      <c r="M53" s="1" t="s">
        <v>44</v>
      </c>
      <c r="N53" s="1" t="s">
        <v>45</v>
      </c>
      <c r="O53" s="1" t="s">
        <v>45</v>
      </c>
      <c r="P53" s="1" t="s">
        <v>103</v>
      </c>
      <c r="Q53" s="1" t="s">
        <v>47</v>
      </c>
      <c r="R53" s="1" t="s">
        <v>80</v>
      </c>
      <c r="S53" s="1" t="s">
        <v>49</v>
      </c>
      <c r="T53" s="1" t="s">
        <v>50</v>
      </c>
      <c r="U53" s="1" t="s">
        <v>51</v>
      </c>
      <c r="V53" s="1" t="s">
        <v>52</v>
      </c>
      <c r="W53" s="1" t="s">
        <v>53</v>
      </c>
      <c r="X53" s="1" t="s">
        <v>54</v>
      </c>
      <c r="Y53" s="1" t="s">
        <v>55</v>
      </c>
      <c r="Z53" s="1" t="s">
        <v>82</v>
      </c>
      <c r="AA53" s="1" t="s">
        <v>36</v>
      </c>
      <c r="AB53" s="1" t="s">
        <v>54</v>
      </c>
      <c r="AC53" s="1" t="s">
        <v>57</v>
      </c>
      <c r="AD53" s="1" t="s">
        <v>58</v>
      </c>
      <c r="AE53" s="1" t="s">
        <v>59</v>
      </c>
      <c r="AF53" s="1" t="s">
        <v>54</v>
      </c>
      <c r="AG53" s="1" t="s">
        <v>165</v>
      </c>
      <c r="AH53" s="1" t="s">
        <v>120</v>
      </c>
    </row>
    <row r="54" spans="1:34" x14ac:dyDescent="0.35">
      <c r="A54" s="1" t="s">
        <v>74</v>
      </c>
      <c r="B54" s="1" t="s">
        <v>35</v>
      </c>
      <c r="C54" s="1" t="s">
        <v>157</v>
      </c>
      <c r="D54" s="1" t="s">
        <v>37</v>
      </c>
      <c r="E54" s="1" t="s">
        <v>77</v>
      </c>
      <c r="F54" s="1" t="s">
        <v>39</v>
      </c>
      <c r="G54" s="1" t="s">
        <v>40</v>
      </c>
      <c r="H54" s="1" t="s">
        <v>35</v>
      </c>
      <c r="I54" s="1" t="s">
        <v>41</v>
      </c>
      <c r="J54" s="1" t="s">
        <v>39</v>
      </c>
      <c r="K54" s="1" t="s">
        <v>42</v>
      </c>
      <c r="L54" s="1" t="s">
        <v>43</v>
      </c>
      <c r="M54" s="1" t="s">
        <v>44</v>
      </c>
      <c r="N54" s="1" t="s">
        <v>45</v>
      </c>
      <c r="O54" s="1" t="s">
        <v>45</v>
      </c>
      <c r="P54" s="1" t="s">
        <v>103</v>
      </c>
      <c r="Q54" s="1" t="s">
        <v>47</v>
      </c>
      <c r="R54" s="1" t="s">
        <v>80</v>
      </c>
      <c r="S54" s="1" t="s">
        <v>49</v>
      </c>
      <c r="T54" s="1" t="s">
        <v>50</v>
      </c>
      <c r="U54" s="1" t="s">
        <v>51</v>
      </c>
      <c r="V54" s="1" t="s">
        <v>81</v>
      </c>
      <c r="W54" s="1" t="s">
        <v>53</v>
      </c>
      <c r="X54" s="1" t="s">
        <v>54</v>
      </c>
      <c r="Y54" s="1" t="s">
        <v>55</v>
      </c>
      <c r="Z54" s="1" t="s">
        <v>82</v>
      </c>
      <c r="AA54" s="1" t="s">
        <v>36</v>
      </c>
      <c r="AB54" s="1" t="s">
        <v>54</v>
      </c>
      <c r="AC54" s="1" t="s">
        <v>57</v>
      </c>
      <c r="AD54" s="1" t="s">
        <v>58</v>
      </c>
      <c r="AE54" s="1" t="s">
        <v>59</v>
      </c>
      <c r="AF54" s="1" t="s">
        <v>54</v>
      </c>
      <c r="AG54" s="1" t="s">
        <v>165</v>
      </c>
      <c r="AH54" s="1" t="s">
        <v>120</v>
      </c>
    </row>
    <row r="55" spans="1:34" x14ac:dyDescent="0.35">
      <c r="A55" s="1" t="s">
        <v>54</v>
      </c>
      <c r="B55" s="1" t="s">
        <v>35</v>
      </c>
      <c r="C55" s="1" t="s">
        <v>36</v>
      </c>
      <c r="D55" s="1" t="s">
        <v>37</v>
      </c>
      <c r="E55" s="1" t="s">
        <v>77</v>
      </c>
      <c r="F55" s="1" t="s">
        <v>39</v>
      </c>
      <c r="G55" s="1" t="s">
        <v>40</v>
      </c>
      <c r="H55" s="1" t="s">
        <v>35</v>
      </c>
      <c r="I55" s="1" t="s">
        <v>35</v>
      </c>
      <c r="J55" s="1" t="s">
        <v>78</v>
      </c>
      <c r="K55" s="1" t="s">
        <v>42</v>
      </c>
      <c r="L55" s="1" t="s">
        <v>79</v>
      </c>
      <c r="M55" s="1" t="s">
        <v>44</v>
      </c>
      <c r="N55" s="1" t="s">
        <v>45</v>
      </c>
      <c r="O55" s="1" t="s">
        <v>52</v>
      </c>
      <c r="P55" s="1" t="s">
        <v>103</v>
      </c>
      <c r="Q55" s="1" t="s">
        <v>47</v>
      </c>
      <c r="R55" s="1" t="s">
        <v>80</v>
      </c>
      <c r="S55" s="1" t="s">
        <v>49</v>
      </c>
      <c r="T55" s="1" t="s">
        <v>50</v>
      </c>
      <c r="U55" s="1" t="s">
        <v>51</v>
      </c>
      <c r="V55" s="1" t="s">
        <v>52</v>
      </c>
      <c r="W55" s="1" t="s">
        <v>53</v>
      </c>
      <c r="X55" s="1" t="s">
        <v>54</v>
      </c>
      <c r="Y55" s="1" t="s">
        <v>55</v>
      </c>
      <c r="Z55" s="1" t="s">
        <v>56</v>
      </c>
      <c r="AA55" s="1" t="s">
        <v>36</v>
      </c>
      <c r="AB55" s="1" t="s">
        <v>54</v>
      </c>
      <c r="AC55" s="1" t="s">
        <v>57</v>
      </c>
      <c r="AD55" s="1" t="s">
        <v>58</v>
      </c>
      <c r="AE55" s="1" t="s">
        <v>59</v>
      </c>
      <c r="AF55" s="1" t="s">
        <v>54</v>
      </c>
      <c r="AG55" s="1" t="s">
        <v>98</v>
      </c>
      <c r="AH55" s="1" t="s">
        <v>120</v>
      </c>
    </row>
    <row r="56" spans="1:34" x14ac:dyDescent="0.35">
      <c r="A56" s="1" t="s">
        <v>99</v>
      </c>
      <c r="B56" s="1" t="s">
        <v>41</v>
      </c>
      <c r="C56" s="1" t="s">
        <v>76</v>
      </c>
      <c r="D56" s="1" t="s">
        <v>49</v>
      </c>
      <c r="E56" s="1" t="s">
        <v>77</v>
      </c>
      <c r="F56" s="1" t="s">
        <v>39</v>
      </c>
      <c r="G56" s="1" t="s">
        <v>40</v>
      </c>
      <c r="H56" s="1" t="s">
        <v>35</v>
      </c>
      <c r="I56" s="1" t="s">
        <v>35</v>
      </c>
      <c r="J56" s="1" t="s">
        <v>78</v>
      </c>
      <c r="K56" s="1" t="s">
        <v>42</v>
      </c>
      <c r="L56" s="1" t="s">
        <v>79</v>
      </c>
      <c r="M56" s="1" t="s">
        <v>44</v>
      </c>
      <c r="N56" s="1" t="s">
        <v>45</v>
      </c>
      <c r="O56" s="1" t="s">
        <v>52</v>
      </c>
      <c r="P56" s="1" t="s">
        <v>103</v>
      </c>
      <c r="Q56" s="1" t="s">
        <v>47</v>
      </c>
      <c r="R56" s="1" t="s">
        <v>80</v>
      </c>
      <c r="S56" s="1" t="s">
        <v>49</v>
      </c>
      <c r="T56" s="1" t="s">
        <v>50</v>
      </c>
      <c r="U56" s="1" t="s">
        <v>51</v>
      </c>
      <c r="V56" s="1" t="s">
        <v>52</v>
      </c>
      <c r="W56" s="1" t="s">
        <v>53</v>
      </c>
      <c r="X56" s="1" t="s">
        <v>54</v>
      </c>
      <c r="Y56" s="1" t="s">
        <v>55</v>
      </c>
      <c r="Z56" s="1" t="s">
        <v>56</v>
      </c>
      <c r="AA56" s="1" t="s">
        <v>36</v>
      </c>
      <c r="AB56" s="1" t="s">
        <v>54</v>
      </c>
      <c r="AC56" s="1" t="s">
        <v>57</v>
      </c>
      <c r="AD56" s="1" t="s">
        <v>58</v>
      </c>
      <c r="AE56" s="1" t="s">
        <v>59</v>
      </c>
      <c r="AF56" s="1" t="s">
        <v>54</v>
      </c>
      <c r="AG56" s="1" t="s">
        <v>98</v>
      </c>
      <c r="AH56" s="1" t="s">
        <v>120</v>
      </c>
    </row>
    <row r="57" spans="1:34" x14ac:dyDescent="0.35">
      <c r="A57" s="1" t="s">
        <v>55</v>
      </c>
      <c r="B57" s="1" t="s">
        <v>35</v>
      </c>
      <c r="C57" s="1" t="s">
        <v>36</v>
      </c>
      <c r="D57" s="1" t="s">
        <v>37</v>
      </c>
      <c r="E57" s="1" t="s">
        <v>100</v>
      </c>
      <c r="F57" s="1" t="s">
        <v>160</v>
      </c>
      <c r="G57" s="1" t="s">
        <v>40</v>
      </c>
      <c r="H57" s="1" t="s">
        <v>35</v>
      </c>
      <c r="I57" s="1" t="s">
        <v>35</v>
      </c>
      <c r="J57" s="1" t="s">
        <v>78</v>
      </c>
      <c r="K57" s="1" t="s">
        <v>42</v>
      </c>
      <c r="L57" s="1" t="s">
        <v>43</v>
      </c>
      <c r="M57" s="1" t="s">
        <v>44</v>
      </c>
      <c r="N57" s="1" t="s">
        <v>49</v>
      </c>
      <c r="O57" s="1" t="s">
        <v>45</v>
      </c>
      <c r="P57" s="1" t="s">
        <v>103</v>
      </c>
      <c r="Q57" s="1" t="s">
        <v>47</v>
      </c>
      <c r="R57" s="1" t="s">
        <v>80</v>
      </c>
      <c r="S57" s="1" t="s">
        <v>49</v>
      </c>
      <c r="T57" s="1" t="s">
        <v>50</v>
      </c>
      <c r="U57" s="1" t="s">
        <v>51</v>
      </c>
      <c r="V57" s="1" t="s">
        <v>52</v>
      </c>
      <c r="W57" s="1" t="s">
        <v>53</v>
      </c>
      <c r="X57" s="1" t="s">
        <v>54</v>
      </c>
      <c r="Y57" s="1" t="s">
        <v>55</v>
      </c>
      <c r="Z57" s="1" t="s">
        <v>56</v>
      </c>
      <c r="AA57" s="1" t="s">
        <v>36</v>
      </c>
      <c r="AB57" s="1" t="s">
        <v>54</v>
      </c>
      <c r="AC57" s="1" t="s">
        <v>57</v>
      </c>
      <c r="AD57" s="1" t="s">
        <v>58</v>
      </c>
      <c r="AE57" s="1" t="s">
        <v>59</v>
      </c>
      <c r="AF57" s="1" t="s">
        <v>54</v>
      </c>
      <c r="AG57" s="1" t="s">
        <v>98</v>
      </c>
      <c r="AH57" s="1" t="s">
        <v>120</v>
      </c>
    </row>
    <row r="58" spans="1:34" x14ac:dyDescent="0.35">
      <c r="A58" s="1" t="s">
        <v>34</v>
      </c>
      <c r="B58" s="1" t="s">
        <v>41</v>
      </c>
      <c r="C58" s="1" t="s">
        <v>82</v>
      </c>
      <c r="D58" s="1" t="s">
        <v>37</v>
      </c>
      <c r="E58" s="1" t="s">
        <v>38</v>
      </c>
      <c r="F58" s="1" t="s">
        <v>39</v>
      </c>
      <c r="G58" s="1" t="s">
        <v>40</v>
      </c>
      <c r="H58" s="1" t="s">
        <v>35</v>
      </c>
      <c r="I58" s="1" t="s">
        <v>35</v>
      </c>
      <c r="J58" s="1" t="s">
        <v>39</v>
      </c>
      <c r="K58" s="1" t="s">
        <v>42</v>
      </c>
      <c r="L58" s="1" t="s">
        <v>79</v>
      </c>
      <c r="M58" s="1" t="s">
        <v>44</v>
      </c>
      <c r="N58" s="1" t="s">
        <v>49</v>
      </c>
      <c r="O58" s="1" t="s">
        <v>45</v>
      </c>
      <c r="P58" s="1" t="s">
        <v>116</v>
      </c>
      <c r="Q58" s="1" t="s">
        <v>47</v>
      </c>
      <c r="R58" s="1" t="s">
        <v>80</v>
      </c>
      <c r="S58" s="1" t="s">
        <v>45</v>
      </c>
      <c r="T58" s="1" t="s">
        <v>50</v>
      </c>
      <c r="U58" s="1" t="s">
        <v>51</v>
      </c>
      <c r="V58" s="1" t="s">
        <v>52</v>
      </c>
      <c r="W58" s="1" t="s">
        <v>53</v>
      </c>
      <c r="X58" s="1" t="s">
        <v>54</v>
      </c>
      <c r="Y58" s="1" t="s">
        <v>55</v>
      </c>
      <c r="Z58" s="1" t="s">
        <v>56</v>
      </c>
      <c r="AA58" s="1" t="s">
        <v>36</v>
      </c>
      <c r="AB58" s="1" t="s">
        <v>54</v>
      </c>
      <c r="AC58" s="1" t="s">
        <v>57</v>
      </c>
      <c r="AD58" s="1" t="s">
        <v>58</v>
      </c>
      <c r="AE58" s="1" t="s">
        <v>59</v>
      </c>
      <c r="AF58" s="1" t="s">
        <v>54</v>
      </c>
      <c r="AG58" s="1" t="s">
        <v>98</v>
      </c>
      <c r="AH58" s="1" t="s">
        <v>120</v>
      </c>
    </row>
    <row r="59" spans="1:34" x14ac:dyDescent="0.35">
      <c r="A59" s="1" t="s">
        <v>34</v>
      </c>
      <c r="B59" s="1" t="s">
        <v>35</v>
      </c>
      <c r="C59" s="1" t="s">
        <v>36</v>
      </c>
      <c r="D59" s="1" t="s">
        <v>49</v>
      </c>
      <c r="E59" s="1" t="s">
        <v>77</v>
      </c>
      <c r="F59" s="1" t="s">
        <v>86</v>
      </c>
      <c r="G59" s="1" t="s">
        <v>40</v>
      </c>
      <c r="H59" s="1" t="s">
        <v>41</v>
      </c>
      <c r="I59" s="1" t="s">
        <v>35</v>
      </c>
      <c r="J59" s="1" t="s">
        <v>39</v>
      </c>
      <c r="K59" s="1" t="s">
        <v>42</v>
      </c>
      <c r="L59" s="1" t="s">
        <v>43</v>
      </c>
      <c r="M59" s="1" t="s">
        <v>44</v>
      </c>
      <c r="N59" s="1" t="s">
        <v>45</v>
      </c>
      <c r="O59" s="1" t="s">
        <v>45</v>
      </c>
      <c r="P59" s="1" t="s">
        <v>46</v>
      </c>
      <c r="Q59" s="1" t="s">
        <v>47</v>
      </c>
      <c r="R59" s="1" t="s">
        <v>48</v>
      </c>
      <c r="S59" s="1" t="s">
        <v>49</v>
      </c>
      <c r="T59" s="1" t="s">
        <v>50</v>
      </c>
      <c r="U59" s="1" t="s">
        <v>51</v>
      </c>
      <c r="V59" s="1" t="s">
        <v>52</v>
      </c>
      <c r="W59" s="1" t="s">
        <v>53</v>
      </c>
      <c r="X59" s="1" t="s">
        <v>54</v>
      </c>
      <c r="Y59" s="1" t="s">
        <v>55</v>
      </c>
      <c r="Z59" s="1" t="s">
        <v>56</v>
      </c>
      <c r="AA59" s="1" t="s">
        <v>36</v>
      </c>
      <c r="AB59" s="1" t="s">
        <v>54</v>
      </c>
      <c r="AC59" s="1" t="s">
        <v>57</v>
      </c>
      <c r="AD59" s="1" t="s">
        <v>58</v>
      </c>
      <c r="AE59" s="1" t="s">
        <v>59</v>
      </c>
      <c r="AF59" s="1" t="s">
        <v>54</v>
      </c>
      <c r="AG59" s="1" t="s">
        <v>75</v>
      </c>
      <c r="AH59" s="1" t="s">
        <v>120</v>
      </c>
    </row>
    <row r="60" spans="1:34" x14ac:dyDescent="0.35">
      <c r="A60" s="1" t="s">
        <v>91</v>
      </c>
      <c r="B60" s="1" t="s">
        <v>94</v>
      </c>
      <c r="C60" s="1" t="s">
        <v>36</v>
      </c>
      <c r="D60" s="1" t="s">
        <v>49</v>
      </c>
      <c r="E60" s="1" t="s">
        <v>77</v>
      </c>
      <c r="F60" s="1" t="s">
        <v>39</v>
      </c>
      <c r="G60" s="1" t="s">
        <v>40</v>
      </c>
      <c r="H60" s="1" t="s">
        <v>35</v>
      </c>
      <c r="I60" s="1" t="s">
        <v>35</v>
      </c>
      <c r="J60" s="1" t="s">
        <v>39</v>
      </c>
      <c r="K60" s="1" t="s">
        <v>42</v>
      </c>
      <c r="L60" s="1" t="s">
        <v>43</v>
      </c>
      <c r="M60" s="1" t="s">
        <v>44</v>
      </c>
      <c r="N60" s="1" t="s">
        <v>45</v>
      </c>
      <c r="O60" s="1" t="s">
        <v>45</v>
      </c>
      <c r="P60" s="1" t="s">
        <v>103</v>
      </c>
      <c r="Q60" s="1" t="s">
        <v>47</v>
      </c>
      <c r="R60" s="1" t="s">
        <v>48</v>
      </c>
      <c r="S60" s="1" t="s">
        <v>49</v>
      </c>
      <c r="T60" s="1" t="s">
        <v>50</v>
      </c>
      <c r="U60" s="1" t="s">
        <v>51</v>
      </c>
      <c r="V60" s="1" t="s">
        <v>81</v>
      </c>
      <c r="W60" s="1" t="s">
        <v>53</v>
      </c>
      <c r="X60" s="1" t="s">
        <v>54</v>
      </c>
      <c r="Y60" s="1" t="s">
        <v>74</v>
      </c>
      <c r="Z60" s="1" t="s">
        <v>56</v>
      </c>
      <c r="AA60" s="1" t="s">
        <v>36</v>
      </c>
      <c r="AB60" s="1" t="s">
        <v>54</v>
      </c>
      <c r="AC60" s="1" t="s">
        <v>57</v>
      </c>
      <c r="AD60" s="1" t="s">
        <v>58</v>
      </c>
      <c r="AE60" s="1" t="s">
        <v>59</v>
      </c>
      <c r="AF60" s="1" t="s">
        <v>54</v>
      </c>
      <c r="AG60" s="1" t="s">
        <v>98</v>
      </c>
      <c r="AH60" s="1" t="s">
        <v>120</v>
      </c>
    </row>
    <row r="61" spans="1:34" x14ac:dyDescent="0.35">
      <c r="A61" s="1" t="s">
        <v>74</v>
      </c>
      <c r="B61" s="1" t="s">
        <v>41</v>
      </c>
      <c r="C61" s="1" t="s">
        <v>76</v>
      </c>
      <c r="D61" s="1" t="s">
        <v>83</v>
      </c>
      <c r="E61" s="1" t="s">
        <v>38</v>
      </c>
      <c r="F61" s="1" t="s">
        <v>39</v>
      </c>
      <c r="G61" s="1" t="s">
        <v>40</v>
      </c>
      <c r="H61" s="1" t="s">
        <v>35</v>
      </c>
      <c r="I61" s="1" t="s">
        <v>41</v>
      </c>
      <c r="J61" s="1" t="s">
        <v>96</v>
      </c>
      <c r="K61" s="1" t="s">
        <v>42</v>
      </c>
      <c r="L61" s="1" t="s">
        <v>43</v>
      </c>
      <c r="M61" s="1" t="s">
        <v>44</v>
      </c>
      <c r="N61" s="1" t="s">
        <v>45</v>
      </c>
      <c r="O61" s="1" t="s">
        <v>52</v>
      </c>
      <c r="P61" s="1" t="s">
        <v>103</v>
      </c>
      <c r="Q61" s="1" t="s">
        <v>47</v>
      </c>
      <c r="R61" s="1" t="s">
        <v>80</v>
      </c>
      <c r="S61" s="1" t="s">
        <v>49</v>
      </c>
      <c r="T61" s="1" t="s">
        <v>50</v>
      </c>
      <c r="U61" s="1" t="s">
        <v>51</v>
      </c>
      <c r="V61" s="1" t="s">
        <v>52</v>
      </c>
      <c r="W61" s="1" t="s">
        <v>53</v>
      </c>
      <c r="X61" s="1" t="s">
        <v>54</v>
      </c>
      <c r="Y61" s="1" t="s">
        <v>55</v>
      </c>
      <c r="Z61" s="1" t="s">
        <v>56</v>
      </c>
      <c r="AA61" s="1" t="s">
        <v>36</v>
      </c>
      <c r="AB61" s="1" t="s">
        <v>54</v>
      </c>
      <c r="AC61" s="1" t="s">
        <v>57</v>
      </c>
      <c r="AD61" s="1" t="s">
        <v>58</v>
      </c>
      <c r="AE61" s="1" t="s">
        <v>59</v>
      </c>
      <c r="AF61" s="1" t="s">
        <v>54</v>
      </c>
      <c r="AG61" s="1" t="s">
        <v>98</v>
      </c>
      <c r="AH61" s="1" t="s">
        <v>120</v>
      </c>
    </row>
    <row r="62" spans="1:34" x14ac:dyDescent="0.35">
      <c r="A62" s="1" t="s">
        <v>91</v>
      </c>
      <c r="B62" s="1" t="s">
        <v>41</v>
      </c>
      <c r="C62" s="1" t="s">
        <v>76</v>
      </c>
      <c r="D62" s="1" t="s">
        <v>83</v>
      </c>
      <c r="E62" s="1" t="s">
        <v>38</v>
      </c>
      <c r="F62" s="1" t="s">
        <v>39</v>
      </c>
      <c r="G62" s="1" t="s">
        <v>40</v>
      </c>
      <c r="H62" s="1" t="s">
        <v>35</v>
      </c>
      <c r="I62" s="1" t="s">
        <v>41</v>
      </c>
      <c r="J62" s="1" t="s">
        <v>96</v>
      </c>
      <c r="K62" s="1" t="s">
        <v>42</v>
      </c>
      <c r="L62" s="1" t="s">
        <v>43</v>
      </c>
      <c r="M62" s="1" t="s">
        <v>44</v>
      </c>
      <c r="N62" s="1" t="s">
        <v>45</v>
      </c>
      <c r="O62" s="1" t="s">
        <v>52</v>
      </c>
      <c r="P62" s="1" t="s">
        <v>103</v>
      </c>
      <c r="Q62" s="1" t="s">
        <v>47</v>
      </c>
      <c r="R62" s="1" t="s">
        <v>80</v>
      </c>
      <c r="S62" s="1" t="s">
        <v>49</v>
      </c>
      <c r="T62" s="1" t="s">
        <v>50</v>
      </c>
      <c r="U62" s="1" t="s">
        <v>51</v>
      </c>
      <c r="V62" s="1" t="s">
        <v>52</v>
      </c>
      <c r="W62" s="1" t="s">
        <v>53</v>
      </c>
      <c r="X62" s="1" t="s">
        <v>54</v>
      </c>
      <c r="Y62" s="1" t="s">
        <v>55</v>
      </c>
      <c r="Z62" s="1" t="s">
        <v>56</v>
      </c>
      <c r="AA62" s="1" t="s">
        <v>36</v>
      </c>
      <c r="AB62" s="1" t="s">
        <v>54</v>
      </c>
      <c r="AC62" s="1" t="s">
        <v>57</v>
      </c>
      <c r="AD62" s="1" t="s">
        <v>58</v>
      </c>
      <c r="AE62" s="1" t="s">
        <v>59</v>
      </c>
      <c r="AF62" s="1" t="s">
        <v>54</v>
      </c>
      <c r="AG62" s="1" t="s">
        <v>98</v>
      </c>
      <c r="AH62" s="1" t="s">
        <v>120</v>
      </c>
    </row>
    <row r="63" spans="1:34" x14ac:dyDescent="0.35">
      <c r="A63" s="1" t="s">
        <v>34</v>
      </c>
      <c r="B63" s="1" t="s">
        <v>35</v>
      </c>
      <c r="C63" s="1" t="s">
        <v>36</v>
      </c>
      <c r="D63" s="1" t="s">
        <v>37</v>
      </c>
      <c r="E63" s="1" t="s">
        <v>100</v>
      </c>
      <c r="F63" s="1" t="s">
        <v>160</v>
      </c>
      <c r="G63" s="1" t="s">
        <v>40</v>
      </c>
      <c r="H63" s="1" t="s">
        <v>35</v>
      </c>
      <c r="I63" s="1" t="s">
        <v>35</v>
      </c>
      <c r="J63" s="1" t="s">
        <v>78</v>
      </c>
      <c r="K63" s="1" t="s">
        <v>42</v>
      </c>
      <c r="L63" s="1" t="s">
        <v>43</v>
      </c>
      <c r="M63" s="1" t="s">
        <v>44</v>
      </c>
      <c r="N63" s="1" t="s">
        <v>49</v>
      </c>
      <c r="O63" s="1" t="s">
        <v>45</v>
      </c>
      <c r="P63" s="1" t="s">
        <v>103</v>
      </c>
      <c r="Q63" s="1" t="s">
        <v>47</v>
      </c>
      <c r="R63" s="1" t="s">
        <v>80</v>
      </c>
      <c r="S63" s="1" t="s">
        <v>49</v>
      </c>
      <c r="T63" s="1" t="s">
        <v>50</v>
      </c>
      <c r="U63" s="1" t="s">
        <v>51</v>
      </c>
      <c r="V63" s="1" t="s">
        <v>52</v>
      </c>
      <c r="W63" s="1" t="s">
        <v>53</v>
      </c>
      <c r="X63" s="1" t="s">
        <v>54</v>
      </c>
      <c r="Y63" s="1" t="s">
        <v>55</v>
      </c>
      <c r="Z63" s="1" t="s">
        <v>56</v>
      </c>
      <c r="AA63" s="1" t="s">
        <v>36</v>
      </c>
      <c r="AB63" s="1" t="s">
        <v>54</v>
      </c>
      <c r="AC63" s="1" t="s">
        <v>57</v>
      </c>
      <c r="AD63" s="1" t="s">
        <v>58</v>
      </c>
      <c r="AE63" s="1" t="s">
        <v>59</v>
      </c>
      <c r="AF63" s="1" t="s">
        <v>54</v>
      </c>
      <c r="AG63" s="1" t="s">
        <v>98</v>
      </c>
      <c r="AH63" s="1" t="s">
        <v>120</v>
      </c>
    </row>
    <row r="64" spans="1:34" x14ac:dyDescent="0.35">
      <c r="A64" s="1" t="s">
        <v>91</v>
      </c>
      <c r="B64" s="1" t="s">
        <v>41</v>
      </c>
      <c r="C64" s="1" t="s">
        <v>76</v>
      </c>
      <c r="D64" s="1" t="s">
        <v>37</v>
      </c>
      <c r="E64" s="1" t="s">
        <v>77</v>
      </c>
      <c r="F64" s="1" t="s">
        <v>39</v>
      </c>
      <c r="G64" s="1" t="s">
        <v>79</v>
      </c>
      <c r="H64" s="1" t="s">
        <v>41</v>
      </c>
      <c r="I64" s="1" t="s">
        <v>94</v>
      </c>
      <c r="J64" s="1" t="s">
        <v>39</v>
      </c>
      <c r="K64" s="1" t="s">
        <v>42</v>
      </c>
      <c r="L64" s="1" t="s">
        <v>79</v>
      </c>
      <c r="M64" s="1" t="s">
        <v>44</v>
      </c>
      <c r="N64" s="1" t="s">
        <v>45</v>
      </c>
      <c r="O64" s="1" t="s">
        <v>45</v>
      </c>
      <c r="P64" s="1" t="s">
        <v>103</v>
      </c>
      <c r="Q64" s="1" t="s">
        <v>47</v>
      </c>
      <c r="R64" s="1" t="s">
        <v>48</v>
      </c>
      <c r="S64" s="1" t="s">
        <v>49</v>
      </c>
      <c r="T64" s="1" t="s">
        <v>50</v>
      </c>
      <c r="U64" s="1" t="s">
        <v>51</v>
      </c>
      <c r="V64" s="1" t="s">
        <v>52</v>
      </c>
      <c r="W64" s="1" t="s">
        <v>53</v>
      </c>
      <c r="X64" s="1" t="s">
        <v>54</v>
      </c>
      <c r="Y64" s="1" t="s">
        <v>55</v>
      </c>
      <c r="Z64" s="1" t="s">
        <v>82</v>
      </c>
      <c r="AA64" s="1" t="s">
        <v>36</v>
      </c>
      <c r="AB64" s="1" t="s">
        <v>54</v>
      </c>
      <c r="AC64" s="1" t="s">
        <v>57</v>
      </c>
      <c r="AD64" s="1" t="s">
        <v>58</v>
      </c>
      <c r="AE64" s="1" t="s">
        <v>59</v>
      </c>
      <c r="AF64" s="1" t="s">
        <v>54</v>
      </c>
      <c r="AG64" s="1" t="s">
        <v>98</v>
      </c>
      <c r="AH64" s="1" t="s">
        <v>120</v>
      </c>
    </row>
    <row r="65" spans="1:34" x14ac:dyDescent="0.35">
      <c r="A65" s="1" t="s">
        <v>34</v>
      </c>
      <c r="B65" s="1" t="s">
        <v>41</v>
      </c>
      <c r="C65" s="1" t="s">
        <v>76</v>
      </c>
      <c r="D65" s="1" t="s">
        <v>37</v>
      </c>
      <c r="E65" s="1" t="s">
        <v>77</v>
      </c>
      <c r="F65" s="1" t="s">
        <v>39</v>
      </c>
      <c r="G65" s="1" t="s">
        <v>40</v>
      </c>
      <c r="H65" s="1" t="s">
        <v>35</v>
      </c>
      <c r="I65" s="1" t="s">
        <v>35</v>
      </c>
      <c r="J65" s="1" t="s">
        <v>96</v>
      </c>
      <c r="K65" s="1" t="s">
        <v>42</v>
      </c>
      <c r="L65" s="1" t="s">
        <v>79</v>
      </c>
      <c r="M65" s="1" t="s">
        <v>44</v>
      </c>
      <c r="N65" s="1" t="s">
        <v>45</v>
      </c>
      <c r="O65" s="1" t="s">
        <v>52</v>
      </c>
      <c r="P65" s="1" t="s">
        <v>103</v>
      </c>
      <c r="Q65" s="1" t="s">
        <v>47</v>
      </c>
      <c r="R65" s="1" t="s">
        <v>80</v>
      </c>
      <c r="S65" s="1" t="s">
        <v>49</v>
      </c>
      <c r="T65" s="1" t="s">
        <v>50</v>
      </c>
      <c r="U65" s="1" t="s">
        <v>51</v>
      </c>
      <c r="V65" s="1" t="s">
        <v>52</v>
      </c>
      <c r="W65" s="1" t="s">
        <v>53</v>
      </c>
      <c r="X65" s="1" t="s">
        <v>54</v>
      </c>
      <c r="Y65" s="1" t="s">
        <v>55</v>
      </c>
      <c r="Z65" s="1" t="s">
        <v>56</v>
      </c>
      <c r="AA65" s="1" t="s">
        <v>36</v>
      </c>
      <c r="AB65" s="1" t="s">
        <v>54</v>
      </c>
      <c r="AC65" s="1" t="s">
        <v>57</v>
      </c>
      <c r="AD65" s="1" t="s">
        <v>58</v>
      </c>
      <c r="AE65" s="1" t="s">
        <v>59</v>
      </c>
      <c r="AF65" s="1" t="s">
        <v>54</v>
      </c>
      <c r="AG65" s="1" t="s">
        <v>98</v>
      </c>
      <c r="AH65" s="1" t="s">
        <v>120</v>
      </c>
    </row>
    <row r="66" spans="1:34" x14ac:dyDescent="0.35">
      <c r="A66" s="1" t="s">
        <v>54</v>
      </c>
      <c r="B66" s="1" t="s">
        <v>35</v>
      </c>
      <c r="C66" s="1" t="s">
        <v>36</v>
      </c>
      <c r="D66" s="1" t="s">
        <v>37</v>
      </c>
      <c r="E66" s="1" t="s">
        <v>77</v>
      </c>
      <c r="F66" s="1" t="s">
        <v>39</v>
      </c>
      <c r="G66" s="1" t="s">
        <v>40</v>
      </c>
      <c r="H66" s="1" t="s">
        <v>41</v>
      </c>
      <c r="I66" s="1" t="s">
        <v>35</v>
      </c>
      <c r="J66" s="1" t="s">
        <v>39</v>
      </c>
      <c r="K66" s="1" t="s">
        <v>42</v>
      </c>
      <c r="L66" s="1" t="s">
        <v>79</v>
      </c>
      <c r="M66" s="1" t="s">
        <v>44</v>
      </c>
      <c r="N66" s="1" t="s">
        <v>45</v>
      </c>
      <c r="O66" s="1" t="s">
        <v>45</v>
      </c>
      <c r="P66" s="1" t="s">
        <v>46</v>
      </c>
      <c r="Q66" s="1" t="s">
        <v>47</v>
      </c>
      <c r="R66" s="1" t="s">
        <v>48</v>
      </c>
      <c r="S66" s="1" t="s">
        <v>49</v>
      </c>
      <c r="T66" s="1" t="s">
        <v>50</v>
      </c>
      <c r="U66" s="1" t="s">
        <v>51</v>
      </c>
      <c r="V66" s="1" t="s">
        <v>52</v>
      </c>
      <c r="W66" s="1" t="s">
        <v>53</v>
      </c>
      <c r="X66" s="1" t="s">
        <v>54</v>
      </c>
      <c r="Y66" s="1" t="s">
        <v>55</v>
      </c>
      <c r="Z66" s="1" t="s">
        <v>56</v>
      </c>
      <c r="AA66" s="1" t="s">
        <v>36</v>
      </c>
      <c r="AB66" s="1" t="s">
        <v>54</v>
      </c>
      <c r="AC66" s="1" t="s">
        <v>57</v>
      </c>
      <c r="AD66" s="1" t="s">
        <v>58</v>
      </c>
      <c r="AE66" s="1" t="s">
        <v>59</v>
      </c>
      <c r="AF66" s="1" t="s">
        <v>54</v>
      </c>
      <c r="AG66" s="1" t="s">
        <v>98</v>
      </c>
      <c r="AH66" s="1" t="s">
        <v>120</v>
      </c>
    </row>
    <row r="67" spans="1:34" x14ac:dyDescent="0.35">
      <c r="A67" s="1" t="s">
        <v>91</v>
      </c>
      <c r="B67" s="1" t="s">
        <v>87</v>
      </c>
      <c r="C67" s="1" t="s">
        <v>82</v>
      </c>
      <c r="D67" s="1" t="s">
        <v>49</v>
      </c>
      <c r="E67" s="1" t="s">
        <v>77</v>
      </c>
      <c r="F67" s="1" t="s">
        <v>86</v>
      </c>
      <c r="G67" s="1" t="s">
        <v>40</v>
      </c>
      <c r="H67" s="1" t="s">
        <v>35</v>
      </c>
      <c r="I67" s="1" t="s">
        <v>94</v>
      </c>
      <c r="J67" s="1" t="s">
        <v>39</v>
      </c>
      <c r="K67" s="1" t="s">
        <v>42</v>
      </c>
      <c r="L67" s="1" t="s">
        <v>43</v>
      </c>
      <c r="M67" s="1" t="s">
        <v>44</v>
      </c>
      <c r="N67" s="1" t="s">
        <v>45</v>
      </c>
      <c r="O67" s="1" t="s">
        <v>45</v>
      </c>
      <c r="P67" s="1" t="s">
        <v>46</v>
      </c>
      <c r="Q67" s="1" t="s">
        <v>47</v>
      </c>
      <c r="R67" s="1" t="s">
        <v>80</v>
      </c>
      <c r="S67" s="1" t="s">
        <v>49</v>
      </c>
      <c r="T67" s="1" t="s">
        <v>50</v>
      </c>
      <c r="U67" s="1" t="s">
        <v>51</v>
      </c>
      <c r="V67" s="1" t="s">
        <v>52</v>
      </c>
      <c r="W67" s="1" t="s">
        <v>53</v>
      </c>
      <c r="X67" s="1" t="s">
        <v>54</v>
      </c>
      <c r="Y67" s="1" t="s">
        <v>74</v>
      </c>
      <c r="Z67" s="1" t="s">
        <v>56</v>
      </c>
      <c r="AA67" s="1" t="s">
        <v>36</v>
      </c>
      <c r="AB67" s="1" t="s">
        <v>54</v>
      </c>
      <c r="AC67" s="1" t="s">
        <v>57</v>
      </c>
      <c r="AD67" s="1" t="s">
        <v>58</v>
      </c>
      <c r="AE67" s="1" t="s">
        <v>42</v>
      </c>
      <c r="AF67" s="1" t="s">
        <v>54</v>
      </c>
      <c r="AG67" s="1" t="s">
        <v>75</v>
      </c>
      <c r="AH67" s="1" t="s">
        <v>120</v>
      </c>
    </row>
    <row r="68" spans="1:34" x14ac:dyDescent="0.35">
      <c r="A68" s="1" t="s">
        <v>55</v>
      </c>
      <c r="B68" s="1" t="s">
        <v>41</v>
      </c>
      <c r="C68" s="1" t="s">
        <v>76</v>
      </c>
      <c r="D68" s="1" t="s">
        <v>83</v>
      </c>
      <c r="E68" s="1" t="s">
        <v>38</v>
      </c>
      <c r="F68" s="1" t="s">
        <v>39</v>
      </c>
      <c r="G68" s="1" t="s">
        <v>40</v>
      </c>
      <c r="H68" s="1" t="s">
        <v>35</v>
      </c>
      <c r="I68" s="1" t="s">
        <v>35</v>
      </c>
      <c r="J68" s="1" t="s">
        <v>39</v>
      </c>
      <c r="K68" s="1" t="s">
        <v>42</v>
      </c>
      <c r="L68" s="1" t="s">
        <v>43</v>
      </c>
      <c r="M68" s="1" t="s">
        <v>44</v>
      </c>
      <c r="N68" s="1" t="s">
        <v>45</v>
      </c>
      <c r="O68" s="1" t="s">
        <v>45</v>
      </c>
      <c r="P68" s="1" t="s">
        <v>50</v>
      </c>
      <c r="Q68" s="1" t="s">
        <v>93</v>
      </c>
      <c r="R68" s="1" t="s">
        <v>48</v>
      </c>
      <c r="S68" s="1" t="s">
        <v>49</v>
      </c>
      <c r="T68" s="1" t="s">
        <v>50</v>
      </c>
      <c r="U68" s="1" t="s">
        <v>51</v>
      </c>
      <c r="V68" s="1" t="s">
        <v>52</v>
      </c>
      <c r="W68" s="1" t="s">
        <v>53</v>
      </c>
      <c r="X68" s="1" t="s">
        <v>54</v>
      </c>
      <c r="Y68" s="1" t="s">
        <v>55</v>
      </c>
      <c r="Z68" s="1" t="s">
        <v>56</v>
      </c>
      <c r="AA68" s="1" t="s">
        <v>36</v>
      </c>
      <c r="AB68" s="1" t="s">
        <v>54</v>
      </c>
      <c r="AC68" s="1" t="s">
        <v>57</v>
      </c>
      <c r="AD68" s="1" t="s">
        <v>58</v>
      </c>
      <c r="AE68" s="1" t="s">
        <v>42</v>
      </c>
      <c r="AF68" s="1" t="s">
        <v>54</v>
      </c>
      <c r="AG68" s="1" t="s">
        <v>75</v>
      </c>
      <c r="AH68" s="1" t="s">
        <v>120</v>
      </c>
    </row>
    <row r="69" spans="1:34" x14ac:dyDescent="0.35">
      <c r="A69" s="1" t="s">
        <v>54</v>
      </c>
      <c r="B69" s="1" t="s">
        <v>35</v>
      </c>
      <c r="C69" s="1" t="s">
        <v>157</v>
      </c>
      <c r="D69" s="1" t="s">
        <v>37</v>
      </c>
      <c r="E69" s="1" t="s">
        <v>77</v>
      </c>
      <c r="F69" s="1" t="s">
        <v>39</v>
      </c>
      <c r="G69" s="1" t="s">
        <v>40</v>
      </c>
      <c r="H69" s="1" t="s">
        <v>35</v>
      </c>
      <c r="I69" s="1" t="s">
        <v>35</v>
      </c>
      <c r="J69" s="1" t="s">
        <v>39</v>
      </c>
      <c r="K69" s="1" t="s">
        <v>42</v>
      </c>
      <c r="L69" s="1" t="s">
        <v>43</v>
      </c>
      <c r="M69" s="1" t="s">
        <v>44</v>
      </c>
      <c r="N69" s="1" t="s">
        <v>45</v>
      </c>
      <c r="O69" s="1" t="s">
        <v>45</v>
      </c>
      <c r="P69" s="1" t="s">
        <v>103</v>
      </c>
      <c r="Q69" s="1" t="s">
        <v>47</v>
      </c>
      <c r="R69" s="1" t="s">
        <v>80</v>
      </c>
      <c r="S69" s="1" t="s">
        <v>49</v>
      </c>
      <c r="T69" s="1" t="s">
        <v>50</v>
      </c>
      <c r="U69" s="1" t="s">
        <v>51</v>
      </c>
      <c r="V69" s="1" t="s">
        <v>52</v>
      </c>
      <c r="W69" s="1" t="s">
        <v>53</v>
      </c>
      <c r="X69" s="1" t="s">
        <v>54</v>
      </c>
      <c r="Y69" s="1" t="s">
        <v>55</v>
      </c>
      <c r="Z69" s="1" t="s">
        <v>82</v>
      </c>
      <c r="AA69" s="1" t="s">
        <v>36</v>
      </c>
      <c r="AB69" s="1" t="s">
        <v>54</v>
      </c>
      <c r="AC69" s="1" t="s">
        <v>57</v>
      </c>
      <c r="AD69" s="1" t="s">
        <v>58</v>
      </c>
      <c r="AE69" s="1" t="s">
        <v>59</v>
      </c>
      <c r="AF69" s="1" t="s">
        <v>54</v>
      </c>
      <c r="AG69" s="1" t="s">
        <v>165</v>
      </c>
      <c r="AH69" s="1" t="s">
        <v>120</v>
      </c>
    </row>
    <row r="70" spans="1:34" x14ac:dyDescent="0.35">
      <c r="A70" s="1" t="s">
        <v>34</v>
      </c>
      <c r="B70" s="1" t="s">
        <v>35</v>
      </c>
      <c r="C70" s="1" t="s">
        <v>157</v>
      </c>
      <c r="D70" s="1" t="s">
        <v>37</v>
      </c>
      <c r="E70" s="1" t="s">
        <v>38</v>
      </c>
      <c r="F70" s="1" t="s">
        <v>39</v>
      </c>
      <c r="G70" s="1" t="s">
        <v>40</v>
      </c>
      <c r="H70" s="1" t="s">
        <v>35</v>
      </c>
      <c r="I70" s="1" t="s">
        <v>41</v>
      </c>
      <c r="J70" s="1" t="s">
        <v>78</v>
      </c>
      <c r="K70" s="1" t="s">
        <v>42</v>
      </c>
      <c r="L70" s="1" t="s">
        <v>79</v>
      </c>
      <c r="M70" s="1" t="s">
        <v>44</v>
      </c>
      <c r="N70" s="1" t="s">
        <v>45</v>
      </c>
      <c r="O70" s="1" t="s">
        <v>45</v>
      </c>
      <c r="P70" s="1" t="s">
        <v>103</v>
      </c>
      <c r="Q70" s="1" t="s">
        <v>47</v>
      </c>
      <c r="R70" s="1" t="s">
        <v>80</v>
      </c>
      <c r="S70" s="1" t="s">
        <v>49</v>
      </c>
      <c r="T70" s="1" t="s">
        <v>50</v>
      </c>
      <c r="U70" s="1" t="s">
        <v>51</v>
      </c>
      <c r="V70" s="1" t="s">
        <v>52</v>
      </c>
      <c r="W70" s="1" t="s">
        <v>53</v>
      </c>
      <c r="X70" s="1" t="s">
        <v>54</v>
      </c>
      <c r="Y70" s="1" t="s">
        <v>55</v>
      </c>
      <c r="Z70" s="1" t="s">
        <v>56</v>
      </c>
      <c r="AA70" s="1" t="s">
        <v>36</v>
      </c>
      <c r="AB70" s="1" t="s">
        <v>54</v>
      </c>
      <c r="AC70" s="1" t="s">
        <v>57</v>
      </c>
      <c r="AD70" s="1" t="s">
        <v>58</v>
      </c>
      <c r="AE70" s="1" t="s">
        <v>59</v>
      </c>
      <c r="AF70" s="1" t="s">
        <v>54</v>
      </c>
      <c r="AG70" s="1" t="s">
        <v>165</v>
      </c>
      <c r="AH70" s="1" t="s">
        <v>120</v>
      </c>
    </row>
    <row r="71" spans="1:34" x14ac:dyDescent="0.35">
      <c r="A71" s="1" t="s">
        <v>34</v>
      </c>
      <c r="B71" s="1" t="s">
        <v>35</v>
      </c>
      <c r="C71" s="1" t="s">
        <v>157</v>
      </c>
      <c r="D71" s="1" t="s">
        <v>37</v>
      </c>
      <c r="E71" s="1" t="s">
        <v>77</v>
      </c>
      <c r="F71" s="1" t="s">
        <v>39</v>
      </c>
      <c r="G71" s="1" t="s">
        <v>40</v>
      </c>
      <c r="H71" s="1" t="s">
        <v>35</v>
      </c>
      <c r="I71" s="1" t="s">
        <v>35</v>
      </c>
      <c r="J71" s="1" t="s">
        <v>39</v>
      </c>
      <c r="K71" s="1" t="s">
        <v>42</v>
      </c>
      <c r="L71" s="1" t="s">
        <v>43</v>
      </c>
      <c r="M71" s="1" t="s">
        <v>44</v>
      </c>
      <c r="N71" s="1" t="s">
        <v>45</v>
      </c>
      <c r="O71" s="1" t="s">
        <v>45</v>
      </c>
      <c r="P71" s="1" t="s">
        <v>103</v>
      </c>
      <c r="Q71" s="1" t="s">
        <v>47</v>
      </c>
      <c r="R71" s="1" t="s">
        <v>48</v>
      </c>
      <c r="S71" s="1" t="s">
        <v>49</v>
      </c>
      <c r="T71" s="1" t="s">
        <v>50</v>
      </c>
      <c r="U71" s="1" t="s">
        <v>51</v>
      </c>
      <c r="V71" s="1" t="s">
        <v>52</v>
      </c>
      <c r="W71" s="1" t="s">
        <v>53</v>
      </c>
      <c r="X71" s="1" t="s">
        <v>54</v>
      </c>
      <c r="Y71" s="1" t="s">
        <v>55</v>
      </c>
      <c r="Z71" s="1" t="s">
        <v>82</v>
      </c>
      <c r="AA71" s="1" t="s">
        <v>36</v>
      </c>
      <c r="AB71" s="1" t="s">
        <v>54</v>
      </c>
      <c r="AC71" s="1" t="s">
        <v>57</v>
      </c>
      <c r="AD71" s="1" t="s">
        <v>58</v>
      </c>
      <c r="AE71" s="1" t="s">
        <v>59</v>
      </c>
      <c r="AF71" s="1" t="s">
        <v>54</v>
      </c>
      <c r="AG71" s="1" t="s">
        <v>165</v>
      </c>
      <c r="AH71" s="1" t="s">
        <v>120</v>
      </c>
    </row>
    <row r="72" spans="1:34" x14ac:dyDescent="0.35">
      <c r="A72" s="1" t="s">
        <v>34</v>
      </c>
      <c r="B72" s="1" t="s">
        <v>35</v>
      </c>
      <c r="C72" s="1" t="s">
        <v>157</v>
      </c>
      <c r="D72" s="1" t="s">
        <v>37</v>
      </c>
      <c r="E72" s="1" t="s">
        <v>77</v>
      </c>
      <c r="F72" s="1" t="s">
        <v>39</v>
      </c>
      <c r="G72" s="1" t="s">
        <v>40</v>
      </c>
      <c r="H72" s="1" t="s">
        <v>35</v>
      </c>
      <c r="I72" s="1" t="s">
        <v>35</v>
      </c>
      <c r="J72" s="1" t="s">
        <v>39</v>
      </c>
      <c r="K72" s="1" t="s">
        <v>42</v>
      </c>
      <c r="L72" s="1" t="s">
        <v>43</v>
      </c>
      <c r="M72" s="1" t="s">
        <v>44</v>
      </c>
      <c r="N72" s="1" t="s">
        <v>45</v>
      </c>
      <c r="O72" s="1" t="s">
        <v>45</v>
      </c>
      <c r="P72" s="1" t="s">
        <v>103</v>
      </c>
      <c r="Q72" s="1" t="s">
        <v>47</v>
      </c>
      <c r="R72" s="1" t="s">
        <v>80</v>
      </c>
      <c r="S72" s="1" t="s">
        <v>49</v>
      </c>
      <c r="T72" s="1" t="s">
        <v>50</v>
      </c>
      <c r="U72" s="1" t="s">
        <v>51</v>
      </c>
      <c r="V72" s="1" t="s">
        <v>52</v>
      </c>
      <c r="W72" s="1" t="s">
        <v>53</v>
      </c>
      <c r="X72" s="1" t="s">
        <v>54</v>
      </c>
      <c r="Y72" s="1" t="s">
        <v>55</v>
      </c>
      <c r="Z72" s="1" t="s">
        <v>82</v>
      </c>
      <c r="AA72" s="1" t="s">
        <v>36</v>
      </c>
      <c r="AB72" s="1" t="s">
        <v>54</v>
      </c>
      <c r="AC72" s="1" t="s">
        <v>57</v>
      </c>
      <c r="AD72" s="1" t="s">
        <v>58</v>
      </c>
      <c r="AE72" s="1" t="s">
        <v>59</v>
      </c>
      <c r="AF72" s="1" t="s">
        <v>54</v>
      </c>
      <c r="AG72" s="1" t="s">
        <v>165</v>
      </c>
      <c r="AH72" s="1" t="s">
        <v>120</v>
      </c>
    </row>
    <row r="73" spans="1:34" x14ac:dyDescent="0.35">
      <c r="A73" s="1" t="s">
        <v>85</v>
      </c>
      <c r="B73" s="1" t="s">
        <v>94</v>
      </c>
      <c r="C73" s="1" t="s">
        <v>157</v>
      </c>
      <c r="D73" s="1" t="s">
        <v>37</v>
      </c>
      <c r="E73" s="1" t="s">
        <v>77</v>
      </c>
      <c r="F73" s="1" t="s">
        <v>39</v>
      </c>
      <c r="G73" s="1" t="s">
        <v>40</v>
      </c>
      <c r="H73" s="1" t="s">
        <v>35</v>
      </c>
      <c r="I73" s="1" t="s">
        <v>35</v>
      </c>
      <c r="J73" s="1" t="s">
        <v>39</v>
      </c>
      <c r="K73" s="1" t="s">
        <v>42</v>
      </c>
      <c r="L73" s="1" t="s">
        <v>43</v>
      </c>
      <c r="M73" s="1" t="s">
        <v>44</v>
      </c>
      <c r="N73" s="1" t="s">
        <v>45</v>
      </c>
      <c r="O73" s="1" t="s">
        <v>45</v>
      </c>
      <c r="P73" s="1" t="s">
        <v>103</v>
      </c>
      <c r="Q73" s="1" t="s">
        <v>47</v>
      </c>
      <c r="R73" s="1" t="s">
        <v>80</v>
      </c>
      <c r="S73" s="1" t="s">
        <v>49</v>
      </c>
      <c r="T73" s="1" t="s">
        <v>50</v>
      </c>
      <c r="U73" s="1" t="s">
        <v>51</v>
      </c>
      <c r="V73" s="1" t="s">
        <v>52</v>
      </c>
      <c r="W73" s="1" t="s">
        <v>53</v>
      </c>
      <c r="X73" s="1" t="s">
        <v>54</v>
      </c>
      <c r="Y73" s="1" t="s">
        <v>55</v>
      </c>
      <c r="Z73" s="1" t="s">
        <v>56</v>
      </c>
      <c r="AA73" s="1" t="s">
        <v>36</v>
      </c>
      <c r="AB73" s="1" t="s">
        <v>54</v>
      </c>
      <c r="AC73" s="1" t="s">
        <v>57</v>
      </c>
      <c r="AD73" s="1" t="s">
        <v>58</v>
      </c>
      <c r="AE73" s="1" t="s">
        <v>59</v>
      </c>
      <c r="AF73" s="1" t="s">
        <v>54</v>
      </c>
      <c r="AG73" s="1" t="s">
        <v>165</v>
      </c>
      <c r="AH73" s="1" t="s">
        <v>121</v>
      </c>
    </row>
    <row r="74" spans="1:34" x14ac:dyDescent="0.35">
      <c r="A74" s="1" t="s">
        <v>34</v>
      </c>
      <c r="B74" s="1" t="s">
        <v>94</v>
      </c>
      <c r="C74" s="1" t="s">
        <v>157</v>
      </c>
      <c r="D74" s="1" t="s">
        <v>37</v>
      </c>
      <c r="E74" s="1" t="s">
        <v>38</v>
      </c>
      <c r="F74" s="1" t="s">
        <v>39</v>
      </c>
      <c r="G74" s="1" t="s">
        <v>40</v>
      </c>
      <c r="H74" s="1" t="s">
        <v>35</v>
      </c>
      <c r="I74" s="1" t="s">
        <v>35</v>
      </c>
      <c r="J74" s="1" t="s">
        <v>39</v>
      </c>
      <c r="K74" s="1" t="s">
        <v>42</v>
      </c>
      <c r="L74" s="1" t="s">
        <v>43</v>
      </c>
      <c r="M74" s="1" t="s">
        <v>44</v>
      </c>
      <c r="N74" s="1" t="s">
        <v>45</v>
      </c>
      <c r="O74" s="1" t="s">
        <v>45</v>
      </c>
      <c r="P74" s="1" t="s">
        <v>103</v>
      </c>
      <c r="Q74" s="1" t="s">
        <v>47</v>
      </c>
      <c r="R74" s="1" t="s">
        <v>48</v>
      </c>
      <c r="S74" s="1" t="s">
        <v>49</v>
      </c>
      <c r="T74" s="1" t="s">
        <v>50</v>
      </c>
      <c r="U74" s="1" t="s">
        <v>51</v>
      </c>
      <c r="V74" s="1" t="s">
        <v>52</v>
      </c>
      <c r="W74" s="1" t="s">
        <v>53</v>
      </c>
      <c r="X74" s="1" t="s">
        <v>54</v>
      </c>
      <c r="Y74" s="1" t="s">
        <v>55</v>
      </c>
      <c r="Z74" s="1" t="s">
        <v>56</v>
      </c>
      <c r="AA74" s="1" t="s">
        <v>36</v>
      </c>
      <c r="AB74" s="1" t="s">
        <v>54</v>
      </c>
      <c r="AC74" s="1" t="s">
        <v>57</v>
      </c>
      <c r="AD74" s="1" t="s">
        <v>58</v>
      </c>
      <c r="AE74" s="1" t="s">
        <v>59</v>
      </c>
      <c r="AF74" s="1" t="s">
        <v>54</v>
      </c>
      <c r="AG74" s="1" t="s">
        <v>165</v>
      </c>
      <c r="AH74" s="1" t="s">
        <v>120</v>
      </c>
    </row>
    <row r="75" spans="1:34" x14ac:dyDescent="0.35">
      <c r="A75" s="1" t="s">
        <v>99</v>
      </c>
      <c r="B75" s="1" t="s">
        <v>35</v>
      </c>
      <c r="C75" s="1" t="s">
        <v>157</v>
      </c>
      <c r="D75" s="1" t="s">
        <v>49</v>
      </c>
      <c r="E75" s="1" t="s">
        <v>77</v>
      </c>
      <c r="F75" s="1" t="s">
        <v>39</v>
      </c>
      <c r="G75" s="1" t="s">
        <v>40</v>
      </c>
      <c r="H75" s="1" t="s">
        <v>35</v>
      </c>
      <c r="I75" s="1" t="s">
        <v>35</v>
      </c>
      <c r="J75" s="1" t="s">
        <v>39</v>
      </c>
      <c r="K75" s="1" t="s">
        <v>97</v>
      </c>
      <c r="L75" s="1"/>
      <c r="M75" s="1" t="s">
        <v>44</v>
      </c>
      <c r="N75" s="1" t="s">
        <v>45</v>
      </c>
      <c r="O75" s="1" t="s">
        <v>45</v>
      </c>
      <c r="P75" s="1" t="s">
        <v>103</v>
      </c>
      <c r="Q75" s="1" t="s">
        <v>47</v>
      </c>
      <c r="R75" s="1" t="s">
        <v>80</v>
      </c>
      <c r="S75" s="1" t="s">
        <v>49</v>
      </c>
      <c r="T75" s="1" t="s">
        <v>50</v>
      </c>
      <c r="U75" s="1" t="s">
        <v>51</v>
      </c>
      <c r="V75" s="1" t="s">
        <v>52</v>
      </c>
      <c r="W75" s="1" t="s">
        <v>53</v>
      </c>
      <c r="X75" s="1" t="s">
        <v>54</v>
      </c>
      <c r="Y75" s="1" t="s">
        <v>55</v>
      </c>
      <c r="Z75" s="1" t="s">
        <v>82</v>
      </c>
      <c r="AA75" s="1" t="s">
        <v>36</v>
      </c>
      <c r="AB75" s="1" t="s">
        <v>54</v>
      </c>
      <c r="AC75" s="1" t="s">
        <v>57</v>
      </c>
      <c r="AD75" s="1" t="s">
        <v>58</v>
      </c>
      <c r="AE75" s="1" t="s">
        <v>59</v>
      </c>
      <c r="AF75" s="1" t="s">
        <v>54</v>
      </c>
      <c r="AG75" s="1" t="s">
        <v>165</v>
      </c>
      <c r="AH75" s="1" t="s">
        <v>120</v>
      </c>
    </row>
    <row r="76" spans="1:34" x14ac:dyDescent="0.35">
      <c r="A76" s="1" t="s">
        <v>54</v>
      </c>
      <c r="B76" s="1" t="s">
        <v>35</v>
      </c>
      <c r="C76" s="1" t="s">
        <v>36</v>
      </c>
      <c r="D76" s="1" t="s">
        <v>37</v>
      </c>
      <c r="E76" s="1" t="s">
        <v>38</v>
      </c>
      <c r="F76" s="1" t="s">
        <v>39</v>
      </c>
      <c r="G76" s="1" t="s">
        <v>40</v>
      </c>
      <c r="H76" s="1" t="s">
        <v>35</v>
      </c>
      <c r="I76" s="1" t="s">
        <v>41</v>
      </c>
      <c r="J76" s="1" t="s">
        <v>39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45</v>
      </c>
      <c r="P76" s="1" t="s">
        <v>46</v>
      </c>
      <c r="Q76" s="1" t="s">
        <v>47</v>
      </c>
      <c r="R76" s="1" t="s">
        <v>80</v>
      </c>
      <c r="S76" s="1" t="s">
        <v>49</v>
      </c>
      <c r="T76" s="1" t="s">
        <v>50</v>
      </c>
      <c r="U76" s="1" t="s">
        <v>51</v>
      </c>
      <c r="V76" s="1" t="s">
        <v>52</v>
      </c>
      <c r="W76" s="1" t="s">
        <v>53</v>
      </c>
      <c r="X76" s="1" t="s">
        <v>54</v>
      </c>
      <c r="Y76" s="1" t="s">
        <v>55</v>
      </c>
      <c r="Z76" s="1" t="s">
        <v>56</v>
      </c>
      <c r="AA76" s="1" t="s">
        <v>36</v>
      </c>
      <c r="AB76" s="1" t="s">
        <v>54</v>
      </c>
      <c r="AC76" s="1" t="s">
        <v>57</v>
      </c>
      <c r="AD76" s="1" t="s">
        <v>58</v>
      </c>
      <c r="AE76" s="1" t="s">
        <v>59</v>
      </c>
      <c r="AF76" s="1" t="s">
        <v>54</v>
      </c>
      <c r="AG76" s="1" t="s">
        <v>98</v>
      </c>
      <c r="AH76" s="1" t="s">
        <v>120</v>
      </c>
    </row>
    <row r="77" spans="1:34" x14ac:dyDescent="0.35">
      <c r="A77" s="1" t="s">
        <v>74</v>
      </c>
      <c r="B77" s="1" t="s">
        <v>35</v>
      </c>
      <c r="C77" s="1" t="s">
        <v>36</v>
      </c>
      <c r="D77" s="1" t="s">
        <v>83</v>
      </c>
      <c r="E77" s="1" t="s">
        <v>38</v>
      </c>
      <c r="F77" s="1" t="s">
        <v>39</v>
      </c>
      <c r="G77" s="1" t="s">
        <v>40</v>
      </c>
      <c r="H77" s="1" t="s">
        <v>35</v>
      </c>
      <c r="I77" s="1" t="s">
        <v>35</v>
      </c>
      <c r="J77" s="1" t="s">
        <v>78</v>
      </c>
      <c r="K77" s="1" t="s">
        <v>42</v>
      </c>
      <c r="L77" s="1" t="s">
        <v>43</v>
      </c>
      <c r="M77" s="1" t="s">
        <v>44</v>
      </c>
      <c r="N77" s="1" t="s">
        <v>45</v>
      </c>
      <c r="O77" s="1" t="s">
        <v>52</v>
      </c>
      <c r="P77" s="1" t="s">
        <v>103</v>
      </c>
      <c r="Q77" s="1" t="s">
        <v>47</v>
      </c>
      <c r="R77" s="1" t="s">
        <v>80</v>
      </c>
      <c r="S77" s="1" t="s">
        <v>49</v>
      </c>
      <c r="T77" s="1" t="s">
        <v>50</v>
      </c>
      <c r="U77" s="1" t="s">
        <v>51</v>
      </c>
      <c r="V77" s="1" t="s">
        <v>52</v>
      </c>
      <c r="W77" s="1" t="s">
        <v>53</v>
      </c>
      <c r="X77" s="1" t="s">
        <v>54</v>
      </c>
      <c r="Y77" s="1" t="s">
        <v>55</v>
      </c>
      <c r="Z77" s="1" t="s">
        <v>56</v>
      </c>
      <c r="AA77" s="1" t="s">
        <v>36</v>
      </c>
      <c r="AB77" s="1" t="s">
        <v>54</v>
      </c>
      <c r="AC77" s="1" t="s">
        <v>57</v>
      </c>
      <c r="AD77" s="1" t="s">
        <v>58</v>
      </c>
      <c r="AE77" s="1" t="s">
        <v>59</v>
      </c>
      <c r="AF77" s="1" t="s">
        <v>54</v>
      </c>
      <c r="AG77" s="1" t="s">
        <v>98</v>
      </c>
      <c r="AH77" s="1" t="s">
        <v>120</v>
      </c>
    </row>
    <row r="78" spans="1:34" x14ac:dyDescent="0.35">
      <c r="A78" s="1" t="s">
        <v>91</v>
      </c>
      <c r="B78" s="1" t="s">
        <v>41</v>
      </c>
      <c r="C78" s="1" t="s">
        <v>76</v>
      </c>
      <c r="D78" s="1" t="s">
        <v>37</v>
      </c>
      <c r="E78" s="1" t="s">
        <v>77</v>
      </c>
      <c r="F78" s="1" t="s">
        <v>39</v>
      </c>
      <c r="G78" s="1" t="s">
        <v>40</v>
      </c>
      <c r="H78" s="1" t="s">
        <v>35</v>
      </c>
      <c r="I78" s="1" t="s">
        <v>35</v>
      </c>
      <c r="J78" s="1" t="s">
        <v>39</v>
      </c>
      <c r="K78" s="1" t="s">
        <v>42</v>
      </c>
      <c r="L78" s="1" t="s">
        <v>43</v>
      </c>
      <c r="M78" s="1" t="s">
        <v>53</v>
      </c>
      <c r="N78" s="1" t="s">
        <v>45</v>
      </c>
      <c r="O78" s="1" t="s">
        <v>45</v>
      </c>
      <c r="P78" s="1" t="s">
        <v>103</v>
      </c>
      <c r="Q78" s="1" t="s">
        <v>47</v>
      </c>
      <c r="R78" s="1" t="s">
        <v>80</v>
      </c>
      <c r="S78" s="1" t="s">
        <v>49</v>
      </c>
      <c r="T78" s="1" t="s">
        <v>50</v>
      </c>
      <c r="U78" s="1" t="s">
        <v>51</v>
      </c>
      <c r="V78" s="1" t="s">
        <v>52</v>
      </c>
      <c r="W78" s="1" t="s">
        <v>53</v>
      </c>
      <c r="X78" s="1" t="s">
        <v>54</v>
      </c>
      <c r="Y78" s="1" t="s">
        <v>74</v>
      </c>
      <c r="Z78" s="1" t="s">
        <v>82</v>
      </c>
      <c r="AA78" s="1" t="s">
        <v>36</v>
      </c>
      <c r="AB78" s="1" t="s">
        <v>54</v>
      </c>
      <c r="AC78" s="1" t="s">
        <v>57</v>
      </c>
      <c r="AD78" s="1" t="s">
        <v>58</v>
      </c>
      <c r="AE78" s="1" t="s">
        <v>59</v>
      </c>
      <c r="AF78" s="1" t="s">
        <v>54</v>
      </c>
      <c r="AG78" s="1" t="s">
        <v>165</v>
      </c>
      <c r="AH78" s="1" t="s">
        <v>120</v>
      </c>
    </row>
    <row r="79" spans="1:34" x14ac:dyDescent="0.35">
      <c r="A79" s="1" t="s">
        <v>55</v>
      </c>
      <c r="B79" s="1" t="s">
        <v>94</v>
      </c>
      <c r="C79" s="1" t="s">
        <v>157</v>
      </c>
      <c r="D79" s="1" t="s">
        <v>83</v>
      </c>
      <c r="E79" s="1" t="s">
        <v>38</v>
      </c>
      <c r="F79" s="1" t="s">
        <v>39</v>
      </c>
      <c r="G79" s="1" t="s">
        <v>40</v>
      </c>
      <c r="H79" s="1" t="s">
        <v>35</v>
      </c>
      <c r="I79" s="1" t="s">
        <v>41</v>
      </c>
      <c r="J79" s="1" t="s">
        <v>39</v>
      </c>
      <c r="K79" s="1" t="s">
        <v>42</v>
      </c>
      <c r="L79" s="1" t="s">
        <v>43</v>
      </c>
      <c r="M79" s="1" t="s">
        <v>53</v>
      </c>
      <c r="N79" s="1" t="s">
        <v>45</v>
      </c>
      <c r="O79" s="1" t="s">
        <v>45</v>
      </c>
      <c r="P79" s="1" t="s">
        <v>103</v>
      </c>
      <c r="Q79" s="1" t="s">
        <v>47</v>
      </c>
      <c r="R79" s="1" t="s">
        <v>80</v>
      </c>
      <c r="S79" s="1" t="s">
        <v>49</v>
      </c>
      <c r="T79" s="1" t="s">
        <v>50</v>
      </c>
      <c r="U79" s="1" t="s">
        <v>51</v>
      </c>
      <c r="V79" s="1" t="s">
        <v>81</v>
      </c>
      <c r="W79" s="1" t="s">
        <v>53</v>
      </c>
      <c r="X79" s="1" t="s">
        <v>54</v>
      </c>
      <c r="Y79" s="1" t="s">
        <v>55</v>
      </c>
      <c r="Z79" s="1" t="s">
        <v>82</v>
      </c>
      <c r="AA79" s="1" t="s">
        <v>36</v>
      </c>
      <c r="AB79" s="1" t="s">
        <v>54</v>
      </c>
      <c r="AC79" s="1" t="s">
        <v>57</v>
      </c>
      <c r="AD79" s="1" t="s">
        <v>58</v>
      </c>
      <c r="AE79" s="1" t="s">
        <v>59</v>
      </c>
      <c r="AF79" s="1" t="s">
        <v>54</v>
      </c>
      <c r="AG79" s="1" t="s">
        <v>165</v>
      </c>
      <c r="AH79" s="1" t="s">
        <v>120</v>
      </c>
    </row>
    <row r="80" spans="1:34" x14ac:dyDescent="0.35">
      <c r="A80" s="1" t="s">
        <v>74</v>
      </c>
      <c r="B80" s="1" t="s">
        <v>156</v>
      </c>
      <c r="C80" s="1" t="s">
        <v>157</v>
      </c>
      <c r="D80" s="1" t="s">
        <v>158</v>
      </c>
      <c r="E80" s="1" t="s">
        <v>159</v>
      </c>
      <c r="F80" s="1" t="s">
        <v>160</v>
      </c>
      <c r="G80" s="1"/>
      <c r="H80" s="1" t="s">
        <v>156</v>
      </c>
      <c r="I80" s="1" t="s">
        <v>156</v>
      </c>
      <c r="J80" s="1" t="s">
        <v>160</v>
      </c>
      <c r="K80" s="1" t="s">
        <v>161</v>
      </c>
      <c r="L80" s="1"/>
      <c r="M80" s="1" t="s">
        <v>162</v>
      </c>
      <c r="N80" s="1" t="s">
        <v>158</v>
      </c>
      <c r="O80" s="1" t="s">
        <v>158</v>
      </c>
      <c r="P80" s="1" t="s">
        <v>163</v>
      </c>
      <c r="Q80" s="1" t="s">
        <v>164</v>
      </c>
      <c r="R80" s="1" t="s">
        <v>165</v>
      </c>
      <c r="S80" s="1" t="s">
        <v>158</v>
      </c>
      <c r="T80" s="1" t="s">
        <v>163</v>
      </c>
      <c r="U80" s="1" t="s">
        <v>163</v>
      </c>
      <c r="V80" s="1" t="s">
        <v>158</v>
      </c>
      <c r="W80" s="1" t="s">
        <v>162</v>
      </c>
      <c r="X80" s="1" t="s">
        <v>166</v>
      </c>
      <c r="Y80" s="1" t="s">
        <v>166</v>
      </c>
      <c r="Z80" s="1" t="s">
        <v>157</v>
      </c>
      <c r="AA80" s="1" t="s">
        <v>157</v>
      </c>
      <c r="AB80" s="1" t="s">
        <v>166</v>
      </c>
      <c r="AC80" s="1" t="s">
        <v>167</v>
      </c>
      <c r="AD80" s="1" t="s">
        <v>167</v>
      </c>
      <c r="AE80" s="1" t="s">
        <v>161</v>
      </c>
      <c r="AF80" s="1" t="s">
        <v>166</v>
      </c>
      <c r="AG80" s="1" t="s">
        <v>165</v>
      </c>
      <c r="AH80" s="1" t="s">
        <v>120</v>
      </c>
    </row>
    <row r="81" spans="1:34" x14ac:dyDescent="0.35">
      <c r="A81" s="1" t="s">
        <v>54</v>
      </c>
      <c r="B81" s="1" t="s">
        <v>94</v>
      </c>
      <c r="C81" s="1" t="s">
        <v>157</v>
      </c>
      <c r="D81" s="1" t="s">
        <v>37</v>
      </c>
      <c r="E81" s="1" t="s">
        <v>77</v>
      </c>
      <c r="F81" s="1" t="s">
        <v>39</v>
      </c>
      <c r="G81" s="1" t="s">
        <v>40</v>
      </c>
      <c r="H81" s="1" t="s">
        <v>35</v>
      </c>
      <c r="I81" s="1" t="s">
        <v>41</v>
      </c>
      <c r="J81" s="1" t="s">
        <v>39</v>
      </c>
      <c r="K81" s="1" t="s">
        <v>59</v>
      </c>
      <c r="L81" s="1"/>
      <c r="M81" s="1" t="s">
        <v>44</v>
      </c>
      <c r="N81" s="1" t="s">
        <v>45</v>
      </c>
      <c r="O81" s="1" t="s">
        <v>45</v>
      </c>
      <c r="P81" s="1" t="s">
        <v>103</v>
      </c>
      <c r="Q81" s="1" t="s">
        <v>47</v>
      </c>
      <c r="R81" s="1" t="s">
        <v>80</v>
      </c>
      <c r="S81" s="1" t="s">
        <v>49</v>
      </c>
      <c r="T81" s="1" t="s">
        <v>50</v>
      </c>
      <c r="U81" s="1" t="s">
        <v>51</v>
      </c>
      <c r="V81" s="1" t="s">
        <v>52</v>
      </c>
      <c r="W81" s="1" t="s">
        <v>53</v>
      </c>
      <c r="X81" s="1" t="s">
        <v>54</v>
      </c>
      <c r="Y81" s="1" t="s">
        <v>55</v>
      </c>
      <c r="Z81" s="1" t="s">
        <v>56</v>
      </c>
      <c r="AA81" s="1" t="s">
        <v>36</v>
      </c>
      <c r="AB81" s="1" t="s">
        <v>54</v>
      </c>
      <c r="AC81" s="1" t="s">
        <v>57</v>
      </c>
      <c r="AD81" s="1" t="s">
        <v>58</v>
      </c>
      <c r="AE81" s="1" t="s">
        <v>59</v>
      </c>
      <c r="AF81" s="1" t="s">
        <v>54</v>
      </c>
      <c r="AG81" s="1" t="s">
        <v>165</v>
      </c>
      <c r="AH81" s="1" t="s">
        <v>120</v>
      </c>
    </row>
    <row r="82" spans="1:34" x14ac:dyDescent="0.35">
      <c r="A82" s="1" t="s">
        <v>91</v>
      </c>
      <c r="B82" s="1" t="s">
        <v>156</v>
      </c>
      <c r="C82" s="1" t="s">
        <v>157</v>
      </c>
      <c r="D82" s="1" t="s">
        <v>158</v>
      </c>
      <c r="E82" s="1" t="s">
        <v>159</v>
      </c>
      <c r="F82" s="1" t="s">
        <v>160</v>
      </c>
      <c r="G82" s="1"/>
      <c r="H82" s="1" t="s">
        <v>156</v>
      </c>
      <c r="I82" s="1" t="s">
        <v>156</v>
      </c>
      <c r="J82" s="1" t="s">
        <v>160</v>
      </c>
      <c r="K82" s="1" t="s">
        <v>161</v>
      </c>
      <c r="L82" s="1"/>
      <c r="M82" s="1" t="s">
        <v>162</v>
      </c>
      <c r="N82" s="1" t="s">
        <v>158</v>
      </c>
      <c r="O82" s="1" t="s">
        <v>158</v>
      </c>
      <c r="P82" s="1" t="s">
        <v>163</v>
      </c>
      <c r="Q82" s="1" t="s">
        <v>164</v>
      </c>
      <c r="R82" s="1" t="s">
        <v>165</v>
      </c>
      <c r="S82" s="1" t="s">
        <v>158</v>
      </c>
      <c r="T82" s="1" t="s">
        <v>163</v>
      </c>
      <c r="U82" s="1" t="s">
        <v>163</v>
      </c>
      <c r="V82" s="1" t="s">
        <v>158</v>
      </c>
      <c r="W82" s="1" t="s">
        <v>162</v>
      </c>
      <c r="X82" s="1" t="s">
        <v>166</v>
      </c>
      <c r="Y82" s="1" t="s">
        <v>166</v>
      </c>
      <c r="Z82" s="1" t="s">
        <v>157</v>
      </c>
      <c r="AA82" s="1" t="s">
        <v>157</v>
      </c>
      <c r="AB82" s="1" t="s">
        <v>166</v>
      </c>
      <c r="AC82" s="1" t="s">
        <v>167</v>
      </c>
      <c r="AD82" s="1" t="s">
        <v>167</v>
      </c>
      <c r="AE82" s="1" t="s">
        <v>161</v>
      </c>
      <c r="AF82" s="1" t="s">
        <v>166</v>
      </c>
      <c r="AG82" s="1" t="s">
        <v>165</v>
      </c>
      <c r="AH82" s="1" t="s">
        <v>120</v>
      </c>
    </row>
    <row r="83" spans="1:34" x14ac:dyDescent="0.35">
      <c r="A83" s="1" t="s">
        <v>54</v>
      </c>
      <c r="B83" s="1" t="s">
        <v>94</v>
      </c>
      <c r="C83" s="1" t="s">
        <v>157</v>
      </c>
      <c r="D83" s="1" t="s">
        <v>37</v>
      </c>
      <c r="E83" s="1" t="s">
        <v>77</v>
      </c>
      <c r="F83" s="1" t="s">
        <v>39</v>
      </c>
      <c r="G83" s="1" t="s">
        <v>40</v>
      </c>
      <c r="H83" s="1" t="s">
        <v>35</v>
      </c>
      <c r="I83" s="1" t="s">
        <v>35</v>
      </c>
      <c r="J83" s="1" t="s">
        <v>39</v>
      </c>
      <c r="K83" s="1" t="s">
        <v>42</v>
      </c>
      <c r="L83" s="1" t="s">
        <v>43</v>
      </c>
      <c r="M83" s="1" t="s">
        <v>44</v>
      </c>
      <c r="N83" s="1" t="s">
        <v>45</v>
      </c>
      <c r="O83" s="1" t="s">
        <v>45</v>
      </c>
      <c r="P83" s="1" t="s">
        <v>103</v>
      </c>
      <c r="Q83" s="1" t="s">
        <v>47</v>
      </c>
      <c r="R83" s="1" t="s">
        <v>80</v>
      </c>
      <c r="S83" s="1" t="s">
        <v>49</v>
      </c>
      <c r="T83" s="1" t="s">
        <v>50</v>
      </c>
      <c r="U83" s="1" t="s">
        <v>51</v>
      </c>
      <c r="V83" s="1" t="s">
        <v>52</v>
      </c>
      <c r="W83" s="1" t="s">
        <v>53</v>
      </c>
      <c r="X83" s="1" t="s">
        <v>54</v>
      </c>
      <c r="Y83" s="1" t="s">
        <v>55</v>
      </c>
      <c r="Z83" s="1" t="s">
        <v>82</v>
      </c>
      <c r="AA83" s="1" t="s">
        <v>36</v>
      </c>
      <c r="AB83" s="1" t="s">
        <v>54</v>
      </c>
      <c r="AC83" s="1" t="s">
        <v>57</v>
      </c>
      <c r="AD83" s="1" t="s">
        <v>58</v>
      </c>
      <c r="AE83" s="1" t="s">
        <v>59</v>
      </c>
      <c r="AF83" s="1" t="s">
        <v>54</v>
      </c>
      <c r="AG83" s="1" t="s">
        <v>165</v>
      </c>
      <c r="AH83" s="1" t="s">
        <v>120</v>
      </c>
    </row>
    <row r="84" spans="1:34" x14ac:dyDescent="0.35">
      <c r="A84" s="1" t="s">
        <v>91</v>
      </c>
      <c r="B84" s="1" t="s">
        <v>35</v>
      </c>
      <c r="C84" s="1" t="s">
        <v>157</v>
      </c>
      <c r="D84" s="1" t="s">
        <v>49</v>
      </c>
      <c r="E84" s="1" t="s">
        <v>77</v>
      </c>
      <c r="F84" s="1" t="s">
        <v>39</v>
      </c>
      <c r="G84" s="1" t="s">
        <v>40</v>
      </c>
      <c r="H84" s="1" t="s">
        <v>35</v>
      </c>
      <c r="I84" s="1" t="s">
        <v>41</v>
      </c>
      <c r="J84" s="1" t="s">
        <v>39</v>
      </c>
      <c r="K84" s="1" t="s">
        <v>42</v>
      </c>
      <c r="L84" s="1" t="s">
        <v>43</v>
      </c>
      <c r="M84" s="1" t="s">
        <v>53</v>
      </c>
      <c r="N84" s="1" t="s">
        <v>45</v>
      </c>
      <c r="O84" s="1" t="s">
        <v>45</v>
      </c>
      <c r="P84" s="1" t="s">
        <v>103</v>
      </c>
      <c r="Q84" s="1" t="s">
        <v>47</v>
      </c>
      <c r="R84" s="1" t="s">
        <v>80</v>
      </c>
      <c r="S84" s="1" t="s">
        <v>49</v>
      </c>
      <c r="T84" s="1" t="s">
        <v>50</v>
      </c>
      <c r="U84" s="1" t="s">
        <v>51</v>
      </c>
      <c r="V84" s="1" t="s">
        <v>52</v>
      </c>
      <c r="W84" s="1" t="s">
        <v>53</v>
      </c>
      <c r="X84" s="1" t="s">
        <v>54</v>
      </c>
      <c r="Y84" s="1" t="s">
        <v>55</v>
      </c>
      <c r="Z84" s="1" t="s">
        <v>56</v>
      </c>
      <c r="AA84" s="1" t="s">
        <v>36</v>
      </c>
      <c r="AB84" s="1" t="s">
        <v>54</v>
      </c>
      <c r="AC84" s="1" t="s">
        <v>57</v>
      </c>
      <c r="AD84" s="1" t="s">
        <v>58</v>
      </c>
      <c r="AE84" s="1" t="s">
        <v>59</v>
      </c>
      <c r="AF84" s="1" t="s">
        <v>54</v>
      </c>
      <c r="AG84" s="1" t="s">
        <v>165</v>
      </c>
      <c r="AH84" s="1" t="s">
        <v>120</v>
      </c>
    </row>
    <row r="85" spans="1:34" x14ac:dyDescent="0.35">
      <c r="A85" s="1" t="s">
        <v>99</v>
      </c>
      <c r="B85" s="1" t="s">
        <v>35</v>
      </c>
      <c r="C85" s="1" t="s">
        <v>36</v>
      </c>
      <c r="D85" s="1" t="s">
        <v>83</v>
      </c>
      <c r="E85" s="1" t="s">
        <v>38</v>
      </c>
      <c r="F85" s="1" t="s">
        <v>39</v>
      </c>
      <c r="G85" s="1" t="s">
        <v>40</v>
      </c>
      <c r="H85" s="1" t="s">
        <v>35</v>
      </c>
      <c r="I85" s="1" t="s">
        <v>35</v>
      </c>
      <c r="J85" s="1" t="s">
        <v>78</v>
      </c>
      <c r="K85" s="1" t="s">
        <v>42</v>
      </c>
      <c r="L85" s="1" t="s">
        <v>43</v>
      </c>
      <c r="M85" s="1" t="s">
        <v>44</v>
      </c>
      <c r="N85" s="1" t="s">
        <v>45</v>
      </c>
      <c r="O85" s="1" t="s">
        <v>52</v>
      </c>
      <c r="P85" s="1" t="s">
        <v>103</v>
      </c>
      <c r="Q85" s="1" t="s">
        <v>47</v>
      </c>
      <c r="R85" s="1" t="s">
        <v>80</v>
      </c>
      <c r="S85" s="1" t="s">
        <v>49</v>
      </c>
      <c r="T85" s="1" t="s">
        <v>50</v>
      </c>
      <c r="U85" s="1" t="s">
        <v>51</v>
      </c>
      <c r="V85" s="1" t="s">
        <v>52</v>
      </c>
      <c r="W85" s="1" t="s">
        <v>53</v>
      </c>
      <c r="X85" s="1" t="s">
        <v>54</v>
      </c>
      <c r="Y85" s="1" t="s">
        <v>55</v>
      </c>
      <c r="Z85" s="1" t="s">
        <v>56</v>
      </c>
      <c r="AA85" s="1" t="s">
        <v>36</v>
      </c>
      <c r="AB85" s="1" t="s">
        <v>54</v>
      </c>
      <c r="AC85" s="1" t="s">
        <v>57</v>
      </c>
      <c r="AD85" s="1" t="s">
        <v>58</v>
      </c>
      <c r="AE85" s="1" t="s">
        <v>59</v>
      </c>
      <c r="AF85" s="1" t="s">
        <v>54</v>
      </c>
      <c r="AG85" s="1" t="s">
        <v>98</v>
      </c>
      <c r="AH85" s="1" t="s">
        <v>121</v>
      </c>
    </row>
    <row r="86" spans="1:34" x14ac:dyDescent="0.35">
      <c r="A86" s="1" t="s">
        <v>99</v>
      </c>
      <c r="B86" s="1" t="s">
        <v>35</v>
      </c>
      <c r="C86" s="1" t="s">
        <v>36</v>
      </c>
      <c r="D86" s="1" t="s">
        <v>37</v>
      </c>
      <c r="E86" s="1" t="s">
        <v>77</v>
      </c>
      <c r="F86" s="1" t="s">
        <v>39</v>
      </c>
      <c r="G86" s="1" t="s">
        <v>40</v>
      </c>
      <c r="H86" s="1" t="s">
        <v>35</v>
      </c>
      <c r="I86" s="1" t="s">
        <v>35</v>
      </c>
      <c r="J86" s="1" t="s">
        <v>78</v>
      </c>
      <c r="K86" s="1" t="s">
        <v>42</v>
      </c>
      <c r="L86" s="1" t="s">
        <v>43</v>
      </c>
      <c r="M86" s="1" t="s">
        <v>44</v>
      </c>
      <c r="N86" s="1" t="s">
        <v>45</v>
      </c>
      <c r="O86" s="1" t="s">
        <v>52</v>
      </c>
      <c r="P86" s="1" t="s">
        <v>51</v>
      </c>
      <c r="Q86" s="1" t="s">
        <v>47</v>
      </c>
      <c r="R86" s="1" t="s">
        <v>80</v>
      </c>
      <c r="S86" s="1" t="s">
        <v>49</v>
      </c>
      <c r="T86" s="1" t="s">
        <v>50</v>
      </c>
      <c r="U86" s="1" t="s">
        <v>51</v>
      </c>
      <c r="V86" s="1" t="s">
        <v>52</v>
      </c>
      <c r="W86" s="1" t="s">
        <v>53</v>
      </c>
      <c r="X86" s="1" t="s">
        <v>54</v>
      </c>
      <c r="Y86" s="1" t="s">
        <v>55</v>
      </c>
      <c r="Z86" s="1" t="s">
        <v>56</v>
      </c>
      <c r="AA86" s="1" t="s">
        <v>36</v>
      </c>
      <c r="AB86" s="1" t="s">
        <v>54</v>
      </c>
      <c r="AC86" s="1" t="s">
        <v>57</v>
      </c>
      <c r="AD86" s="1" t="s">
        <v>58</v>
      </c>
      <c r="AE86" s="1" t="s">
        <v>59</v>
      </c>
      <c r="AF86" s="1" t="s">
        <v>54</v>
      </c>
      <c r="AG86" s="1" t="s">
        <v>98</v>
      </c>
      <c r="AH86" s="1" t="s">
        <v>121</v>
      </c>
    </row>
    <row r="87" spans="1:34" x14ac:dyDescent="0.35">
      <c r="A87" s="1" t="s">
        <v>74</v>
      </c>
      <c r="B87" s="1" t="s">
        <v>35</v>
      </c>
      <c r="C87" s="1" t="s">
        <v>36</v>
      </c>
      <c r="D87" s="1" t="s">
        <v>37</v>
      </c>
      <c r="E87" s="1" t="s">
        <v>77</v>
      </c>
      <c r="F87" s="1" t="s">
        <v>39</v>
      </c>
      <c r="G87" s="1" t="s">
        <v>40</v>
      </c>
      <c r="H87" s="1" t="s">
        <v>35</v>
      </c>
      <c r="I87" s="1" t="s">
        <v>41</v>
      </c>
      <c r="J87" s="1" t="s">
        <v>39</v>
      </c>
      <c r="K87" s="1" t="s">
        <v>42</v>
      </c>
      <c r="L87" s="1" t="s">
        <v>79</v>
      </c>
      <c r="M87" s="1" t="s">
        <v>44</v>
      </c>
      <c r="N87" s="1" t="s">
        <v>45</v>
      </c>
      <c r="O87" s="1" t="s">
        <v>45</v>
      </c>
      <c r="P87" s="1" t="s">
        <v>46</v>
      </c>
      <c r="Q87" s="1" t="s">
        <v>47</v>
      </c>
      <c r="R87" s="1" t="s">
        <v>80</v>
      </c>
      <c r="S87" s="1" t="s">
        <v>49</v>
      </c>
      <c r="T87" s="1" t="s">
        <v>50</v>
      </c>
      <c r="U87" s="1" t="s">
        <v>51</v>
      </c>
      <c r="V87" s="1" t="s">
        <v>52</v>
      </c>
      <c r="W87" s="1" t="s">
        <v>53</v>
      </c>
      <c r="X87" s="1" t="s">
        <v>54</v>
      </c>
      <c r="Y87" s="1" t="s">
        <v>55</v>
      </c>
      <c r="Z87" s="1" t="s">
        <v>82</v>
      </c>
      <c r="AA87" s="1" t="s">
        <v>36</v>
      </c>
      <c r="AB87" s="1" t="s">
        <v>54</v>
      </c>
      <c r="AC87" s="1" t="s">
        <v>57</v>
      </c>
      <c r="AD87" s="1" t="s">
        <v>58</v>
      </c>
      <c r="AE87" s="1" t="s">
        <v>59</v>
      </c>
      <c r="AF87" s="1" t="s">
        <v>54</v>
      </c>
      <c r="AG87" s="1" t="s">
        <v>98</v>
      </c>
      <c r="AH87" s="1" t="s">
        <v>120</v>
      </c>
    </row>
    <row r="88" spans="1:34" x14ac:dyDescent="0.35">
      <c r="A88" s="1" t="s">
        <v>54</v>
      </c>
      <c r="B88" s="1" t="s">
        <v>35</v>
      </c>
      <c r="C88" s="1" t="s">
        <v>36</v>
      </c>
      <c r="D88" s="1" t="s">
        <v>37</v>
      </c>
      <c r="E88" s="1" t="s">
        <v>38</v>
      </c>
      <c r="F88" s="1" t="s">
        <v>39</v>
      </c>
      <c r="G88" s="1" t="s">
        <v>40</v>
      </c>
      <c r="H88" s="1" t="s">
        <v>35</v>
      </c>
      <c r="I88" s="1" t="s">
        <v>41</v>
      </c>
      <c r="J88" s="1" t="s">
        <v>39</v>
      </c>
      <c r="K88" s="1" t="s">
        <v>42</v>
      </c>
      <c r="L88" s="1" t="s">
        <v>79</v>
      </c>
      <c r="M88" s="1" t="s">
        <v>44</v>
      </c>
      <c r="N88" s="1" t="s">
        <v>49</v>
      </c>
      <c r="O88" s="1" t="s">
        <v>45</v>
      </c>
      <c r="P88" s="1" t="s">
        <v>103</v>
      </c>
      <c r="Q88" s="1" t="s">
        <v>47</v>
      </c>
      <c r="R88" s="1" t="s">
        <v>80</v>
      </c>
      <c r="S88" s="1" t="s">
        <v>49</v>
      </c>
      <c r="T88" s="1" t="s">
        <v>50</v>
      </c>
      <c r="U88" s="1" t="s">
        <v>51</v>
      </c>
      <c r="V88" s="1" t="s">
        <v>81</v>
      </c>
      <c r="W88" s="1" t="s">
        <v>53</v>
      </c>
      <c r="X88" s="1" t="s">
        <v>54</v>
      </c>
      <c r="Y88" s="1" t="s">
        <v>55</v>
      </c>
      <c r="Z88" s="1" t="s">
        <v>82</v>
      </c>
      <c r="AA88" s="1" t="s">
        <v>36</v>
      </c>
      <c r="AB88" s="1" t="s">
        <v>54</v>
      </c>
      <c r="AC88" s="1" t="s">
        <v>57</v>
      </c>
      <c r="AD88" s="1" t="s">
        <v>58</v>
      </c>
      <c r="AE88" s="1" t="s">
        <v>59</v>
      </c>
      <c r="AF88" s="1" t="s">
        <v>54</v>
      </c>
      <c r="AG88" s="1" t="s">
        <v>98</v>
      </c>
      <c r="AH88" s="1" t="s">
        <v>120</v>
      </c>
    </row>
    <row r="89" spans="1:34" x14ac:dyDescent="0.35">
      <c r="A89" s="1" t="s">
        <v>99</v>
      </c>
      <c r="B89" s="1" t="s">
        <v>35</v>
      </c>
      <c r="C89" s="1" t="s">
        <v>36</v>
      </c>
      <c r="D89" s="1" t="s">
        <v>107</v>
      </c>
      <c r="E89" s="1" t="s">
        <v>38</v>
      </c>
      <c r="F89" s="1" t="s">
        <v>39</v>
      </c>
      <c r="G89" s="1" t="s">
        <v>40</v>
      </c>
      <c r="H89" s="1" t="s">
        <v>35</v>
      </c>
      <c r="I89" s="1" t="s">
        <v>35</v>
      </c>
      <c r="J89" s="1" t="s">
        <v>39</v>
      </c>
      <c r="K89" s="1" t="s">
        <v>42</v>
      </c>
      <c r="L89" s="1" t="s">
        <v>40</v>
      </c>
      <c r="M89" s="1" t="s">
        <v>44</v>
      </c>
      <c r="N89" s="1" t="s">
        <v>45</v>
      </c>
      <c r="O89" s="1" t="s">
        <v>52</v>
      </c>
      <c r="P89" s="1" t="s">
        <v>103</v>
      </c>
      <c r="Q89" s="1" t="s">
        <v>47</v>
      </c>
      <c r="R89" s="1" t="s">
        <v>80</v>
      </c>
      <c r="S89" s="1" t="s">
        <v>49</v>
      </c>
      <c r="T89" s="1" t="s">
        <v>50</v>
      </c>
      <c r="U89" s="1" t="s">
        <v>51</v>
      </c>
      <c r="V89" s="1" t="s">
        <v>52</v>
      </c>
      <c r="W89" s="1" t="s">
        <v>53</v>
      </c>
      <c r="X89" s="1" t="s">
        <v>54</v>
      </c>
      <c r="Y89" s="1" t="s">
        <v>55</v>
      </c>
      <c r="Z89" s="1" t="s">
        <v>56</v>
      </c>
      <c r="AA89" s="1" t="s">
        <v>36</v>
      </c>
      <c r="AB89" s="1" t="s">
        <v>54</v>
      </c>
      <c r="AC89" s="1" t="s">
        <v>57</v>
      </c>
      <c r="AD89" s="1" t="s">
        <v>58</v>
      </c>
      <c r="AE89" s="1" t="s">
        <v>59</v>
      </c>
      <c r="AF89" s="1" t="s">
        <v>54</v>
      </c>
      <c r="AG89" s="1" t="s">
        <v>98</v>
      </c>
      <c r="AH89" s="1" t="s">
        <v>121</v>
      </c>
    </row>
    <row r="90" spans="1:34" x14ac:dyDescent="0.35">
      <c r="A90" s="1" t="s">
        <v>54</v>
      </c>
      <c r="B90" s="1" t="s">
        <v>35</v>
      </c>
      <c r="C90" s="1" t="s">
        <v>36</v>
      </c>
      <c r="D90" s="1" t="s">
        <v>37</v>
      </c>
      <c r="E90" s="1" t="s">
        <v>77</v>
      </c>
      <c r="F90" s="1" t="s">
        <v>39</v>
      </c>
      <c r="G90" s="1" t="s">
        <v>40</v>
      </c>
      <c r="H90" s="1" t="s">
        <v>35</v>
      </c>
      <c r="I90" s="1" t="s">
        <v>35</v>
      </c>
      <c r="J90" s="1" t="s">
        <v>39</v>
      </c>
      <c r="K90" s="1" t="s">
        <v>42</v>
      </c>
      <c r="L90" s="1" t="s">
        <v>79</v>
      </c>
      <c r="M90" s="1" t="s">
        <v>44</v>
      </c>
      <c r="N90" s="1" t="s">
        <v>45</v>
      </c>
      <c r="O90" s="1" t="s">
        <v>45</v>
      </c>
      <c r="P90" s="1" t="s">
        <v>46</v>
      </c>
      <c r="Q90" s="1" t="s">
        <v>47</v>
      </c>
      <c r="R90" s="1" t="s">
        <v>48</v>
      </c>
      <c r="S90" s="1" t="s">
        <v>49</v>
      </c>
      <c r="T90" s="1" t="s">
        <v>50</v>
      </c>
      <c r="U90" s="1" t="s">
        <v>51</v>
      </c>
      <c r="V90" s="1" t="s">
        <v>52</v>
      </c>
      <c r="W90" s="1" t="s">
        <v>53</v>
      </c>
      <c r="X90" s="1" t="s">
        <v>54</v>
      </c>
      <c r="Y90" s="1" t="s">
        <v>55</v>
      </c>
      <c r="Z90" s="1" t="s">
        <v>82</v>
      </c>
      <c r="AA90" s="1" t="s">
        <v>36</v>
      </c>
      <c r="AB90" s="1" t="s">
        <v>54</v>
      </c>
      <c r="AC90" s="1" t="s">
        <v>57</v>
      </c>
      <c r="AD90" s="1" t="s">
        <v>58</v>
      </c>
      <c r="AE90" s="1" t="s">
        <v>59</v>
      </c>
      <c r="AF90" s="1" t="s">
        <v>54</v>
      </c>
      <c r="AG90" s="1" t="s">
        <v>98</v>
      </c>
      <c r="AH90" s="1" t="s">
        <v>120</v>
      </c>
    </row>
    <row r="91" spans="1:34" x14ac:dyDescent="0.35">
      <c r="A91" s="1" t="s">
        <v>99</v>
      </c>
      <c r="B91" s="1" t="s">
        <v>41</v>
      </c>
      <c r="C91" s="1" t="s">
        <v>76</v>
      </c>
      <c r="D91" s="1" t="s">
        <v>37</v>
      </c>
      <c r="E91" s="1" t="s">
        <v>77</v>
      </c>
      <c r="F91" s="1" t="s">
        <v>39</v>
      </c>
      <c r="G91" s="1" t="s">
        <v>40</v>
      </c>
      <c r="H91" s="1" t="s">
        <v>41</v>
      </c>
      <c r="I91" s="1" t="s">
        <v>35</v>
      </c>
      <c r="J91" s="1" t="s">
        <v>39</v>
      </c>
      <c r="K91" s="1" t="s">
        <v>42</v>
      </c>
      <c r="L91" s="1" t="s">
        <v>43</v>
      </c>
      <c r="M91" s="1" t="s">
        <v>44</v>
      </c>
      <c r="N91" s="1" t="s">
        <v>45</v>
      </c>
      <c r="O91" s="1" t="s">
        <v>52</v>
      </c>
      <c r="P91" s="1" t="s">
        <v>103</v>
      </c>
      <c r="Q91" s="1" t="s">
        <v>47</v>
      </c>
      <c r="R91" s="1" t="s">
        <v>80</v>
      </c>
      <c r="S91" s="1" t="s">
        <v>49</v>
      </c>
      <c r="T91" s="1" t="s">
        <v>50</v>
      </c>
      <c r="U91" s="1" t="s">
        <v>51</v>
      </c>
      <c r="V91" s="1" t="s">
        <v>52</v>
      </c>
      <c r="W91" s="1" t="s">
        <v>53</v>
      </c>
      <c r="X91" s="1" t="s">
        <v>54</v>
      </c>
      <c r="Y91" s="1" t="s">
        <v>55</v>
      </c>
      <c r="Z91" s="1" t="s">
        <v>56</v>
      </c>
      <c r="AA91" s="1" t="s">
        <v>36</v>
      </c>
      <c r="AB91" s="1" t="s">
        <v>54</v>
      </c>
      <c r="AC91" s="1" t="s">
        <v>57</v>
      </c>
      <c r="AD91" s="1" t="s">
        <v>58</v>
      </c>
      <c r="AE91" s="1" t="s">
        <v>59</v>
      </c>
      <c r="AF91" s="1" t="s">
        <v>54</v>
      </c>
      <c r="AG91" s="1" t="s">
        <v>98</v>
      </c>
      <c r="AH91" s="1" t="s">
        <v>120</v>
      </c>
    </row>
    <row r="92" spans="1:34" x14ac:dyDescent="0.35">
      <c r="A92" s="1" t="s">
        <v>34</v>
      </c>
      <c r="B92" s="1" t="s">
        <v>41</v>
      </c>
      <c r="C92" s="1" t="s">
        <v>76</v>
      </c>
      <c r="D92" s="1" t="s">
        <v>49</v>
      </c>
      <c r="E92" s="1" t="s">
        <v>77</v>
      </c>
      <c r="F92" s="1" t="s">
        <v>39</v>
      </c>
      <c r="G92" s="1" t="s">
        <v>40</v>
      </c>
      <c r="H92" s="1" t="s">
        <v>35</v>
      </c>
      <c r="I92" s="1" t="s">
        <v>94</v>
      </c>
      <c r="J92" s="1" t="s">
        <v>39</v>
      </c>
      <c r="K92" s="1" t="s">
        <v>42</v>
      </c>
      <c r="L92" s="1" t="s">
        <v>43</v>
      </c>
      <c r="M92" s="1" t="s">
        <v>44</v>
      </c>
      <c r="N92" s="1" t="s">
        <v>45</v>
      </c>
      <c r="O92" s="1" t="s">
        <v>45</v>
      </c>
      <c r="P92" s="1" t="s">
        <v>46</v>
      </c>
      <c r="Q92" s="1" t="s">
        <v>47</v>
      </c>
      <c r="R92" s="1" t="s">
        <v>48</v>
      </c>
      <c r="S92" s="1" t="s">
        <v>49</v>
      </c>
      <c r="T92" s="1" t="s">
        <v>50</v>
      </c>
      <c r="U92" s="1" t="s">
        <v>51</v>
      </c>
      <c r="V92" s="1" t="s">
        <v>52</v>
      </c>
      <c r="W92" s="1" t="s">
        <v>53</v>
      </c>
      <c r="X92" s="1" t="s">
        <v>54</v>
      </c>
      <c r="Y92" s="1" t="s">
        <v>74</v>
      </c>
      <c r="Z92" s="1" t="s">
        <v>56</v>
      </c>
      <c r="AA92" s="1" t="s">
        <v>36</v>
      </c>
      <c r="AB92" s="1" t="s">
        <v>54</v>
      </c>
      <c r="AC92" s="1" t="s">
        <v>57</v>
      </c>
      <c r="AD92" s="1" t="s">
        <v>58</v>
      </c>
      <c r="AE92" s="1" t="s">
        <v>42</v>
      </c>
      <c r="AF92" s="1" t="s">
        <v>54</v>
      </c>
      <c r="AG92" s="1" t="s">
        <v>60</v>
      </c>
      <c r="AH92" s="1" t="s">
        <v>120</v>
      </c>
    </row>
    <row r="93" spans="1:34" x14ac:dyDescent="0.35">
      <c r="A93" s="1" t="s">
        <v>34</v>
      </c>
      <c r="B93" s="1" t="s">
        <v>94</v>
      </c>
      <c r="C93" s="1" t="s">
        <v>157</v>
      </c>
      <c r="D93" s="1" t="s">
        <v>49</v>
      </c>
      <c r="E93" s="1" t="s">
        <v>77</v>
      </c>
      <c r="F93" s="1" t="s">
        <v>39</v>
      </c>
      <c r="G93" s="1" t="s">
        <v>40</v>
      </c>
      <c r="H93" s="1" t="s">
        <v>35</v>
      </c>
      <c r="I93" s="1" t="s">
        <v>35</v>
      </c>
      <c r="J93" s="1" t="s">
        <v>39</v>
      </c>
      <c r="K93" s="1" t="s">
        <v>42</v>
      </c>
      <c r="L93" s="1" t="s">
        <v>43</v>
      </c>
      <c r="M93" s="1" t="s">
        <v>44</v>
      </c>
      <c r="N93" s="1" t="s">
        <v>45</v>
      </c>
      <c r="O93" s="1" t="s">
        <v>45</v>
      </c>
      <c r="P93" s="1" t="s">
        <v>103</v>
      </c>
      <c r="Q93" s="1" t="s">
        <v>47</v>
      </c>
      <c r="R93" s="1" t="s">
        <v>80</v>
      </c>
      <c r="S93" s="1" t="s">
        <v>49</v>
      </c>
      <c r="T93" s="1" t="s">
        <v>50</v>
      </c>
      <c r="U93" s="1" t="s">
        <v>51</v>
      </c>
      <c r="V93" s="1" t="s">
        <v>52</v>
      </c>
      <c r="W93" s="1" t="s">
        <v>53</v>
      </c>
      <c r="X93" s="1" t="s">
        <v>54</v>
      </c>
      <c r="Y93" s="1" t="s">
        <v>55</v>
      </c>
      <c r="Z93" s="1" t="s">
        <v>82</v>
      </c>
      <c r="AA93" s="1" t="s">
        <v>36</v>
      </c>
      <c r="AB93" s="1" t="s">
        <v>54</v>
      </c>
      <c r="AC93" s="1" t="s">
        <v>57</v>
      </c>
      <c r="AD93" s="1" t="s">
        <v>58</v>
      </c>
      <c r="AE93" s="1" t="s">
        <v>59</v>
      </c>
      <c r="AF93" s="1" t="s">
        <v>54</v>
      </c>
      <c r="AG93" s="1" t="s">
        <v>165</v>
      </c>
      <c r="AH93" s="1" t="s">
        <v>120</v>
      </c>
    </row>
    <row r="94" spans="1:34" x14ac:dyDescent="0.35">
      <c r="A94" s="1" t="s">
        <v>91</v>
      </c>
      <c r="B94" s="1" t="s">
        <v>87</v>
      </c>
      <c r="C94" s="1" t="s">
        <v>82</v>
      </c>
      <c r="D94" s="1" t="s">
        <v>49</v>
      </c>
      <c r="E94" s="1" t="s">
        <v>77</v>
      </c>
      <c r="F94" s="1" t="s">
        <v>39</v>
      </c>
      <c r="G94" s="1" t="s">
        <v>88</v>
      </c>
      <c r="H94" s="1" t="s">
        <v>35</v>
      </c>
      <c r="I94" s="1" t="s">
        <v>41</v>
      </c>
      <c r="J94" s="1" t="s">
        <v>39</v>
      </c>
      <c r="K94" s="1" t="s">
        <v>59</v>
      </c>
      <c r="L94" s="1"/>
      <c r="M94" s="1" t="s">
        <v>44</v>
      </c>
      <c r="N94" s="1" t="s">
        <v>52</v>
      </c>
      <c r="O94" s="1" t="s">
        <v>45</v>
      </c>
      <c r="P94" s="1" t="s">
        <v>46</v>
      </c>
      <c r="Q94" s="1" t="s">
        <v>47</v>
      </c>
      <c r="R94" s="1" t="s">
        <v>80</v>
      </c>
      <c r="S94" s="1" t="s">
        <v>49</v>
      </c>
      <c r="T94" s="1" t="s">
        <v>50</v>
      </c>
      <c r="U94" s="1" t="s">
        <v>51</v>
      </c>
      <c r="V94" s="1" t="s">
        <v>52</v>
      </c>
      <c r="W94" s="1" t="s">
        <v>53</v>
      </c>
      <c r="X94" s="1" t="s">
        <v>54</v>
      </c>
      <c r="Y94" s="1" t="s">
        <v>74</v>
      </c>
      <c r="Z94" s="1" t="s">
        <v>82</v>
      </c>
      <c r="AA94" s="1" t="s">
        <v>36</v>
      </c>
      <c r="AB94" s="1" t="s">
        <v>54</v>
      </c>
      <c r="AC94" s="1" t="s">
        <v>57</v>
      </c>
      <c r="AD94" s="1" t="s">
        <v>58</v>
      </c>
      <c r="AE94" s="1" t="s">
        <v>59</v>
      </c>
      <c r="AF94" s="1" t="s">
        <v>54</v>
      </c>
      <c r="AG94" s="1" t="s">
        <v>75</v>
      </c>
      <c r="AH94" s="1" t="s">
        <v>120</v>
      </c>
    </row>
    <row r="95" spans="1:34" x14ac:dyDescent="0.35">
      <c r="A95" s="1" t="s">
        <v>74</v>
      </c>
      <c r="B95" s="1" t="s">
        <v>41</v>
      </c>
      <c r="C95" s="1" t="s">
        <v>76</v>
      </c>
      <c r="D95" s="1" t="s">
        <v>49</v>
      </c>
      <c r="E95" s="1" t="s">
        <v>77</v>
      </c>
      <c r="F95" s="1" t="s">
        <v>39</v>
      </c>
      <c r="G95" s="1" t="s">
        <v>40</v>
      </c>
      <c r="H95" s="1" t="s">
        <v>35</v>
      </c>
      <c r="I95" s="1" t="s">
        <v>41</v>
      </c>
      <c r="J95" s="1" t="s">
        <v>39</v>
      </c>
      <c r="K95" s="1" t="s">
        <v>59</v>
      </c>
      <c r="L95" s="1"/>
      <c r="M95" s="1" t="s">
        <v>44</v>
      </c>
      <c r="N95" s="1" t="s">
        <v>45</v>
      </c>
      <c r="O95" s="1" t="s">
        <v>45</v>
      </c>
      <c r="P95" s="1" t="s">
        <v>103</v>
      </c>
      <c r="Q95" s="1" t="s">
        <v>47</v>
      </c>
      <c r="R95" s="1" t="s">
        <v>80</v>
      </c>
      <c r="S95" s="1" t="s">
        <v>49</v>
      </c>
      <c r="T95" s="1" t="s">
        <v>50</v>
      </c>
      <c r="U95" s="1" t="s">
        <v>51</v>
      </c>
      <c r="V95" s="1" t="s">
        <v>52</v>
      </c>
      <c r="W95" s="1" t="s">
        <v>53</v>
      </c>
      <c r="X95" s="1" t="s">
        <v>54</v>
      </c>
      <c r="Y95" s="1" t="s">
        <v>55</v>
      </c>
      <c r="Z95" s="1" t="s">
        <v>82</v>
      </c>
      <c r="AA95" s="1" t="s">
        <v>36</v>
      </c>
      <c r="AB95" s="1" t="s">
        <v>54</v>
      </c>
      <c r="AC95" s="1" t="s">
        <v>57</v>
      </c>
      <c r="AD95" s="1" t="s">
        <v>58</v>
      </c>
      <c r="AE95" s="1" t="s">
        <v>59</v>
      </c>
      <c r="AF95" s="1" t="s">
        <v>54</v>
      </c>
      <c r="AG95" s="1" t="s">
        <v>165</v>
      </c>
      <c r="AH95" s="1" t="s">
        <v>120</v>
      </c>
    </row>
    <row r="96" spans="1:34" x14ac:dyDescent="0.35">
      <c r="A96" s="1" t="s">
        <v>91</v>
      </c>
      <c r="B96" s="1" t="s">
        <v>35</v>
      </c>
      <c r="C96" s="1" t="s">
        <v>157</v>
      </c>
      <c r="D96" s="1" t="s">
        <v>37</v>
      </c>
      <c r="E96" s="1" t="s">
        <v>77</v>
      </c>
      <c r="F96" s="1" t="s">
        <v>39</v>
      </c>
      <c r="G96" s="1" t="s">
        <v>40</v>
      </c>
      <c r="H96" s="1" t="s">
        <v>35</v>
      </c>
      <c r="I96" s="1" t="s">
        <v>35</v>
      </c>
      <c r="J96" s="1" t="s">
        <v>39</v>
      </c>
      <c r="K96" s="1" t="s">
        <v>42</v>
      </c>
      <c r="L96" s="1" t="s">
        <v>43</v>
      </c>
      <c r="M96" s="1" t="s">
        <v>44</v>
      </c>
      <c r="N96" s="1" t="s">
        <v>45</v>
      </c>
      <c r="O96" s="1" t="s">
        <v>45</v>
      </c>
      <c r="P96" s="1" t="s">
        <v>103</v>
      </c>
      <c r="Q96" s="1" t="s">
        <v>47</v>
      </c>
      <c r="R96" s="1" t="s">
        <v>80</v>
      </c>
      <c r="S96" s="1" t="s">
        <v>49</v>
      </c>
      <c r="T96" s="1" t="s">
        <v>50</v>
      </c>
      <c r="U96" s="1" t="s">
        <v>51</v>
      </c>
      <c r="V96" s="1" t="s">
        <v>52</v>
      </c>
      <c r="W96" s="1" t="s">
        <v>53</v>
      </c>
      <c r="X96" s="1" t="s">
        <v>54</v>
      </c>
      <c r="Y96" s="1" t="s">
        <v>55</v>
      </c>
      <c r="Z96" s="1" t="s">
        <v>82</v>
      </c>
      <c r="AA96" s="1" t="s">
        <v>36</v>
      </c>
      <c r="AB96" s="1" t="s">
        <v>54</v>
      </c>
      <c r="AC96" s="1" t="s">
        <v>57</v>
      </c>
      <c r="AD96" s="1" t="s">
        <v>58</v>
      </c>
      <c r="AE96" s="1" t="s">
        <v>59</v>
      </c>
      <c r="AF96" s="1" t="s">
        <v>54</v>
      </c>
      <c r="AG96" s="1" t="s">
        <v>165</v>
      </c>
      <c r="AH96" s="1" t="s">
        <v>120</v>
      </c>
    </row>
    <row r="97" spans="1:34" x14ac:dyDescent="0.35">
      <c r="A97" s="1" t="s">
        <v>55</v>
      </c>
      <c r="B97" s="1" t="s">
        <v>35</v>
      </c>
      <c r="C97" s="1" t="s">
        <v>157</v>
      </c>
      <c r="D97" s="1" t="s">
        <v>49</v>
      </c>
      <c r="E97" s="1" t="s">
        <v>77</v>
      </c>
      <c r="F97" s="1" t="s">
        <v>39</v>
      </c>
      <c r="G97" s="1" t="s">
        <v>40</v>
      </c>
      <c r="H97" s="1" t="s">
        <v>35</v>
      </c>
      <c r="I97" s="1" t="s">
        <v>41</v>
      </c>
      <c r="J97" s="1" t="s">
        <v>39</v>
      </c>
      <c r="K97" s="1" t="s">
        <v>42</v>
      </c>
      <c r="L97" s="1" t="s">
        <v>43</v>
      </c>
      <c r="M97" s="1" t="s">
        <v>44</v>
      </c>
      <c r="N97" s="1" t="s">
        <v>45</v>
      </c>
      <c r="O97" s="1" t="s">
        <v>45</v>
      </c>
      <c r="P97" s="1" t="s">
        <v>103</v>
      </c>
      <c r="Q97" s="1" t="s">
        <v>47</v>
      </c>
      <c r="R97" s="1" t="s">
        <v>80</v>
      </c>
      <c r="S97" s="1" t="s">
        <v>49</v>
      </c>
      <c r="T97" s="1" t="s">
        <v>50</v>
      </c>
      <c r="U97" s="1" t="s">
        <v>51</v>
      </c>
      <c r="V97" s="1" t="s">
        <v>52</v>
      </c>
      <c r="W97" s="1" t="s">
        <v>53</v>
      </c>
      <c r="X97" s="1" t="s">
        <v>54</v>
      </c>
      <c r="Y97" s="1" t="s">
        <v>55</v>
      </c>
      <c r="Z97" s="1" t="s">
        <v>82</v>
      </c>
      <c r="AA97" s="1" t="s">
        <v>36</v>
      </c>
      <c r="AB97" s="1" t="s">
        <v>54</v>
      </c>
      <c r="AC97" s="1" t="s">
        <v>57</v>
      </c>
      <c r="AD97" s="1" t="s">
        <v>58</v>
      </c>
      <c r="AE97" s="1" t="s">
        <v>59</v>
      </c>
      <c r="AF97" s="1" t="s">
        <v>54</v>
      </c>
      <c r="AG97" s="1" t="s">
        <v>165</v>
      </c>
      <c r="AH97" s="1" t="s">
        <v>120</v>
      </c>
    </row>
    <row r="98" spans="1:34" x14ac:dyDescent="0.35">
      <c r="A98" s="1" t="s">
        <v>34</v>
      </c>
      <c r="B98" s="1" t="s">
        <v>94</v>
      </c>
      <c r="C98" s="1" t="s">
        <v>157</v>
      </c>
      <c r="D98" s="1" t="s">
        <v>49</v>
      </c>
      <c r="E98" s="1" t="s">
        <v>38</v>
      </c>
      <c r="F98" s="1" t="s">
        <v>39</v>
      </c>
      <c r="G98" s="1" t="s">
        <v>40</v>
      </c>
      <c r="H98" s="1" t="s">
        <v>35</v>
      </c>
      <c r="I98" s="1" t="s">
        <v>41</v>
      </c>
      <c r="J98" s="1" t="s">
        <v>39</v>
      </c>
      <c r="K98" s="1" t="s">
        <v>42</v>
      </c>
      <c r="L98" s="1" t="s">
        <v>43</v>
      </c>
      <c r="M98" s="1" t="s">
        <v>44</v>
      </c>
      <c r="N98" s="1" t="s">
        <v>45</v>
      </c>
      <c r="O98" s="1" t="s">
        <v>45</v>
      </c>
      <c r="P98" s="1" t="s">
        <v>103</v>
      </c>
      <c r="Q98" s="1" t="s">
        <v>47</v>
      </c>
      <c r="R98" s="1" t="s">
        <v>80</v>
      </c>
      <c r="S98" s="1" t="s">
        <v>49</v>
      </c>
      <c r="T98" s="1" t="s">
        <v>50</v>
      </c>
      <c r="U98" s="1" t="s">
        <v>51</v>
      </c>
      <c r="V98" s="1" t="s">
        <v>52</v>
      </c>
      <c r="W98" s="1" t="s">
        <v>53</v>
      </c>
      <c r="X98" s="1" t="s">
        <v>54</v>
      </c>
      <c r="Y98" s="1" t="s">
        <v>55</v>
      </c>
      <c r="Z98" s="1" t="s">
        <v>56</v>
      </c>
      <c r="AA98" s="1" t="s">
        <v>36</v>
      </c>
      <c r="AB98" s="1" t="s">
        <v>54</v>
      </c>
      <c r="AC98" s="1" t="s">
        <v>57</v>
      </c>
      <c r="AD98" s="1" t="s">
        <v>58</v>
      </c>
      <c r="AE98" s="1" t="s">
        <v>59</v>
      </c>
      <c r="AF98" s="1" t="s">
        <v>54</v>
      </c>
      <c r="AG98" s="1" t="s">
        <v>165</v>
      </c>
      <c r="AH98" s="1" t="s">
        <v>120</v>
      </c>
    </row>
    <row r="99" spans="1:34" x14ac:dyDescent="0.35">
      <c r="A99" s="1" t="s">
        <v>34</v>
      </c>
      <c r="B99" s="1" t="s">
        <v>94</v>
      </c>
      <c r="C99" s="1" t="s">
        <v>157</v>
      </c>
      <c r="D99" s="1" t="s">
        <v>37</v>
      </c>
      <c r="E99" s="1" t="s">
        <v>77</v>
      </c>
      <c r="F99" s="1" t="s">
        <v>39</v>
      </c>
      <c r="G99" s="1" t="s">
        <v>40</v>
      </c>
      <c r="H99" s="1" t="s">
        <v>35</v>
      </c>
      <c r="I99" s="1" t="s">
        <v>41</v>
      </c>
      <c r="J99" s="1" t="s">
        <v>39</v>
      </c>
      <c r="K99" s="1" t="s">
        <v>59</v>
      </c>
      <c r="L99" s="1"/>
      <c r="M99" s="1" t="s">
        <v>44</v>
      </c>
      <c r="N99" s="1" t="s">
        <v>49</v>
      </c>
      <c r="O99" s="1" t="s">
        <v>45</v>
      </c>
      <c r="P99" s="1" t="s">
        <v>103</v>
      </c>
      <c r="Q99" s="1" t="s">
        <v>47</v>
      </c>
      <c r="R99" s="1" t="s">
        <v>80</v>
      </c>
      <c r="S99" s="1" t="s">
        <v>49</v>
      </c>
      <c r="T99" s="1" t="s">
        <v>50</v>
      </c>
      <c r="U99" s="1" t="s">
        <v>51</v>
      </c>
      <c r="V99" s="1" t="s">
        <v>52</v>
      </c>
      <c r="W99" s="1" t="s">
        <v>53</v>
      </c>
      <c r="X99" s="1" t="s">
        <v>54</v>
      </c>
      <c r="Y99" s="1" t="s">
        <v>55</v>
      </c>
      <c r="Z99" s="1" t="s">
        <v>82</v>
      </c>
      <c r="AA99" s="1" t="s">
        <v>36</v>
      </c>
      <c r="AB99" s="1" t="s">
        <v>54</v>
      </c>
      <c r="AC99" s="1" t="s">
        <v>57</v>
      </c>
      <c r="AD99" s="1" t="s">
        <v>58</v>
      </c>
      <c r="AE99" s="1" t="s">
        <v>59</v>
      </c>
      <c r="AF99" s="1" t="s">
        <v>54</v>
      </c>
      <c r="AG99" s="1" t="s">
        <v>165</v>
      </c>
      <c r="AH99" s="1" t="s">
        <v>120</v>
      </c>
    </row>
    <row r="100" spans="1:34" x14ac:dyDescent="0.35">
      <c r="A100" s="1" t="s">
        <v>55</v>
      </c>
      <c r="B100" s="1" t="s">
        <v>41</v>
      </c>
      <c r="C100" s="1" t="s">
        <v>76</v>
      </c>
      <c r="D100" s="1" t="s">
        <v>37</v>
      </c>
      <c r="E100" s="1" t="s">
        <v>77</v>
      </c>
      <c r="F100" s="1" t="s">
        <v>39</v>
      </c>
      <c r="G100" s="1" t="s">
        <v>40</v>
      </c>
      <c r="H100" s="1" t="s">
        <v>35</v>
      </c>
      <c r="I100" s="1" t="s">
        <v>94</v>
      </c>
      <c r="J100" s="1" t="s">
        <v>39</v>
      </c>
      <c r="K100" s="1" t="s">
        <v>42</v>
      </c>
      <c r="L100" s="1" t="s">
        <v>43</v>
      </c>
      <c r="M100" s="1" t="s">
        <v>44</v>
      </c>
      <c r="N100" s="1" t="s">
        <v>45</v>
      </c>
      <c r="O100" s="1" t="s">
        <v>45</v>
      </c>
      <c r="P100" s="1" t="s">
        <v>103</v>
      </c>
      <c r="Q100" s="1" t="s">
        <v>47</v>
      </c>
      <c r="R100" s="1" t="s">
        <v>80</v>
      </c>
      <c r="S100" s="1" t="s">
        <v>49</v>
      </c>
      <c r="T100" s="1" t="s">
        <v>50</v>
      </c>
      <c r="U100" s="1" t="s">
        <v>51</v>
      </c>
      <c r="V100" s="1" t="s">
        <v>52</v>
      </c>
      <c r="W100" s="1" t="s">
        <v>53</v>
      </c>
      <c r="X100" s="1" t="s">
        <v>54</v>
      </c>
      <c r="Y100" s="1" t="s">
        <v>55</v>
      </c>
      <c r="Z100" s="1" t="s">
        <v>82</v>
      </c>
      <c r="AA100" s="1" t="s">
        <v>36</v>
      </c>
      <c r="AB100" s="1" t="s">
        <v>54</v>
      </c>
      <c r="AC100" s="1" t="s">
        <v>57</v>
      </c>
      <c r="AD100" s="1" t="s">
        <v>58</v>
      </c>
      <c r="AE100" s="1" t="s">
        <v>59</v>
      </c>
      <c r="AF100" s="1" t="s">
        <v>54</v>
      </c>
      <c r="AG100" s="1" t="s">
        <v>165</v>
      </c>
      <c r="AH100" s="1" t="s">
        <v>120</v>
      </c>
    </row>
    <row r="101" spans="1:34" x14ac:dyDescent="0.35">
      <c r="A101" s="1" t="s">
        <v>54</v>
      </c>
      <c r="B101" s="1" t="s">
        <v>41</v>
      </c>
      <c r="C101" s="1" t="s">
        <v>76</v>
      </c>
      <c r="D101" s="1" t="s">
        <v>83</v>
      </c>
      <c r="E101" s="1" t="s">
        <v>38</v>
      </c>
      <c r="F101" s="1" t="s">
        <v>39</v>
      </c>
      <c r="G101" s="1" t="s">
        <v>40</v>
      </c>
      <c r="H101" s="1" t="s">
        <v>35</v>
      </c>
      <c r="I101" s="1" t="s">
        <v>35</v>
      </c>
      <c r="J101" s="1" t="s">
        <v>39</v>
      </c>
      <c r="K101" s="1" t="s">
        <v>42</v>
      </c>
      <c r="L101" s="1" t="s">
        <v>43</v>
      </c>
      <c r="M101" s="1" t="s">
        <v>53</v>
      </c>
      <c r="N101" s="1" t="s">
        <v>45</v>
      </c>
      <c r="O101" s="1" t="s">
        <v>45</v>
      </c>
      <c r="P101" s="1" t="s">
        <v>103</v>
      </c>
      <c r="Q101" s="1" t="s">
        <v>47</v>
      </c>
      <c r="R101" s="1" t="s">
        <v>80</v>
      </c>
      <c r="S101" s="1" t="s">
        <v>49</v>
      </c>
      <c r="T101" s="1" t="s">
        <v>50</v>
      </c>
      <c r="U101" s="1" t="s">
        <v>51</v>
      </c>
      <c r="V101" s="1" t="s">
        <v>81</v>
      </c>
      <c r="W101" s="1" t="s">
        <v>53</v>
      </c>
      <c r="X101" s="1" t="s">
        <v>54</v>
      </c>
      <c r="Y101" s="1" t="s">
        <v>55</v>
      </c>
      <c r="Z101" s="1" t="s">
        <v>82</v>
      </c>
      <c r="AA101" s="1" t="s">
        <v>36</v>
      </c>
      <c r="AB101" s="1" t="s">
        <v>54</v>
      </c>
      <c r="AC101" s="1" t="s">
        <v>57</v>
      </c>
      <c r="AD101" s="1" t="s">
        <v>58</v>
      </c>
      <c r="AE101" s="1" t="s">
        <v>59</v>
      </c>
      <c r="AF101" s="1" t="s">
        <v>54</v>
      </c>
      <c r="AG101" s="1" t="s">
        <v>165</v>
      </c>
      <c r="AH101" s="1" t="s">
        <v>120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1"/>
  <sheetViews>
    <sheetView topLeftCell="AA1" workbookViewId="0">
      <selection activeCell="AN3" sqref="AN3"/>
    </sheetView>
  </sheetViews>
  <sheetFormatPr defaultRowHeight="14.5" x14ac:dyDescent="0.35"/>
  <cols>
    <col min="1" max="1" width="8.7265625" style="3"/>
    <col min="2" max="2" width="6.81640625" style="3" customWidth="1"/>
    <col min="3" max="3" width="8.90625" style="3" customWidth="1"/>
    <col min="4" max="4" width="21" style="3" bestFit="1" customWidth="1"/>
    <col min="5" max="5" width="20" style="3" bestFit="1" customWidth="1"/>
    <col min="6" max="6" width="21" style="3" bestFit="1" customWidth="1"/>
    <col min="7" max="7" width="20" style="3" bestFit="1" customWidth="1"/>
    <col min="8" max="8" width="20" style="3" customWidth="1"/>
    <col min="9" max="9" width="26.1796875" style="3" customWidth="1"/>
    <col min="10" max="10" width="21" style="3" bestFit="1" customWidth="1"/>
    <col min="11" max="11" width="20" style="3" bestFit="1" customWidth="1"/>
    <col min="12" max="15" width="21" style="3" bestFit="1" customWidth="1"/>
    <col min="16" max="17" width="20" style="3" bestFit="1" customWidth="1"/>
    <col min="18" max="18" width="21" style="3" bestFit="1" customWidth="1"/>
    <col min="19" max="19" width="20" style="3" bestFit="1" customWidth="1"/>
    <col min="20" max="20" width="21" style="3" bestFit="1" customWidth="1"/>
    <col min="21" max="22" width="8.7265625" style="3"/>
    <col min="23" max="23" width="20" style="3" bestFit="1" customWidth="1"/>
    <col min="24" max="24" width="8.7265625" style="3"/>
    <col min="25" max="27" width="21" style="3" bestFit="1" customWidth="1"/>
    <col min="28" max="31" width="8.7265625" style="3"/>
    <col min="32" max="32" width="21" style="3" bestFit="1" customWidth="1"/>
    <col min="33" max="33" width="8.7265625" style="3"/>
    <col min="34" max="34" width="11.453125" style="3" bestFit="1" customWidth="1"/>
    <col min="35" max="36" width="8.7265625" style="3"/>
    <col min="37" max="37" width="13.453125" style="3" customWidth="1"/>
    <col min="38" max="16384" width="8.7265625" style="3"/>
  </cols>
  <sheetData>
    <row r="1" spans="1:40" ht="14.4" x14ac:dyDescent="0.3">
      <c r="A1" s="3" t="s">
        <v>155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134</v>
      </c>
      <c r="O1" s="3" t="s">
        <v>135</v>
      </c>
      <c r="P1" s="3" t="s">
        <v>136</v>
      </c>
      <c r="Q1" s="3" t="s">
        <v>137</v>
      </c>
      <c r="R1" s="3" t="s">
        <v>138</v>
      </c>
      <c r="S1" s="3" t="s">
        <v>139</v>
      </c>
      <c r="T1" s="3" t="s">
        <v>140</v>
      </c>
      <c r="U1" s="3" t="s">
        <v>141</v>
      </c>
      <c r="V1" s="3" t="s">
        <v>142</v>
      </c>
      <c r="W1" s="3" t="s">
        <v>143</v>
      </c>
      <c r="X1" s="3" t="s">
        <v>144</v>
      </c>
      <c r="Y1" s="3" t="s">
        <v>145</v>
      </c>
      <c r="Z1" s="3" t="s">
        <v>146</v>
      </c>
      <c r="AA1" s="3" t="s">
        <v>147</v>
      </c>
      <c r="AB1" s="3" t="s">
        <v>148</v>
      </c>
      <c r="AC1" s="3" t="s">
        <v>149</v>
      </c>
      <c r="AD1" s="3" t="s">
        <v>150</v>
      </c>
      <c r="AE1" s="3" t="s">
        <v>151</v>
      </c>
      <c r="AF1" s="3" t="s">
        <v>152</v>
      </c>
      <c r="AG1" s="3" t="s">
        <v>153</v>
      </c>
      <c r="AH1" s="3" t="s">
        <v>154</v>
      </c>
      <c r="AM1" s="3">
        <v>1</v>
      </c>
      <c r="AN1" s="3" t="e">
        <f>(B2-AL8)/(AL9)</f>
        <v>#VALUE!</v>
      </c>
    </row>
    <row r="2" spans="1:40" x14ac:dyDescent="0.35">
      <c r="A2" s="4" t="s">
        <v>120</v>
      </c>
      <c r="B2" s="4" t="s">
        <v>170</v>
      </c>
      <c r="C2" s="4" t="s">
        <v>171</v>
      </c>
      <c r="D2" s="4" t="s">
        <v>171</v>
      </c>
      <c r="E2" s="4" t="s">
        <v>171</v>
      </c>
      <c r="F2" s="4" t="s">
        <v>169</v>
      </c>
      <c r="G2" s="4" t="s">
        <v>171</v>
      </c>
      <c r="H2" s="4" t="s">
        <v>172</v>
      </c>
      <c r="I2" s="4" t="s">
        <v>171</v>
      </c>
      <c r="J2" s="4" t="s">
        <v>171</v>
      </c>
      <c r="K2" s="4" t="s">
        <v>171</v>
      </c>
      <c r="L2" s="4" t="s">
        <v>169</v>
      </c>
      <c r="M2" s="4" t="s">
        <v>171</v>
      </c>
      <c r="N2" s="4" t="s">
        <v>173</v>
      </c>
      <c r="O2" s="4" t="s">
        <v>169</v>
      </c>
      <c r="P2" s="4" t="s">
        <v>169</v>
      </c>
      <c r="Q2" s="4" t="s">
        <v>169</v>
      </c>
      <c r="R2" s="4" t="s">
        <v>171</v>
      </c>
      <c r="S2" s="4" t="s">
        <v>173</v>
      </c>
      <c r="T2" s="4" t="s">
        <v>171</v>
      </c>
      <c r="U2" s="4" t="s">
        <v>170</v>
      </c>
      <c r="V2" s="4" t="s">
        <v>171</v>
      </c>
      <c r="W2" s="5" t="s">
        <v>173</v>
      </c>
      <c r="X2" s="4" t="s">
        <v>171</v>
      </c>
      <c r="Y2" s="4" t="s">
        <v>170</v>
      </c>
      <c r="Z2" s="4" t="s">
        <v>169</v>
      </c>
      <c r="AA2" s="4" t="s">
        <v>173</v>
      </c>
      <c r="AB2" s="4" t="s">
        <v>171</v>
      </c>
      <c r="AC2" s="4" t="s">
        <v>170</v>
      </c>
      <c r="AD2" s="4" t="s">
        <v>171</v>
      </c>
      <c r="AE2" s="4" t="s">
        <v>170</v>
      </c>
      <c r="AF2" s="4" t="s">
        <v>171</v>
      </c>
      <c r="AG2" s="4" t="s">
        <v>170</v>
      </c>
      <c r="AH2" s="4" t="s">
        <v>168</v>
      </c>
      <c r="AM2" s="3">
        <v>2</v>
      </c>
      <c r="AN2" s="3" t="e">
        <f>(C2-AL8)/(AL9)</f>
        <v>#VALUE!</v>
      </c>
    </row>
    <row r="3" spans="1:40" x14ac:dyDescent="0.35">
      <c r="A3" s="4" t="s">
        <v>120</v>
      </c>
      <c r="B3" s="4" t="s">
        <v>169</v>
      </c>
      <c r="C3" s="6">
        <v>1.95061728395061</v>
      </c>
      <c r="D3" s="6">
        <v>1.71698113207547</v>
      </c>
      <c r="E3" s="6">
        <v>5.2222222222222197</v>
      </c>
      <c r="F3" s="6">
        <v>1.7654320987654299</v>
      </c>
      <c r="G3" s="6">
        <v>1.94805194805194</v>
      </c>
      <c r="H3" s="6">
        <v>6.0123456790123404</v>
      </c>
      <c r="I3" s="6">
        <v>1.93670886075949</v>
      </c>
      <c r="J3" s="6">
        <v>1.81481481481481</v>
      </c>
      <c r="K3" s="6">
        <v>3.75308641975308</v>
      </c>
      <c r="L3" s="6">
        <v>1.1111111111111101</v>
      </c>
      <c r="M3" s="6">
        <v>1.7945205479452</v>
      </c>
      <c r="N3" s="6">
        <v>2.9012345679012301</v>
      </c>
      <c r="O3" s="6">
        <v>1.18518518518518</v>
      </c>
      <c r="P3" s="6">
        <v>1.37974683544303</v>
      </c>
      <c r="Q3" s="6">
        <v>2.61728395061728</v>
      </c>
      <c r="R3" s="6">
        <v>1.98765432098765</v>
      </c>
      <c r="S3" s="6">
        <v>3.7654320987654302</v>
      </c>
      <c r="T3" s="6">
        <v>1.9753086419753001</v>
      </c>
      <c r="U3" s="4" t="s">
        <v>170</v>
      </c>
      <c r="V3" s="4" t="s">
        <v>171</v>
      </c>
      <c r="W3" s="6">
        <v>3.1111111111111098</v>
      </c>
      <c r="X3" s="4" t="s">
        <v>171</v>
      </c>
      <c r="Y3" s="6">
        <v>3.9753086419753001</v>
      </c>
      <c r="Z3" s="6">
        <v>1.9012345679012299</v>
      </c>
      <c r="AA3" s="6">
        <v>3.4444444444444402</v>
      </c>
      <c r="AB3" s="4" t="s">
        <v>171</v>
      </c>
      <c r="AC3" s="4" t="s">
        <v>170</v>
      </c>
      <c r="AD3" s="4" t="s">
        <v>171</v>
      </c>
      <c r="AE3" s="4" t="s">
        <v>170</v>
      </c>
      <c r="AF3" s="6">
        <v>1.93827160493827</v>
      </c>
      <c r="AG3" s="4" t="s">
        <v>170</v>
      </c>
      <c r="AH3" s="4">
        <v>0.4</v>
      </c>
    </row>
    <row r="4" spans="1:40" x14ac:dyDescent="0.35">
      <c r="A4" s="4" t="s">
        <v>120</v>
      </c>
      <c r="B4" s="4" t="s">
        <v>169</v>
      </c>
      <c r="C4" s="6">
        <v>1.95061728395061</v>
      </c>
      <c r="D4" s="6">
        <v>1.71698113207547</v>
      </c>
      <c r="E4" s="6">
        <v>5.2222222222222197</v>
      </c>
      <c r="F4" s="6">
        <v>1.7654320987654299</v>
      </c>
      <c r="G4" s="6">
        <v>1.94805194805194</v>
      </c>
      <c r="H4" s="6">
        <v>6.0123456790123404</v>
      </c>
      <c r="I4" s="6">
        <v>1.93670886075949</v>
      </c>
      <c r="J4" s="6">
        <v>1.81481481481481</v>
      </c>
      <c r="K4" s="6">
        <v>3.75308641975308</v>
      </c>
      <c r="L4" s="6">
        <v>1.1111111111111101</v>
      </c>
      <c r="M4" s="6">
        <v>1.7945205479452</v>
      </c>
      <c r="N4" s="6">
        <v>2.9012345679012301</v>
      </c>
      <c r="O4" s="6">
        <v>1.18518518518518</v>
      </c>
      <c r="P4" s="6">
        <v>1.37974683544303</v>
      </c>
      <c r="Q4" s="6">
        <v>2.61728395061728</v>
      </c>
      <c r="R4" s="6">
        <v>1.98765432098765</v>
      </c>
      <c r="S4" s="6">
        <v>3.7654320987654302</v>
      </c>
      <c r="T4" s="6">
        <v>1.9753086419753001</v>
      </c>
      <c r="U4" s="4" t="s">
        <v>170</v>
      </c>
      <c r="V4" s="4" t="s">
        <v>171</v>
      </c>
      <c r="W4" s="6">
        <v>3.1111111111111098</v>
      </c>
      <c r="X4" s="4" t="s">
        <v>171</v>
      </c>
      <c r="Y4" s="6">
        <v>3.9753086419753001</v>
      </c>
      <c r="Z4" s="6">
        <v>1.9012345679012299</v>
      </c>
      <c r="AA4" s="6">
        <v>3.4444444444444402</v>
      </c>
      <c r="AB4" s="4" t="s">
        <v>171</v>
      </c>
      <c r="AC4" s="4" t="s">
        <v>170</v>
      </c>
      <c r="AD4" s="4" t="s">
        <v>171</v>
      </c>
      <c r="AE4" s="4" t="s">
        <v>170</v>
      </c>
      <c r="AF4" s="6">
        <v>1.93827160493827</v>
      </c>
      <c r="AG4" s="4" t="s">
        <v>170</v>
      </c>
      <c r="AH4" s="4">
        <v>0.4</v>
      </c>
    </row>
    <row r="5" spans="1:40" x14ac:dyDescent="0.35">
      <c r="A5" s="4" t="s">
        <v>120</v>
      </c>
      <c r="B5" s="4" t="s">
        <v>169</v>
      </c>
      <c r="C5" s="6">
        <v>1.95061728395061</v>
      </c>
      <c r="D5" s="6">
        <v>1.71698113207547</v>
      </c>
      <c r="E5" s="6">
        <v>5.2222222222222197</v>
      </c>
      <c r="F5" s="6">
        <v>1.7654320987654299</v>
      </c>
      <c r="G5" s="6">
        <v>1.94805194805194</v>
      </c>
      <c r="H5" s="6">
        <v>6.0123456790123404</v>
      </c>
      <c r="I5" s="6">
        <v>1.93670886075949</v>
      </c>
      <c r="J5" s="6">
        <v>1.81481481481481</v>
      </c>
      <c r="K5" s="6">
        <v>3.75308641975308</v>
      </c>
      <c r="L5" s="6">
        <v>1.1111111111111101</v>
      </c>
      <c r="M5" s="6">
        <v>1.7945205479452</v>
      </c>
      <c r="N5" s="6">
        <v>2.9012345679012301</v>
      </c>
      <c r="O5" s="6">
        <v>1.18518518518518</v>
      </c>
      <c r="P5" s="6">
        <v>1.37974683544303</v>
      </c>
      <c r="Q5" s="6">
        <v>2.61728395061728</v>
      </c>
      <c r="R5" s="6">
        <v>1.98765432098765</v>
      </c>
      <c r="S5" s="6">
        <v>3.7654320987654302</v>
      </c>
      <c r="T5" s="6">
        <v>1.9753086419753001</v>
      </c>
      <c r="U5" s="4" t="s">
        <v>170</v>
      </c>
      <c r="V5" s="4" t="s">
        <v>171</v>
      </c>
      <c r="W5" s="6">
        <v>3.1111111111111098</v>
      </c>
      <c r="X5" s="4" t="s">
        <v>171</v>
      </c>
      <c r="Y5" s="6">
        <v>3.9753086419753001</v>
      </c>
      <c r="Z5" s="6">
        <v>1.9012345679012299</v>
      </c>
      <c r="AA5" s="6">
        <v>3.4444444444444402</v>
      </c>
      <c r="AB5" s="4" t="s">
        <v>171</v>
      </c>
      <c r="AC5" s="4" t="s">
        <v>170</v>
      </c>
      <c r="AD5" s="4" t="s">
        <v>171</v>
      </c>
      <c r="AE5" s="4" t="s">
        <v>170</v>
      </c>
      <c r="AF5" s="6">
        <v>1.93827160493827</v>
      </c>
      <c r="AG5" s="4" t="s">
        <v>170</v>
      </c>
      <c r="AH5" s="4">
        <v>0.4</v>
      </c>
    </row>
    <row r="6" spans="1:40" x14ac:dyDescent="0.35">
      <c r="A6" s="4" t="s">
        <v>120</v>
      </c>
      <c r="B6" s="4" t="s">
        <v>169</v>
      </c>
      <c r="C6" s="6">
        <v>1.95061728395061</v>
      </c>
      <c r="D6" s="6">
        <v>1.71698113207547</v>
      </c>
      <c r="E6" s="6">
        <v>5.2222222222222197</v>
      </c>
      <c r="F6" s="6">
        <v>1.7654320987654299</v>
      </c>
      <c r="G6" s="6">
        <v>1.94805194805194</v>
      </c>
      <c r="H6" s="6">
        <v>6.0123456790123404</v>
      </c>
      <c r="I6" s="6">
        <v>1.93670886075949</v>
      </c>
      <c r="J6" s="6">
        <v>1.81481481481481</v>
      </c>
      <c r="K6" s="6">
        <v>3.75308641975308</v>
      </c>
      <c r="L6" s="6">
        <v>1.1111111111111101</v>
      </c>
      <c r="M6" s="6">
        <v>1.7945205479452</v>
      </c>
      <c r="N6" s="6">
        <v>2.9012345679012301</v>
      </c>
      <c r="O6" s="6">
        <v>1.18518518518518</v>
      </c>
      <c r="P6" s="6">
        <v>1.37974683544303</v>
      </c>
      <c r="Q6" s="6">
        <v>2.61728395061728</v>
      </c>
      <c r="R6" s="6">
        <v>1.98765432098765</v>
      </c>
      <c r="S6" s="6">
        <v>3.7654320987654302</v>
      </c>
      <c r="T6" s="6">
        <v>1.9753086419753001</v>
      </c>
      <c r="U6" s="4" t="s">
        <v>170</v>
      </c>
      <c r="V6" s="4" t="s">
        <v>171</v>
      </c>
      <c r="W6" s="6">
        <v>3.1111111111111098</v>
      </c>
      <c r="X6" s="4" t="s">
        <v>171</v>
      </c>
      <c r="Y6" s="6">
        <v>3.9753086419753001</v>
      </c>
      <c r="Z6" s="6">
        <v>1.9012345679012299</v>
      </c>
      <c r="AA6" s="6">
        <v>3.4444444444444402</v>
      </c>
      <c r="AB6" s="4" t="s">
        <v>171</v>
      </c>
      <c r="AC6" s="4" t="s">
        <v>170</v>
      </c>
      <c r="AD6" s="4" t="s">
        <v>171</v>
      </c>
      <c r="AE6" s="4" t="s">
        <v>170</v>
      </c>
      <c r="AF6" s="6">
        <v>1.93827160493827</v>
      </c>
      <c r="AG6" s="4" t="s">
        <v>170</v>
      </c>
      <c r="AH6" s="4">
        <v>0.4</v>
      </c>
    </row>
    <row r="7" spans="1:40" x14ac:dyDescent="0.35">
      <c r="A7" s="4" t="s">
        <v>120</v>
      </c>
      <c r="B7" s="4" t="s">
        <v>169</v>
      </c>
      <c r="C7" s="6">
        <v>1.95061728395061</v>
      </c>
      <c r="D7" s="6">
        <v>1.71698113207547</v>
      </c>
      <c r="E7" s="6">
        <v>5.2222222222222197</v>
      </c>
      <c r="F7" s="6">
        <v>1.7654320987654299</v>
      </c>
      <c r="G7" s="6">
        <v>1.94805194805194</v>
      </c>
      <c r="H7" s="6">
        <v>6.0123456790123404</v>
      </c>
      <c r="I7" s="6">
        <v>1.93670886075949</v>
      </c>
      <c r="J7" s="6">
        <v>1.81481481481481</v>
      </c>
      <c r="K7" s="6">
        <v>3.75308641975308</v>
      </c>
      <c r="L7" s="6">
        <v>1.1111111111111101</v>
      </c>
      <c r="M7" s="6">
        <v>1.7945205479452</v>
      </c>
      <c r="N7" s="6">
        <v>2.9012345679012301</v>
      </c>
      <c r="O7" s="6">
        <v>1.18518518518518</v>
      </c>
      <c r="P7" s="6">
        <v>1.37974683544303</v>
      </c>
      <c r="Q7" s="6">
        <v>2.61728395061728</v>
      </c>
      <c r="R7" s="6">
        <v>1.98765432098765</v>
      </c>
      <c r="S7" s="6">
        <v>3.7654320987654302</v>
      </c>
      <c r="T7" s="6">
        <v>1.9753086419753001</v>
      </c>
      <c r="U7" s="4" t="s">
        <v>170</v>
      </c>
      <c r="V7" s="4" t="s">
        <v>171</v>
      </c>
      <c r="W7" s="6">
        <v>3.1111111111111098</v>
      </c>
      <c r="X7" s="4" t="s">
        <v>171</v>
      </c>
      <c r="Y7" s="6">
        <v>3.9753086419753001</v>
      </c>
      <c r="Z7" s="6">
        <v>1.9012345679012299</v>
      </c>
      <c r="AA7" s="6">
        <v>3.4444444444444402</v>
      </c>
      <c r="AB7" s="4" t="s">
        <v>171</v>
      </c>
      <c r="AC7" s="4" t="s">
        <v>170</v>
      </c>
      <c r="AD7" s="4" t="s">
        <v>171</v>
      </c>
      <c r="AE7" s="4" t="s">
        <v>170</v>
      </c>
      <c r="AF7" s="6">
        <v>1.93827160493827</v>
      </c>
      <c r="AG7" s="4" t="s">
        <v>170</v>
      </c>
      <c r="AH7" s="4">
        <v>0.4</v>
      </c>
      <c r="AK7" s="3" t="s">
        <v>179</v>
      </c>
      <c r="AL7" s="3">
        <v>8</v>
      </c>
    </row>
    <row r="8" spans="1:40" x14ac:dyDescent="0.35">
      <c r="A8" s="4" t="s">
        <v>120</v>
      </c>
      <c r="B8" s="4" t="s">
        <v>169</v>
      </c>
      <c r="C8" s="6">
        <v>1.95061728395061</v>
      </c>
      <c r="D8" s="6">
        <v>1.71698113207547</v>
      </c>
      <c r="E8" s="6">
        <v>5.2222222222222197</v>
      </c>
      <c r="F8" s="6">
        <v>1.7654320987654299</v>
      </c>
      <c r="G8" s="6">
        <v>1.94805194805194</v>
      </c>
      <c r="H8" s="6">
        <v>6.0123456790123404</v>
      </c>
      <c r="I8" s="6">
        <v>1.93670886075949</v>
      </c>
      <c r="J8" s="6">
        <v>1.81481481481481</v>
      </c>
      <c r="K8" s="6">
        <v>3.75308641975308</v>
      </c>
      <c r="L8" s="6">
        <v>1.1111111111111101</v>
      </c>
      <c r="M8" s="6">
        <v>1.7945205479452</v>
      </c>
      <c r="N8" s="6">
        <v>2.9012345679012301</v>
      </c>
      <c r="O8" s="6">
        <v>1.18518518518518</v>
      </c>
      <c r="P8" s="6">
        <v>1.37974683544303</v>
      </c>
      <c r="Q8" s="6">
        <v>2.61728395061728</v>
      </c>
      <c r="R8" s="6">
        <v>1.98765432098765</v>
      </c>
      <c r="S8" s="6">
        <v>3.7654320987654302</v>
      </c>
      <c r="T8" s="6">
        <v>1.9753086419753001</v>
      </c>
      <c r="U8" s="4" t="s">
        <v>170</v>
      </c>
      <c r="V8" s="4" t="s">
        <v>171</v>
      </c>
      <c r="W8" s="6">
        <v>3.1111111111111098</v>
      </c>
      <c r="X8" s="4" t="s">
        <v>171</v>
      </c>
      <c r="Y8" s="6">
        <v>3.9753086419753001</v>
      </c>
      <c r="Z8" s="6">
        <v>1.9012345679012299</v>
      </c>
      <c r="AA8" s="6">
        <v>3.4444444444444402</v>
      </c>
      <c r="AB8" s="4" t="s">
        <v>171</v>
      </c>
      <c r="AC8" s="4" t="s">
        <v>170</v>
      </c>
      <c r="AD8" s="4" t="s">
        <v>171</v>
      </c>
      <c r="AE8" s="4" t="s">
        <v>170</v>
      </c>
      <c r="AF8" s="6">
        <v>1.93827160493827</v>
      </c>
      <c r="AG8" s="4" t="s">
        <v>170</v>
      </c>
      <c r="AH8" s="4">
        <v>0.4</v>
      </c>
      <c r="AK8" s="3" t="s">
        <v>180</v>
      </c>
      <c r="AL8" s="3">
        <v>0</v>
      </c>
    </row>
    <row r="9" spans="1:40" x14ac:dyDescent="0.35">
      <c r="A9" s="4" t="s">
        <v>120</v>
      </c>
      <c r="B9" s="4" t="s">
        <v>169</v>
      </c>
      <c r="C9" s="4" t="s">
        <v>171</v>
      </c>
      <c r="D9" s="6">
        <v>1.71698113207547</v>
      </c>
      <c r="E9" s="4" t="s">
        <v>172</v>
      </c>
      <c r="F9" s="4" t="s">
        <v>174</v>
      </c>
      <c r="G9" s="6">
        <v>1.94805194805194</v>
      </c>
      <c r="H9" s="4" t="s">
        <v>175</v>
      </c>
      <c r="I9" s="6">
        <v>1.93670886075949</v>
      </c>
      <c r="J9" s="4" t="s">
        <v>171</v>
      </c>
      <c r="K9" s="4" t="s">
        <v>174</v>
      </c>
      <c r="L9" s="4" t="s">
        <v>171</v>
      </c>
      <c r="M9" s="6">
        <v>1.7945205479452</v>
      </c>
      <c r="N9" s="4" t="s">
        <v>173</v>
      </c>
      <c r="O9" s="4" t="s">
        <v>170</v>
      </c>
      <c r="P9" s="6">
        <v>1.37974683544303</v>
      </c>
      <c r="Q9" s="4" t="s">
        <v>173</v>
      </c>
      <c r="R9" s="4" t="s">
        <v>171</v>
      </c>
      <c r="S9" s="4" t="s">
        <v>170</v>
      </c>
      <c r="T9" s="4" t="s">
        <v>171</v>
      </c>
      <c r="U9" s="4" t="s">
        <v>170</v>
      </c>
      <c r="V9" s="4" t="s">
        <v>171</v>
      </c>
      <c r="W9" s="4" t="s">
        <v>170</v>
      </c>
      <c r="X9" s="4" t="s">
        <v>171</v>
      </c>
      <c r="Y9" s="4" t="s">
        <v>170</v>
      </c>
      <c r="Z9" s="4" t="s">
        <v>171</v>
      </c>
      <c r="AA9" s="4" t="s">
        <v>170</v>
      </c>
      <c r="AB9" s="4" t="s">
        <v>171</v>
      </c>
      <c r="AC9" s="4" t="s">
        <v>170</v>
      </c>
      <c r="AD9" s="4" t="s">
        <v>171</v>
      </c>
      <c r="AE9" s="4" t="s">
        <v>170</v>
      </c>
      <c r="AF9" s="4" t="s">
        <v>171</v>
      </c>
      <c r="AG9" s="4" t="s">
        <v>170</v>
      </c>
      <c r="AH9" s="4" t="s">
        <v>171</v>
      </c>
      <c r="AK9" s="3" t="s">
        <v>181</v>
      </c>
      <c r="AL9" s="3">
        <f>AL7-AL8</f>
        <v>8</v>
      </c>
    </row>
    <row r="10" spans="1:40" x14ac:dyDescent="0.35">
      <c r="A10" s="4" t="s">
        <v>120</v>
      </c>
      <c r="B10" s="4" t="s">
        <v>176</v>
      </c>
      <c r="C10" s="4" t="s">
        <v>171</v>
      </c>
      <c r="D10" s="6">
        <v>1.71698113207547</v>
      </c>
      <c r="E10" s="4" t="s">
        <v>172</v>
      </c>
      <c r="F10" s="4" t="s">
        <v>169</v>
      </c>
      <c r="G10" s="4" t="s">
        <v>171</v>
      </c>
      <c r="H10" s="4" t="s">
        <v>172</v>
      </c>
      <c r="I10" s="4" t="s">
        <v>171</v>
      </c>
      <c r="J10" s="4" t="s">
        <v>169</v>
      </c>
      <c r="K10" s="4" t="s">
        <v>171</v>
      </c>
      <c r="L10" s="4" t="s">
        <v>169</v>
      </c>
      <c r="M10" s="4" t="s">
        <v>171</v>
      </c>
      <c r="N10" s="4" t="s">
        <v>173</v>
      </c>
      <c r="O10" s="4" t="s">
        <v>169</v>
      </c>
      <c r="P10" s="4" t="s">
        <v>169</v>
      </c>
      <c r="Q10" s="4" t="s">
        <v>173</v>
      </c>
      <c r="R10" s="4" t="s">
        <v>171</v>
      </c>
      <c r="S10" s="4" t="s">
        <v>170</v>
      </c>
      <c r="T10" s="4" t="s">
        <v>171</v>
      </c>
      <c r="U10" s="4" t="s">
        <v>170</v>
      </c>
      <c r="V10" s="4" t="s">
        <v>171</v>
      </c>
      <c r="W10" s="4" t="s">
        <v>173</v>
      </c>
      <c r="X10" s="4" t="s">
        <v>171</v>
      </c>
      <c r="Y10" s="4" t="s">
        <v>170</v>
      </c>
      <c r="Z10" s="4" t="s">
        <v>171</v>
      </c>
      <c r="AA10" s="4" t="s">
        <v>170</v>
      </c>
      <c r="AB10" s="4" t="s">
        <v>171</v>
      </c>
      <c r="AC10" s="4" t="s">
        <v>170</v>
      </c>
      <c r="AD10" s="4" t="s">
        <v>171</v>
      </c>
      <c r="AE10" s="4" t="s">
        <v>170</v>
      </c>
      <c r="AF10" s="4" t="s">
        <v>171</v>
      </c>
      <c r="AG10" s="4" t="s">
        <v>170</v>
      </c>
      <c r="AH10" s="4">
        <v>0.4</v>
      </c>
    </row>
    <row r="11" spans="1:40" x14ac:dyDescent="0.35">
      <c r="A11" s="4" t="s">
        <v>120</v>
      </c>
      <c r="B11" s="4" t="s">
        <v>170</v>
      </c>
      <c r="C11" s="4" t="s">
        <v>173</v>
      </c>
      <c r="D11" s="6">
        <v>1.71698113207547</v>
      </c>
      <c r="E11" s="4" t="s">
        <v>172</v>
      </c>
      <c r="F11" s="4" t="s">
        <v>169</v>
      </c>
      <c r="G11" s="4" t="s">
        <v>171</v>
      </c>
      <c r="H11" s="4" t="s">
        <v>172</v>
      </c>
      <c r="I11" s="4" t="s">
        <v>171</v>
      </c>
      <c r="J11" s="4" t="s">
        <v>169</v>
      </c>
      <c r="K11" s="4" t="s">
        <v>171</v>
      </c>
      <c r="L11" s="4" t="s">
        <v>169</v>
      </c>
      <c r="M11" s="4" t="s">
        <v>171</v>
      </c>
      <c r="N11" s="4" t="s">
        <v>173</v>
      </c>
      <c r="O11" s="4" t="s">
        <v>169</v>
      </c>
      <c r="P11" s="4" t="s">
        <v>169</v>
      </c>
      <c r="Q11" s="4" t="s">
        <v>173</v>
      </c>
      <c r="R11" s="4" t="s">
        <v>171</v>
      </c>
      <c r="S11" s="4" t="s">
        <v>170</v>
      </c>
      <c r="T11" s="4" t="s">
        <v>171</v>
      </c>
      <c r="U11" s="4" t="s">
        <v>170</v>
      </c>
      <c r="V11" s="4" t="s">
        <v>171</v>
      </c>
      <c r="W11" s="4" t="s">
        <v>173</v>
      </c>
      <c r="X11" s="4" t="s">
        <v>171</v>
      </c>
      <c r="Y11" s="4" t="s">
        <v>170</v>
      </c>
      <c r="Z11" s="4" t="s">
        <v>171</v>
      </c>
      <c r="AA11" s="4" t="s">
        <v>173</v>
      </c>
      <c r="AB11" s="4" t="s">
        <v>171</v>
      </c>
      <c r="AC11" s="4" t="s">
        <v>170</v>
      </c>
      <c r="AD11" s="4" t="s">
        <v>171</v>
      </c>
      <c r="AE11" s="4" t="s">
        <v>170</v>
      </c>
      <c r="AF11" s="4" t="s">
        <v>171</v>
      </c>
      <c r="AG11" s="4" t="s">
        <v>170</v>
      </c>
      <c r="AH11" s="4">
        <v>0.4</v>
      </c>
    </row>
    <row r="12" spans="1:40" x14ac:dyDescent="0.35">
      <c r="A12" s="4" t="s">
        <v>120</v>
      </c>
      <c r="B12" s="4" t="s">
        <v>176</v>
      </c>
      <c r="C12" s="4" t="s">
        <v>171</v>
      </c>
      <c r="D12" s="6">
        <v>1.71698113207547</v>
      </c>
      <c r="E12" s="4" t="s">
        <v>171</v>
      </c>
      <c r="F12" s="4" t="s">
        <v>169</v>
      </c>
      <c r="G12" s="4" t="s">
        <v>171</v>
      </c>
      <c r="H12" s="4" t="s">
        <v>174</v>
      </c>
      <c r="I12" s="4" t="s">
        <v>171</v>
      </c>
      <c r="J12" s="4" t="s">
        <v>173</v>
      </c>
      <c r="K12" s="4" t="s">
        <v>171</v>
      </c>
      <c r="L12" s="4" t="s">
        <v>169</v>
      </c>
      <c r="M12" s="4" t="s">
        <v>171</v>
      </c>
      <c r="N12" s="4" t="s">
        <v>173</v>
      </c>
      <c r="O12" s="4" t="s">
        <v>169</v>
      </c>
      <c r="P12" s="4" t="s">
        <v>169</v>
      </c>
      <c r="Q12" s="4" t="s">
        <v>173</v>
      </c>
      <c r="R12" s="4" t="s">
        <v>171</v>
      </c>
      <c r="S12" s="4" t="s">
        <v>170</v>
      </c>
      <c r="T12" s="4" t="s">
        <v>171</v>
      </c>
      <c r="U12" s="4" t="s">
        <v>170</v>
      </c>
      <c r="V12" s="4" t="s">
        <v>171</v>
      </c>
      <c r="W12" s="4" t="s">
        <v>173</v>
      </c>
      <c r="X12" s="4" t="s">
        <v>171</v>
      </c>
      <c r="Y12" s="4" t="s">
        <v>170</v>
      </c>
      <c r="Z12" s="4" t="s">
        <v>171</v>
      </c>
      <c r="AA12" s="4" t="s">
        <v>173</v>
      </c>
      <c r="AB12" s="4" t="s">
        <v>171</v>
      </c>
      <c r="AC12" s="4" t="s">
        <v>170</v>
      </c>
      <c r="AD12" s="4" t="s">
        <v>171</v>
      </c>
      <c r="AE12" s="4" t="s">
        <v>170</v>
      </c>
      <c r="AF12" s="4" t="s">
        <v>171</v>
      </c>
      <c r="AG12" s="4" t="s">
        <v>170</v>
      </c>
      <c r="AH12" s="4">
        <v>0.4</v>
      </c>
    </row>
    <row r="13" spans="1:40" x14ac:dyDescent="0.35">
      <c r="A13" s="4" t="s">
        <v>120</v>
      </c>
      <c r="B13" s="4" t="s">
        <v>173</v>
      </c>
      <c r="C13" s="4" t="s">
        <v>171</v>
      </c>
      <c r="D13" s="4" t="s">
        <v>171</v>
      </c>
      <c r="E13" s="4" t="s">
        <v>172</v>
      </c>
      <c r="F13" s="4" t="s">
        <v>169</v>
      </c>
      <c r="G13" s="4" t="s">
        <v>171</v>
      </c>
      <c r="H13" s="4" t="s">
        <v>172</v>
      </c>
      <c r="I13" s="4" t="s">
        <v>171</v>
      </c>
      <c r="J13" s="4" t="s">
        <v>171</v>
      </c>
      <c r="K13" s="4" t="s">
        <v>171</v>
      </c>
      <c r="L13" s="4" t="s">
        <v>169</v>
      </c>
      <c r="M13" s="4" t="s">
        <v>171</v>
      </c>
      <c r="N13" s="4" t="s">
        <v>173</v>
      </c>
      <c r="O13" s="4" t="s">
        <v>169</v>
      </c>
      <c r="P13" s="4" t="s">
        <v>169</v>
      </c>
      <c r="Q13" s="4" t="s">
        <v>173</v>
      </c>
      <c r="R13" s="4" t="s">
        <v>171</v>
      </c>
      <c r="S13" s="4" t="s">
        <v>173</v>
      </c>
      <c r="T13" s="4" t="s">
        <v>171</v>
      </c>
      <c r="U13" s="4" t="s">
        <v>170</v>
      </c>
      <c r="V13" s="4" t="s">
        <v>171</v>
      </c>
      <c r="W13" s="4" t="s">
        <v>173</v>
      </c>
      <c r="X13" s="4" t="s">
        <v>171</v>
      </c>
      <c r="Y13" s="4" t="s">
        <v>170</v>
      </c>
      <c r="Z13" s="4" t="s">
        <v>171</v>
      </c>
      <c r="AA13" s="4" t="s">
        <v>170</v>
      </c>
      <c r="AB13" s="4" t="s">
        <v>171</v>
      </c>
      <c r="AC13" s="4" t="s">
        <v>170</v>
      </c>
      <c r="AD13" s="4" t="s">
        <v>171</v>
      </c>
      <c r="AE13" s="4" t="s">
        <v>170</v>
      </c>
      <c r="AF13" s="4" t="s">
        <v>171</v>
      </c>
      <c r="AG13" s="4" t="s">
        <v>170</v>
      </c>
      <c r="AH13" s="4" t="s">
        <v>168</v>
      </c>
    </row>
    <row r="14" spans="1:40" x14ac:dyDescent="0.35">
      <c r="A14" s="4" t="s">
        <v>120</v>
      </c>
      <c r="B14" s="4" t="s">
        <v>170</v>
      </c>
      <c r="C14" s="4" t="s">
        <v>171</v>
      </c>
      <c r="D14" s="4" t="s">
        <v>171</v>
      </c>
      <c r="E14" s="4" t="s">
        <v>172</v>
      </c>
      <c r="F14" s="4" t="s">
        <v>169</v>
      </c>
      <c r="G14" s="4" t="s">
        <v>171</v>
      </c>
      <c r="H14" s="4" t="s">
        <v>172</v>
      </c>
      <c r="I14" s="4" t="s">
        <v>171</v>
      </c>
      <c r="J14" s="4" t="s">
        <v>171</v>
      </c>
      <c r="K14" s="4" t="s">
        <v>171</v>
      </c>
      <c r="L14" s="4" t="s">
        <v>169</v>
      </c>
      <c r="M14" s="4" t="s">
        <v>169</v>
      </c>
      <c r="N14" s="4" t="s">
        <v>173</v>
      </c>
      <c r="O14" s="4" t="s">
        <v>169</v>
      </c>
      <c r="P14" s="4" t="s">
        <v>169</v>
      </c>
      <c r="Q14" s="4" t="s">
        <v>173</v>
      </c>
      <c r="R14" s="4" t="s">
        <v>171</v>
      </c>
      <c r="S14" s="4" t="s">
        <v>173</v>
      </c>
      <c r="T14" s="4" t="s">
        <v>171</v>
      </c>
      <c r="U14" s="4" t="s">
        <v>170</v>
      </c>
      <c r="V14" s="4" t="s">
        <v>171</v>
      </c>
      <c r="W14" s="4" t="s">
        <v>173</v>
      </c>
      <c r="X14" s="4" t="s">
        <v>171</v>
      </c>
      <c r="Y14" s="4" t="s">
        <v>170</v>
      </c>
      <c r="Z14" s="4" t="s">
        <v>171</v>
      </c>
      <c r="AA14" s="4" t="s">
        <v>173</v>
      </c>
      <c r="AB14" s="4" t="s">
        <v>171</v>
      </c>
      <c r="AC14" s="4" t="s">
        <v>170</v>
      </c>
      <c r="AD14" s="4" t="s">
        <v>171</v>
      </c>
      <c r="AE14" s="4" t="s">
        <v>170</v>
      </c>
      <c r="AF14" s="4" t="s">
        <v>171</v>
      </c>
      <c r="AG14" s="4" t="s">
        <v>170</v>
      </c>
      <c r="AH14" s="4" t="s">
        <v>168</v>
      </c>
    </row>
    <row r="15" spans="1:40" x14ac:dyDescent="0.35">
      <c r="A15" s="4" t="s">
        <v>120</v>
      </c>
      <c r="B15" s="4" t="s">
        <v>171</v>
      </c>
      <c r="C15" s="4" t="s">
        <v>171</v>
      </c>
      <c r="D15" s="4" t="s">
        <v>171</v>
      </c>
      <c r="E15" s="4" t="s">
        <v>172</v>
      </c>
      <c r="F15" s="4" t="s">
        <v>169</v>
      </c>
      <c r="G15" s="4" t="s">
        <v>171</v>
      </c>
      <c r="H15" s="4" t="s">
        <v>172</v>
      </c>
      <c r="I15" s="4" t="s">
        <v>171</v>
      </c>
      <c r="J15" s="4" t="s">
        <v>171</v>
      </c>
      <c r="K15" s="4" t="s">
        <v>171</v>
      </c>
      <c r="L15" s="4" t="s">
        <v>169</v>
      </c>
      <c r="M15" s="4" t="s">
        <v>171</v>
      </c>
      <c r="N15" s="4" t="s">
        <v>173</v>
      </c>
      <c r="O15" s="4" t="s">
        <v>169</v>
      </c>
      <c r="P15" s="4" t="s">
        <v>169</v>
      </c>
      <c r="Q15" s="4" t="s">
        <v>173</v>
      </c>
      <c r="R15" s="4" t="s">
        <v>171</v>
      </c>
      <c r="S15" s="4" t="s">
        <v>173</v>
      </c>
      <c r="T15" s="4" t="s">
        <v>171</v>
      </c>
      <c r="U15" s="4" t="s">
        <v>170</v>
      </c>
      <c r="V15" s="4" t="s">
        <v>171</v>
      </c>
      <c r="W15" s="4" t="s">
        <v>173</v>
      </c>
      <c r="X15" s="4" t="s">
        <v>171</v>
      </c>
      <c r="Y15" s="4" t="s">
        <v>170</v>
      </c>
      <c r="Z15" s="4" t="s">
        <v>171</v>
      </c>
      <c r="AA15" s="4" t="s">
        <v>173</v>
      </c>
      <c r="AB15" s="4" t="s">
        <v>171</v>
      </c>
      <c r="AC15" s="4" t="s">
        <v>170</v>
      </c>
      <c r="AD15" s="4" t="s">
        <v>171</v>
      </c>
      <c r="AE15" s="4" t="s">
        <v>170</v>
      </c>
      <c r="AF15" s="4" t="s">
        <v>171</v>
      </c>
      <c r="AG15" s="4" t="s">
        <v>170</v>
      </c>
      <c r="AH15" s="4" t="s">
        <v>168</v>
      </c>
    </row>
    <row r="16" spans="1:40" x14ac:dyDescent="0.35">
      <c r="A16" s="4" t="s">
        <v>120</v>
      </c>
      <c r="B16" s="4" t="s">
        <v>173</v>
      </c>
      <c r="C16" s="4" t="s">
        <v>171</v>
      </c>
      <c r="D16" s="4" t="s">
        <v>171</v>
      </c>
      <c r="E16" s="4" t="s">
        <v>171</v>
      </c>
      <c r="F16" s="4" t="s">
        <v>169</v>
      </c>
      <c r="G16" s="4" t="s">
        <v>171</v>
      </c>
      <c r="H16" s="4" t="s">
        <v>172</v>
      </c>
      <c r="I16" s="4" t="s">
        <v>171</v>
      </c>
      <c r="J16" s="4" t="s">
        <v>169</v>
      </c>
      <c r="K16" s="4" t="s">
        <v>171</v>
      </c>
      <c r="L16" s="4" t="s">
        <v>169</v>
      </c>
      <c r="M16" s="4" t="s">
        <v>173</v>
      </c>
      <c r="N16" s="4" t="s">
        <v>173</v>
      </c>
      <c r="O16" s="4" t="s">
        <v>169</v>
      </c>
      <c r="P16" s="4" t="s">
        <v>169</v>
      </c>
      <c r="Q16" s="4" t="s">
        <v>173</v>
      </c>
      <c r="R16" s="4" t="s">
        <v>171</v>
      </c>
      <c r="S16" s="4" t="s">
        <v>170</v>
      </c>
      <c r="T16" s="4" t="s">
        <v>171</v>
      </c>
      <c r="U16" s="4" t="s">
        <v>170</v>
      </c>
      <c r="V16" s="4" t="s">
        <v>171</v>
      </c>
      <c r="W16" s="4" t="s">
        <v>173</v>
      </c>
      <c r="X16" s="4" t="s">
        <v>171</v>
      </c>
      <c r="Y16" s="4" t="s">
        <v>170</v>
      </c>
      <c r="Z16" s="4" t="s">
        <v>171</v>
      </c>
      <c r="AA16" s="4" t="s">
        <v>173</v>
      </c>
      <c r="AB16" s="4" t="s">
        <v>171</v>
      </c>
      <c r="AC16" s="4" t="s">
        <v>170</v>
      </c>
      <c r="AD16" s="4" t="s">
        <v>171</v>
      </c>
      <c r="AE16" s="4" t="s">
        <v>170</v>
      </c>
      <c r="AF16" s="4" t="s">
        <v>171</v>
      </c>
      <c r="AG16" s="4" t="s">
        <v>170</v>
      </c>
      <c r="AH16" s="4" t="s">
        <v>168</v>
      </c>
    </row>
    <row r="17" spans="1:34" x14ac:dyDescent="0.35">
      <c r="A17" s="4" t="s">
        <v>120</v>
      </c>
      <c r="B17" s="4" t="s">
        <v>171</v>
      </c>
      <c r="C17" s="4" t="s">
        <v>173</v>
      </c>
      <c r="D17" s="4" t="s">
        <v>170</v>
      </c>
      <c r="E17" s="4" t="s">
        <v>171</v>
      </c>
      <c r="F17" s="4" t="s">
        <v>169</v>
      </c>
      <c r="G17" s="4" t="s">
        <v>171</v>
      </c>
      <c r="H17" s="4" t="s">
        <v>172</v>
      </c>
      <c r="I17" s="4" t="s">
        <v>171</v>
      </c>
      <c r="J17" s="4" t="s">
        <v>171</v>
      </c>
      <c r="K17" s="4" t="s">
        <v>171</v>
      </c>
      <c r="L17" s="4" t="s">
        <v>169</v>
      </c>
      <c r="M17" s="4" t="s">
        <v>171</v>
      </c>
      <c r="N17" s="4" t="s">
        <v>173</v>
      </c>
      <c r="O17" s="4" t="s">
        <v>169</v>
      </c>
      <c r="P17" s="4" t="s">
        <v>169</v>
      </c>
      <c r="Q17" s="4" t="s">
        <v>173</v>
      </c>
      <c r="R17" s="4" t="s">
        <v>171</v>
      </c>
      <c r="S17" s="4" t="s">
        <v>173</v>
      </c>
      <c r="T17" s="4" t="s">
        <v>171</v>
      </c>
      <c r="U17" s="4" t="s">
        <v>170</v>
      </c>
      <c r="V17" s="4" t="s">
        <v>171</v>
      </c>
      <c r="W17" s="4" t="s">
        <v>173</v>
      </c>
      <c r="X17" s="4" t="s">
        <v>171</v>
      </c>
      <c r="Y17" s="4" t="s">
        <v>170</v>
      </c>
      <c r="Z17" s="4" t="s">
        <v>169</v>
      </c>
      <c r="AA17" s="4" t="s">
        <v>173</v>
      </c>
      <c r="AB17" s="4" t="s">
        <v>171</v>
      </c>
      <c r="AC17" s="4" t="s">
        <v>170</v>
      </c>
      <c r="AD17" s="4" t="s">
        <v>171</v>
      </c>
      <c r="AE17" s="4" t="s">
        <v>170</v>
      </c>
      <c r="AF17" s="4" t="s">
        <v>171</v>
      </c>
      <c r="AG17" s="4" t="s">
        <v>170</v>
      </c>
      <c r="AH17" s="4" t="s">
        <v>168</v>
      </c>
    </row>
    <row r="18" spans="1:34" x14ac:dyDescent="0.35">
      <c r="A18" s="4" t="s">
        <v>120</v>
      </c>
      <c r="B18" s="4" t="s">
        <v>171</v>
      </c>
      <c r="C18" s="4" t="s">
        <v>169</v>
      </c>
      <c r="D18" s="4" t="s">
        <v>169</v>
      </c>
      <c r="E18" s="4" t="s">
        <v>172</v>
      </c>
      <c r="F18" s="4" t="s">
        <v>169</v>
      </c>
      <c r="G18" s="4" t="s">
        <v>171</v>
      </c>
      <c r="H18" s="4" t="s">
        <v>172</v>
      </c>
      <c r="I18" s="4" t="s">
        <v>171</v>
      </c>
      <c r="J18" s="4" t="s">
        <v>171</v>
      </c>
      <c r="K18" s="4" t="s">
        <v>171</v>
      </c>
      <c r="L18" s="4" t="s">
        <v>169</v>
      </c>
      <c r="M18" s="4" t="s">
        <v>171</v>
      </c>
      <c r="N18" s="4" t="s">
        <v>173</v>
      </c>
      <c r="O18" s="4" t="s">
        <v>169</v>
      </c>
      <c r="P18" s="4" t="s">
        <v>169</v>
      </c>
      <c r="Q18" s="4" t="s">
        <v>173</v>
      </c>
      <c r="R18" s="4" t="s">
        <v>171</v>
      </c>
      <c r="S18" s="4" t="s">
        <v>170</v>
      </c>
      <c r="T18" s="4" t="s">
        <v>171</v>
      </c>
      <c r="U18" s="4" t="s">
        <v>170</v>
      </c>
      <c r="V18" s="4" t="s">
        <v>171</v>
      </c>
      <c r="W18" s="4" t="s">
        <v>173</v>
      </c>
      <c r="X18" s="4" t="s">
        <v>171</v>
      </c>
      <c r="Y18" s="4" t="s">
        <v>170</v>
      </c>
      <c r="Z18" s="4" t="s">
        <v>171</v>
      </c>
      <c r="AA18" s="4" t="s">
        <v>170</v>
      </c>
      <c r="AB18" s="4" t="s">
        <v>171</v>
      </c>
      <c r="AC18" s="4" t="s">
        <v>170</v>
      </c>
      <c r="AD18" s="4" t="s">
        <v>171</v>
      </c>
      <c r="AE18" s="4" t="s">
        <v>170</v>
      </c>
      <c r="AF18" s="4" t="s">
        <v>171</v>
      </c>
      <c r="AG18" s="4" t="s">
        <v>170</v>
      </c>
      <c r="AH18" s="4">
        <v>0.4</v>
      </c>
    </row>
    <row r="19" spans="1:34" x14ac:dyDescent="0.35">
      <c r="A19" s="4" t="s">
        <v>120</v>
      </c>
      <c r="B19" s="4" t="s">
        <v>176</v>
      </c>
      <c r="C19" s="4" t="s">
        <v>173</v>
      </c>
      <c r="D19" s="6">
        <v>1.71698113207547</v>
      </c>
      <c r="E19" s="4" t="s">
        <v>172</v>
      </c>
      <c r="F19" s="4" t="s">
        <v>169</v>
      </c>
      <c r="G19" s="4" t="s">
        <v>171</v>
      </c>
      <c r="H19" s="4" t="s">
        <v>172</v>
      </c>
      <c r="I19" s="4" t="s">
        <v>171</v>
      </c>
      <c r="J19" s="4" t="s">
        <v>171</v>
      </c>
      <c r="K19" s="4" t="s">
        <v>171</v>
      </c>
      <c r="L19" s="4" t="s">
        <v>171</v>
      </c>
      <c r="M19" s="6">
        <v>1.7945205479452</v>
      </c>
      <c r="N19" s="4" t="s">
        <v>173</v>
      </c>
      <c r="O19" s="4" t="s">
        <v>169</v>
      </c>
      <c r="P19" s="4" t="s">
        <v>169</v>
      </c>
      <c r="Q19" s="4" t="s">
        <v>173</v>
      </c>
      <c r="R19" s="4" t="s">
        <v>171</v>
      </c>
      <c r="S19" s="4" t="s">
        <v>170</v>
      </c>
      <c r="T19" s="4" t="s">
        <v>171</v>
      </c>
      <c r="U19" s="4" t="s">
        <v>170</v>
      </c>
      <c r="V19" s="4" t="s">
        <v>171</v>
      </c>
      <c r="W19" s="4" t="s">
        <v>173</v>
      </c>
      <c r="X19" s="4" t="s">
        <v>171</v>
      </c>
      <c r="Y19" s="4" t="s">
        <v>170</v>
      </c>
      <c r="Z19" s="4" t="s">
        <v>171</v>
      </c>
      <c r="AA19" s="4" t="s">
        <v>173</v>
      </c>
      <c r="AB19" s="4" t="s">
        <v>171</v>
      </c>
      <c r="AC19" s="4" t="s">
        <v>170</v>
      </c>
      <c r="AD19" s="4" t="s">
        <v>171</v>
      </c>
      <c r="AE19" s="4" t="s">
        <v>170</v>
      </c>
      <c r="AF19" s="4" t="s">
        <v>171</v>
      </c>
      <c r="AG19" s="4" t="s">
        <v>170</v>
      </c>
      <c r="AH19" s="4">
        <v>0.4</v>
      </c>
    </row>
    <row r="20" spans="1:34" x14ac:dyDescent="0.35">
      <c r="A20" s="4" t="s">
        <v>120</v>
      </c>
      <c r="B20" s="4" t="s">
        <v>173</v>
      </c>
      <c r="C20" s="4" t="s">
        <v>171</v>
      </c>
      <c r="D20" s="4" t="s">
        <v>171</v>
      </c>
      <c r="E20" s="4" t="s">
        <v>172</v>
      </c>
      <c r="F20" s="4" t="s">
        <v>169</v>
      </c>
      <c r="G20" s="4" t="s">
        <v>171</v>
      </c>
      <c r="H20" s="4" t="s">
        <v>172</v>
      </c>
      <c r="I20" s="4" t="s">
        <v>171</v>
      </c>
      <c r="J20" s="4" t="s">
        <v>171</v>
      </c>
      <c r="K20" s="4" t="s">
        <v>177</v>
      </c>
      <c r="L20" s="4" t="s">
        <v>169</v>
      </c>
      <c r="M20" s="4" t="s">
        <v>169</v>
      </c>
      <c r="N20" s="4" t="s">
        <v>173</v>
      </c>
      <c r="O20" s="4" t="s">
        <v>169</v>
      </c>
      <c r="P20" s="4" t="s">
        <v>173</v>
      </c>
      <c r="Q20" s="4" t="s">
        <v>173</v>
      </c>
      <c r="R20" s="4" t="s">
        <v>171</v>
      </c>
      <c r="S20" s="4" t="s">
        <v>170</v>
      </c>
      <c r="T20" s="4" t="s">
        <v>171</v>
      </c>
      <c r="U20" s="4" t="s">
        <v>170</v>
      </c>
      <c r="V20" s="4" t="s">
        <v>171</v>
      </c>
      <c r="W20" s="4" t="s">
        <v>173</v>
      </c>
      <c r="X20" s="4" t="s">
        <v>171</v>
      </c>
      <c r="Y20" s="4" t="s">
        <v>170</v>
      </c>
      <c r="Z20" s="4" t="s">
        <v>171</v>
      </c>
      <c r="AA20" s="4" t="s">
        <v>173</v>
      </c>
      <c r="AB20" s="4" t="s">
        <v>171</v>
      </c>
      <c r="AC20" s="4" t="s">
        <v>170</v>
      </c>
      <c r="AD20" s="4" t="s">
        <v>171</v>
      </c>
      <c r="AE20" s="4" t="s">
        <v>170</v>
      </c>
      <c r="AF20" s="4" t="s">
        <v>171</v>
      </c>
      <c r="AG20" s="4" t="s">
        <v>170</v>
      </c>
      <c r="AH20" s="4" t="s">
        <v>168</v>
      </c>
    </row>
    <row r="21" spans="1:34" x14ac:dyDescent="0.35">
      <c r="A21" s="4" t="s">
        <v>120</v>
      </c>
      <c r="B21" s="4" t="s">
        <v>173</v>
      </c>
      <c r="C21" s="4" t="s">
        <v>169</v>
      </c>
      <c r="D21" s="4" t="s">
        <v>169</v>
      </c>
      <c r="E21" s="4" t="s">
        <v>172</v>
      </c>
      <c r="F21" s="4" t="s">
        <v>169</v>
      </c>
      <c r="G21" s="4" t="s">
        <v>171</v>
      </c>
      <c r="H21" s="4" t="s">
        <v>172</v>
      </c>
      <c r="I21" s="4" t="s">
        <v>171</v>
      </c>
      <c r="J21" s="4" t="s">
        <v>171</v>
      </c>
      <c r="K21" s="4" t="s">
        <v>177</v>
      </c>
      <c r="L21" s="4" t="s">
        <v>169</v>
      </c>
      <c r="M21" s="4" t="s">
        <v>171</v>
      </c>
      <c r="N21" s="4" t="s">
        <v>173</v>
      </c>
      <c r="O21" s="4" t="s">
        <v>169</v>
      </c>
      <c r="P21" s="4" t="s">
        <v>173</v>
      </c>
      <c r="Q21" s="4" t="s">
        <v>173</v>
      </c>
      <c r="R21" s="4" t="s">
        <v>171</v>
      </c>
      <c r="S21" s="4" t="s">
        <v>170</v>
      </c>
      <c r="T21" s="4" t="s">
        <v>171</v>
      </c>
      <c r="U21" s="4" t="s">
        <v>170</v>
      </c>
      <c r="V21" s="4" t="s">
        <v>171</v>
      </c>
      <c r="W21" s="4" t="s">
        <v>173</v>
      </c>
      <c r="X21" s="4" t="s">
        <v>171</v>
      </c>
      <c r="Y21" s="4" t="s">
        <v>170</v>
      </c>
      <c r="Z21" s="4" t="s">
        <v>171</v>
      </c>
      <c r="AA21" s="4" t="s">
        <v>173</v>
      </c>
      <c r="AB21" s="4" t="s">
        <v>171</v>
      </c>
      <c r="AC21" s="4" t="s">
        <v>170</v>
      </c>
      <c r="AD21" s="4" t="s">
        <v>171</v>
      </c>
      <c r="AE21" s="4" t="s">
        <v>170</v>
      </c>
      <c r="AF21" s="4" t="s">
        <v>171</v>
      </c>
      <c r="AG21" s="4" t="s">
        <v>170</v>
      </c>
      <c r="AH21" s="4" t="s">
        <v>168</v>
      </c>
    </row>
    <row r="22" spans="1:34" x14ac:dyDescent="0.35">
      <c r="A22" s="4" t="s">
        <v>120</v>
      </c>
      <c r="B22" s="4" t="s">
        <v>173</v>
      </c>
      <c r="C22" s="4" t="s">
        <v>169</v>
      </c>
      <c r="D22" s="4" t="s">
        <v>171</v>
      </c>
      <c r="E22" s="4" t="s">
        <v>172</v>
      </c>
      <c r="F22" s="4" t="s">
        <v>173</v>
      </c>
      <c r="G22" s="4" t="s">
        <v>171</v>
      </c>
      <c r="H22" s="4" t="s">
        <v>172</v>
      </c>
      <c r="I22" s="4" t="s">
        <v>171</v>
      </c>
      <c r="J22" s="4" t="s">
        <v>169</v>
      </c>
      <c r="K22" s="4" t="s">
        <v>171</v>
      </c>
      <c r="L22" s="4" t="s">
        <v>169</v>
      </c>
      <c r="M22" s="4" t="s">
        <v>171</v>
      </c>
      <c r="N22" s="4" t="s">
        <v>173</v>
      </c>
      <c r="O22" s="4" t="s">
        <v>169</v>
      </c>
      <c r="P22" s="4" t="s">
        <v>169</v>
      </c>
      <c r="Q22" s="4" t="s">
        <v>173</v>
      </c>
      <c r="R22" s="4" t="s">
        <v>171</v>
      </c>
      <c r="S22" s="4" t="s">
        <v>170</v>
      </c>
      <c r="T22" s="4" t="s">
        <v>171</v>
      </c>
      <c r="U22" s="4" t="s">
        <v>170</v>
      </c>
      <c r="V22" s="4" t="s">
        <v>171</v>
      </c>
      <c r="W22" s="4" t="s">
        <v>173</v>
      </c>
      <c r="X22" s="4" t="s">
        <v>171</v>
      </c>
      <c r="Y22" s="4" t="s">
        <v>170</v>
      </c>
      <c r="Z22" s="4" t="s">
        <v>169</v>
      </c>
      <c r="AA22" s="4" t="s">
        <v>170</v>
      </c>
      <c r="AB22" s="4" t="s">
        <v>171</v>
      </c>
      <c r="AC22" s="4" t="s">
        <v>170</v>
      </c>
      <c r="AD22" s="4" t="s">
        <v>171</v>
      </c>
      <c r="AE22" s="4" t="s">
        <v>170</v>
      </c>
      <c r="AF22" s="4" t="s">
        <v>171</v>
      </c>
      <c r="AG22" s="4" t="s">
        <v>170</v>
      </c>
      <c r="AH22" s="4">
        <v>0.4</v>
      </c>
    </row>
    <row r="23" spans="1:34" x14ac:dyDescent="0.35">
      <c r="A23" s="4" t="s">
        <v>120</v>
      </c>
      <c r="B23" s="4" t="s">
        <v>170</v>
      </c>
      <c r="C23" s="4" t="s">
        <v>169</v>
      </c>
      <c r="D23" s="4" t="s">
        <v>169</v>
      </c>
      <c r="E23" s="4" t="s">
        <v>172</v>
      </c>
      <c r="F23" s="4" t="s">
        <v>169</v>
      </c>
      <c r="G23" s="4" t="s">
        <v>171</v>
      </c>
      <c r="H23" s="4" t="s">
        <v>172</v>
      </c>
      <c r="I23" s="4" t="s">
        <v>171</v>
      </c>
      <c r="J23" s="4" t="s">
        <v>171</v>
      </c>
      <c r="K23" s="4" t="s">
        <v>171</v>
      </c>
      <c r="L23" s="4" t="s">
        <v>169</v>
      </c>
      <c r="M23" s="4" t="s">
        <v>169</v>
      </c>
      <c r="N23" s="4" t="s">
        <v>173</v>
      </c>
      <c r="O23" s="4" t="s">
        <v>169</v>
      </c>
      <c r="P23" s="4" t="s">
        <v>169</v>
      </c>
      <c r="Q23" s="4" t="s">
        <v>173</v>
      </c>
      <c r="R23" s="4" t="s">
        <v>171</v>
      </c>
      <c r="S23" s="4" t="s">
        <v>170</v>
      </c>
      <c r="T23" s="4" t="s">
        <v>171</v>
      </c>
      <c r="U23" s="4" t="s">
        <v>170</v>
      </c>
      <c r="V23" s="4" t="s">
        <v>171</v>
      </c>
      <c r="W23" s="4" t="s">
        <v>173</v>
      </c>
      <c r="X23" s="4" t="s">
        <v>171</v>
      </c>
      <c r="Y23" s="4" t="s">
        <v>170</v>
      </c>
      <c r="Z23" s="4" t="s">
        <v>171</v>
      </c>
      <c r="AA23" s="4" t="s">
        <v>170</v>
      </c>
      <c r="AB23" s="4" t="s">
        <v>171</v>
      </c>
      <c r="AC23" s="4" t="s">
        <v>170</v>
      </c>
      <c r="AD23" s="4" t="s">
        <v>171</v>
      </c>
      <c r="AE23" s="4" t="s">
        <v>170</v>
      </c>
      <c r="AF23" s="4" t="s">
        <v>171</v>
      </c>
      <c r="AG23" s="4" t="s">
        <v>170</v>
      </c>
      <c r="AH23" s="4">
        <v>0.4</v>
      </c>
    </row>
    <row r="24" spans="1:34" x14ac:dyDescent="0.35">
      <c r="A24" s="4" t="s">
        <v>120</v>
      </c>
      <c r="B24" s="4" t="s">
        <v>169</v>
      </c>
      <c r="C24" s="6">
        <v>1.95061728395061</v>
      </c>
      <c r="D24" s="6">
        <v>1.71698113207547</v>
      </c>
      <c r="E24" s="6">
        <v>5.2222222222222197</v>
      </c>
      <c r="F24" s="6">
        <v>1.7654320987654299</v>
      </c>
      <c r="G24" s="6">
        <v>1.94805194805194</v>
      </c>
      <c r="H24" s="6">
        <v>6.0123456790123404</v>
      </c>
      <c r="I24" s="6">
        <v>1.93670886075949</v>
      </c>
      <c r="J24" s="6">
        <v>1.81481481481481</v>
      </c>
      <c r="K24" s="6">
        <v>3.75308641975308</v>
      </c>
      <c r="L24" s="6">
        <v>1.1111111111111101</v>
      </c>
      <c r="M24" s="6">
        <v>1.7945205479452</v>
      </c>
      <c r="N24" s="6">
        <v>2.9012345679012301</v>
      </c>
      <c r="O24" s="6">
        <v>1.18518518518518</v>
      </c>
      <c r="P24" s="6">
        <v>1.37974683544303</v>
      </c>
      <c r="Q24" s="6">
        <v>2.61728395061728</v>
      </c>
      <c r="R24" s="6">
        <v>1.98765432098765</v>
      </c>
      <c r="S24" s="6">
        <v>3.7654320987654302</v>
      </c>
      <c r="T24" s="6">
        <v>1.9753086419753001</v>
      </c>
      <c r="U24" s="4" t="s">
        <v>170</v>
      </c>
      <c r="V24" s="4" t="s">
        <v>171</v>
      </c>
      <c r="W24" s="6">
        <v>3.1111111111111098</v>
      </c>
      <c r="X24" s="4" t="s">
        <v>171</v>
      </c>
      <c r="Y24" s="6">
        <v>3.9753086419753001</v>
      </c>
      <c r="Z24" s="6">
        <v>1.9012345679012299</v>
      </c>
      <c r="AA24" s="6">
        <v>3.4444444444444402</v>
      </c>
      <c r="AB24" s="4" t="s">
        <v>171</v>
      </c>
      <c r="AC24" s="4" t="s">
        <v>170</v>
      </c>
      <c r="AD24" s="4" t="s">
        <v>171</v>
      </c>
      <c r="AE24" s="4" t="s">
        <v>170</v>
      </c>
      <c r="AF24" s="6">
        <v>1.93827160493827</v>
      </c>
      <c r="AG24" s="4" t="s">
        <v>170</v>
      </c>
      <c r="AH24" s="4">
        <v>0.4</v>
      </c>
    </row>
    <row r="25" spans="1:34" x14ac:dyDescent="0.35">
      <c r="A25" s="4" t="s">
        <v>120</v>
      </c>
      <c r="B25" s="4" t="s">
        <v>169</v>
      </c>
      <c r="C25" s="6">
        <v>1.95061728395061</v>
      </c>
      <c r="D25" s="6">
        <v>1.71698113207547</v>
      </c>
      <c r="E25" s="6">
        <v>5.2222222222222197</v>
      </c>
      <c r="F25" s="6">
        <v>1.7654320987654299</v>
      </c>
      <c r="G25" s="6">
        <v>1.94805194805194</v>
      </c>
      <c r="H25" s="6">
        <v>6.0123456790123404</v>
      </c>
      <c r="I25" s="6">
        <v>1.93670886075949</v>
      </c>
      <c r="J25" s="6">
        <v>1.81481481481481</v>
      </c>
      <c r="K25" s="6">
        <v>3.75308641975308</v>
      </c>
      <c r="L25" s="6">
        <v>1.1111111111111101</v>
      </c>
      <c r="M25" s="6">
        <v>1.7945205479452</v>
      </c>
      <c r="N25" s="6">
        <v>2.9012345679012301</v>
      </c>
      <c r="O25" s="6">
        <v>1.18518518518518</v>
      </c>
      <c r="P25" s="6">
        <v>1.37974683544303</v>
      </c>
      <c r="Q25" s="6">
        <v>2.61728395061728</v>
      </c>
      <c r="R25" s="6">
        <v>1.98765432098765</v>
      </c>
      <c r="S25" s="6">
        <v>3.7654320987654302</v>
      </c>
      <c r="T25" s="6">
        <v>1.9753086419753001</v>
      </c>
      <c r="U25" s="4" t="s">
        <v>170</v>
      </c>
      <c r="V25" s="4" t="s">
        <v>171</v>
      </c>
      <c r="W25" s="6">
        <v>3.1111111111111098</v>
      </c>
      <c r="X25" s="4" t="s">
        <v>171</v>
      </c>
      <c r="Y25" s="6">
        <v>3.9753086419753001</v>
      </c>
      <c r="Z25" s="6">
        <v>1.9012345679012299</v>
      </c>
      <c r="AA25" s="6">
        <v>3.4444444444444402</v>
      </c>
      <c r="AB25" s="4" t="s">
        <v>171</v>
      </c>
      <c r="AC25" s="4" t="s">
        <v>170</v>
      </c>
      <c r="AD25" s="4" t="s">
        <v>171</v>
      </c>
      <c r="AE25" s="4" t="s">
        <v>170</v>
      </c>
      <c r="AF25" s="6">
        <v>1.93827160493827</v>
      </c>
      <c r="AG25" s="4" t="s">
        <v>170</v>
      </c>
      <c r="AH25" s="4">
        <v>0.4</v>
      </c>
    </row>
    <row r="26" spans="1:34" x14ac:dyDescent="0.35">
      <c r="A26" s="4" t="s">
        <v>120</v>
      </c>
      <c r="B26" s="4" t="s">
        <v>169</v>
      </c>
      <c r="C26" s="6">
        <v>1.95061728395061</v>
      </c>
      <c r="D26" s="6">
        <v>1.71698113207547</v>
      </c>
      <c r="E26" s="6">
        <v>5.2222222222222197</v>
      </c>
      <c r="F26" s="6">
        <v>1.7654320987654299</v>
      </c>
      <c r="G26" s="6">
        <v>1.94805194805194</v>
      </c>
      <c r="H26" s="6">
        <v>6.0123456790123404</v>
      </c>
      <c r="I26" s="6">
        <v>1.93670886075949</v>
      </c>
      <c r="J26" s="6">
        <v>1.81481481481481</v>
      </c>
      <c r="K26" s="6">
        <v>3.75308641975308</v>
      </c>
      <c r="L26" s="6">
        <v>1.1111111111111101</v>
      </c>
      <c r="M26" s="6">
        <v>1.7945205479452</v>
      </c>
      <c r="N26" s="6">
        <v>2.9012345679012301</v>
      </c>
      <c r="O26" s="6">
        <v>1.18518518518518</v>
      </c>
      <c r="P26" s="6">
        <v>1.37974683544303</v>
      </c>
      <c r="Q26" s="6">
        <v>2.61728395061728</v>
      </c>
      <c r="R26" s="6">
        <v>1.98765432098765</v>
      </c>
      <c r="S26" s="6">
        <v>3.7654320987654302</v>
      </c>
      <c r="T26" s="6">
        <v>1.9753086419753001</v>
      </c>
      <c r="U26" s="4" t="s">
        <v>170</v>
      </c>
      <c r="V26" s="4" t="s">
        <v>171</v>
      </c>
      <c r="W26" s="6">
        <v>3.1111111111111098</v>
      </c>
      <c r="X26" s="4" t="s">
        <v>171</v>
      </c>
      <c r="Y26" s="6">
        <v>3.9753086419753001</v>
      </c>
      <c r="Z26" s="6">
        <v>1.9012345679012299</v>
      </c>
      <c r="AA26" s="6">
        <v>3.4444444444444402</v>
      </c>
      <c r="AB26" s="4" t="s">
        <v>171</v>
      </c>
      <c r="AC26" s="4" t="s">
        <v>170</v>
      </c>
      <c r="AD26" s="4" t="s">
        <v>171</v>
      </c>
      <c r="AE26" s="4" t="s">
        <v>170</v>
      </c>
      <c r="AF26" s="6">
        <v>1.93827160493827</v>
      </c>
      <c r="AG26" s="4" t="s">
        <v>170</v>
      </c>
      <c r="AH26" s="4">
        <v>0.4</v>
      </c>
    </row>
    <row r="27" spans="1:34" x14ac:dyDescent="0.35">
      <c r="A27" s="4" t="s">
        <v>120</v>
      </c>
      <c r="B27" s="4" t="s">
        <v>173</v>
      </c>
      <c r="C27" s="4" t="s">
        <v>171</v>
      </c>
      <c r="D27" s="4" t="s">
        <v>171</v>
      </c>
      <c r="E27" s="4" t="s">
        <v>172</v>
      </c>
      <c r="F27" s="4" t="s">
        <v>169</v>
      </c>
      <c r="G27" s="4" t="s">
        <v>171</v>
      </c>
      <c r="H27" s="4" t="s">
        <v>172</v>
      </c>
      <c r="I27" s="4" t="s">
        <v>171</v>
      </c>
      <c r="J27" s="4" t="s">
        <v>169</v>
      </c>
      <c r="K27" s="4" t="s">
        <v>171</v>
      </c>
      <c r="L27" s="4" t="s">
        <v>169</v>
      </c>
      <c r="M27" s="4" t="s">
        <v>171</v>
      </c>
      <c r="N27" s="4" t="s">
        <v>173</v>
      </c>
      <c r="O27" s="4" t="s">
        <v>169</v>
      </c>
      <c r="P27" s="4" t="s">
        <v>169</v>
      </c>
      <c r="Q27" s="4" t="s">
        <v>169</v>
      </c>
      <c r="R27" s="4" t="s">
        <v>171</v>
      </c>
      <c r="S27" s="4" t="s">
        <v>170</v>
      </c>
      <c r="T27" s="4" t="s">
        <v>171</v>
      </c>
      <c r="U27" s="4" t="s">
        <v>170</v>
      </c>
      <c r="V27" s="4" t="s">
        <v>171</v>
      </c>
      <c r="W27" s="4" t="s">
        <v>173</v>
      </c>
      <c r="X27" s="4" t="s">
        <v>171</v>
      </c>
      <c r="Y27" s="4" t="s">
        <v>170</v>
      </c>
      <c r="Z27" s="4" t="s">
        <v>171</v>
      </c>
      <c r="AA27" s="4" t="s">
        <v>170</v>
      </c>
      <c r="AB27" s="4" t="s">
        <v>171</v>
      </c>
      <c r="AC27" s="4" t="s">
        <v>170</v>
      </c>
      <c r="AD27" s="4" t="s">
        <v>171</v>
      </c>
      <c r="AE27" s="4" t="s">
        <v>170</v>
      </c>
      <c r="AF27" s="4" t="s">
        <v>171</v>
      </c>
      <c r="AG27" s="4" t="s">
        <v>170</v>
      </c>
      <c r="AH27" s="4" t="s">
        <v>168</v>
      </c>
    </row>
    <row r="28" spans="1:34" x14ac:dyDescent="0.35">
      <c r="A28" s="4" t="s">
        <v>120</v>
      </c>
      <c r="B28" s="4" t="s">
        <v>176</v>
      </c>
      <c r="C28" s="4" t="s">
        <v>171</v>
      </c>
      <c r="D28" s="6">
        <v>1.71698113207547</v>
      </c>
      <c r="E28" s="4" t="s">
        <v>178</v>
      </c>
      <c r="F28" s="4" t="s">
        <v>173</v>
      </c>
      <c r="G28" s="4" t="s">
        <v>171</v>
      </c>
      <c r="H28" s="4" t="s">
        <v>172</v>
      </c>
      <c r="I28" s="4" t="s">
        <v>171</v>
      </c>
      <c r="J28" s="4" t="s">
        <v>171</v>
      </c>
      <c r="K28" s="4" t="s">
        <v>171</v>
      </c>
      <c r="L28" s="4" t="s">
        <v>169</v>
      </c>
      <c r="M28" s="4" t="s">
        <v>171</v>
      </c>
      <c r="N28" s="4" t="s">
        <v>171</v>
      </c>
      <c r="O28" s="4" t="s">
        <v>169</v>
      </c>
      <c r="P28" s="4" t="s">
        <v>169</v>
      </c>
      <c r="Q28" s="4" t="s">
        <v>173</v>
      </c>
      <c r="R28" s="4" t="s">
        <v>171</v>
      </c>
      <c r="S28" s="4" t="s">
        <v>170</v>
      </c>
      <c r="T28" s="4" t="s">
        <v>171</v>
      </c>
      <c r="U28" s="4" t="s">
        <v>170</v>
      </c>
      <c r="V28" s="4" t="s">
        <v>171</v>
      </c>
      <c r="W28" s="4" t="s">
        <v>173</v>
      </c>
      <c r="X28" s="4" t="s">
        <v>171</v>
      </c>
      <c r="Y28" s="4" t="s">
        <v>170</v>
      </c>
      <c r="Z28" s="4" t="s">
        <v>171</v>
      </c>
      <c r="AA28" s="4" t="s">
        <v>173</v>
      </c>
      <c r="AB28" s="4" t="s">
        <v>171</v>
      </c>
      <c r="AC28" s="4" t="s">
        <v>170</v>
      </c>
      <c r="AD28" s="4" t="s">
        <v>171</v>
      </c>
      <c r="AE28" s="4" t="s">
        <v>170</v>
      </c>
      <c r="AF28" s="4" t="s">
        <v>171</v>
      </c>
      <c r="AG28" s="4" t="s">
        <v>170</v>
      </c>
      <c r="AH28" s="4">
        <v>0.4</v>
      </c>
    </row>
    <row r="29" spans="1:34" x14ac:dyDescent="0.35">
      <c r="A29" s="4" t="s">
        <v>120</v>
      </c>
      <c r="B29" s="4" t="s">
        <v>172</v>
      </c>
      <c r="C29" s="4" t="s">
        <v>171</v>
      </c>
      <c r="D29" s="4" t="s">
        <v>171</v>
      </c>
      <c r="E29" s="4" t="s">
        <v>172</v>
      </c>
      <c r="F29" s="4" t="s">
        <v>169</v>
      </c>
      <c r="G29" s="4" t="s">
        <v>171</v>
      </c>
      <c r="H29" s="4" t="s">
        <v>172</v>
      </c>
      <c r="I29" s="4" t="s">
        <v>171</v>
      </c>
      <c r="J29" s="4" t="s">
        <v>171</v>
      </c>
      <c r="K29" s="4" t="s">
        <v>177</v>
      </c>
      <c r="L29" s="4" t="s">
        <v>169</v>
      </c>
      <c r="M29" s="4" t="s">
        <v>171</v>
      </c>
      <c r="N29" s="4" t="s">
        <v>173</v>
      </c>
      <c r="O29" s="4" t="s">
        <v>169</v>
      </c>
      <c r="P29" s="4" t="s">
        <v>173</v>
      </c>
      <c r="Q29" s="4" t="s">
        <v>173</v>
      </c>
      <c r="R29" s="4" t="s">
        <v>171</v>
      </c>
      <c r="S29" s="4" t="s">
        <v>170</v>
      </c>
      <c r="T29" s="4" t="s">
        <v>171</v>
      </c>
      <c r="U29" s="4" t="s">
        <v>170</v>
      </c>
      <c r="V29" s="4" t="s">
        <v>171</v>
      </c>
      <c r="W29" s="4" t="s">
        <v>173</v>
      </c>
      <c r="X29" s="4" t="s">
        <v>171</v>
      </c>
      <c r="Y29" s="4" t="s">
        <v>170</v>
      </c>
      <c r="Z29" s="4" t="s">
        <v>171</v>
      </c>
      <c r="AA29" s="4" t="s">
        <v>173</v>
      </c>
      <c r="AB29" s="4" t="s">
        <v>171</v>
      </c>
      <c r="AC29" s="4" t="s">
        <v>170</v>
      </c>
      <c r="AD29" s="4" t="s">
        <v>171</v>
      </c>
      <c r="AE29" s="4" t="s">
        <v>170</v>
      </c>
      <c r="AF29" s="4" t="s">
        <v>171</v>
      </c>
      <c r="AG29" s="4" t="s">
        <v>170</v>
      </c>
      <c r="AH29" s="4" t="s">
        <v>168</v>
      </c>
    </row>
    <row r="30" spans="1:34" x14ac:dyDescent="0.35">
      <c r="A30" s="4" t="s">
        <v>120</v>
      </c>
      <c r="B30" s="4" t="s">
        <v>176</v>
      </c>
      <c r="C30" s="4" t="s">
        <v>171</v>
      </c>
      <c r="D30" s="4" t="s">
        <v>171</v>
      </c>
      <c r="E30" s="4" t="s">
        <v>172</v>
      </c>
      <c r="F30" s="4" t="s">
        <v>173</v>
      </c>
      <c r="G30" s="4" t="s">
        <v>171</v>
      </c>
      <c r="H30" s="4" t="s">
        <v>172</v>
      </c>
      <c r="I30" s="4" t="s">
        <v>171</v>
      </c>
      <c r="J30" s="4" t="s">
        <v>169</v>
      </c>
      <c r="K30" s="4" t="s">
        <v>171</v>
      </c>
      <c r="L30" s="4" t="s">
        <v>169</v>
      </c>
      <c r="M30" s="4" t="s">
        <v>169</v>
      </c>
      <c r="N30" s="4" t="s">
        <v>173</v>
      </c>
      <c r="O30" s="4" t="s">
        <v>169</v>
      </c>
      <c r="P30" s="4" t="s">
        <v>169</v>
      </c>
      <c r="Q30" s="4" t="s">
        <v>169</v>
      </c>
      <c r="R30" s="4" t="s">
        <v>171</v>
      </c>
      <c r="S30" s="4" t="s">
        <v>173</v>
      </c>
      <c r="T30" s="4" t="s">
        <v>171</v>
      </c>
      <c r="U30" s="4" t="s">
        <v>170</v>
      </c>
      <c r="V30" s="4" t="s">
        <v>171</v>
      </c>
      <c r="W30" s="4" t="s">
        <v>173</v>
      </c>
      <c r="X30" s="4" t="s">
        <v>171</v>
      </c>
      <c r="Y30" s="4" t="s">
        <v>170</v>
      </c>
      <c r="Z30" s="4" t="s">
        <v>171</v>
      </c>
      <c r="AA30" s="4" t="s">
        <v>173</v>
      </c>
      <c r="AB30" s="4" t="s">
        <v>171</v>
      </c>
      <c r="AC30" s="4" t="s">
        <v>170</v>
      </c>
      <c r="AD30" s="4" t="s">
        <v>171</v>
      </c>
      <c r="AE30" s="4" t="s">
        <v>170</v>
      </c>
      <c r="AF30" s="4" t="s">
        <v>171</v>
      </c>
      <c r="AG30" s="4" t="s">
        <v>170</v>
      </c>
      <c r="AH30" s="4" t="s">
        <v>171</v>
      </c>
    </row>
    <row r="31" spans="1:34" x14ac:dyDescent="0.35">
      <c r="A31" s="4" t="s">
        <v>120</v>
      </c>
      <c r="B31" s="4" t="s">
        <v>171</v>
      </c>
      <c r="C31" s="4" t="s">
        <v>169</v>
      </c>
      <c r="D31" s="4" t="s">
        <v>169</v>
      </c>
      <c r="E31" s="4" t="s">
        <v>171</v>
      </c>
      <c r="F31" s="4" t="s">
        <v>169</v>
      </c>
      <c r="G31" s="4" t="s">
        <v>171</v>
      </c>
      <c r="H31" s="4" t="s">
        <v>172</v>
      </c>
      <c r="I31" s="4" t="s">
        <v>171</v>
      </c>
      <c r="J31" s="4" t="s">
        <v>173</v>
      </c>
      <c r="K31" s="4" t="s">
        <v>176</v>
      </c>
      <c r="L31" s="4" t="s">
        <v>169</v>
      </c>
      <c r="M31" s="4" t="s">
        <v>171</v>
      </c>
      <c r="N31" s="4" t="s">
        <v>173</v>
      </c>
      <c r="O31" s="4" t="s">
        <v>169</v>
      </c>
      <c r="P31" s="4" t="s">
        <v>169</v>
      </c>
      <c r="Q31" s="4" t="s">
        <v>169</v>
      </c>
      <c r="R31" s="4" t="s">
        <v>171</v>
      </c>
      <c r="S31" s="4" t="s">
        <v>173</v>
      </c>
      <c r="T31" s="4" t="s">
        <v>171</v>
      </c>
      <c r="U31" s="4" t="s">
        <v>170</v>
      </c>
      <c r="V31" s="4" t="s">
        <v>171</v>
      </c>
      <c r="W31" s="4" t="s">
        <v>173</v>
      </c>
      <c r="X31" s="4" t="s">
        <v>171</v>
      </c>
      <c r="Y31" s="4" t="s">
        <v>170</v>
      </c>
      <c r="Z31" s="4" t="s">
        <v>171</v>
      </c>
      <c r="AA31" s="4" t="s">
        <v>170</v>
      </c>
      <c r="AB31" s="4" t="s">
        <v>171</v>
      </c>
      <c r="AC31" s="4" t="s">
        <v>170</v>
      </c>
      <c r="AD31" s="4" t="s">
        <v>171</v>
      </c>
      <c r="AE31" s="4" t="s">
        <v>170</v>
      </c>
      <c r="AF31" s="4" t="s">
        <v>169</v>
      </c>
      <c r="AG31" s="4" t="s">
        <v>170</v>
      </c>
      <c r="AH31" s="4" t="s">
        <v>169</v>
      </c>
    </row>
    <row r="32" spans="1:34" x14ac:dyDescent="0.35">
      <c r="A32" s="4" t="s">
        <v>120</v>
      </c>
      <c r="B32" s="4" t="s">
        <v>174</v>
      </c>
      <c r="C32" s="4" t="s">
        <v>171</v>
      </c>
      <c r="D32" s="6">
        <v>1.71698113207547</v>
      </c>
      <c r="E32" s="4" t="s">
        <v>172</v>
      </c>
      <c r="F32" s="4" t="s">
        <v>169</v>
      </c>
      <c r="G32" s="4" t="s">
        <v>171</v>
      </c>
      <c r="H32" s="4" t="s">
        <v>172</v>
      </c>
      <c r="I32" s="4" t="s">
        <v>171</v>
      </c>
      <c r="J32" s="4" t="s">
        <v>171</v>
      </c>
      <c r="K32" s="4" t="s">
        <v>171</v>
      </c>
      <c r="L32" s="4" t="s">
        <v>169</v>
      </c>
      <c r="M32" s="4" t="s">
        <v>171</v>
      </c>
      <c r="N32" s="4" t="s">
        <v>173</v>
      </c>
      <c r="O32" s="4" t="s">
        <v>169</v>
      </c>
      <c r="P32" s="4" t="s">
        <v>169</v>
      </c>
      <c r="Q32" s="4" t="s">
        <v>173</v>
      </c>
      <c r="R32" s="4" t="s">
        <v>171</v>
      </c>
      <c r="S32" s="4" t="s">
        <v>170</v>
      </c>
      <c r="T32" s="4" t="s">
        <v>171</v>
      </c>
      <c r="U32" s="4" t="s">
        <v>170</v>
      </c>
      <c r="V32" s="4" t="s">
        <v>171</v>
      </c>
      <c r="W32" s="4" t="s">
        <v>170</v>
      </c>
      <c r="X32" s="4" t="s">
        <v>171</v>
      </c>
      <c r="Y32" s="4" t="s">
        <v>170</v>
      </c>
      <c r="Z32" s="4" t="s">
        <v>171</v>
      </c>
      <c r="AA32" s="4" t="s">
        <v>170</v>
      </c>
      <c r="AB32" s="4" t="s">
        <v>171</v>
      </c>
      <c r="AC32" s="4" t="s">
        <v>170</v>
      </c>
      <c r="AD32" s="4" t="s">
        <v>171</v>
      </c>
      <c r="AE32" s="4" t="s">
        <v>170</v>
      </c>
      <c r="AF32" s="4" t="s">
        <v>171</v>
      </c>
      <c r="AG32" s="4" t="s">
        <v>170</v>
      </c>
      <c r="AH32" s="4">
        <v>0.4</v>
      </c>
    </row>
    <row r="33" spans="1:34" x14ac:dyDescent="0.35">
      <c r="A33" s="4" t="s">
        <v>120</v>
      </c>
      <c r="B33" s="4" t="s">
        <v>169</v>
      </c>
      <c r="C33" s="4" t="s">
        <v>169</v>
      </c>
      <c r="D33" s="4" t="s">
        <v>169</v>
      </c>
      <c r="E33" s="4" t="s">
        <v>172</v>
      </c>
      <c r="F33" s="4" t="s">
        <v>169</v>
      </c>
      <c r="G33" s="4" t="s">
        <v>171</v>
      </c>
      <c r="H33" s="4" t="s">
        <v>172</v>
      </c>
      <c r="I33" s="4" t="s">
        <v>171</v>
      </c>
      <c r="J33" s="4" t="s">
        <v>173</v>
      </c>
      <c r="K33" s="4" t="s">
        <v>171</v>
      </c>
      <c r="L33" s="4" t="s">
        <v>169</v>
      </c>
      <c r="M33" s="4" t="s">
        <v>169</v>
      </c>
      <c r="N33" s="4" t="s">
        <v>173</v>
      </c>
      <c r="O33" s="4" t="s">
        <v>169</v>
      </c>
      <c r="P33" s="4" t="s">
        <v>169</v>
      </c>
      <c r="Q33" s="4" t="s">
        <v>169</v>
      </c>
      <c r="R33" s="4" t="s">
        <v>171</v>
      </c>
      <c r="S33" s="4" t="s">
        <v>173</v>
      </c>
      <c r="T33" s="4" t="s">
        <v>171</v>
      </c>
      <c r="U33" s="4" t="s">
        <v>170</v>
      </c>
      <c r="V33" s="4" t="s">
        <v>171</v>
      </c>
      <c r="W33" s="4" t="s">
        <v>173</v>
      </c>
      <c r="X33" s="4" t="s">
        <v>171</v>
      </c>
      <c r="Y33" s="4" t="s">
        <v>170</v>
      </c>
      <c r="Z33" s="4" t="s">
        <v>171</v>
      </c>
      <c r="AA33" s="4" t="s">
        <v>170</v>
      </c>
      <c r="AB33" s="4" t="s">
        <v>171</v>
      </c>
      <c r="AC33" s="4" t="s">
        <v>170</v>
      </c>
      <c r="AD33" s="4" t="s">
        <v>171</v>
      </c>
      <c r="AE33" s="4" t="s">
        <v>170</v>
      </c>
      <c r="AF33" s="4" t="s">
        <v>169</v>
      </c>
      <c r="AG33" s="4" t="s">
        <v>170</v>
      </c>
      <c r="AH33" s="4" t="s">
        <v>171</v>
      </c>
    </row>
    <row r="34" spans="1:34" x14ac:dyDescent="0.35">
      <c r="A34" s="4" t="s">
        <v>120</v>
      </c>
      <c r="B34" s="4" t="s">
        <v>169</v>
      </c>
      <c r="C34" s="4" t="s">
        <v>169</v>
      </c>
      <c r="D34" s="4" t="s">
        <v>171</v>
      </c>
      <c r="E34" s="4" t="s">
        <v>178</v>
      </c>
      <c r="F34" s="4" t="s">
        <v>173</v>
      </c>
      <c r="G34" s="4" t="s">
        <v>171</v>
      </c>
      <c r="H34" s="4" t="s">
        <v>172</v>
      </c>
      <c r="I34" s="4" t="s">
        <v>171</v>
      </c>
      <c r="J34" s="4" t="s">
        <v>169</v>
      </c>
      <c r="K34" s="4" t="s">
        <v>171</v>
      </c>
      <c r="L34" s="4" t="s">
        <v>169</v>
      </c>
      <c r="M34" s="4" t="s">
        <v>171</v>
      </c>
      <c r="N34" s="4" t="s">
        <v>173</v>
      </c>
      <c r="O34" s="4" t="s">
        <v>171</v>
      </c>
      <c r="P34" s="4" t="s">
        <v>169</v>
      </c>
      <c r="Q34" s="4" t="s">
        <v>173</v>
      </c>
      <c r="R34" s="4" t="s">
        <v>171</v>
      </c>
      <c r="S34" s="4" t="s">
        <v>170</v>
      </c>
      <c r="T34" s="4" t="s">
        <v>171</v>
      </c>
      <c r="U34" s="4" t="s">
        <v>170</v>
      </c>
      <c r="V34" s="4" t="s">
        <v>171</v>
      </c>
      <c r="W34" s="4" t="s">
        <v>173</v>
      </c>
      <c r="X34" s="4" t="s">
        <v>171</v>
      </c>
      <c r="Y34" s="4" t="s">
        <v>170</v>
      </c>
      <c r="Z34" s="4" t="s">
        <v>171</v>
      </c>
      <c r="AA34" s="4" t="s">
        <v>170</v>
      </c>
      <c r="AB34" s="4" t="s">
        <v>171</v>
      </c>
      <c r="AC34" s="4" t="s">
        <v>170</v>
      </c>
      <c r="AD34" s="4" t="s">
        <v>171</v>
      </c>
      <c r="AE34" s="4" t="s">
        <v>170</v>
      </c>
      <c r="AF34" s="4" t="s">
        <v>171</v>
      </c>
      <c r="AG34" s="4" t="s">
        <v>170</v>
      </c>
      <c r="AH34" s="4">
        <v>0.4</v>
      </c>
    </row>
    <row r="35" spans="1:34" x14ac:dyDescent="0.35">
      <c r="A35" s="4" t="s">
        <v>120</v>
      </c>
      <c r="B35" s="4" t="s">
        <v>176</v>
      </c>
      <c r="C35" s="4" t="s">
        <v>169</v>
      </c>
      <c r="D35" s="4" t="s">
        <v>169</v>
      </c>
      <c r="E35" s="4" t="s">
        <v>171</v>
      </c>
      <c r="F35" s="4" t="s">
        <v>169</v>
      </c>
      <c r="G35" s="4" t="s">
        <v>169</v>
      </c>
      <c r="H35" s="4" t="s">
        <v>172</v>
      </c>
      <c r="I35" s="4" t="s">
        <v>171</v>
      </c>
      <c r="J35" s="4" t="s">
        <v>173</v>
      </c>
      <c r="K35" s="4" t="s">
        <v>171</v>
      </c>
      <c r="L35" s="4" t="s">
        <v>169</v>
      </c>
      <c r="M35" s="4" t="s">
        <v>171</v>
      </c>
      <c r="N35" s="4" t="s">
        <v>173</v>
      </c>
      <c r="O35" s="4" t="s">
        <v>169</v>
      </c>
      <c r="P35" s="4" t="s">
        <v>169</v>
      </c>
      <c r="Q35" s="4" t="s">
        <v>169</v>
      </c>
      <c r="R35" s="4" t="s">
        <v>171</v>
      </c>
      <c r="S35" s="4" t="s">
        <v>173</v>
      </c>
      <c r="T35" s="4" t="s">
        <v>169</v>
      </c>
      <c r="U35" s="4" t="s">
        <v>170</v>
      </c>
      <c r="V35" s="4" t="s">
        <v>171</v>
      </c>
      <c r="W35" s="4" t="s">
        <v>173</v>
      </c>
      <c r="X35" s="4" t="s">
        <v>171</v>
      </c>
      <c r="Y35" s="4" t="s">
        <v>173</v>
      </c>
      <c r="Z35" s="4" t="s">
        <v>171</v>
      </c>
      <c r="AA35" s="4" t="s">
        <v>173</v>
      </c>
      <c r="AB35" s="4" t="s">
        <v>171</v>
      </c>
      <c r="AC35" s="4" t="s">
        <v>170</v>
      </c>
      <c r="AD35" s="4" t="s">
        <v>171</v>
      </c>
      <c r="AE35" s="4" t="s">
        <v>170</v>
      </c>
      <c r="AF35" s="4" t="s">
        <v>171</v>
      </c>
      <c r="AG35" s="4" t="s">
        <v>170</v>
      </c>
      <c r="AH35" s="4" t="s">
        <v>168</v>
      </c>
    </row>
    <row r="36" spans="1:34" x14ac:dyDescent="0.35">
      <c r="A36" s="4" t="s">
        <v>120</v>
      </c>
      <c r="B36" s="4" t="s">
        <v>170</v>
      </c>
      <c r="C36" s="4" t="s">
        <v>169</v>
      </c>
      <c r="D36" s="4" t="s">
        <v>169</v>
      </c>
      <c r="E36" s="4" t="s">
        <v>171</v>
      </c>
      <c r="F36" s="4" t="s">
        <v>169</v>
      </c>
      <c r="G36" s="4" t="s">
        <v>169</v>
      </c>
      <c r="H36" s="4" t="s">
        <v>172</v>
      </c>
      <c r="I36" s="4" t="s">
        <v>169</v>
      </c>
      <c r="J36" s="4" t="s">
        <v>171</v>
      </c>
      <c r="K36" s="4" t="s">
        <v>171</v>
      </c>
      <c r="L36" s="4" t="s">
        <v>169</v>
      </c>
      <c r="M36" s="4" t="s">
        <v>169</v>
      </c>
      <c r="N36" s="4" t="s">
        <v>173</v>
      </c>
      <c r="O36" s="4" t="s">
        <v>169</v>
      </c>
      <c r="P36" s="4" t="s">
        <v>169</v>
      </c>
      <c r="Q36" s="4" t="s">
        <v>169</v>
      </c>
      <c r="R36" s="4" t="s">
        <v>171</v>
      </c>
      <c r="S36" s="4" t="s">
        <v>173</v>
      </c>
      <c r="T36" s="4" t="s">
        <v>171</v>
      </c>
      <c r="U36" s="4" t="s">
        <v>170</v>
      </c>
      <c r="V36" s="4" t="s">
        <v>171</v>
      </c>
      <c r="W36" s="4" t="s">
        <v>173</v>
      </c>
      <c r="X36" s="4" t="s">
        <v>171</v>
      </c>
      <c r="Y36" s="4" t="s">
        <v>173</v>
      </c>
      <c r="Z36" s="4" t="s">
        <v>171</v>
      </c>
      <c r="AA36" s="4" t="s">
        <v>173</v>
      </c>
      <c r="AB36" s="4" t="s">
        <v>171</v>
      </c>
      <c r="AC36" s="4" t="s">
        <v>170</v>
      </c>
      <c r="AD36" s="4" t="s">
        <v>171</v>
      </c>
      <c r="AE36" s="4" t="s">
        <v>170</v>
      </c>
      <c r="AF36" s="4" t="s">
        <v>171</v>
      </c>
      <c r="AG36" s="4" t="s">
        <v>170</v>
      </c>
      <c r="AH36" s="4" t="s">
        <v>168</v>
      </c>
    </row>
    <row r="37" spans="1:34" x14ac:dyDescent="0.35">
      <c r="A37" s="4" t="s">
        <v>120</v>
      </c>
      <c r="B37" s="4" t="s">
        <v>169</v>
      </c>
      <c r="C37" s="6">
        <v>1.95061728395061</v>
      </c>
      <c r="D37" s="6">
        <v>1.71698113207547</v>
      </c>
      <c r="E37" s="6">
        <v>5.2222222222222197</v>
      </c>
      <c r="F37" s="6">
        <v>1.7654320987654299</v>
      </c>
      <c r="G37" s="6">
        <v>1.94805194805194</v>
      </c>
      <c r="H37" s="6">
        <v>6.0123456790123404</v>
      </c>
      <c r="I37" s="6">
        <v>1.93670886075949</v>
      </c>
      <c r="J37" s="6">
        <v>1.81481481481481</v>
      </c>
      <c r="K37" s="6">
        <v>3.75308641975308</v>
      </c>
      <c r="L37" s="6">
        <v>1.1111111111111101</v>
      </c>
      <c r="M37" s="6">
        <v>1.7945205479452</v>
      </c>
      <c r="N37" s="6">
        <v>2.9012345679012301</v>
      </c>
      <c r="O37" s="6">
        <v>1.18518518518518</v>
      </c>
      <c r="P37" s="6">
        <v>1.37974683544303</v>
      </c>
      <c r="Q37" s="6">
        <v>2.61728395061728</v>
      </c>
      <c r="R37" s="6">
        <v>1.98765432098765</v>
      </c>
      <c r="S37" s="6">
        <v>3.7654320987654302</v>
      </c>
      <c r="T37" s="6">
        <v>1.9753086419753001</v>
      </c>
      <c r="U37" s="4" t="s">
        <v>170</v>
      </c>
      <c r="V37" s="4" t="s">
        <v>171</v>
      </c>
      <c r="W37" s="6">
        <v>3.1111111111111098</v>
      </c>
      <c r="X37" s="4" t="s">
        <v>171</v>
      </c>
      <c r="Y37" s="6">
        <v>3.9753086419753001</v>
      </c>
      <c r="Z37" s="6">
        <v>1.9012345679012299</v>
      </c>
      <c r="AA37" s="6">
        <v>3.4444444444444402</v>
      </c>
      <c r="AB37" s="4" t="s">
        <v>171</v>
      </c>
      <c r="AC37" s="4" t="s">
        <v>170</v>
      </c>
      <c r="AD37" s="4" t="s">
        <v>171</v>
      </c>
      <c r="AE37" s="4" t="s">
        <v>170</v>
      </c>
      <c r="AF37" s="6">
        <v>1.93827160493827</v>
      </c>
      <c r="AG37" s="4" t="s">
        <v>170</v>
      </c>
      <c r="AH37" s="4">
        <v>0.4</v>
      </c>
    </row>
    <row r="38" spans="1:34" x14ac:dyDescent="0.35">
      <c r="A38" s="4" t="s">
        <v>120</v>
      </c>
      <c r="B38" s="4" t="s">
        <v>169</v>
      </c>
      <c r="C38" s="6">
        <v>1.95061728395061</v>
      </c>
      <c r="D38" s="6">
        <v>1.71698113207547</v>
      </c>
      <c r="E38" s="6">
        <v>5.2222222222222197</v>
      </c>
      <c r="F38" s="6">
        <v>1.7654320987654299</v>
      </c>
      <c r="G38" s="6">
        <v>1.94805194805194</v>
      </c>
      <c r="H38" s="6">
        <v>6.0123456790123404</v>
      </c>
      <c r="I38" s="6">
        <v>1.93670886075949</v>
      </c>
      <c r="J38" s="6">
        <v>1.81481481481481</v>
      </c>
      <c r="K38" s="6">
        <v>3.75308641975308</v>
      </c>
      <c r="L38" s="6">
        <v>1.1111111111111101</v>
      </c>
      <c r="M38" s="6">
        <v>1.7945205479452</v>
      </c>
      <c r="N38" s="6">
        <v>2.9012345679012301</v>
      </c>
      <c r="O38" s="6">
        <v>1.18518518518518</v>
      </c>
      <c r="P38" s="6">
        <v>1.37974683544303</v>
      </c>
      <c r="Q38" s="6">
        <v>2.61728395061728</v>
      </c>
      <c r="R38" s="6">
        <v>1.98765432098765</v>
      </c>
      <c r="S38" s="6">
        <v>3.7654320987654302</v>
      </c>
      <c r="T38" s="6">
        <v>1.9753086419753001</v>
      </c>
      <c r="U38" s="4" t="s">
        <v>170</v>
      </c>
      <c r="V38" s="4" t="s">
        <v>171</v>
      </c>
      <c r="W38" s="6">
        <v>3.1111111111111098</v>
      </c>
      <c r="X38" s="4" t="s">
        <v>171</v>
      </c>
      <c r="Y38" s="6">
        <v>3.9753086419753001</v>
      </c>
      <c r="Z38" s="6">
        <v>1.9012345679012299</v>
      </c>
      <c r="AA38" s="6">
        <v>3.4444444444444402</v>
      </c>
      <c r="AB38" s="4" t="s">
        <v>171</v>
      </c>
      <c r="AC38" s="4" t="s">
        <v>170</v>
      </c>
      <c r="AD38" s="4" t="s">
        <v>171</v>
      </c>
      <c r="AE38" s="4" t="s">
        <v>170</v>
      </c>
      <c r="AF38" s="6">
        <v>1.93827160493827</v>
      </c>
      <c r="AG38" s="4" t="s">
        <v>170</v>
      </c>
      <c r="AH38" s="4">
        <v>0.4</v>
      </c>
    </row>
    <row r="39" spans="1:34" x14ac:dyDescent="0.35">
      <c r="A39" s="4" t="s">
        <v>120</v>
      </c>
      <c r="B39" s="4" t="s">
        <v>169</v>
      </c>
      <c r="C39" s="6">
        <v>1.95061728395061</v>
      </c>
      <c r="D39" s="6">
        <v>1.71698113207547</v>
      </c>
      <c r="E39" s="6">
        <v>5.2222222222222197</v>
      </c>
      <c r="F39" s="6">
        <v>1.7654320987654299</v>
      </c>
      <c r="G39" s="6">
        <v>1.94805194805194</v>
      </c>
      <c r="H39" s="6">
        <v>6.0123456790123404</v>
      </c>
      <c r="I39" s="6">
        <v>1.93670886075949</v>
      </c>
      <c r="J39" s="6">
        <v>1.81481481481481</v>
      </c>
      <c r="K39" s="6">
        <v>3.75308641975308</v>
      </c>
      <c r="L39" s="6">
        <v>1.1111111111111101</v>
      </c>
      <c r="M39" s="6">
        <v>1.7945205479452</v>
      </c>
      <c r="N39" s="6">
        <v>2.9012345679012301</v>
      </c>
      <c r="O39" s="6">
        <v>1.18518518518518</v>
      </c>
      <c r="P39" s="6">
        <v>1.37974683544303</v>
      </c>
      <c r="Q39" s="6">
        <v>2.61728395061728</v>
      </c>
      <c r="R39" s="6">
        <v>1.98765432098765</v>
      </c>
      <c r="S39" s="6">
        <v>3.7654320987654302</v>
      </c>
      <c r="T39" s="6">
        <v>1.9753086419753001</v>
      </c>
      <c r="U39" s="4" t="s">
        <v>170</v>
      </c>
      <c r="V39" s="4" t="s">
        <v>171</v>
      </c>
      <c r="W39" s="6">
        <v>3.1111111111111098</v>
      </c>
      <c r="X39" s="4" t="s">
        <v>171</v>
      </c>
      <c r="Y39" s="6">
        <v>3.9753086419753001</v>
      </c>
      <c r="Z39" s="6">
        <v>1.9012345679012299</v>
      </c>
      <c r="AA39" s="6">
        <v>3.4444444444444402</v>
      </c>
      <c r="AB39" s="4" t="s">
        <v>171</v>
      </c>
      <c r="AC39" s="4" t="s">
        <v>170</v>
      </c>
      <c r="AD39" s="4" t="s">
        <v>171</v>
      </c>
      <c r="AE39" s="4" t="s">
        <v>170</v>
      </c>
      <c r="AF39" s="6">
        <v>1.93827160493827</v>
      </c>
      <c r="AG39" s="4" t="s">
        <v>170</v>
      </c>
      <c r="AH39" s="4">
        <v>0.4</v>
      </c>
    </row>
    <row r="40" spans="1:34" x14ac:dyDescent="0.35">
      <c r="A40" s="4" t="s">
        <v>120</v>
      </c>
      <c r="B40" s="4" t="s">
        <v>169</v>
      </c>
      <c r="C40" s="6">
        <v>1.95061728395061</v>
      </c>
      <c r="D40" s="6">
        <v>1.71698113207547</v>
      </c>
      <c r="E40" s="6">
        <v>5.2222222222222197</v>
      </c>
      <c r="F40" s="6">
        <v>1.7654320987654299</v>
      </c>
      <c r="G40" s="6">
        <v>1.94805194805194</v>
      </c>
      <c r="H40" s="6">
        <v>6.0123456790123404</v>
      </c>
      <c r="I40" s="6">
        <v>1.93670886075949</v>
      </c>
      <c r="J40" s="6">
        <v>1.81481481481481</v>
      </c>
      <c r="K40" s="6">
        <v>3.75308641975308</v>
      </c>
      <c r="L40" s="6">
        <v>1.1111111111111101</v>
      </c>
      <c r="M40" s="6">
        <v>1.7945205479452</v>
      </c>
      <c r="N40" s="6">
        <v>2.9012345679012301</v>
      </c>
      <c r="O40" s="6">
        <v>1.18518518518518</v>
      </c>
      <c r="P40" s="6">
        <v>1.37974683544303</v>
      </c>
      <c r="Q40" s="6">
        <v>2.61728395061728</v>
      </c>
      <c r="R40" s="6">
        <v>1.98765432098765</v>
      </c>
      <c r="S40" s="6">
        <v>3.7654320987654302</v>
      </c>
      <c r="T40" s="6">
        <v>1.9753086419753001</v>
      </c>
      <c r="U40" s="4" t="s">
        <v>170</v>
      </c>
      <c r="V40" s="4" t="s">
        <v>171</v>
      </c>
      <c r="W40" s="6">
        <v>3.1111111111111098</v>
      </c>
      <c r="X40" s="4" t="s">
        <v>171</v>
      </c>
      <c r="Y40" s="6">
        <v>3.9753086419753001</v>
      </c>
      <c r="Z40" s="6">
        <v>1.9012345679012299</v>
      </c>
      <c r="AA40" s="6">
        <v>3.4444444444444402</v>
      </c>
      <c r="AB40" s="4" t="s">
        <v>171</v>
      </c>
      <c r="AC40" s="4" t="s">
        <v>170</v>
      </c>
      <c r="AD40" s="4" t="s">
        <v>171</v>
      </c>
      <c r="AE40" s="4" t="s">
        <v>170</v>
      </c>
      <c r="AF40" s="6">
        <v>1.93827160493827</v>
      </c>
      <c r="AG40" s="4" t="s">
        <v>170</v>
      </c>
      <c r="AH40" s="4">
        <v>0.4</v>
      </c>
    </row>
    <row r="41" spans="1:34" x14ac:dyDescent="0.35">
      <c r="A41" s="4" t="s">
        <v>120</v>
      </c>
      <c r="B41" s="4" t="s">
        <v>170</v>
      </c>
      <c r="C41" s="4" t="s">
        <v>169</v>
      </c>
      <c r="D41" s="4" t="s">
        <v>169</v>
      </c>
      <c r="E41" s="4" t="s">
        <v>172</v>
      </c>
      <c r="F41" s="4" t="s">
        <v>169</v>
      </c>
      <c r="G41" s="4" t="s">
        <v>171</v>
      </c>
      <c r="H41" s="4" t="s">
        <v>172</v>
      </c>
      <c r="I41" s="4" t="s">
        <v>171</v>
      </c>
      <c r="J41" s="4" t="s">
        <v>171</v>
      </c>
      <c r="K41" s="4" t="s">
        <v>177</v>
      </c>
      <c r="L41" s="4" t="s">
        <v>169</v>
      </c>
      <c r="M41" s="4" t="s">
        <v>169</v>
      </c>
      <c r="N41" s="4" t="s">
        <v>173</v>
      </c>
      <c r="O41" s="4" t="s">
        <v>169</v>
      </c>
      <c r="P41" s="4" t="s">
        <v>173</v>
      </c>
      <c r="Q41" s="4" t="s">
        <v>173</v>
      </c>
      <c r="R41" s="4" t="s">
        <v>171</v>
      </c>
      <c r="S41" s="4" t="s">
        <v>170</v>
      </c>
      <c r="T41" s="4" t="s">
        <v>171</v>
      </c>
      <c r="U41" s="4" t="s">
        <v>170</v>
      </c>
      <c r="V41" s="4" t="s">
        <v>171</v>
      </c>
      <c r="W41" s="4" t="s">
        <v>173</v>
      </c>
      <c r="X41" s="4" t="s">
        <v>171</v>
      </c>
      <c r="Y41" s="4" t="s">
        <v>170</v>
      </c>
      <c r="Z41" s="4" t="s">
        <v>171</v>
      </c>
      <c r="AA41" s="4" t="s">
        <v>173</v>
      </c>
      <c r="AB41" s="4" t="s">
        <v>171</v>
      </c>
      <c r="AC41" s="4" t="s">
        <v>170</v>
      </c>
      <c r="AD41" s="4" t="s">
        <v>171</v>
      </c>
      <c r="AE41" s="4" t="s">
        <v>170</v>
      </c>
      <c r="AF41" s="4" t="s">
        <v>171</v>
      </c>
      <c r="AG41" s="4" t="s">
        <v>170</v>
      </c>
      <c r="AH41" s="4" t="s">
        <v>168</v>
      </c>
    </row>
    <row r="42" spans="1:34" x14ac:dyDescent="0.35">
      <c r="A42" s="4" t="s">
        <v>120</v>
      </c>
      <c r="B42" s="4" t="s">
        <v>173</v>
      </c>
      <c r="C42" s="6">
        <v>1.95061728395061</v>
      </c>
      <c r="D42" s="6">
        <v>1.71698113207547</v>
      </c>
      <c r="E42" s="6">
        <v>5.2222222222222197</v>
      </c>
      <c r="F42" s="6">
        <v>1.7654320987654299</v>
      </c>
      <c r="G42" s="6">
        <v>1.94805194805194</v>
      </c>
      <c r="H42" s="6">
        <v>6.0123456790123404</v>
      </c>
      <c r="I42" s="6">
        <v>1.93670886075949</v>
      </c>
      <c r="J42" s="6">
        <v>1.81481481481481</v>
      </c>
      <c r="K42" s="6">
        <v>3.75308641975308</v>
      </c>
      <c r="L42" s="6">
        <v>1.1111111111111101</v>
      </c>
      <c r="M42" s="6">
        <v>1.7945205479452</v>
      </c>
      <c r="N42" s="6">
        <v>2.9012345679012301</v>
      </c>
      <c r="O42" s="6">
        <v>1.18518518518518</v>
      </c>
      <c r="P42" s="6">
        <v>1.37974683544303</v>
      </c>
      <c r="Q42" s="6">
        <v>2.61728395061728</v>
      </c>
      <c r="R42" s="6">
        <v>1.98765432098765</v>
      </c>
      <c r="S42" s="6">
        <v>3.7654320987654302</v>
      </c>
      <c r="T42" s="6">
        <v>1.9753086419753001</v>
      </c>
      <c r="U42" s="4" t="s">
        <v>170</v>
      </c>
      <c r="V42" s="4" t="s">
        <v>171</v>
      </c>
      <c r="W42" s="6">
        <v>3.1111111111111098</v>
      </c>
      <c r="X42" s="4" t="s">
        <v>171</v>
      </c>
      <c r="Y42" s="6">
        <v>3.9753086419753001</v>
      </c>
      <c r="Z42" s="6">
        <v>1.9012345679012299</v>
      </c>
      <c r="AA42" s="6">
        <v>3.4444444444444402</v>
      </c>
      <c r="AB42" s="4" t="s">
        <v>171</v>
      </c>
      <c r="AC42" s="4" t="s">
        <v>170</v>
      </c>
      <c r="AD42" s="4" t="s">
        <v>171</v>
      </c>
      <c r="AE42" s="4" t="s">
        <v>170</v>
      </c>
      <c r="AF42" s="6">
        <v>1.93827160493827</v>
      </c>
      <c r="AG42" s="4" t="s">
        <v>170</v>
      </c>
      <c r="AH42" s="4">
        <v>0.4</v>
      </c>
    </row>
    <row r="43" spans="1:34" x14ac:dyDescent="0.35">
      <c r="A43" s="4" t="s">
        <v>120</v>
      </c>
      <c r="B43" s="4" t="s">
        <v>173</v>
      </c>
      <c r="C43" s="4" t="s">
        <v>171</v>
      </c>
      <c r="D43" s="4" t="s">
        <v>171</v>
      </c>
      <c r="E43" s="4" t="s">
        <v>172</v>
      </c>
      <c r="F43" s="4" t="s">
        <v>169</v>
      </c>
      <c r="G43" s="4" t="s">
        <v>171</v>
      </c>
      <c r="H43" s="4" t="s">
        <v>172</v>
      </c>
      <c r="I43" s="4" t="s">
        <v>171</v>
      </c>
      <c r="J43" s="4" t="s">
        <v>171</v>
      </c>
      <c r="K43" s="4" t="s">
        <v>177</v>
      </c>
      <c r="L43" s="4" t="s">
        <v>169</v>
      </c>
      <c r="M43" s="4" t="s">
        <v>171</v>
      </c>
      <c r="N43" s="4" t="s">
        <v>169</v>
      </c>
      <c r="O43" s="4" t="s">
        <v>169</v>
      </c>
      <c r="P43" s="4" t="s">
        <v>173</v>
      </c>
      <c r="Q43" s="4" t="s">
        <v>173</v>
      </c>
      <c r="R43" s="4" t="s">
        <v>171</v>
      </c>
      <c r="S43" s="4" t="s">
        <v>170</v>
      </c>
      <c r="T43" s="4" t="s">
        <v>171</v>
      </c>
      <c r="U43" s="4" t="s">
        <v>170</v>
      </c>
      <c r="V43" s="4" t="s">
        <v>171</v>
      </c>
      <c r="W43" s="4" t="s">
        <v>173</v>
      </c>
      <c r="X43" s="4" t="s">
        <v>171</v>
      </c>
      <c r="Y43" s="4" t="s">
        <v>170</v>
      </c>
      <c r="Z43" s="4" t="s">
        <v>171</v>
      </c>
      <c r="AA43" s="4" t="s">
        <v>173</v>
      </c>
      <c r="AB43" s="4" t="s">
        <v>171</v>
      </c>
      <c r="AC43" s="4" t="s">
        <v>170</v>
      </c>
      <c r="AD43" s="4" t="s">
        <v>171</v>
      </c>
      <c r="AE43" s="4" t="s">
        <v>170</v>
      </c>
      <c r="AF43" s="4" t="s">
        <v>171</v>
      </c>
      <c r="AG43" s="4" t="s">
        <v>170</v>
      </c>
      <c r="AH43" s="4" t="s">
        <v>168</v>
      </c>
    </row>
    <row r="44" spans="1:34" x14ac:dyDescent="0.35">
      <c r="A44" s="4" t="s">
        <v>120</v>
      </c>
      <c r="B44" s="4" t="s">
        <v>169</v>
      </c>
      <c r="C44" s="4" t="s">
        <v>169</v>
      </c>
      <c r="D44" s="4" t="s">
        <v>169</v>
      </c>
      <c r="E44" s="4" t="s">
        <v>172</v>
      </c>
      <c r="F44" s="4" t="s">
        <v>173</v>
      </c>
      <c r="G44" s="4" t="s">
        <v>171</v>
      </c>
      <c r="H44" s="4" t="s">
        <v>172</v>
      </c>
      <c r="I44" s="4" t="s">
        <v>171</v>
      </c>
      <c r="J44" s="4" t="s">
        <v>171</v>
      </c>
      <c r="K44" s="4" t="s">
        <v>171</v>
      </c>
      <c r="L44" s="4" t="s">
        <v>169</v>
      </c>
      <c r="M44" s="4" t="s">
        <v>171</v>
      </c>
      <c r="N44" s="4" t="s">
        <v>171</v>
      </c>
      <c r="O44" s="4" t="s">
        <v>169</v>
      </c>
      <c r="P44" s="4" t="s">
        <v>169</v>
      </c>
      <c r="Q44" s="4" t="s">
        <v>173</v>
      </c>
      <c r="R44" s="4" t="s">
        <v>171</v>
      </c>
      <c r="S44" s="4" t="s">
        <v>170</v>
      </c>
      <c r="T44" s="4" t="s">
        <v>171</v>
      </c>
      <c r="U44" s="4" t="s">
        <v>170</v>
      </c>
      <c r="V44" s="4" t="s">
        <v>171</v>
      </c>
      <c r="W44" s="4" t="s">
        <v>170</v>
      </c>
      <c r="X44" s="4" t="s">
        <v>171</v>
      </c>
      <c r="Y44" s="4" t="s">
        <v>170</v>
      </c>
      <c r="Z44" s="4" t="s">
        <v>171</v>
      </c>
      <c r="AA44" s="4" t="s">
        <v>170</v>
      </c>
      <c r="AB44" s="4" t="s">
        <v>171</v>
      </c>
      <c r="AC44" s="4" t="s">
        <v>170</v>
      </c>
      <c r="AD44" s="4" t="s">
        <v>171</v>
      </c>
      <c r="AE44" s="4" t="s">
        <v>170</v>
      </c>
      <c r="AF44" s="4" t="s">
        <v>171</v>
      </c>
      <c r="AG44" s="4" t="s">
        <v>170</v>
      </c>
      <c r="AH44" s="4">
        <v>0.4</v>
      </c>
    </row>
    <row r="45" spans="1:34" x14ac:dyDescent="0.35">
      <c r="A45" s="4" t="s">
        <v>120</v>
      </c>
      <c r="B45" s="4" t="s">
        <v>171</v>
      </c>
      <c r="C45" s="4" t="s">
        <v>173</v>
      </c>
      <c r="D45" s="6">
        <v>1.71698113207547</v>
      </c>
      <c r="E45" s="4" t="s">
        <v>172</v>
      </c>
      <c r="F45" s="4" t="s">
        <v>169</v>
      </c>
      <c r="G45" s="4" t="s">
        <v>171</v>
      </c>
      <c r="H45" s="4" t="s">
        <v>172</v>
      </c>
      <c r="I45" s="4" t="s">
        <v>171</v>
      </c>
      <c r="J45" s="4" t="s">
        <v>171</v>
      </c>
      <c r="K45" s="4" t="s">
        <v>171</v>
      </c>
      <c r="L45" s="4" t="s">
        <v>169</v>
      </c>
      <c r="M45" s="4" t="s">
        <v>171</v>
      </c>
      <c r="N45" s="4" t="s">
        <v>173</v>
      </c>
      <c r="O45" s="4" t="s">
        <v>169</v>
      </c>
      <c r="P45" s="4" t="s">
        <v>169</v>
      </c>
      <c r="Q45" s="4" t="s">
        <v>173</v>
      </c>
      <c r="R45" s="4" t="s">
        <v>171</v>
      </c>
      <c r="S45" s="4" t="s">
        <v>170</v>
      </c>
      <c r="T45" s="4" t="s">
        <v>171</v>
      </c>
      <c r="U45" s="4" t="s">
        <v>170</v>
      </c>
      <c r="V45" s="4" t="s">
        <v>171</v>
      </c>
      <c r="W45" s="4" t="s">
        <v>173</v>
      </c>
      <c r="X45" s="4" t="s">
        <v>171</v>
      </c>
      <c r="Y45" s="4" t="s">
        <v>170</v>
      </c>
      <c r="Z45" s="4" t="s">
        <v>171</v>
      </c>
      <c r="AA45" s="4" t="s">
        <v>170</v>
      </c>
      <c r="AB45" s="4" t="s">
        <v>171</v>
      </c>
      <c r="AC45" s="4" t="s">
        <v>170</v>
      </c>
      <c r="AD45" s="4" t="s">
        <v>171</v>
      </c>
      <c r="AE45" s="4" t="s">
        <v>170</v>
      </c>
      <c r="AF45" s="4" t="s">
        <v>171</v>
      </c>
      <c r="AG45" s="4" t="s">
        <v>170</v>
      </c>
      <c r="AH45" s="4">
        <v>0.4</v>
      </c>
    </row>
    <row r="46" spans="1:34" x14ac:dyDescent="0.35">
      <c r="A46" s="4" t="s">
        <v>120</v>
      </c>
      <c r="B46" s="4" t="s">
        <v>169</v>
      </c>
      <c r="C46" s="6">
        <v>1.95061728395061</v>
      </c>
      <c r="D46" s="6">
        <v>1.71698113207547</v>
      </c>
      <c r="E46" s="6">
        <v>5.2222222222222197</v>
      </c>
      <c r="F46" s="6">
        <v>1.7654320987654299</v>
      </c>
      <c r="G46" s="6">
        <v>1.94805194805194</v>
      </c>
      <c r="H46" s="6">
        <v>6.0123456790123404</v>
      </c>
      <c r="I46" s="6">
        <v>1.93670886075949</v>
      </c>
      <c r="J46" s="6">
        <v>1.81481481481481</v>
      </c>
      <c r="K46" s="6">
        <v>3.75308641975308</v>
      </c>
      <c r="L46" s="6">
        <v>1.1111111111111101</v>
      </c>
      <c r="M46" s="6">
        <v>1.7945205479452</v>
      </c>
      <c r="N46" s="6">
        <v>2.9012345679012301</v>
      </c>
      <c r="O46" s="6">
        <v>1.18518518518518</v>
      </c>
      <c r="P46" s="6">
        <v>1.37974683544303</v>
      </c>
      <c r="Q46" s="6">
        <v>2.61728395061728</v>
      </c>
      <c r="R46" s="6">
        <v>1.98765432098765</v>
      </c>
      <c r="S46" s="6">
        <v>3.7654320987654302</v>
      </c>
      <c r="T46" s="6">
        <v>1.9753086419753001</v>
      </c>
      <c r="U46" s="4" t="s">
        <v>170</v>
      </c>
      <c r="V46" s="4" t="s">
        <v>171</v>
      </c>
      <c r="W46" s="6">
        <v>3.1111111111111098</v>
      </c>
      <c r="X46" s="4" t="s">
        <v>171</v>
      </c>
      <c r="Y46" s="6">
        <v>3.9753086419753001</v>
      </c>
      <c r="Z46" s="6">
        <v>1.9012345679012299</v>
      </c>
      <c r="AA46" s="6">
        <v>3.4444444444444402</v>
      </c>
      <c r="AB46" s="4" t="s">
        <v>171</v>
      </c>
      <c r="AC46" s="4" t="s">
        <v>170</v>
      </c>
      <c r="AD46" s="4" t="s">
        <v>171</v>
      </c>
      <c r="AE46" s="4" t="s">
        <v>170</v>
      </c>
      <c r="AF46" s="6">
        <v>1.93827160493827</v>
      </c>
      <c r="AG46" s="4" t="s">
        <v>170</v>
      </c>
      <c r="AH46" s="4">
        <v>0.4</v>
      </c>
    </row>
    <row r="47" spans="1:34" x14ac:dyDescent="0.35">
      <c r="A47" s="4" t="s">
        <v>120</v>
      </c>
      <c r="B47" s="4" t="s">
        <v>169</v>
      </c>
      <c r="C47" s="6">
        <v>1.95061728395061</v>
      </c>
      <c r="D47" s="6">
        <v>1.71698113207547</v>
      </c>
      <c r="E47" s="6">
        <v>5.2222222222222197</v>
      </c>
      <c r="F47" s="6">
        <v>1.7654320987654299</v>
      </c>
      <c r="G47" s="6">
        <v>1.94805194805194</v>
      </c>
      <c r="H47" s="6">
        <v>6.0123456790123404</v>
      </c>
      <c r="I47" s="6">
        <v>1.93670886075949</v>
      </c>
      <c r="J47" s="6">
        <v>1.81481481481481</v>
      </c>
      <c r="K47" s="6">
        <v>3.75308641975308</v>
      </c>
      <c r="L47" s="6">
        <v>1.1111111111111101</v>
      </c>
      <c r="M47" s="6">
        <v>1.7945205479452</v>
      </c>
      <c r="N47" s="6">
        <v>2.9012345679012301</v>
      </c>
      <c r="O47" s="6">
        <v>1.18518518518518</v>
      </c>
      <c r="P47" s="6">
        <v>1.37974683544303</v>
      </c>
      <c r="Q47" s="6">
        <v>2.61728395061728</v>
      </c>
      <c r="R47" s="6">
        <v>1.98765432098765</v>
      </c>
      <c r="S47" s="6">
        <v>3.7654320987654302</v>
      </c>
      <c r="T47" s="6">
        <v>1.9753086419753001</v>
      </c>
      <c r="U47" s="4" t="s">
        <v>170</v>
      </c>
      <c r="V47" s="4" t="s">
        <v>171</v>
      </c>
      <c r="W47" s="6">
        <v>3.1111111111111098</v>
      </c>
      <c r="X47" s="4" t="s">
        <v>171</v>
      </c>
      <c r="Y47" s="6">
        <v>3.9753086419753001</v>
      </c>
      <c r="Z47" s="6">
        <v>1.9012345679012299</v>
      </c>
      <c r="AA47" s="6">
        <v>3.4444444444444402</v>
      </c>
      <c r="AB47" s="4" t="s">
        <v>171</v>
      </c>
      <c r="AC47" s="4" t="s">
        <v>170</v>
      </c>
      <c r="AD47" s="4" t="s">
        <v>171</v>
      </c>
      <c r="AE47" s="4" t="s">
        <v>170</v>
      </c>
      <c r="AF47" s="6">
        <v>1.93827160493827</v>
      </c>
      <c r="AG47" s="4" t="s">
        <v>170</v>
      </c>
      <c r="AH47" s="4">
        <v>0.4</v>
      </c>
    </row>
    <row r="48" spans="1:34" x14ac:dyDescent="0.35">
      <c r="A48" s="4" t="s">
        <v>120</v>
      </c>
      <c r="B48" s="4" t="s">
        <v>172</v>
      </c>
      <c r="C48" s="4" t="s">
        <v>173</v>
      </c>
      <c r="D48" s="4" t="s">
        <v>169</v>
      </c>
      <c r="E48" s="4" t="s">
        <v>172</v>
      </c>
      <c r="F48" s="4" t="s">
        <v>169</v>
      </c>
      <c r="G48" s="4" t="s">
        <v>171</v>
      </c>
      <c r="H48" s="4" t="s">
        <v>172</v>
      </c>
      <c r="I48" s="4" t="s">
        <v>171</v>
      </c>
      <c r="J48" s="4" t="s">
        <v>171</v>
      </c>
      <c r="K48" s="4" t="s">
        <v>171</v>
      </c>
      <c r="L48" s="4" t="s">
        <v>169</v>
      </c>
      <c r="M48" s="4" t="s">
        <v>169</v>
      </c>
      <c r="N48" s="4" t="s">
        <v>173</v>
      </c>
      <c r="O48" s="4" t="s">
        <v>171</v>
      </c>
      <c r="P48" s="4" t="s">
        <v>169</v>
      </c>
      <c r="Q48" s="4" t="s">
        <v>169</v>
      </c>
      <c r="R48" s="4" t="s">
        <v>171</v>
      </c>
      <c r="S48" s="4" t="s">
        <v>170</v>
      </c>
      <c r="T48" s="4" t="s">
        <v>171</v>
      </c>
      <c r="U48" s="4" t="s">
        <v>170</v>
      </c>
      <c r="V48" s="4" t="s">
        <v>171</v>
      </c>
      <c r="W48" s="4" t="s">
        <v>173</v>
      </c>
      <c r="X48" s="4" t="s">
        <v>171</v>
      </c>
      <c r="Y48" s="4" t="s">
        <v>170</v>
      </c>
      <c r="Z48" s="4" t="s">
        <v>171</v>
      </c>
      <c r="AA48" s="4" t="s">
        <v>173</v>
      </c>
      <c r="AB48" s="4" t="s">
        <v>171</v>
      </c>
      <c r="AC48" s="4" t="s">
        <v>170</v>
      </c>
      <c r="AD48" s="4" t="s">
        <v>171</v>
      </c>
      <c r="AE48" s="4" t="s">
        <v>170</v>
      </c>
      <c r="AF48" s="4" t="s">
        <v>171</v>
      </c>
      <c r="AG48" s="4" t="s">
        <v>170</v>
      </c>
      <c r="AH48" s="4" t="s">
        <v>168</v>
      </c>
    </row>
    <row r="49" spans="1:34" x14ac:dyDescent="0.35">
      <c r="A49" s="4" t="s">
        <v>120</v>
      </c>
      <c r="B49" s="4" t="s">
        <v>169</v>
      </c>
      <c r="C49" s="6">
        <v>1.95061728395061</v>
      </c>
      <c r="D49" s="6">
        <v>1.71698113207547</v>
      </c>
      <c r="E49" s="6">
        <v>5.2222222222222197</v>
      </c>
      <c r="F49" s="6">
        <v>1.7654320987654299</v>
      </c>
      <c r="G49" s="6">
        <v>1.94805194805194</v>
      </c>
      <c r="H49" s="6">
        <v>6.0123456790123404</v>
      </c>
      <c r="I49" s="6">
        <v>1.93670886075949</v>
      </c>
      <c r="J49" s="6">
        <v>1.81481481481481</v>
      </c>
      <c r="K49" s="6">
        <v>3.75308641975308</v>
      </c>
      <c r="L49" s="6">
        <v>1.1111111111111101</v>
      </c>
      <c r="M49" s="6">
        <v>1.7945205479452</v>
      </c>
      <c r="N49" s="6">
        <v>2.9012345679012301</v>
      </c>
      <c r="O49" s="6">
        <v>1.18518518518518</v>
      </c>
      <c r="P49" s="6">
        <v>1.37974683544303</v>
      </c>
      <c r="Q49" s="6">
        <v>2.61728395061728</v>
      </c>
      <c r="R49" s="6">
        <v>1.98765432098765</v>
      </c>
      <c r="S49" s="6">
        <v>3.7654320987654302</v>
      </c>
      <c r="T49" s="6">
        <v>1.9753086419753001</v>
      </c>
      <c r="U49" s="4" t="s">
        <v>170</v>
      </c>
      <c r="V49" s="4" t="s">
        <v>171</v>
      </c>
      <c r="W49" s="6">
        <v>3.1111111111111098</v>
      </c>
      <c r="X49" s="4" t="s">
        <v>171</v>
      </c>
      <c r="Y49" s="6">
        <v>3.9753086419753001</v>
      </c>
      <c r="Z49" s="6">
        <v>1.9012345679012299</v>
      </c>
      <c r="AA49" s="6">
        <v>3.4444444444444402</v>
      </c>
      <c r="AB49" s="4" t="s">
        <v>171</v>
      </c>
      <c r="AC49" s="4" t="s">
        <v>170</v>
      </c>
      <c r="AD49" s="4" t="s">
        <v>171</v>
      </c>
      <c r="AE49" s="4" t="s">
        <v>170</v>
      </c>
      <c r="AF49" s="6">
        <v>1.93827160493827</v>
      </c>
      <c r="AG49" s="4" t="s">
        <v>170</v>
      </c>
      <c r="AH49" s="4">
        <v>0.4</v>
      </c>
    </row>
    <row r="50" spans="1:34" x14ac:dyDescent="0.35">
      <c r="A50" s="4" t="s">
        <v>120</v>
      </c>
      <c r="B50" s="4" t="s">
        <v>171</v>
      </c>
      <c r="C50" s="4" t="s">
        <v>171</v>
      </c>
      <c r="D50" s="6">
        <v>1.71698113207547</v>
      </c>
      <c r="E50" s="4" t="s">
        <v>172</v>
      </c>
      <c r="F50" s="4" t="s">
        <v>174</v>
      </c>
      <c r="G50" s="6">
        <v>1.94805194805194</v>
      </c>
      <c r="H50" s="4" t="s">
        <v>175</v>
      </c>
      <c r="I50" s="6">
        <v>1.93670886075949</v>
      </c>
      <c r="J50" s="4" t="s">
        <v>169</v>
      </c>
      <c r="K50" s="4" t="s">
        <v>174</v>
      </c>
      <c r="L50" s="4" t="s">
        <v>171</v>
      </c>
      <c r="M50" s="6">
        <v>1.7945205479452</v>
      </c>
      <c r="N50" s="4" t="s">
        <v>173</v>
      </c>
      <c r="O50" s="4" t="s">
        <v>170</v>
      </c>
      <c r="P50" s="6">
        <v>1.37974683544303</v>
      </c>
      <c r="Q50" s="4" t="s">
        <v>173</v>
      </c>
      <c r="R50" s="4" t="s">
        <v>171</v>
      </c>
      <c r="S50" s="4" t="s">
        <v>170</v>
      </c>
      <c r="T50" s="4" t="s">
        <v>171</v>
      </c>
      <c r="U50" s="4" t="s">
        <v>170</v>
      </c>
      <c r="V50" s="4" t="s">
        <v>171</v>
      </c>
      <c r="W50" s="4" t="s">
        <v>170</v>
      </c>
      <c r="X50" s="4" t="s">
        <v>171</v>
      </c>
      <c r="Y50" s="4" t="s">
        <v>170</v>
      </c>
      <c r="Z50" s="4" t="s">
        <v>171</v>
      </c>
      <c r="AA50" s="4" t="s">
        <v>170</v>
      </c>
      <c r="AB50" s="4" t="s">
        <v>171</v>
      </c>
      <c r="AC50" s="4" t="s">
        <v>170</v>
      </c>
      <c r="AD50" s="4" t="s">
        <v>171</v>
      </c>
      <c r="AE50" s="4" t="s">
        <v>170</v>
      </c>
      <c r="AF50" s="4" t="s">
        <v>171</v>
      </c>
      <c r="AG50" s="4" t="s">
        <v>170</v>
      </c>
      <c r="AH50" s="4" t="s">
        <v>171</v>
      </c>
    </row>
    <row r="51" spans="1:34" x14ac:dyDescent="0.35">
      <c r="A51" s="4" t="s">
        <v>120</v>
      </c>
      <c r="B51" s="4" t="s">
        <v>172</v>
      </c>
      <c r="C51" s="4" t="s">
        <v>169</v>
      </c>
      <c r="D51" s="4" t="s">
        <v>169</v>
      </c>
      <c r="E51" s="4" t="s">
        <v>172</v>
      </c>
      <c r="F51" s="4" t="s">
        <v>169</v>
      </c>
      <c r="G51" s="4" t="s">
        <v>171</v>
      </c>
      <c r="H51" s="4" t="s">
        <v>172</v>
      </c>
      <c r="I51" s="4" t="s">
        <v>171</v>
      </c>
      <c r="J51" s="4" t="s">
        <v>173</v>
      </c>
      <c r="K51" s="4" t="s">
        <v>171</v>
      </c>
      <c r="L51" s="4" t="s">
        <v>169</v>
      </c>
      <c r="M51" s="4" t="s">
        <v>171</v>
      </c>
      <c r="N51" s="4" t="s">
        <v>173</v>
      </c>
      <c r="O51" s="4" t="s">
        <v>169</v>
      </c>
      <c r="P51" s="4" t="s">
        <v>169</v>
      </c>
      <c r="Q51" s="4" t="s">
        <v>169</v>
      </c>
      <c r="R51" s="4" t="s">
        <v>171</v>
      </c>
      <c r="S51" s="4" t="s">
        <v>170</v>
      </c>
      <c r="T51" s="4" t="s">
        <v>171</v>
      </c>
      <c r="U51" s="4" t="s">
        <v>170</v>
      </c>
      <c r="V51" s="4" t="s">
        <v>171</v>
      </c>
      <c r="W51" s="4" t="s">
        <v>173</v>
      </c>
      <c r="X51" s="4" t="s">
        <v>171</v>
      </c>
      <c r="Y51" s="4" t="s">
        <v>170</v>
      </c>
      <c r="Z51" s="4" t="s">
        <v>171</v>
      </c>
      <c r="AA51" s="4" t="s">
        <v>173</v>
      </c>
      <c r="AB51" s="4" t="s">
        <v>171</v>
      </c>
      <c r="AC51" s="4" t="s">
        <v>170</v>
      </c>
      <c r="AD51" s="4" t="s">
        <v>171</v>
      </c>
      <c r="AE51" s="4" t="s">
        <v>170</v>
      </c>
      <c r="AF51" s="4" t="s">
        <v>171</v>
      </c>
      <c r="AG51" s="4" t="s">
        <v>170</v>
      </c>
      <c r="AH51" s="4" t="s">
        <v>168</v>
      </c>
    </row>
    <row r="52" spans="1:34" x14ac:dyDescent="0.35">
      <c r="A52" s="4" t="s">
        <v>120</v>
      </c>
      <c r="B52" s="4" t="s">
        <v>176</v>
      </c>
      <c r="C52" s="4" t="s">
        <v>171</v>
      </c>
      <c r="D52" s="6">
        <v>1.71698113207547</v>
      </c>
      <c r="E52" s="4" t="s">
        <v>172</v>
      </c>
      <c r="F52" s="4" t="s">
        <v>169</v>
      </c>
      <c r="G52" s="4" t="s">
        <v>171</v>
      </c>
      <c r="H52" s="4" t="s">
        <v>172</v>
      </c>
      <c r="I52" s="4" t="s">
        <v>171</v>
      </c>
      <c r="J52" s="4" t="s">
        <v>171</v>
      </c>
      <c r="K52" s="4" t="s">
        <v>171</v>
      </c>
      <c r="L52" s="4" t="s">
        <v>169</v>
      </c>
      <c r="M52" s="4" t="s">
        <v>169</v>
      </c>
      <c r="N52" s="4" t="s">
        <v>173</v>
      </c>
      <c r="O52" s="4" t="s">
        <v>169</v>
      </c>
      <c r="P52" s="4" t="s">
        <v>169</v>
      </c>
      <c r="Q52" s="4" t="s">
        <v>173</v>
      </c>
      <c r="R52" s="4" t="s">
        <v>171</v>
      </c>
      <c r="S52" s="4" t="s">
        <v>170</v>
      </c>
      <c r="T52" s="4" t="s">
        <v>171</v>
      </c>
      <c r="U52" s="4" t="s">
        <v>170</v>
      </c>
      <c r="V52" s="4" t="s">
        <v>171</v>
      </c>
      <c r="W52" s="4" t="s">
        <v>173</v>
      </c>
      <c r="X52" s="4" t="s">
        <v>171</v>
      </c>
      <c r="Y52" s="4" t="s">
        <v>170</v>
      </c>
      <c r="Z52" s="4" t="s">
        <v>171</v>
      </c>
      <c r="AA52" s="4" t="s">
        <v>170</v>
      </c>
      <c r="AB52" s="4" t="s">
        <v>171</v>
      </c>
      <c r="AC52" s="4" t="s">
        <v>170</v>
      </c>
      <c r="AD52" s="4" t="s">
        <v>171</v>
      </c>
      <c r="AE52" s="4" t="s">
        <v>170</v>
      </c>
      <c r="AF52" s="4" t="s">
        <v>171</v>
      </c>
      <c r="AG52" s="4" t="s">
        <v>170</v>
      </c>
      <c r="AH52" s="4">
        <v>0.4</v>
      </c>
    </row>
    <row r="53" spans="1:34" x14ac:dyDescent="0.35">
      <c r="A53" s="4" t="s">
        <v>120</v>
      </c>
      <c r="B53" s="4" t="s">
        <v>171</v>
      </c>
      <c r="C53" s="4" t="s">
        <v>173</v>
      </c>
      <c r="D53" s="6">
        <v>1.71698113207547</v>
      </c>
      <c r="E53" s="4" t="s">
        <v>171</v>
      </c>
      <c r="F53" s="4" t="s">
        <v>169</v>
      </c>
      <c r="G53" s="4" t="s">
        <v>171</v>
      </c>
      <c r="H53" s="4" t="s">
        <v>172</v>
      </c>
      <c r="I53" s="4" t="s">
        <v>171</v>
      </c>
      <c r="J53" s="4" t="s">
        <v>169</v>
      </c>
      <c r="K53" s="4" t="s">
        <v>171</v>
      </c>
      <c r="L53" s="4" t="s">
        <v>169</v>
      </c>
      <c r="M53" s="4" t="s">
        <v>169</v>
      </c>
      <c r="N53" s="4" t="s">
        <v>173</v>
      </c>
      <c r="O53" s="4" t="s">
        <v>169</v>
      </c>
      <c r="P53" s="4" t="s">
        <v>169</v>
      </c>
      <c r="Q53" s="4" t="s">
        <v>173</v>
      </c>
      <c r="R53" s="4" t="s">
        <v>171</v>
      </c>
      <c r="S53" s="4" t="s">
        <v>170</v>
      </c>
      <c r="T53" s="4" t="s">
        <v>171</v>
      </c>
      <c r="U53" s="4" t="s">
        <v>170</v>
      </c>
      <c r="V53" s="4" t="s">
        <v>171</v>
      </c>
      <c r="W53" s="4" t="s">
        <v>173</v>
      </c>
      <c r="X53" s="4" t="s">
        <v>171</v>
      </c>
      <c r="Y53" s="4" t="s">
        <v>170</v>
      </c>
      <c r="Z53" s="4" t="s">
        <v>171</v>
      </c>
      <c r="AA53" s="4" t="s">
        <v>170</v>
      </c>
      <c r="AB53" s="4" t="s">
        <v>171</v>
      </c>
      <c r="AC53" s="4" t="s">
        <v>170</v>
      </c>
      <c r="AD53" s="4" t="s">
        <v>171</v>
      </c>
      <c r="AE53" s="4" t="s">
        <v>170</v>
      </c>
      <c r="AF53" s="4" t="s">
        <v>171</v>
      </c>
      <c r="AG53" s="4" t="s">
        <v>170</v>
      </c>
      <c r="AH53" s="4">
        <v>0.4</v>
      </c>
    </row>
    <row r="54" spans="1:34" x14ac:dyDescent="0.35">
      <c r="A54" s="4" t="s">
        <v>120</v>
      </c>
      <c r="B54" s="4" t="s">
        <v>169</v>
      </c>
      <c r="C54" s="4" t="s">
        <v>171</v>
      </c>
      <c r="D54" s="6">
        <v>1.71698113207547</v>
      </c>
      <c r="E54" s="4" t="s">
        <v>172</v>
      </c>
      <c r="F54" s="4" t="s">
        <v>169</v>
      </c>
      <c r="G54" s="4" t="s">
        <v>171</v>
      </c>
      <c r="H54" s="4" t="s">
        <v>172</v>
      </c>
      <c r="I54" s="4" t="s">
        <v>171</v>
      </c>
      <c r="J54" s="4" t="s">
        <v>169</v>
      </c>
      <c r="K54" s="4" t="s">
        <v>171</v>
      </c>
      <c r="L54" s="4" t="s">
        <v>169</v>
      </c>
      <c r="M54" s="4" t="s">
        <v>171</v>
      </c>
      <c r="N54" s="4" t="s">
        <v>173</v>
      </c>
      <c r="O54" s="4" t="s">
        <v>169</v>
      </c>
      <c r="P54" s="4" t="s">
        <v>169</v>
      </c>
      <c r="Q54" s="4" t="s">
        <v>173</v>
      </c>
      <c r="R54" s="4" t="s">
        <v>171</v>
      </c>
      <c r="S54" s="4" t="s">
        <v>170</v>
      </c>
      <c r="T54" s="4" t="s">
        <v>171</v>
      </c>
      <c r="U54" s="4" t="s">
        <v>170</v>
      </c>
      <c r="V54" s="4" t="s">
        <v>171</v>
      </c>
      <c r="W54" s="4" t="s">
        <v>170</v>
      </c>
      <c r="X54" s="4" t="s">
        <v>171</v>
      </c>
      <c r="Y54" s="4" t="s">
        <v>170</v>
      </c>
      <c r="Z54" s="4" t="s">
        <v>171</v>
      </c>
      <c r="AA54" s="4" t="s">
        <v>170</v>
      </c>
      <c r="AB54" s="4" t="s">
        <v>171</v>
      </c>
      <c r="AC54" s="4" t="s">
        <v>170</v>
      </c>
      <c r="AD54" s="4" t="s">
        <v>171</v>
      </c>
      <c r="AE54" s="4" t="s">
        <v>170</v>
      </c>
      <c r="AF54" s="4" t="s">
        <v>171</v>
      </c>
      <c r="AG54" s="4" t="s">
        <v>170</v>
      </c>
      <c r="AH54" s="4">
        <v>0.4</v>
      </c>
    </row>
    <row r="55" spans="1:34" x14ac:dyDescent="0.35">
      <c r="A55" s="4" t="s">
        <v>120</v>
      </c>
      <c r="B55" s="4" t="s">
        <v>170</v>
      </c>
      <c r="C55" s="4" t="s">
        <v>171</v>
      </c>
      <c r="D55" s="4" t="s">
        <v>171</v>
      </c>
      <c r="E55" s="4" t="s">
        <v>172</v>
      </c>
      <c r="F55" s="4" t="s">
        <v>169</v>
      </c>
      <c r="G55" s="4" t="s">
        <v>171</v>
      </c>
      <c r="H55" s="4" t="s">
        <v>172</v>
      </c>
      <c r="I55" s="4" t="s">
        <v>171</v>
      </c>
      <c r="J55" s="4" t="s">
        <v>171</v>
      </c>
      <c r="K55" s="4" t="s">
        <v>177</v>
      </c>
      <c r="L55" s="4" t="s">
        <v>169</v>
      </c>
      <c r="M55" s="4" t="s">
        <v>169</v>
      </c>
      <c r="N55" s="4" t="s">
        <v>173</v>
      </c>
      <c r="O55" s="4" t="s">
        <v>169</v>
      </c>
      <c r="P55" s="4" t="s">
        <v>173</v>
      </c>
      <c r="Q55" s="4" t="s">
        <v>173</v>
      </c>
      <c r="R55" s="4" t="s">
        <v>171</v>
      </c>
      <c r="S55" s="4" t="s">
        <v>170</v>
      </c>
      <c r="T55" s="4" t="s">
        <v>171</v>
      </c>
      <c r="U55" s="4" t="s">
        <v>170</v>
      </c>
      <c r="V55" s="4" t="s">
        <v>171</v>
      </c>
      <c r="W55" s="4" t="s">
        <v>173</v>
      </c>
      <c r="X55" s="4" t="s">
        <v>171</v>
      </c>
      <c r="Y55" s="4" t="s">
        <v>170</v>
      </c>
      <c r="Z55" s="4" t="s">
        <v>171</v>
      </c>
      <c r="AA55" s="4" t="s">
        <v>173</v>
      </c>
      <c r="AB55" s="4" t="s">
        <v>171</v>
      </c>
      <c r="AC55" s="4" t="s">
        <v>170</v>
      </c>
      <c r="AD55" s="4" t="s">
        <v>171</v>
      </c>
      <c r="AE55" s="4" t="s">
        <v>170</v>
      </c>
      <c r="AF55" s="4" t="s">
        <v>171</v>
      </c>
      <c r="AG55" s="4" t="s">
        <v>170</v>
      </c>
      <c r="AH55" s="4" t="s">
        <v>168</v>
      </c>
    </row>
    <row r="56" spans="1:34" x14ac:dyDescent="0.35">
      <c r="A56" s="4" t="s">
        <v>120</v>
      </c>
      <c r="B56" s="4" t="s">
        <v>172</v>
      </c>
      <c r="C56" s="4" t="s">
        <v>169</v>
      </c>
      <c r="D56" s="4" t="s">
        <v>169</v>
      </c>
      <c r="E56" s="4" t="s">
        <v>171</v>
      </c>
      <c r="F56" s="4" t="s">
        <v>169</v>
      </c>
      <c r="G56" s="4" t="s">
        <v>171</v>
      </c>
      <c r="H56" s="4" t="s">
        <v>172</v>
      </c>
      <c r="I56" s="4" t="s">
        <v>171</v>
      </c>
      <c r="J56" s="4" t="s">
        <v>171</v>
      </c>
      <c r="K56" s="4" t="s">
        <v>177</v>
      </c>
      <c r="L56" s="4" t="s">
        <v>169</v>
      </c>
      <c r="M56" s="4" t="s">
        <v>169</v>
      </c>
      <c r="N56" s="4" t="s">
        <v>173</v>
      </c>
      <c r="O56" s="4" t="s">
        <v>169</v>
      </c>
      <c r="P56" s="4" t="s">
        <v>173</v>
      </c>
      <c r="Q56" s="4" t="s">
        <v>173</v>
      </c>
      <c r="R56" s="4" t="s">
        <v>171</v>
      </c>
      <c r="S56" s="4" t="s">
        <v>170</v>
      </c>
      <c r="T56" s="4" t="s">
        <v>171</v>
      </c>
      <c r="U56" s="4" t="s">
        <v>170</v>
      </c>
      <c r="V56" s="4" t="s">
        <v>171</v>
      </c>
      <c r="W56" s="4" t="s">
        <v>173</v>
      </c>
      <c r="X56" s="4" t="s">
        <v>171</v>
      </c>
      <c r="Y56" s="4" t="s">
        <v>170</v>
      </c>
      <c r="Z56" s="4" t="s">
        <v>171</v>
      </c>
      <c r="AA56" s="4" t="s">
        <v>173</v>
      </c>
      <c r="AB56" s="4" t="s">
        <v>171</v>
      </c>
      <c r="AC56" s="4" t="s">
        <v>170</v>
      </c>
      <c r="AD56" s="4" t="s">
        <v>171</v>
      </c>
      <c r="AE56" s="4" t="s">
        <v>170</v>
      </c>
      <c r="AF56" s="4" t="s">
        <v>171</v>
      </c>
      <c r="AG56" s="4" t="s">
        <v>170</v>
      </c>
      <c r="AH56" s="4" t="s">
        <v>168</v>
      </c>
    </row>
    <row r="57" spans="1:34" x14ac:dyDescent="0.35">
      <c r="A57" s="4" t="s">
        <v>120</v>
      </c>
      <c r="B57" s="4" t="s">
        <v>171</v>
      </c>
      <c r="C57" s="4" t="s">
        <v>171</v>
      </c>
      <c r="D57" s="4" t="s">
        <v>171</v>
      </c>
      <c r="E57" s="4" t="s">
        <v>172</v>
      </c>
      <c r="F57" s="4" t="s">
        <v>174</v>
      </c>
      <c r="G57" s="6">
        <v>1.94805194805194</v>
      </c>
      <c r="H57" s="4" t="s">
        <v>172</v>
      </c>
      <c r="I57" s="4" t="s">
        <v>171</v>
      </c>
      <c r="J57" s="4" t="s">
        <v>171</v>
      </c>
      <c r="K57" s="4" t="s">
        <v>177</v>
      </c>
      <c r="L57" s="4" t="s">
        <v>169</v>
      </c>
      <c r="M57" s="4" t="s">
        <v>171</v>
      </c>
      <c r="N57" s="4" t="s">
        <v>173</v>
      </c>
      <c r="O57" s="4" t="s">
        <v>171</v>
      </c>
      <c r="P57" s="4" t="s">
        <v>169</v>
      </c>
      <c r="Q57" s="4" t="s">
        <v>173</v>
      </c>
      <c r="R57" s="4" t="s">
        <v>171</v>
      </c>
      <c r="S57" s="4" t="s">
        <v>170</v>
      </c>
      <c r="T57" s="4" t="s">
        <v>171</v>
      </c>
      <c r="U57" s="4" t="s">
        <v>170</v>
      </c>
      <c r="V57" s="4" t="s">
        <v>171</v>
      </c>
      <c r="W57" s="4" t="s">
        <v>173</v>
      </c>
      <c r="X57" s="4" t="s">
        <v>171</v>
      </c>
      <c r="Y57" s="4" t="s">
        <v>170</v>
      </c>
      <c r="Z57" s="4" t="s">
        <v>171</v>
      </c>
      <c r="AA57" s="4" t="s">
        <v>173</v>
      </c>
      <c r="AB57" s="4" t="s">
        <v>171</v>
      </c>
      <c r="AC57" s="4" t="s">
        <v>170</v>
      </c>
      <c r="AD57" s="4" t="s">
        <v>171</v>
      </c>
      <c r="AE57" s="4" t="s">
        <v>170</v>
      </c>
      <c r="AF57" s="4" t="s">
        <v>171</v>
      </c>
      <c r="AG57" s="4" t="s">
        <v>170</v>
      </c>
      <c r="AH57" s="4" t="s">
        <v>168</v>
      </c>
    </row>
    <row r="58" spans="1:34" x14ac:dyDescent="0.35">
      <c r="A58" s="4" t="s">
        <v>120</v>
      </c>
      <c r="B58" s="4" t="s">
        <v>176</v>
      </c>
      <c r="C58" s="4" t="s">
        <v>169</v>
      </c>
      <c r="D58" s="4" t="s">
        <v>170</v>
      </c>
      <c r="E58" s="4" t="s">
        <v>172</v>
      </c>
      <c r="F58" s="4" t="s">
        <v>173</v>
      </c>
      <c r="G58" s="4" t="s">
        <v>171</v>
      </c>
      <c r="H58" s="4" t="s">
        <v>172</v>
      </c>
      <c r="I58" s="4" t="s">
        <v>171</v>
      </c>
      <c r="J58" s="4" t="s">
        <v>171</v>
      </c>
      <c r="K58" s="4" t="s">
        <v>171</v>
      </c>
      <c r="L58" s="4" t="s">
        <v>169</v>
      </c>
      <c r="M58" s="4" t="s">
        <v>169</v>
      </c>
      <c r="N58" s="4" t="s">
        <v>173</v>
      </c>
      <c r="O58" s="4" t="s">
        <v>171</v>
      </c>
      <c r="P58" s="4" t="s">
        <v>169</v>
      </c>
      <c r="Q58" s="4" t="s">
        <v>172</v>
      </c>
      <c r="R58" s="4" t="s">
        <v>171</v>
      </c>
      <c r="S58" s="4" t="s">
        <v>170</v>
      </c>
      <c r="T58" s="4" t="s">
        <v>169</v>
      </c>
      <c r="U58" s="4" t="s">
        <v>170</v>
      </c>
      <c r="V58" s="4" t="s">
        <v>171</v>
      </c>
      <c r="W58" s="4" t="s">
        <v>173</v>
      </c>
      <c r="X58" s="4" t="s">
        <v>171</v>
      </c>
      <c r="Y58" s="4" t="s">
        <v>170</v>
      </c>
      <c r="Z58" s="4" t="s">
        <v>171</v>
      </c>
      <c r="AA58" s="4" t="s">
        <v>173</v>
      </c>
      <c r="AB58" s="4" t="s">
        <v>171</v>
      </c>
      <c r="AC58" s="4" t="s">
        <v>170</v>
      </c>
      <c r="AD58" s="4" t="s">
        <v>171</v>
      </c>
      <c r="AE58" s="4" t="s">
        <v>170</v>
      </c>
      <c r="AF58" s="4" t="s">
        <v>171</v>
      </c>
      <c r="AG58" s="4" t="s">
        <v>170</v>
      </c>
      <c r="AH58" s="4" t="s">
        <v>168</v>
      </c>
    </row>
    <row r="59" spans="1:34" x14ac:dyDescent="0.35">
      <c r="A59" s="4" t="s">
        <v>120</v>
      </c>
      <c r="B59" s="4" t="s">
        <v>176</v>
      </c>
      <c r="C59" s="4" t="s">
        <v>171</v>
      </c>
      <c r="D59" s="4" t="s">
        <v>171</v>
      </c>
      <c r="E59" s="4" t="s">
        <v>171</v>
      </c>
      <c r="F59" s="4" t="s">
        <v>169</v>
      </c>
      <c r="G59" s="4" t="s">
        <v>169</v>
      </c>
      <c r="H59" s="4" t="s">
        <v>172</v>
      </c>
      <c r="I59" s="4" t="s">
        <v>169</v>
      </c>
      <c r="J59" s="4" t="s">
        <v>171</v>
      </c>
      <c r="K59" s="4" t="s">
        <v>171</v>
      </c>
      <c r="L59" s="4" t="s">
        <v>169</v>
      </c>
      <c r="M59" s="4" t="s">
        <v>171</v>
      </c>
      <c r="N59" s="4" t="s">
        <v>173</v>
      </c>
      <c r="O59" s="4" t="s">
        <v>169</v>
      </c>
      <c r="P59" s="4" t="s">
        <v>169</v>
      </c>
      <c r="Q59" s="4" t="s">
        <v>169</v>
      </c>
      <c r="R59" s="4" t="s">
        <v>171</v>
      </c>
      <c r="S59" s="4" t="s">
        <v>173</v>
      </c>
      <c r="T59" s="4" t="s">
        <v>171</v>
      </c>
      <c r="U59" s="4" t="s">
        <v>170</v>
      </c>
      <c r="V59" s="4" t="s">
        <v>171</v>
      </c>
      <c r="W59" s="4" t="s">
        <v>173</v>
      </c>
      <c r="X59" s="4" t="s">
        <v>171</v>
      </c>
      <c r="Y59" s="4" t="s">
        <v>170</v>
      </c>
      <c r="Z59" s="4" t="s">
        <v>171</v>
      </c>
      <c r="AA59" s="4" t="s">
        <v>173</v>
      </c>
      <c r="AB59" s="4" t="s">
        <v>171</v>
      </c>
      <c r="AC59" s="4" t="s">
        <v>170</v>
      </c>
      <c r="AD59" s="4" t="s">
        <v>171</v>
      </c>
      <c r="AE59" s="4" t="s">
        <v>170</v>
      </c>
      <c r="AF59" s="4" t="s">
        <v>171</v>
      </c>
      <c r="AG59" s="4" t="s">
        <v>170</v>
      </c>
      <c r="AH59" s="4" t="s">
        <v>171</v>
      </c>
    </row>
    <row r="60" spans="1:34" x14ac:dyDescent="0.35">
      <c r="A60" s="4" t="s">
        <v>120</v>
      </c>
      <c r="B60" s="4" t="s">
        <v>173</v>
      </c>
      <c r="C60" s="4" t="s">
        <v>173</v>
      </c>
      <c r="D60" s="4" t="s">
        <v>171</v>
      </c>
      <c r="E60" s="4" t="s">
        <v>171</v>
      </c>
      <c r="F60" s="4" t="s">
        <v>169</v>
      </c>
      <c r="G60" s="4" t="s">
        <v>171</v>
      </c>
      <c r="H60" s="4" t="s">
        <v>172</v>
      </c>
      <c r="I60" s="4" t="s">
        <v>171</v>
      </c>
      <c r="J60" s="4" t="s">
        <v>171</v>
      </c>
      <c r="K60" s="4" t="s">
        <v>171</v>
      </c>
      <c r="L60" s="4" t="s">
        <v>169</v>
      </c>
      <c r="M60" s="4" t="s">
        <v>171</v>
      </c>
      <c r="N60" s="4" t="s">
        <v>173</v>
      </c>
      <c r="O60" s="4" t="s">
        <v>169</v>
      </c>
      <c r="P60" s="4" t="s">
        <v>169</v>
      </c>
      <c r="Q60" s="4" t="s">
        <v>173</v>
      </c>
      <c r="R60" s="4" t="s">
        <v>171</v>
      </c>
      <c r="S60" s="4" t="s">
        <v>173</v>
      </c>
      <c r="T60" s="4" t="s">
        <v>171</v>
      </c>
      <c r="U60" s="4" t="s">
        <v>170</v>
      </c>
      <c r="V60" s="4" t="s">
        <v>171</v>
      </c>
      <c r="W60" s="4" t="s">
        <v>170</v>
      </c>
      <c r="X60" s="4" t="s">
        <v>171</v>
      </c>
      <c r="Y60" s="4" t="s">
        <v>170</v>
      </c>
      <c r="Z60" s="4" t="s">
        <v>169</v>
      </c>
      <c r="AA60" s="4" t="s">
        <v>173</v>
      </c>
      <c r="AB60" s="4" t="s">
        <v>171</v>
      </c>
      <c r="AC60" s="4" t="s">
        <v>170</v>
      </c>
      <c r="AD60" s="4" t="s">
        <v>171</v>
      </c>
      <c r="AE60" s="4" t="s">
        <v>170</v>
      </c>
      <c r="AF60" s="4" t="s">
        <v>171</v>
      </c>
      <c r="AG60" s="4" t="s">
        <v>170</v>
      </c>
      <c r="AH60" s="4" t="s">
        <v>168</v>
      </c>
    </row>
    <row r="61" spans="1:34" x14ac:dyDescent="0.35">
      <c r="A61" s="4" t="s">
        <v>120</v>
      </c>
      <c r="B61" s="4" t="s">
        <v>169</v>
      </c>
      <c r="C61" s="4" t="s">
        <v>169</v>
      </c>
      <c r="D61" s="4" t="s">
        <v>169</v>
      </c>
      <c r="E61" s="4" t="s">
        <v>178</v>
      </c>
      <c r="F61" s="4" t="s">
        <v>173</v>
      </c>
      <c r="G61" s="4" t="s">
        <v>171</v>
      </c>
      <c r="H61" s="4" t="s">
        <v>172</v>
      </c>
      <c r="I61" s="4" t="s">
        <v>171</v>
      </c>
      <c r="J61" s="4" t="s">
        <v>169</v>
      </c>
      <c r="K61" s="4" t="s">
        <v>172</v>
      </c>
      <c r="L61" s="4" t="s">
        <v>169</v>
      </c>
      <c r="M61" s="4" t="s">
        <v>171</v>
      </c>
      <c r="N61" s="4" t="s">
        <v>173</v>
      </c>
      <c r="O61" s="4" t="s">
        <v>169</v>
      </c>
      <c r="P61" s="4" t="s">
        <v>173</v>
      </c>
      <c r="Q61" s="4" t="s">
        <v>173</v>
      </c>
      <c r="R61" s="4" t="s">
        <v>171</v>
      </c>
      <c r="S61" s="4" t="s">
        <v>170</v>
      </c>
      <c r="T61" s="4" t="s">
        <v>171</v>
      </c>
      <c r="U61" s="4" t="s">
        <v>170</v>
      </c>
      <c r="V61" s="4" t="s">
        <v>171</v>
      </c>
      <c r="W61" s="4" t="s">
        <v>173</v>
      </c>
      <c r="X61" s="4" t="s">
        <v>171</v>
      </c>
      <c r="Y61" s="4" t="s">
        <v>170</v>
      </c>
      <c r="Z61" s="4" t="s">
        <v>171</v>
      </c>
      <c r="AA61" s="4" t="s">
        <v>173</v>
      </c>
      <c r="AB61" s="4" t="s">
        <v>171</v>
      </c>
      <c r="AC61" s="4" t="s">
        <v>170</v>
      </c>
      <c r="AD61" s="4" t="s">
        <v>171</v>
      </c>
      <c r="AE61" s="4" t="s">
        <v>170</v>
      </c>
      <c r="AF61" s="4" t="s">
        <v>171</v>
      </c>
      <c r="AG61" s="4" t="s">
        <v>170</v>
      </c>
      <c r="AH61" s="4" t="s">
        <v>168</v>
      </c>
    </row>
    <row r="62" spans="1:34" x14ac:dyDescent="0.35">
      <c r="A62" s="4" t="s">
        <v>120</v>
      </c>
      <c r="B62" s="4" t="s">
        <v>173</v>
      </c>
      <c r="C62" s="4" t="s">
        <v>169</v>
      </c>
      <c r="D62" s="4" t="s">
        <v>169</v>
      </c>
      <c r="E62" s="4" t="s">
        <v>178</v>
      </c>
      <c r="F62" s="4" t="s">
        <v>173</v>
      </c>
      <c r="G62" s="4" t="s">
        <v>171</v>
      </c>
      <c r="H62" s="4" t="s">
        <v>172</v>
      </c>
      <c r="I62" s="4" t="s">
        <v>171</v>
      </c>
      <c r="J62" s="4" t="s">
        <v>169</v>
      </c>
      <c r="K62" s="4" t="s">
        <v>172</v>
      </c>
      <c r="L62" s="4" t="s">
        <v>169</v>
      </c>
      <c r="M62" s="4" t="s">
        <v>171</v>
      </c>
      <c r="N62" s="4" t="s">
        <v>173</v>
      </c>
      <c r="O62" s="4" t="s">
        <v>169</v>
      </c>
      <c r="P62" s="4" t="s">
        <v>173</v>
      </c>
      <c r="Q62" s="4" t="s">
        <v>173</v>
      </c>
      <c r="R62" s="4" t="s">
        <v>171</v>
      </c>
      <c r="S62" s="4" t="s">
        <v>170</v>
      </c>
      <c r="T62" s="4" t="s">
        <v>171</v>
      </c>
      <c r="U62" s="4" t="s">
        <v>170</v>
      </c>
      <c r="V62" s="4" t="s">
        <v>171</v>
      </c>
      <c r="W62" s="4" t="s">
        <v>173</v>
      </c>
      <c r="X62" s="4" t="s">
        <v>171</v>
      </c>
      <c r="Y62" s="4" t="s">
        <v>170</v>
      </c>
      <c r="Z62" s="4" t="s">
        <v>171</v>
      </c>
      <c r="AA62" s="4" t="s">
        <v>173</v>
      </c>
      <c r="AB62" s="4" t="s">
        <v>171</v>
      </c>
      <c r="AC62" s="4" t="s">
        <v>170</v>
      </c>
      <c r="AD62" s="4" t="s">
        <v>171</v>
      </c>
      <c r="AE62" s="4" t="s">
        <v>170</v>
      </c>
      <c r="AF62" s="4" t="s">
        <v>171</v>
      </c>
      <c r="AG62" s="4" t="s">
        <v>170</v>
      </c>
      <c r="AH62" s="4" t="s">
        <v>168</v>
      </c>
    </row>
    <row r="63" spans="1:34" x14ac:dyDescent="0.35">
      <c r="A63" s="4" t="s">
        <v>120</v>
      </c>
      <c r="B63" s="4" t="s">
        <v>176</v>
      </c>
      <c r="C63" s="4" t="s">
        <v>171</v>
      </c>
      <c r="D63" s="4" t="s">
        <v>171</v>
      </c>
      <c r="E63" s="4" t="s">
        <v>172</v>
      </c>
      <c r="F63" s="4" t="s">
        <v>174</v>
      </c>
      <c r="G63" s="6">
        <v>1.94805194805194</v>
      </c>
      <c r="H63" s="4" t="s">
        <v>172</v>
      </c>
      <c r="I63" s="4" t="s">
        <v>171</v>
      </c>
      <c r="J63" s="4" t="s">
        <v>171</v>
      </c>
      <c r="K63" s="4" t="s">
        <v>177</v>
      </c>
      <c r="L63" s="4" t="s">
        <v>169</v>
      </c>
      <c r="M63" s="4" t="s">
        <v>171</v>
      </c>
      <c r="N63" s="4" t="s">
        <v>173</v>
      </c>
      <c r="O63" s="4" t="s">
        <v>171</v>
      </c>
      <c r="P63" s="4" t="s">
        <v>169</v>
      </c>
      <c r="Q63" s="4" t="s">
        <v>173</v>
      </c>
      <c r="R63" s="4" t="s">
        <v>171</v>
      </c>
      <c r="S63" s="4" t="s">
        <v>170</v>
      </c>
      <c r="T63" s="4" t="s">
        <v>171</v>
      </c>
      <c r="U63" s="4" t="s">
        <v>170</v>
      </c>
      <c r="V63" s="4" t="s">
        <v>171</v>
      </c>
      <c r="W63" s="4" t="s">
        <v>173</v>
      </c>
      <c r="X63" s="4" t="s">
        <v>171</v>
      </c>
      <c r="Y63" s="4" t="s">
        <v>170</v>
      </c>
      <c r="Z63" s="4" t="s">
        <v>171</v>
      </c>
      <c r="AA63" s="4" t="s">
        <v>173</v>
      </c>
      <c r="AB63" s="4" t="s">
        <v>171</v>
      </c>
      <c r="AC63" s="4" t="s">
        <v>170</v>
      </c>
      <c r="AD63" s="4" t="s">
        <v>171</v>
      </c>
      <c r="AE63" s="4" t="s">
        <v>170</v>
      </c>
      <c r="AF63" s="4" t="s">
        <v>171</v>
      </c>
      <c r="AG63" s="4" t="s">
        <v>170</v>
      </c>
      <c r="AH63" s="4" t="s">
        <v>168</v>
      </c>
    </row>
    <row r="64" spans="1:34" x14ac:dyDescent="0.35">
      <c r="A64" s="4" t="s">
        <v>120</v>
      </c>
      <c r="B64" s="4" t="s">
        <v>173</v>
      </c>
      <c r="C64" s="4" t="s">
        <v>169</v>
      </c>
      <c r="D64" s="4" t="s">
        <v>169</v>
      </c>
      <c r="E64" s="4" t="s">
        <v>172</v>
      </c>
      <c r="F64" s="4" t="s">
        <v>169</v>
      </c>
      <c r="G64" s="4" t="s">
        <v>171</v>
      </c>
      <c r="H64" s="4" t="s">
        <v>169</v>
      </c>
      <c r="I64" s="4" t="s">
        <v>169</v>
      </c>
      <c r="J64" s="4" t="s">
        <v>173</v>
      </c>
      <c r="K64" s="4" t="s">
        <v>171</v>
      </c>
      <c r="L64" s="4" t="s">
        <v>169</v>
      </c>
      <c r="M64" s="4" t="s">
        <v>169</v>
      </c>
      <c r="N64" s="4" t="s">
        <v>173</v>
      </c>
      <c r="O64" s="4" t="s">
        <v>169</v>
      </c>
      <c r="P64" s="4" t="s">
        <v>169</v>
      </c>
      <c r="Q64" s="4" t="s">
        <v>173</v>
      </c>
      <c r="R64" s="4" t="s">
        <v>171</v>
      </c>
      <c r="S64" s="4" t="s">
        <v>173</v>
      </c>
      <c r="T64" s="4" t="s">
        <v>171</v>
      </c>
      <c r="U64" s="4" t="s">
        <v>170</v>
      </c>
      <c r="V64" s="4" t="s">
        <v>171</v>
      </c>
      <c r="W64" s="4" t="s">
        <v>173</v>
      </c>
      <c r="X64" s="4" t="s">
        <v>171</v>
      </c>
      <c r="Y64" s="4" t="s">
        <v>170</v>
      </c>
      <c r="Z64" s="4" t="s">
        <v>171</v>
      </c>
      <c r="AA64" s="4" t="s">
        <v>170</v>
      </c>
      <c r="AB64" s="4" t="s">
        <v>171</v>
      </c>
      <c r="AC64" s="4" t="s">
        <v>170</v>
      </c>
      <c r="AD64" s="4" t="s">
        <v>171</v>
      </c>
      <c r="AE64" s="4" t="s">
        <v>170</v>
      </c>
      <c r="AF64" s="4" t="s">
        <v>171</v>
      </c>
      <c r="AG64" s="4" t="s">
        <v>170</v>
      </c>
      <c r="AH64" s="4" t="s">
        <v>168</v>
      </c>
    </row>
    <row r="65" spans="1:34" x14ac:dyDescent="0.35">
      <c r="A65" s="4" t="s">
        <v>120</v>
      </c>
      <c r="B65" s="4" t="s">
        <v>176</v>
      </c>
      <c r="C65" s="4" t="s">
        <v>169</v>
      </c>
      <c r="D65" s="4" t="s">
        <v>169</v>
      </c>
      <c r="E65" s="4" t="s">
        <v>172</v>
      </c>
      <c r="F65" s="4" t="s">
        <v>169</v>
      </c>
      <c r="G65" s="4" t="s">
        <v>171</v>
      </c>
      <c r="H65" s="4" t="s">
        <v>172</v>
      </c>
      <c r="I65" s="4" t="s">
        <v>171</v>
      </c>
      <c r="J65" s="4" t="s">
        <v>171</v>
      </c>
      <c r="K65" s="4" t="s">
        <v>172</v>
      </c>
      <c r="L65" s="4" t="s">
        <v>169</v>
      </c>
      <c r="M65" s="4" t="s">
        <v>169</v>
      </c>
      <c r="N65" s="4" t="s">
        <v>173</v>
      </c>
      <c r="O65" s="4" t="s">
        <v>169</v>
      </c>
      <c r="P65" s="4" t="s">
        <v>173</v>
      </c>
      <c r="Q65" s="4" t="s">
        <v>173</v>
      </c>
      <c r="R65" s="4" t="s">
        <v>171</v>
      </c>
      <c r="S65" s="4" t="s">
        <v>170</v>
      </c>
      <c r="T65" s="4" t="s">
        <v>171</v>
      </c>
      <c r="U65" s="4" t="s">
        <v>170</v>
      </c>
      <c r="V65" s="4" t="s">
        <v>171</v>
      </c>
      <c r="W65" s="4" t="s">
        <v>173</v>
      </c>
      <c r="X65" s="4" t="s">
        <v>171</v>
      </c>
      <c r="Y65" s="4" t="s">
        <v>170</v>
      </c>
      <c r="Z65" s="4" t="s">
        <v>171</v>
      </c>
      <c r="AA65" s="4" t="s">
        <v>173</v>
      </c>
      <c r="AB65" s="4" t="s">
        <v>171</v>
      </c>
      <c r="AC65" s="4" t="s">
        <v>170</v>
      </c>
      <c r="AD65" s="4" t="s">
        <v>171</v>
      </c>
      <c r="AE65" s="4" t="s">
        <v>170</v>
      </c>
      <c r="AF65" s="4" t="s">
        <v>171</v>
      </c>
      <c r="AG65" s="4" t="s">
        <v>170</v>
      </c>
      <c r="AH65" s="4" t="s">
        <v>168</v>
      </c>
    </row>
    <row r="66" spans="1:34" x14ac:dyDescent="0.35">
      <c r="A66" s="4" t="s">
        <v>120</v>
      </c>
      <c r="B66" s="4" t="s">
        <v>170</v>
      </c>
      <c r="C66" s="4" t="s">
        <v>171</v>
      </c>
      <c r="D66" s="4" t="s">
        <v>171</v>
      </c>
      <c r="E66" s="4" t="s">
        <v>172</v>
      </c>
      <c r="F66" s="4" t="s">
        <v>169</v>
      </c>
      <c r="G66" s="4" t="s">
        <v>171</v>
      </c>
      <c r="H66" s="4" t="s">
        <v>172</v>
      </c>
      <c r="I66" s="4" t="s">
        <v>169</v>
      </c>
      <c r="J66" s="4" t="s">
        <v>171</v>
      </c>
      <c r="K66" s="4" t="s">
        <v>171</v>
      </c>
      <c r="L66" s="4" t="s">
        <v>169</v>
      </c>
      <c r="M66" s="4" t="s">
        <v>169</v>
      </c>
      <c r="N66" s="4" t="s">
        <v>173</v>
      </c>
      <c r="O66" s="4" t="s">
        <v>169</v>
      </c>
      <c r="P66" s="4" t="s">
        <v>169</v>
      </c>
      <c r="Q66" s="4" t="s">
        <v>169</v>
      </c>
      <c r="R66" s="4" t="s">
        <v>171</v>
      </c>
      <c r="S66" s="4" t="s">
        <v>173</v>
      </c>
      <c r="T66" s="4" t="s">
        <v>171</v>
      </c>
      <c r="U66" s="4" t="s">
        <v>170</v>
      </c>
      <c r="V66" s="4" t="s">
        <v>171</v>
      </c>
      <c r="W66" s="4" t="s">
        <v>173</v>
      </c>
      <c r="X66" s="4" t="s">
        <v>171</v>
      </c>
      <c r="Y66" s="4" t="s">
        <v>170</v>
      </c>
      <c r="Z66" s="4" t="s">
        <v>171</v>
      </c>
      <c r="AA66" s="4" t="s">
        <v>173</v>
      </c>
      <c r="AB66" s="4" t="s">
        <v>171</v>
      </c>
      <c r="AC66" s="4" t="s">
        <v>170</v>
      </c>
      <c r="AD66" s="4" t="s">
        <v>171</v>
      </c>
      <c r="AE66" s="4" t="s">
        <v>170</v>
      </c>
      <c r="AF66" s="4" t="s">
        <v>171</v>
      </c>
      <c r="AG66" s="4" t="s">
        <v>170</v>
      </c>
      <c r="AH66" s="4" t="s">
        <v>168</v>
      </c>
    </row>
    <row r="67" spans="1:34" x14ac:dyDescent="0.35">
      <c r="A67" s="4" t="s">
        <v>120</v>
      </c>
      <c r="B67" s="4" t="s">
        <v>173</v>
      </c>
      <c r="C67" s="4" t="s">
        <v>176</v>
      </c>
      <c r="D67" s="4" t="s">
        <v>170</v>
      </c>
      <c r="E67" s="4" t="s">
        <v>171</v>
      </c>
      <c r="F67" s="4" t="s">
        <v>169</v>
      </c>
      <c r="G67" s="4" t="s">
        <v>169</v>
      </c>
      <c r="H67" s="4" t="s">
        <v>172</v>
      </c>
      <c r="I67" s="4" t="s">
        <v>171</v>
      </c>
      <c r="J67" s="4" t="s">
        <v>173</v>
      </c>
      <c r="K67" s="4" t="s">
        <v>171</v>
      </c>
      <c r="L67" s="4" t="s">
        <v>169</v>
      </c>
      <c r="M67" s="4" t="s">
        <v>171</v>
      </c>
      <c r="N67" s="4" t="s">
        <v>173</v>
      </c>
      <c r="O67" s="4" t="s">
        <v>169</v>
      </c>
      <c r="P67" s="4" t="s">
        <v>169</v>
      </c>
      <c r="Q67" s="4" t="s">
        <v>169</v>
      </c>
      <c r="R67" s="4" t="s">
        <v>171</v>
      </c>
      <c r="S67" s="4" t="s">
        <v>170</v>
      </c>
      <c r="T67" s="4" t="s">
        <v>171</v>
      </c>
      <c r="U67" s="4" t="s">
        <v>170</v>
      </c>
      <c r="V67" s="4" t="s">
        <v>171</v>
      </c>
      <c r="W67" s="4" t="s">
        <v>173</v>
      </c>
      <c r="X67" s="4" t="s">
        <v>171</v>
      </c>
      <c r="Y67" s="4" t="s">
        <v>170</v>
      </c>
      <c r="Z67" s="4" t="s">
        <v>169</v>
      </c>
      <c r="AA67" s="4" t="s">
        <v>173</v>
      </c>
      <c r="AB67" s="4" t="s">
        <v>171</v>
      </c>
      <c r="AC67" s="4" t="s">
        <v>170</v>
      </c>
      <c r="AD67" s="4" t="s">
        <v>171</v>
      </c>
      <c r="AE67" s="4" t="s">
        <v>170</v>
      </c>
      <c r="AF67" s="4" t="s">
        <v>169</v>
      </c>
      <c r="AG67" s="4" t="s">
        <v>170</v>
      </c>
      <c r="AH67" s="4" t="s">
        <v>171</v>
      </c>
    </row>
    <row r="68" spans="1:34" x14ac:dyDescent="0.35">
      <c r="A68" s="4" t="s">
        <v>120</v>
      </c>
      <c r="B68" s="4" t="s">
        <v>171</v>
      </c>
      <c r="C68" s="4" t="s">
        <v>169</v>
      </c>
      <c r="D68" s="4" t="s">
        <v>169</v>
      </c>
      <c r="E68" s="4" t="s">
        <v>178</v>
      </c>
      <c r="F68" s="4" t="s">
        <v>173</v>
      </c>
      <c r="G68" s="4" t="s">
        <v>171</v>
      </c>
      <c r="H68" s="4" t="s">
        <v>172</v>
      </c>
      <c r="I68" s="4" t="s">
        <v>171</v>
      </c>
      <c r="J68" s="4" t="s">
        <v>171</v>
      </c>
      <c r="K68" s="4" t="s">
        <v>171</v>
      </c>
      <c r="L68" s="4" t="s">
        <v>169</v>
      </c>
      <c r="M68" s="4" t="s">
        <v>171</v>
      </c>
      <c r="N68" s="4" t="s">
        <v>173</v>
      </c>
      <c r="O68" s="4" t="s">
        <v>169</v>
      </c>
      <c r="P68" s="4" t="s">
        <v>169</v>
      </c>
      <c r="Q68" s="4" t="s">
        <v>170</v>
      </c>
      <c r="R68" s="4" t="s">
        <v>169</v>
      </c>
      <c r="S68" s="4" t="s">
        <v>173</v>
      </c>
      <c r="T68" s="4" t="s">
        <v>171</v>
      </c>
      <c r="U68" s="4" t="s">
        <v>170</v>
      </c>
      <c r="V68" s="4" t="s">
        <v>171</v>
      </c>
      <c r="W68" s="4" t="s">
        <v>173</v>
      </c>
      <c r="X68" s="4" t="s">
        <v>171</v>
      </c>
      <c r="Y68" s="4" t="s">
        <v>170</v>
      </c>
      <c r="Z68" s="4" t="s">
        <v>171</v>
      </c>
      <c r="AA68" s="4" t="s">
        <v>173</v>
      </c>
      <c r="AB68" s="4" t="s">
        <v>171</v>
      </c>
      <c r="AC68" s="4" t="s">
        <v>170</v>
      </c>
      <c r="AD68" s="4" t="s">
        <v>171</v>
      </c>
      <c r="AE68" s="4" t="s">
        <v>170</v>
      </c>
      <c r="AF68" s="4" t="s">
        <v>169</v>
      </c>
      <c r="AG68" s="4" t="s">
        <v>170</v>
      </c>
      <c r="AH68" s="4" t="s">
        <v>171</v>
      </c>
    </row>
    <row r="69" spans="1:34" x14ac:dyDescent="0.35">
      <c r="A69" s="4" t="s">
        <v>120</v>
      </c>
      <c r="B69" s="4" t="s">
        <v>170</v>
      </c>
      <c r="C69" s="4" t="s">
        <v>171</v>
      </c>
      <c r="D69" s="6">
        <v>1.71698113207547</v>
      </c>
      <c r="E69" s="4" t="s">
        <v>172</v>
      </c>
      <c r="F69" s="4" t="s">
        <v>169</v>
      </c>
      <c r="G69" s="4" t="s">
        <v>171</v>
      </c>
      <c r="H69" s="4" t="s">
        <v>172</v>
      </c>
      <c r="I69" s="4" t="s">
        <v>171</v>
      </c>
      <c r="J69" s="4" t="s">
        <v>171</v>
      </c>
      <c r="K69" s="4" t="s">
        <v>171</v>
      </c>
      <c r="L69" s="4" t="s">
        <v>169</v>
      </c>
      <c r="M69" s="4" t="s">
        <v>171</v>
      </c>
      <c r="N69" s="4" t="s">
        <v>173</v>
      </c>
      <c r="O69" s="4" t="s">
        <v>169</v>
      </c>
      <c r="P69" s="4" t="s">
        <v>169</v>
      </c>
      <c r="Q69" s="4" t="s">
        <v>173</v>
      </c>
      <c r="R69" s="4" t="s">
        <v>171</v>
      </c>
      <c r="S69" s="4" t="s">
        <v>170</v>
      </c>
      <c r="T69" s="4" t="s">
        <v>171</v>
      </c>
      <c r="U69" s="4" t="s">
        <v>170</v>
      </c>
      <c r="V69" s="4" t="s">
        <v>171</v>
      </c>
      <c r="W69" s="4" t="s">
        <v>173</v>
      </c>
      <c r="X69" s="4" t="s">
        <v>171</v>
      </c>
      <c r="Y69" s="4" t="s">
        <v>170</v>
      </c>
      <c r="Z69" s="4" t="s">
        <v>171</v>
      </c>
      <c r="AA69" s="4" t="s">
        <v>170</v>
      </c>
      <c r="AB69" s="4" t="s">
        <v>171</v>
      </c>
      <c r="AC69" s="4" t="s">
        <v>170</v>
      </c>
      <c r="AD69" s="4" t="s">
        <v>171</v>
      </c>
      <c r="AE69" s="4" t="s">
        <v>170</v>
      </c>
      <c r="AF69" s="4" t="s">
        <v>171</v>
      </c>
      <c r="AG69" s="4" t="s">
        <v>170</v>
      </c>
      <c r="AH69" s="4">
        <v>0.4</v>
      </c>
    </row>
    <row r="70" spans="1:34" x14ac:dyDescent="0.35">
      <c r="A70" s="4" t="s">
        <v>120</v>
      </c>
      <c r="B70" s="4" t="s">
        <v>176</v>
      </c>
      <c r="C70" s="4" t="s">
        <v>171</v>
      </c>
      <c r="D70" s="6">
        <v>1.71698113207547</v>
      </c>
      <c r="E70" s="4" t="s">
        <v>172</v>
      </c>
      <c r="F70" s="4" t="s">
        <v>173</v>
      </c>
      <c r="G70" s="4" t="s">
        <v>171</v>
      </c>
      <c r="H70" s="4" t="s">
        <v>172</v>
      </c>
      <c r="I70" s="4" t="s">
        <v>171</v>
      </c>
      <c r="J70" s="4" t="s">
        <v>169</v>
      </c>
      <c r="K70" s="4" t="s">
        <v>177</v>
      </c>
      <c r="L70" s="4" t="s">
        <v>169</v>
      </c>
      <c r="M70" s="4" t="s">
        <v>169</v>
      </c>
      <c r="N70" s="4" t="s">
        <v>173</v>
      </c>
      <c r="O70" s="4" t="s">
        <v>169</v>
      </c>
      <c r="P70" s="4" t="s">
        <v>169</v>
      </c>
      <c r="Q70" s="4" t="s">
        <v>173</v>
      </c>
      <c r="R70" s="4" t="s">
        <v>171</v>
      </c>
      <c r="S70" s="4" t="s">
        <v>170</v>
      </c>
      <c r="T70" s="4" t="s">
        <v>171</v>
      </c>
      <c r="U70" s="4" t="s">
        <v>170</v>
      </c>
      <c r="V70" s="4" t="s">
        <v>171</v>
      </c>
      <c r="W70" s="4" t="s">
        <v>173</v>
      </c>
      <c r="X70" s="4" t="s">
        <v>171</v>
      </c>
      <c r="Y70" s="4" t="s">
        <v>170</v>
      </c>
      <c r="Z70" s="4" t="s">
        <v>171</v>
      </c>
      <c r="AA70" s="4" t="s">
        <v>173</v>
      </c>
      <c r="AB70" s="4" t="s">
        <v>171</v>
      </c>
      <c r="AC70" s="4" t="s">
        <v>170</v>
      </c>
      <c r="AD70" s="4" t="s">
        <v>171</v>
      </c>
      <c r="AE70" s="4" t="s">
        <v>170</v>
      </c>
      <c r="AF70" s="4" t="s">
        <v>171</v>
      </c>
      <c r="AG70" s="4" t="s">
        <v>170</v>
      </c>
      <c r="AH70" s="4">
        <v>0.4</v>
      </c>
    </row>
    <row r="71" spans="1:34" x14ac:dyDescent="0.35">
      <c r="A71" s="4" t="s">
        <v>120</v>
      </c>
      <c r="B71" s="4" t="s">
        <v>176</v>
      </c>
      <c r="C71" s="4" t="s">
        <v>171</v>
      </c>
      <c r="D71" s="6">
        <v>1.71698113207547</v>
      </c>
      <c r="E71" s="4" t="s">
        <v>172</v>
      </c>
      <c r="F71" s="4" t="s">
        <v>169</v>
      </c>
      <c r="G71" s="4" t="s">
        <v>171</v>
      </c>
      <c r="H71" s="4" t="s">
        <v>172</v>
      </c>
      <c r="I71" s="4" t="s">
        <v>171</v>
      </c>
      <c r="J71" s="4" t="s">
        <v>171</v>
      </c>
      <c r="K71" s="4" t="s">
        <v>171</v>
      </c>
      <c r="L71" s="4" t="s">
        <v>169</v>
      </c>
      <c r="M71" s="4" t="s">
        <v>171</v>
      </c>
      <c r="N71" s="4" t="s">
        <v>173</v>
      </c>
      <c r="O71" s="4" t="s">
        <v>169</v>
      </c>
      <c r="P71" s="4" t="s">
        <v>169</v>
      </c>
      <c r="Q71" s="4" t="s">
        <v>173</v>
      </c>
      <c r="R71" s="4" t="s">
        <v>171</v>
      </c>
      <c r="S71" s="4" t="s">
        <v>173</v>
      </c>
      <c r="T71" s="4" t="s">
        <v>171</v>
      </c>
      <c r="U71" s="4" t="s">
        <v>170</v>
      </c>
      <c r="V71" s="4" t="s">
        <v>171</v>
      </c>
      <c r="W71" s="4" t="s">
        <v>173</v>
      </c>
      <c r="X71" s="4" t="s">
        <v>171</v>
      </c>
      <c r="Y71" s="4" t="s">
        <v>170</v>
      </c>
      <c r="Z71" s="4" t="s">
        <v>171</v>
      </c>
      <c r="AA71" s="4" t="s">
        <v>170</v>
      </c>
      <c r="AB71" s="4" t="s">
        <v>171</v>
      </c>
      <c r="AC71" s="4" t="s">
        <v>170</v>
      </c>
      <c r="AD71" s="4" t="s">
        <v>171</v>
      </c>
      <c r="AE71" s="4" t="s">
        <v>170</v>
      </c>
      <c r="AF71" s="4" t="s">
        <v>171</v>
      </c>
      <c r="AG71" s="4" t="s">
        <v>170</v>
      </c>
      <c r="AH71" s="4">
        <v>0.4</v>
      </c>
    </row>
    <row r="72" spans="1:34" x14ac:dyDescent="0.35">
      <c r="A72" s="4" t="s">
        <v>120</v>
      </c>
      <c r="B72" s="4" t="s">
        <v>176</v>
      </c>
      <c r="C72" s="4" t="s">
        <v>171</v>
      </c>
      <c r="D72" s="6">
        <v>1.71698113207547</v>
      </c>
      <c r="E72" s="4" t="s">
        <v>172</v>
      </c>
      <c r="F72" s="4" t="s">
        <v>169</v>
      </c>
      <c r="G72" s="4" t="s">
        <v>171</v>
      </c>
      <c r="H72" s="4" t="s">
        <v>172</v>
      </c>
      <c r="I72" s="4" t="s">
        <v>171</v>
      </c>
      <c r="J72" s="4" t="s">
        <v>171</v>
      </c>
      <c r="K72" s="4" t="s">
        <v>171</v>
      </c>
      <c r="L72" s="4" t="s">
        <v>169</v>
      </c>
      <c r="M72" s="4" t="s">
        <v>171</v>
      </c>
      <c r="N72" s="4" t="s">
        <v>173</v>
      </c>
      <c r="O72" s="4" t="s">
        <v>169</v>
      </c>
      <c r="P72" s="4" t="s">
        <v>169</v>
      </c>
      <c r="Q72" s="4" t="s">
        <v>173</v>
      </c>
      <c r="R72" s="4" t="s">
        <v>171</v>
      </c>
      <c r="S72" s="4" t="s">
        <v>170</v>
      </c>
      <c r="T72" s="4" t="s">
        <v>171</v>
      </c>
      <c r="U72" s="4" t="s">
        <v>170</v>
      </c>
      <c r="V72" s="4" t="s">
        <v>171</v>
      </c>
      <c r="W72" s="4" t="s">
        <v>173</v>
      </c>
      <c r="X72" s="4" t="s">
        <v>171</v>
      </c>
      <c r="Y72" s="4" t="s">
        <v>170</v>
      </c>
      <c r="Z72" s="4" t="s">
        <v>171</v>
      </c>
      <c r="AA72" s="4" t="s">
        <v>170</v>
      </c>
      <c r="AB72" s="4" t="s">
        <v>171</v>
      </c>
      <c r="AC72" s="4" t="s">
        <v>170</v>
      </c>
      <c r="AD72" s="4" t="s">
        <v>171</v>
      </c>
      <c r="AE72" s="4" t="s">
        <v>170</v>
      </c>
      <c r="AF72" s="4" t="s">
        <v>171</v>
      </c>
      <c r="AG72" s="4" t="s">
        <v>170</v>
      </c>
      <c r="AH72" s="4">
        <v>0.4</v>
      </c>
    </row>
    <row r="73" spans="1:34" x14ac:dyDescent="0.35">
      <c r="A73" s="4" t="s">
        <v>121</v>
      </c>
      <c r="B73" s="4" t="s">
        <v>174</v>
      </c>
      <c r="C73" s="4" t="s">
        <v>173</v>
      </c>
      <c r="D73" s="6">
        <v>1.71698113207547</v>
      </c>
      <c r="E73" s="4" t="s">
        <v>172</v>
      </c>
      <c r="F73" s="4" t="s">
        <v>169</v>
      </c>
      <c r="G73" s="4" t="s">
        <v>171</v>
      </c>
      <c r="H73" s="4" t="s">
        <v>172</v>
      </c>
      <c r="I73" s="4" t="s">
        <v>171</v>
      </c>
      <c r="J73" s="4" t="s">
        <v>171</v>
      </c>
      <c r="K73" s="4" t="s">
        <v>171</v>
      </c>
      <c r="L73" s="4" t="s">
        <v>169</v>
      </c>
      <c r="M73" s="4" t="s">
        <v>171</v>
      </c>
      <c r="N73" s="4" t="s">
        <v>173</v>
      </c>
      <c r="O73" s="4" t="s">
        <v>169</v>
      </c>
      <c r="P73" s="4" t="s">
        <v>169</v>
      </c>
      <c r="Q73" s="4" t="s">
        <v>173</v>
      </c>
      <c r="R73" s="4" t="s">
        <v>171</v>
      </c>
      <c r="S73" s="4" t="s">
        <v>170</v>
      </c>
      <c r="T73" s="4" t="s">
        <v>171</v>
      </c>
      <c r="U73" s="4" t="s">
        <v>170</v>
      </c>
      <c r="V73" s="4" t="s">
        <v>171</v>
      </c>
      <c r="W73" s="4" t="s">
        <v>173</v>
      </c>
      <c r="X73" s="4" t="s">
        <v>171</v>
      </c>
      <c r="Y73" s="4" t="s">
        <v>170</v>
      </c>
      <c r="Z73" s="4" t="s">
        <v>171</v>
      </c>
      <c r="AA73" s="4" t="s">
        <v>173</v>
      </c>
      <c r="AB73" s="4" t="s">
        <v>171</v>
      </c>
      <c r="AC73" s="4" t="s">
        <v>170</v>
      </c>
      <c r="AD73" s="4" t="s">
        <v>171</v>
      </c>
      <c r="AE73" s="4" t="s">
        <v>170</v>
      </c>
      <c r="AF73" s="4" t="s">
        <v>171</v>
      </c>
      <c r="AG73" s="4" t="s">
        <v>170</v>
      </c>
      <c r="AH73" s="4">
        <v>0.4</v>
      </c>
    </row>
    <row r="74" spans="1:34" x14ac:dyDescent="0.35">
      <c r="A74" s="4" t="s">
        <v>120</v>
      </c>
      <c r="B74" s="4" t="s">
        <v>176</v>
      </c>
      <c r="C74" s="4" t="s">
        <v>173</v>
      </c>
      <c r="D74" s="6">
        <v>1.71698113207547</v>
      </c>
      <c r="E74" s="4" t="s">
        <v>172</v>
      </c>
      <c r="F74" s="4" t="s">
        <v>173</v>
      </c>
      <c r="G74" s="4" t="s">
        <v>171</v>
      </c>
      <c r="H74" s="4" t="s">
        <v>172</v>
      </c>
      <c r="I74" s="4" t="s">
        <v>171</v>
      </c>
      <c r="J74" s="4" t="s">
        <v>171</v>
      </c>
      <c r="K74" s="4" t="s">
        <v>171</v>
      </c>
      <c r="L74" s="4" t="s">
        <v>169</v>
      </c>
      <c r="M74" s="4" t="s">
        <v>171</v>
      </c>
      <c r="N74" s="4" t="s">
        <v>173</v>
      </c>
      <c r="O74" s="4" t="s">
        <v>169</v>
      </c>
      <c r="P74" s="4" t="s">
        <v>169</v>
      </c>
      <c r="Q74" s="4" t="s">
        <v>173</v>
      </c>
      <c r="R74" s="4" t="s">
        <v>171</v>
      </c>
      <c r="S74" s="4" t="s">
        <v>173</v>
      </c>
      <c r="T74" s="4" t="s">
        <v>171</v>
      </c>
      <c r="U74" s="4" t="s">
        <v>170</v>
      </c>
      <c r="V74" s="4" t="s">
        <v>171</v>
      </c>
      <c r="W74" s="4" t="s">
        <v>173</v>
      </c>
      <c r="X74" s="4" t="s">
        <v>171</v>
      </c>
      <c r="Y74" s="4" t="s">
        <v>170</v>
      </c>
      <c r="Z74" s="4" t="s">
        <v>171</v>
      </c>
      <c r="AA74" s="4" t="s">
        <v>173</v>
      </c>
      <c r="AB74" s="4" t="s">
        <v>171</v>
      </c>
      <c r="AC74" s="4" t="s">
        <v>170</v>
      </c>
      <c r="AD74" s="4" t="s">
        <v>171</v>
      </c>
      <c r="AE74" s="4" t="s">
        <v>170</v>
      </c>
      <c r="AF74" s="4" t="s">
        <v>171</v>
      </c>
      <c r="AG74" s="4" t="s">
        <v>170</v>
      </c>
      <c r="AH74" s="4">
        <v>0.4</v>
      </c>
    </row>
    <row r="75" spans="1:34" x14ac:dyDescent="0.35">
      <c r="A75" s="4" t="s">
        <v>120</v>
      </c>
      <c r="B75" s="4" t="s">
        <v>172</v>
      </c>
      <c r="C75" s="4" t="s">
        <v>171</v>
      </c>
      <c r="D75" s="6">
        <v>1.71698113207547</v>
      </c>
      <c r="E75" s="4" t="s">
        <v>171</v>
      </c>
      <c r="F75" s="4" t="s">
        <v>169</v>
      </c>
      <c r="G75" s="4" t="s">
        <v>171</v>
      </c>
      <c r="H75" s="4" t="s">
        <v>172</v>
      </c>
      <c r="I75" s="4" t="s">
        <v>171</v>
      </c>
      <c r="J75" s="4" t="s">
        <v>171</v>
      </c>
      <c r="K75" s="4" t="s">
        <v>171</v>
      </c>
      <c r="L75" s="4" t="s">
        <v>173</v>
      </c>
      <c r="M75" s="6">
        <v>1.7945205479452</v>
      </c>
      <c r="N75" s="4" t="s">
        <v>173</v>
      </c>
      <c r="O75" s="4" t="s">
        <v>169</v>
      </c>
      <c r="P75" s="4" t="s">
        <v>169</v>
      </c>
      <c r="Q75" s="4" t="s">
        <v>173</v>
      </c>
      <c r="R75" s="4" t="s">
        <v>171</v>
      </c>
      <c r="S75" s="4" t="s">
        <v>170</v>
      </c>
      <c r="T75" s="4" t="s">
        <v>171</v>
      </c>
      <c r="U75" s="4" t="s">
        <v>170</v>
      </c>
      <c r="V75" s="4" t="s">
        <v>171</v>
      </c>
      <c r="W75" s="4" t="s">
        <v>173</v>
      </c>
      <c r="X75" s="4" t="s">
        <v>171</v>
      </c>
      <c r="Y75" s="4" t="s">
        <v>170</v>
      </c>
      <c r="Z75" s="4" t="s">
        <v>171</v>
      </c>
      <c r="AA75" s="4" t="s">
        <v>170</v>
      </c>
      <c r="AB75" s="4" t="s">
        <v>171</v>
      </c>
      <c r="AC75" s="4" t="s">
        <v>170</v>
      </c>
      <c r="AD75" s="4" t="s">
        <v>171</v>
      </c>
      <c r="AE75" s="4" t="s">
        <v>170</v>
      </c>
      <c r="AF75" s="4" t="s">
        <v>171</v>
      </c>
      <c r="AG75" s="4" t="s">
        <v>170</v>
      </c>
      <c r="AH75" s="4">
        <v>0.4</v>
      </c>
    </row>
    <row r="76" spans="1:34" x14ac:dyDescent="0.35">
      <c r="A76" s="4" t="s">
        <v>120</v>
      </c>
      <c r="B76" s="4" t="s">
        <v>170</v>
      </c>
      <c r="C76" s="4" t="s">
        <v>171</v>
      </c>
      <c r="D76" s="4" t="s">
        <v>171</v>
      </c>
      <c r="E76" s="4" t="s">
        <v>172</v>
      </c>
      <c r="F76" s="4" t="s">
        <v>173</v>
      </c>
      <c r="G76" s="4" t="s">
        <v>171</v>
      </c>
      <c r="H76" s="4" t="s">
        <v>172</v>
      </c>
      <c r="I76" s="4" t="s">
        <v>171</v>
      </c>
      <c r="J76" s="4" t="s">
        <v>169</v>
      </c>
      <c r="K76" s="4" t="s">
        <v>171</v>
      </c>
      <c r="L76" s="4" t="s">
        <v>169</v>
      </c>
      <c r="M76" s="4" t="s">
        <v>171</v>
      </c>
      <c r="N76" s="4" t="s">
        <v>173</v>
      </c>
      <c r="O76" s="4" t="s">
        <v>169</v>
      </c>
      <c r="P76" s="4" t="s">
        <v>169</v>
      </c>
      <c r="Q76" s="4" t="s">
        <v>169</v>
      </c>
      <c r="R76" s="4" t="s">
        <v>171</v>
      </c>
      <c r="S76" s="4" t="s">
        <v>170</v>
      </c>
      <c r="T76" s="4" t="s">
        <v>171</v>
      </c>
      <c r="U76" s="4" t="s">
        <v>170</v>
      </c>
      <c r="V76" s="4" t="s">
        <v>171</v>
      </c>
      <c r="W76" s="4" t="s">
        <v>173</v>
      </c>
      <c r="X76" s="4" t="s">
        <v>171</v>
      </c>
      <c r="Y76" s="4" t="s">
        <v>170</v>
      </c>
      <c r="Z76" s="4" t="s">
        <v>171</v>
      </c>
      <c r="AA76" s="4" t="s">
        <v>173</v>
      </c>
      <c r="AB76" s="4" t="s">
        <v>171</v>
      </c>
      <c r="AC76" s="4" t="s">
        <v>170</v>
      </c>
      <c r="AD76" s="4" t="s">
        <v>171</v>
      </c>
      <c r="AE76" s="4" t="s">
        <v>170</v>
      </c>
      <c r="AF76" s="4" t="s">
        <v>171</v>
      </c>
      <c r="AG76" s="4" t="s">
        <v>170</v>
      </c>
      <c r="AH76" s="4" t="s">
        <v>168</v>
      </c>
    </row>
    <row r="77" spans="1:34" x14ac:dyDescent="0.35">
      <c r="A77" s="4" t="s">
        <v>120</v>
      </c>
      <c r="B77" s="4" t="s">
        <v>169</v>
      </c>
      <c r="C77" s="4" t="s">
        <v>171</v>
      </c>
      <c r="D77" s="4" t="s">
        <v>171</v>
      </c>
      <c r="E77" s="4" t="s">
        <v>178</v>
      </c>
      <c r="F77" s="4" t="s">
        <v>173</v>
      </c>
      <c r="G77" s="4" t="s">
        <v>171</v>
      </c>
      <c r="H77" s="4" t="s">
        <v>172</v>
      </c>
      <c r="I77" s="4" t="s">
        <v>171</v>
      </c>
      <c r="J77" s="4" t="s">
        <v>171</v>
      </c>
      <c r="K77" s="4" t="s">
        <v>177</v>
      </c>
      <c r="L77" s="4" t="s">
        <v>169</v>
      </c>
      <c r="M77" s="4" t="s">
        <v>171</v>
      </c>
      <c r="N77" s="4" t="s">
        <v>173</v>
      </c>
      <c r="O77" s="4" t="s">
        <v>169</v>
      </c>
      <c r="P77" s="4" t="s">
        <v>173</v>
      </c>
      <c r="Q77" s="4" t="s">
        <v>173</v>
      </c>
      <c r="R77" s="4" t="s">
        <v>171</v>
      </c>
      <c r="S77" s="4" t="s">
        <v>170</v>
      </c>
      <c r="T77" s="4" t="s">
        <v>171</v>
      </c>
      <c r="U77" s="4" t="s">
        <v>170</v>
      </c>
      <c r="V77" s="4" t="s">
        <v>171</v>
      </c>
      <c r="W77" s="4" t="s">
        <v>173</v>
      </c>
      <c r="X77" s="4" t="s">
        <v>171</v>
      </c>
      <c r="Y77" s="4" t="s">
        <v>170</v>
      </c>
      <c r="Z77" s="4" t="s">
        <v>171</v>
      </c>
      <c r="AA77" s="4" t="s">
        <v>173</v>
      </c>
      <c r="AB77" s="4" t="s">
        <v>171</v>
      </c>
      <c r="AC77" s="4" t="s">
        <v>170</v>
      </c>
      <c r="AD77" s="4" t="s">
        <v>171</v>
      </c>
      <c r="AE77" s="4" t="s">
        <v>170</v>
      </c>
      <c r="AF77" s="4" t="s">
        <v>171</v>
      </c>
      <c r="AG77" s="4" t="s">
        <v>170</v>
      </c>
      <c r="AH77" s="4" t="s">
        <v>168</v>
      </c>
    </row>
    <row r="78" spans="1:34" x14ac:dyDescent="0.35">
      <c r="A78" s="4" t="s">
        <v>120</v>
      </c>
      <c r="B78" s="4" t="s">
        <v>173</v>
      </c>
      <c r="C78" s="4" t="s">
        <v>169</v>
      </c>
      <c r="D78" s="4" t="s">
        <v>169</v>
      </c>
      <c r="E78" s="4" t="s">
        <v>172</v>
      </c>
      <c r="F78" s="4" t="s">
        <v>169</v>
      </c>
      <c r="G78" s="4" t="s">
        <v>171</v>
      </c>
      <c r="H78" s="4" t="s">
        <v>172</v>
      </c>
      <c r="I78" s="4" t="s">
        <v>171</v>
      </c>
      <c r="J78" s="4" t="s">
        <v>171</v>
      </c>
      <c r="K78" s="4" t="s">
        <v>171</v>
      </c>
      <c r="L78" s="4" t="s">
        <v>169</v>
      </c>
      <c r="M78" s="4" t="s">
        <v>171</v>
      </c>
      <c r="N78" s="4" t="s">
        <v>171</v>
      </c>
      <c r="O78" s="4" t="s">
        <v>169</v>
      </c>
      <c r="P78" s="4" t="s">
        <v>169</v>
      </c>
      <c r="Q78" s="4" t="s">
        <v>173</v>
      </c>
      <c r="R78" s="4" t="s">
        <v>171</v>
      </c>
      <c r="S78" s="4" t="s">
        <v>170</v>
      </c>
      <c r="T78" s="4" t="s">
        <v>171</v>
      </c>
      <c r="U78" s="4" t="s">
        <v>170</v>
      </c>
      <c r="V78" s="4" t="s">
        <v>171</v>
      </c>
      <c r="W78" s="4" t="s">
        <v>173</v>
      </c>
      <c r="X78" s="4" t="s">
        <v>171</v>
      </c>
      <c r="Y78" s="4" t="s">
        <v>170</v>
      </c>
      <c r="Z78" s="4" t="s">
        <v>169</v>
      </c>
      <c r="AA78" s="4" t="s">
        <v>170</v>
      </c>
      <c r="AB78" s="4" t="s">
        <v>171</v>
      </c>
      <c r="AC78" s="4" t="s">
        <v>170</v>
      </c>
      <c r="AD78" s="4" t="s">
        <v>171</v>
      </c>
      <c r="AE78" s="4" t="s">
        <v>170</v>
      </c>
      <c r="AF78" s="4" t="s">
        <v>171</v>
      </c>
      <c r="AG78" s="4" t="s">
        <v>170</v>
      </c>
      <c r="AH78" s="4">
        <v>0.4</v>
      </c>
    </row>
    <row r="79" spans="1:34" x14ac:dyDescent="0.35">
      <c r="A79" s="4" t="s">
        <v>120</v>
      </c>
      <c r="B79" s="4" t="s">
        <v>171</v>
      </c>
      <c r="C79" s="4" t="s">
        <v>173</v>
      </c>
      <c r="D79" s="6">
        <v>1.71698113207547</v>
      </c>
      <c r="E79" s="4" t="s">
        <v>178</v>
      </c>
      <c r="F79" s="4" t="s">
        <v>173</v>
      </c>
      <c r="G79" s="4" t="s">
        <v>171</v>
      </c>
      <c r="H79" s="4" t="s">
        <v>172</v>
      </c>
      <c r="I79" s="4" t="s">
        <v>171</v>
      </c>
      <c r="J79" s="4" t="s">
        <v>169</v>
      </c>
      <c r="K79" s="4" t="s">
        <v>171</v>
      </c>
      <c r="L79" s="4" t="s">
        <v>169</v>
      </c>
      <c r="M79" s="4" t="s">
        <v>171</v>
      </c>
      <c r="N79" s="4" t="s">
        <v>171</v>
      </c>
      <c r="O79" s="4" t="s">
        <v>169</v>
      </c>
      <c r="P79" s="4" t="s">
        <v>169</v>
      </c>
      <c r="Q79" s="4" t="s">
        <v>173</v>
      </c>
      <c r="R79" s="4" t="s">
        <v>171</v>
      </c>
      <c r="S79" s="4" t="s">
        <v>170</v>
      </c>
      <c r="T79" s="4" t="s">
        <v>171</v>
      </c>
      <c r="U79" s="4" t="s">
        <v>170</v>
      </c>
      <c r="V79" s="4" t="s">
        <v>171</v>
      </c>
      <c r="W79" s="4" t="s">
        <v>170</v>
      </c>
      <c r="X79" s="4" t="s">
        <v>171</v>
      </c>
      <c r="Y79" s="4" t="s">
        <v>170</v>
      </c>
      <c r="Z79" s="4" t="s">
        <v>171</v>
      </c>
      <c r="AA79" s="4" t="s">
        <v>170</v>
      </c>
      <c r="AB79" s="4" t="s">
        <v>171</v>
      </c>
      <c r="AC79" s="4" t="s">
        <v>170</v>
      </c>
      <c r="AD79" s="4" t="s">
        <v>171</v>
      </c>
      <c r="AE79" s="4" t="s">
        <v>170</v>
      </c>
      <c r="AF79" s="4" t="s">
        <v>171</v>
      </c>
      <c r="AG79" s="4" t="s">
        <v>170</v>
      </c>
      <c r="AH79" s="4">
        <v>0.4</v>
      </c>
    </row>
    <row r="80" spans="1:34" x14ac:dyDescent="0.35">
      <c r="A80" s="4" t="s">
        <v>120</v>
      </c>
      <c r="B80" s="4" t="s">
        <v>169</v>
      </c>
      <c r="C80" s="6">
        <v>1.95061728395061</v>
      </c>
      <c r="D80" s="6">
        <v>1.71698113207547</v>
      </c>
      <c r="E80" s="6">
        <v>5.2222222222222197</v>
      </c>
      <c r="F80" s="6">
        <v>1.7654320987654299</v>
      </c>
      <c r="G80" s="6">
        <v>1.94805194805194</v>
      </c>
      <c r="H80" s="6">
        <v>6.0123456790123404</v>
      </c>
      <c r="I80" s="6">
        <v>1.93670886075949</v>
      </c>
      <c r="J80" s="6">
        <v>1.81481481481481</v>
      </c>
      <c r="K80" s="6">
        <v>3.75308641975308</v>
      </c>
      <c r="L80" s="6">
        <v>1.1111111111111101</v>
      </c>
      <c r="M80" s="6">
        <v>1.7945205479452</v>
      </c>
      <c r="N80" s="6">
        <v>2.9012345679012301</v>
      </c>
      <c r="O80" s="6">
        <v>1.18518518518518</v>
      </c>
      <c r="P80" s="6">
        <v>1.37974683544303</v>
      </c>
      <c r="Q80" s="6">
        <v>2.61728395061728</v>
      </c>
      <c r="R80" s="6">
        <v>1.98765432098765</v>
      </c>
      <c r="S80" s="6">
        <v>3.7654320987654302</v>
      </c>
      <c r="T80" s="6">
        <v>1.9753086419753001</v>
      </c>
      <c r="U80" s="4" t="s">
        <v>170</v>
      </c>
      <c r="V80" s="4" t="s">
        <v>171</v>
      </c>
      <c r="W80" s="6">
        <v>3.1111111111111098</v>
      </c>
      <c r="X80" s="4" t="s">
        <v>171</v>
      </c>
      <c r="Y80" s="6">
        <v>3.9753086419753001</v>
      </c>
      <c r="Z80" s="6">
        <v>1.9012345679012299</v>
      </c>
      <c r="AA80" s="6">
        <v>3.4444444444444402</v>
      </c>
      <c r="AB80" s="4" t="s">
        <v>171</v>
      </c>
      <c r="AC80" s="4" t="s">
        <v>170</v>
      </c>
      <c r="AD80" s="4" t="s">
        <v>171</v>
      </c>
      <c r="AE80" s="4" t="s">
        <v>170</v>
      </c>
      <c r="AF80" s="6">
        <v>1.93827160493827</v>
      </c>
      <c r="AG80" s="4" t="s">
        <v>170</v>
      </c>
      <c r="AH80" s="4">
        <v>0.4</v>
      </c>
    </row>
    <row r="81" spans="1:34" x14ac:dyDescent="0.35">
      <c r="A81" s="4" t="s">
        <v>120</v>
      </c>
      <c r="B81" s="4" t="s">
        <v>170</v>
      </c>
      <c r="C81" s="4" t="s">
        <v>173</v>
      </c>
      <c r="D81" s="6">
        <v>1.71698113207547</v>
      </c>
      <c r="E81" s="4" t="s">
        <v>172</v>
      </c>
      <c r="F81" s="4" t="s">
        <v>169</v>
      </c>
      <c r="G81" s="4" t="s">
        <v>171</v>
      </c>
      <c r="H81" s="4" t="s">
        <v>172</v>
      </c>
      <c r="I81" s="4" t="s">
        <v>171</v>
      </c>
      <c r="J81" s="4" t="s">
        <v>169</v>
      </c>
      <c r="K81" s="4" t="s">
        <v>171</v>
      </c>
      <c r="L81" s="4" t="s">
        <v>171</v>
      </c>
      <c r="M81" s="6">
        <v>1.7945205479452</v>
      </c>
      <c r="N81" s="4" t="s">
        <v>173</v>
      </c>
      <c r="O81" s="4" t="s">
        <v>169</v>
      </c>
      <c r="P81" s="4" t="s">
        <v>169</v>
      </c>
      <c r="Q81" s="4" t="s">
        <v>173</v>
      </c>
      <c r="R81" s="4" t="s">
        <v>171</v>
      </c>
      <c r="S81" s="4" t="s">
        <v>170</v>
      </c>
      <c r="T81" s="4" t="s">
        <v>171</v>
      </c>
      <c r="U81" s="4" t="s">
        <v>170</v>
      </c>
      <c r="V81" s="4" t="s">
        <v>171</v>
      </c>
      <c r="W81" s="4" t="s">
        <v>173</v>
      </c>
      <c r="X81" s="4" t="s">
        <v>171</v>
      </c>
      <c r="Y81" s="4" t="s">
        <v>170</v>
      </c>
      <c r="Z81" s="4" t="s">
        <v>171</v>
      </c>
      <c r="AA81" s="4" t="s">
        <v>173</v>
      </c>
      <c r="AB81" s="4" t="s">
        <v>171</v>
      </c>
      <c r="AC81" s="4" t="s">
        <v>170</v>
      </c>
      <c r="AD81" s="4" t="s">
        <v>171</v>
      </c>
      <c r="AE81" s="4" t="s">
        <v>170</v>
      </c>
      <c r="AF81" s="4" t="s">
        <v>171</v>
      </c>
      <c r="AG81" s="4" t="s">
        <v>170</v>
      </c>
      <c r="AH81" s="4">
        <v>0.4</v>
      </c>
    </row>
    <row r="82" spans="1:34" x14ac:dyDescent="0.35">
      <c r="A82" s="4" t="s">
        <v>120</v>
      </c>
      <c r="B82" s="4" t="s">
        <v>173</v>
      </c>
      <c r="C82" s="6">
        <v>1.95061728395061</v>
      </c>
      <c r="D82" s="6">
        <v>1.71698113207547</v>
      </c>
      <c r="E82" s="6">
        <v>5.2222222222222197</v>
      </c>
      <c r="F82" s="6">
        <v>1.7654320987654299</v>
      </c>
      <c r="G82" s="6">
        <v>1.94805194805194</v>
      </c>
      <c r="H82" s="6">
        <v>6.0123456790123404</v>
      </c>
      <c r="I82" s="6">
        <v>1.93670886075949</v>
      </c>
      <c r="J82" s="6">
        <v>1.81481481481481</v>
      </c>
      <c r="K82" s="6">
        <v>3.75308641975308</v>
      </c>
      <c r="L82" s="6">
        <v>1.1111111111111101</v>
      </c>
      <c r="M82" s="6">
        <v>1.7945205479452</v>
      </c>
      <c r="N82" s="6">
        <v>2.9012345679012301</v>
      </c>
      <c r="O82" s="6">
        <v>1.18518518518518</v>
      </c>
      <c r="P82" s="6">
        <v>1.37974683544303</v>
      </c>
      <c r="Q82" s="6">
        <v>2.61728395061728</v>
      </c>
      <c r="R82" s="6">
        <v>1.98765432098765</v>
      </c>
      <c r="S82" s="6">
        <v>3.7654320987654302</v>
      </c>
      <c r="T82" s="6">
        <v>1.9753086419753001</v>
      </c>
      <c r="U82" s="4" t="s">
        <v>170</v>
      </c>
      <c r="V82" s="4" t="s">
        <v>171</v>
      </c>
      <c r="W82" s="6">
        <v>3.1111111111111098</v>
      </c>
      <c r="X82" s="4" t="s">
        <v>171</v>
      </c>
      <c r="Y82" s="6">
        <v>3.9753086419753001</v>
      </c>
      <c r="Z82" s="6">
        <v>1.9012345679012299</v>
      </c>
      <c r="AA82" s="6">
        <v>3.4444444444444402</v>
      </c>
      <c r="AB82" s="4" t="s">
        <v>171</v>
      </c>
      <c r="AC82" s="4" t="s">
        <v>170</v>
      </c>
      <c r="AD82" s="4" t="s">
        <v>171</v>
      </c>
      <c r="AE82" s="4" t="s">
        <v>170</v>
      </c>
      <c r="AF82" s="6">
        <v>1.93827160493827</v>
      </c>
      <c r="AG82" s="4" t="s">
        <v>170</v>
      </c>
      <c r="AH82" s="4">
        <v>0.4</v>
      </c>
    </row>
    <row r="83" spans="1:34" x14ac:dyDescent="0.35">
      <c r="A83" s="4" t="s">
        <v>120</v>
      </c>
      <c r="B83" s="4" t="s">
        <v>170</v>
      </c>
      <c r="C83" s="4" t="s">
        <v>173</v>
      </c>
      <c r="D83" s="6">
        <v>1.71698113207547</v>
      </c>
      <c r="E83" s="4" t="s">
        <v>172</v>
      </c>
      <c r="F83" s="4" t="s">
        <v>169</v>
      </c>
      <c r="G83" s="4" t="s">
        <v>171</v>
      </c>
      <c r="H83" s="4" t="s">
        <v>172</v>
      </c>
      <c r="I83" s="4" t="s">
        <v>171</v>
      </c>
      <c r="J83" s="4" t="s">
        <v>171</v>
      </c>
      <c r="K83" s="4" t="s">
        <v>171</v>
      </c>
      <c r="L83" s="4" t="s">
        <v>169</v>
      </c>
      <c r="M83" s="4" t="s">
        <v>171</v>
      </c>
      <c r="N83" s="4" t="s">
        <v>173</v>
      </c>
      <c r="O83" s="4" t="s">
        <v>169</v>
      </c>
      <c r="P83" s="4" t="s">
        <v>169</v>
      </c>
      <c r="Q83" s="4" t="s">
        <v>173</v>
      </c>
      <c r="R83" s="4" t="s">
        <v>171</v>
      </c>
      <c r="S83" s="4" t="s">
        <v>170</v>
      </c>
      <c r="T83" s="4" t="s">
        <v>171</v>
      </c>
      <c r="U83" s="4" t="s">
        <v>170</v>
      </c>
      <c r="V83" s="4" t="s">
        <v>171</v>
      </c>
      <c r="W83" s="4" t="s">
        <v>173</v>
      </c>
      <c r="X83" s="4" t="s">
        <v>171</v>
      </c>
      <c r="Y83" s="4" t="s">
        <v>170</v>
      </c>
      <c r="Z83" s="4" t="s">
        <v>171</v>
      </c>
      <c r="AA83" s="4" t="s">
        <v>170</v>
      </c>
      <c r="AB83" s="4" t="s">
        <v>171</v>
      </c>
      <c r="AC83" s="4" t="s">
        <v>170</v>
      </c>
      <c r="AD83" s="4" t="s">
        <v>171</v>
      </c>
      <c r="AE83" s="4" t="s">
        <v>170</v>
      </c>
      <c r="AF83" s="4" t="s">
        <v>171</v>
      </c>
      <c r="AG83" s="4" t="s">
        <v>170</v>
      </c>
      <c r="AH83" s="4">
        <v>0.4</v>
      </c>
    </row>
    <row r="84" spans="1:34" x14ac:dyDescent="0.35">
      <c r="A84" s="4" t="s">
        <v>120</v>
      </c>
      <c r="B84" s="4" t="s">
        <v>173</v>
      </c>
      <c r="C84" s="4" t="s">
        <v>171</v>
      </c>
      <c r="D84" s="6">
        <v>1.71698113207547</v>
      </c>
      <c r="E84" s="4" t="s">
        <v>171</v>
      </c>
      <c r="F84" s="4" t="s">
        <v>169</v>
      </c>
      <c r="G84" s="4" t="s">
        <v>171</v>
      </c>
      <c r="H84" s="4" t="s">
        <v>172</v>
      </c>
      <c r="I84" s="4" t="s">
        <v>171</v>
      </c>
      <c r="J84" s="4" t="s">
        <v>169</v>
      </c>
      <c r="K84" s="4" t="s">
        <v>171</v>
      </c>
      <c r="L84" s="4" t="s">
        <v>169</v>
      </c>
      <c r="M84" s="4" t="s">
        <v>171</v>
      </c>
      <c r="N84" s="4" t="s">
        <v>171</v>
      </c>
      <c r="O84" s="4" t="s">
        <v>169</v>
      </c>
      <c r="P84" s="4" t="s">
        <v>169</v>
      </c>
      <c r="Q84" s="4" t="s">
        <v>173</v>
      </c>
      <c r="R84" s="4" t="s">
        <v>171</v>
      </c>
      <c r="S84" s="4" t="s">
        <v>170</v>
      </c>
      <c r="T84" s="4" t="s">
        <v>171</v>
      </c>
      <c r="U84" s="4" t="s">
        <v>170</v>
      </c>
      <c r="V84" s="4" t="s">
        <v>171</v>
      </c>
      <c r="W84" s="4" t="s">
        <v>173</v>
      </c>
      <c r="X84" s="4" t="s">
        <v>171</v>
      </c>
      <c r="Y84" s="4" t="s">
        <v>170</v>
      </c>
      <c r="Z84" s="4" t="s">
        <v>171</v>
      </c>
      <c r="AA84" s="4" t="s">
        <v>173</v>
      </c>
      <c r="AB84" s="4" t="s">
        <v>171</v>
      </c>
      <c r="AC84" s="4" t="s">
        <v>170</v>
      </c>
      <c r="AD84" s="4" t="s">
        <v>171</v>
      </c>
      <c r="AE84" s="4" t="s">
        <v>170</v>
      </c>
      <c r="AF84" s="4" t="s">
        <v>171</v>
      </c>
      <c r="AG84" s="4" t="s">
        <v>170</v>
      </c>
      <c r="AH84" s="4">
        <v>0.4</v>
      </c>
    </row>
    <row r="85" spans="1:34" x14ac:dyDescent="0.35">
      <c r="A85" s="4" t="s">
        <v>121</v>
      </c>
      <c r="B85" s="4" t="s">
        <v>172</v>
      </c>
      <c r="C85" s="4" t="s">
        <v>171</v>
      </c>
      <c r="D85" s="4" t="s">
        <v>171</v>
      </c>
      <c r="E85" s="4" t="s">
        <v>178</v>
      </c>
      <c r="F85" s="4" t="s">
        <v>173</v>
      </c>
      <c r="G85" s="4" t="s">
        <v>171</v>
      </c>
      <c r="H85" s="4" t="s">
        <v>172</v>
      </c>
      <c r="I85" s="4" t="s">
        <v>171</v>
      </c>
      <c r="J85" s="4" t="s">
        <v>171</v>
      </c>
      <c r="K85" s="4" t="s">
        <v>177</v>
      </c>
      <c r="L85" s="4" t="s">
        <v>169</v>
      </c>
      <c r="M85" s="4" t="s">
        <v>171</v>
      </c>
      <c r="N85" s="4" t="s">
        <v>173</v>
      </c>
      <c r="O85" s="4" t="s">
        <v>169</v>
      </c>
      <c r="P85" s="4" t="s">
        <v>173</v>
      </c>
      <c r="Q85" s="4" t="s">
        <v>173</v>
      </c>
      <c r="R85" s="4" t="s">
        <v>171</v>
      </c>
      <c r="S85" s="4" t="s">
        <v>170</v>
      </c>
      <c r="T85" s="4" t="s">
        <v>171</v>
      </c>
      <c r="U85" s="4" t="s">
        <v>170</v>
      </c>
      <c r="V85" s="4" t="s">
        <v>171</v>
      </c>
      <c r="W85" s="4" t="s">
        <v>173</v>
      </c>
      <c r="X85" s="4" t="s">
        <v>171</v>
      </c>
      <c r="Y85" s="4" t="s">
        <v>170</v>
      </c>
      <c r="Z85" s="4" t="s">
        <v>171</v>
      </c>
      <c r="AA85" s="4" t="s">
        <v>173</v>
      </c>
      <c r="AB85" s="4" t="s">
        <v>171</v>
      </c>
      <c r="AC85" s="4" t="s">
        <v>170</v>
      </c>
      <c r="AD85" s="4" t="s">
        <v>171</v>
      </c>
      <c r="AE85" s="4" t="s">
        <v>170</v>
      </c>
      <c r="AF85" s="4" t="s">
        <v>171</v>
      </c>
      <c r="AG85" s="4" t="s">
        <v>170</v>
      </c>
      <c r="AH85" s="4" t="s">
        <v>168</v>
      </c>
    </row>
    <row r="86" spans="1:34" x14ac:dyDescent="0.35">
      <c r="A86" s="4" t="s">
        <v>121</v>
      </c>
      <c r="B86" s="4" t="s">
        <v>172</v>
      </c>
      <c r="C86" s="4" t="s">
        <v>171</v>
      </c>
      <c r="D86" s="4" t="s">
        <v>171</v>
      </c>
      <c r="E86" s="4" t="s">
        <v>172</v>
      </c>
      <c r="F86" s="4" t="s">
        <v>169</v>
      </c>
      <c r="G86" s="4" t="s">
        <v>171</v>
      </c>
      <c r="H86" s="4" t="s">
        <v>172</v>
      </c>
      <c r="I86" s="4" t="s">
        <v>171</v>
      </c>
      <c r="J86" s="4" t="s">
        <v>171</v>
      </c>
      <c r="K86" s="4" t="s">
        <v>177</v>
      </c>
      <c r="L86" s="4" t="s">
        <v>169</v>
      </c>
      <c r="M86" s="4" t="s">
        <v>171</v>
      </c>
      <c r="N86" s="4" t="s">
        <v>173</v>
      </c>
      <c r="O86" s="4" t="s">
        <v>169</v>
      </c>
      <c r="P86" s="4" t="s">
        <v>173</v>
      </c>
      <c r="Q86" s="4" t="s">
        <v>171</v>
      </c>
      <c r="R86" s="4" t="s">
        <v>171</v>
      </c>
      <c r="S86" s="4" t="s">
        <v>170</v>
      </c>
      <c r="T86" s="4" t="s">
        <v>171</v>
      </c>
      <c r="U86" s="4" t="s">
        <v>170</v>
      </c>
      <c r="V86" s="4" t="s">
        <v>171</v>
      </c>
      <c r="W86" s="4" t="s">
        <v>173</v>
      </c>
      <c r="X86" s="4" t="s">
        <v>171</v>
      </c>
      <c r="Y86" s="4" t="s">
        <v>170</v>
      </c>
      <c r="Z86" s="4" t="s">
        <v>171</v>
      </c>
      <c r="AA86" s="4" t="s">
        <v>173</v>
      </c>
      <c r="AB86" s="4" t="s">
        <v>171</v>
      </c>
      <c r="AC86" s="4" t="s">
        <v>170</v>
      </c>
      <c r="AD86" s="4" t="s">
        <v>171</v>
      </c>
      <c r="AE86" s="4" t="s">
        <v>170</v>
      </c>
      <c r="AF86" s="4" t="s">
        <v>171</v>
      </c>
      <c r="AG86" s="4" t="s">
        <v>170</v>
      </c>
      <c r="AH86" s="4" t="s">
        <v>168</v>
      </c>
    </row>
    <row r="87" spans="1:34" x14ac:dyDescent="0.35">
      <c r="A87" s="4" t="s">
        <v>120</v>
      </c>
      <c r="B87" s="4" t="s">
        <v>169</v>
      </c>
      <c r="C87" s="4" t="s">
        <v>171</v>
      </c>
      <c r="D87" s="4" t="s">
        <v>171</v>
      </c>
      <c r="E87" s="4" t="s">
        <v>172</v>
      </c>
      <c r="F87" s="4" t="s">
        <v>169</v>
      </c>
      <c r="G87" s="4" t="s">
        <v>171</v>
      </c>
      <c r="H87" s="4" t="s">
        <v>172</v>
      </c>
      <c r="I87" s="4" t="s">
        <v>171</v>
      </c>
      <c r="J87" s="4" t="s">
        <v>169</v>
      </c>
      <c r="K87" s="4" t="s">
        <v>171</v>
      </c>
      <c r="L87" s="4" t="s">
        <v>169</v>
      </c>
      <c r="M87" s="4" t="s">
        <v>169</v>
      </c>
      <c r="N87" s="4" t="s">
        <v>173</v>
      </c>
      <c r="O87" s="4" t="s">
        <v>169</v>
      </c>
      <c r="P87" s="4" t="s">
        <v>169</v>
      </c>
      <c r="Q87" s="4" t="s">
        <v>169</v>
      </c>
      <c r="R87" s="4" t="s">
        <v>171</v>
      </c>
      <c r="S87" s="4" t="s">
        <v>170</v>
      </c>
      <c r="T87" s="4" t="s">
        <v>171</v>
      </c>
      <c r="U87" s="4" t="s">
        <v>170</v>
      </c>
      <c r="V87" s="4" t="s">
        <v>171</v>
      </c>
      <c r="W87" s="4" t="s">
        <v>173</v>
      </c>
      <c r="X87" s="4" t="s">
        <v>171</v>
      </c>
      <c r="Y87" s="4" t="s">
        <v>170</v>
      </c>
      <c r="Z87" s="4" t="s">
        <v>171</v>
      </c>
      <c r="AA87" s="4" t="s">
        <v>170</v>
      </c>
      <c r="AB87" s="4" t="s">
        <v>171</v>
      </c>
      <c r="AC87" s="4" t="s">
        <v>170</v>
      </c>
      <c r="AD87" s="4" t="s">
        <v>171</v>
      </c>
      <c r="AE87" s="4" t="s">
        <v>170</v>
      </c>
      <c r="AF87" s="4" t="s">
        <v>171</v>
      </c>
      <c r="AG87" s="4" t="s">
        <v>170</v>
      </c>
      <c r="AH87" s="4" t="s">
        <v>168</v>
      </c>
    </row>
    <row r="88" spans="1:34" x14ac:dyDescent="0.35">
      <c r="A88" s="4" t="s">
        <v>120</v>
      </c>
      <c r="B88" s="4" t="s">
        <v>170</v>
      </c>
      <c r="C88" s="4" t="s">
        <v>171</v>
      </c>
      <c r="D88" s="4" t="s">
        <v>171</v>
      </c>
      <c r="E88" s="4" t="s">
        <v>172</v>
      </c>
      <c r="F88" s="4" t="s">
        <v>173</v>
      </c>
      <c r="G88" s="4" t="s">
        <v>171</v>
      </c>
      <c r="H88" s="4" t="s">
        <v>172</v>
      </c>
      <c r="I88" s="4" t="s">
        <v>171</v>
      </c>
      <c r="J88" s="4" t="s">
        <v>169</v>
      </c>
      <c r="K88" s="4" t="s">
        <v>171</v>
      </c>
      <c r="L88" s="4" t="s">
        <v>169</v>
      </c>
      <c r="M88" s="4" t="s">
        <v>169</v>
      </c>
      <c r="N88" s="4" t="s">
        <v>173</v>
      </c>
      <c r="O88" s="4" t="s">
        <v>171</v>
      </c>
      <c r="P88" s="4" t="s">
        <v>169</v>
      </c>
      <c r="Q88" s="4" t="s">
        <v>173</v>
      </c>
      <c r="R88" s="4" t="s">
        <v>171</v>
      </c>
      <c r="S88" s="4" t="s">
        <v>170</v>
      </c>
      <c r="T88" s="4" t="s">
        <v>171</v>
      </c>
      <c r="U88" s="4" t="s">
        <v>170</v>
      </c>
      <c r="V88" s="4" t="s">
        <v>171</v>
      </c>
      <c r="W88" s="4" t="s">
        <v>170</v>
      </c>
      <c r="X88" s="4" t="s">
        <v>171</v>
      </c>
      <c r="Y88" s="4" t="s">
        <v>170</v>
      </c>
      <c r="Z88" s="4" t="s">
        <v>171</v>
      </c>
      <c r="AA88" s="4" t="s">
        <v>170</v>
      </c>
      <c r="AB88" s="4" t="s">
        <v>171</v>
      </c>
      <c r="AC88" s="4" t="s">
        <v>170</v>
      </c>
      <c r="AD88" s="4" t="s">
        <v>171</v>
      </c>
      <c r="AE88" s="4" t="s">
        <v>170</v>
      </c>
      <c r="AF88" s="4" t="s">
        <v>171</v>
      </c>
      <c r="AG88" s="4" t="s">
        <v>170</v>
      </c>
      <c r="AH88" s="4" t="s">
        <v>168</v>
      </c>
    </row>
    <row r="89" spans="1:34" x14ac:dyDescent="0.35">
      <c r="A89" s="4" t="s">
        <v>121</v>
      </c>
      <c r="B89" s="4" t="s">
        <v>172</v>
      </c>
      <c r="C89" s="4" t="s">
        <v>171</v>
      </c>
      <c r="D89" s="4" t="s">
        <v>171</v>
      </c>
      <c r="E89" s="4" t="s">
        <v>176</v>
      </c>
      <c r="F89" s="4" t="s">
        <v>173</v>
      </c>
      <c r="G89" s="4" t="s">
        <v>171</v>
      </c>
      <c r="H89" s="4" t="s">
        <v>172</v>
      </c>
      <c r="I89" s="4" t="s">
        <v>171</v>
      </c>
      <c r="J89" s="4" t="s">
        <v>171</v>
      </c>
      <c r="K89" s="4" t="s">
        <v>171</v>
      </c>
      <c r="L89" s="4" t="s">
        <v>169</v>
      </c>
      <c r="M89" s="4" t="s">
        <v>172</v>
      </c>
      <c r="N89" s="4" t="s">
        <v>173</v>
      </c>
      <c r="O89" s="4" t="s">
        <v>169</v>
      </c>
      <c r="P89" s="4" t="s">
        <v>173</v>
      </c>
      <c r="Q89" s="4" t="s">
        <v>173</v>
      </c>
      <c r="R89" s="4" t="s">
        <v>171</v>
      </c>
      <c r="S89" s="4" t="s">
        <v>170</v>
      </c>
      <c r="T89" s="4" t="s">
        <v>171</v>
      </c>
      <c r="U89" s="4" t="s">
        <v>170</v>
      </c>
      <c r="V89" s="4" t="s">
        <v>171</v>
      </c>
      <c r="W89" s="4" t="s">
        <v>173</v>
      </c>
      <c r="X89" s="4" t="s">
        <v>171</v>
      </c>
      <c r="Y89" s="4" t="s">
        <v>170</v>
      </c>
      <c r="Z89" s="4" t="s">
        <v>171</v>
      </c>
      <c r="AA89" s="4" t="s">
        <v>173</v>
      </c>
      <c r="AB89" s="4" t="s">
        <v>171</v>
      </c>
      <c r="AC89" s="4" t="s">
        <v>170</v>
      </c>
      <c r="AD89" s="4" t="s">
        <v>171</v>
      </c>
      <c r="AE89" s="4" t="s">
        <v>170</v>
      </c>
      <c r="AF89" s="4" t="s">
        <v>171</v>
      </c>
      <c r="AG89" s="4" t="s">
        <v>170</v>
      </c>
      <c r="AH89" s="4" t="s">
        <v>168</v>
      </c>
    </row>
    <row r="90" spans="1:34" x14ac:dyDescent="0.35">
      <c r="A90" s="4" t="s">
        <v>120</v>
      </c>
      <c r="B90" s="4" t="s">
        <v>170</v>
      </c>
      <c r="C90" s="4" t="s">
        <v>171</v>
      </c>
      <c r="D90" s="4" t="s">
        <v>171</v>
      </c>
      <c r="E90" s="4" t="s">
        <v>172</v>
      </c>
      <c r="F90" s="4" t="s">
        <v>169</v>
      </c>
      <c r="G90" s="4" t="s">
        <v>171</v>
      </c>
      <c r="H90" s="4" t="s">
        <v>172</v>
      </c>
      <c r="I90" s="4" t="s">
        <v>171</v>
      </c>
      <c r="J90" s="4" t="s">
        <v>171</v>
      </c>
      <c r="K90" s="4" t="s">
        <v>171</v>
      </c>
      <c r="L90" s="4" t="s">
        <v>169</v>
      </c>
      <c r="M90" s="4" t="s">
        <v>169</v>
      </c>
      <c r="N90" s="4" t="s">
        <v>173</v>
      </c>
      <c r="O90" s="4" t="s">
        <v>169</v>
      </c>
      <c r="P90" s="4" t="s">
        <v>169</v>
      </c>
      <c r="Q90" s="4" t="s">
        <v>169</v>
      </c>
      <c r="R90" s="4" t="s">
        <v>171</v>
      </c>
      <c r="S90" s="4" t="s">
        <v>173</v>
      </c>
      <c r="T90" s="4" t="s">
        <v>171</v>
      </c>
      <c r="U90" s="4" t="s">
        <v>170</v>
      </c>
      <c r="V90" s="4" t="s">
        <v>171</v>
      </c>
      <c r="W90" s="4" t="s">
        <v>173</v>
      </c>
      <c r="X90" s="4" t="s">
        <v>171</v>
      </c>
      <c r="Y90" s="4" t="s">
        <v>170</v>
      </c>
      <c r="Z90" s="4" t="s">
        <v>171</v>
      </c>
      <c r="AA90" s="4" t="s">
        <v>170</v>
      </c>
      <c r="AB90" s="4" t="s">
        <v>171</v>
      </c>
      <c r="AC90" s="4" t="s">
        <v>170</v>
      </c>
      <c r="AD90" s="4" t="s">
        <v>171</v>
      </c>
      <c r="AE90" s="4" t="s">
        <v>170</v>
      </c>
      <c r="AF90" s="4" t="s">
        <v>171</v>
      </c>
      <c r="AG90" s="4" t="s">
        <v>170</v>
      </c>
      <c r="AH90" s="4" t="s">
        <v>168</v>
      </c>
    </row>
    <row r="91" spans="1:34" x14ac:dyDescent="0.35">
      <c r="A91" s="4" t="s">
        <v>120</v>
      </c>
      <c r="B91" s="4" t="s">
        <v>172</v>
      </c>
      <c r="C91" s="4" t="s">
        <v>169</v>
      </c>
      <c r="D91" s="4" t="s">
        <v>169</v>
      </c>
      <c r="E91" s="4" t="s">
        <v>172</v>
      </c>
      <c r="F91" s="4" t="s">
        <v>169</v>
      </c>
      <c r="G91" s="4" t="s">
        <v>171</v>
      </c>
      <c r="H91" s="4" t="s">
        <v>172</v>
      </c>
      <c r="I91" s="4" t="s">
        <v>169</v>
      </c>
      <c r="J91" s="4" t="s">
        <v>171</v>
      </c>
      <c r="K91" s="4" t="s">
        <v>171</v>
      </c>
      <c r="L91" s="4" t="s">
        <v>169</v>
      </c>
      <c r="M91" s="4" t="s">
        <v>171</v>
      </c>
      <c r="N91" s="4" t="s">
        <v>173</v>
      </c>
      <c r="O91" s="4" t="s">
        <v>169</v>
      </c>
      <c r="P91" s="4" t="s">
        <v>173</v>
      </c>
      <c r="Q91" s="4" t="s">
        <v>173</v>
      </c>
      <c r="R91" s="4" t="s">
        <v>171</v>
      </c>
      <c r="S91" s="4" t="s">
        <v>170</v>
      </c>
      <c r="T91" s="4" t="s">
        <v>171</v>
      </c>
      <c r="U91" s="4" t="s">
        <v>170</v>
      </c>
      <c r="V91" s="4" t="s">
        <v>171</v>
      </c>
      <c r="W91" s="4" t="s">
        <v>173</v>
      </c>
      <c r="X91" s="4" t="s">
        <v>171</v>
      </c>
      <c r="Y91" s="4" t="s">
        <v>170</v>
      </c>
      <c r="Z91" s="4" t="s">
        <v>171</v>
      </c>
      <c r="AA91" s="4" t="s">
        <v>173</v>
      </c>
      <c r="AB91" s="4" t="s">
        <v>171</v>
      </c>
      <c r="AC91" s="4" t="s">
        <v>170</v>
      </c>
      <c r="AD91" s="4" t="s">
        <v>171</v>
      </c>
      <c r="AE91" s="4" t="s">
        <v>170</v>
      </c>
      <c r="AF91" s="4" t="s">
        <v>171</v>
      </c>
      <c r="AG91" s="4" t="s">
        <v>170</v>
      </c>
      <c r="AH91" s="4" t="s">
        <v>168</v>
      </c>
    </row>
    <row r="92" spans="1:34" x14ac:dyDescent="0.35">
      <c r="A92" s="4" t="s">
        <v>120</v>
      </c>
      <c r="B92" s="4" t="s">
        <v>176</v>
      </c>
      <c r="C92" s="4" t="s">
        <v>169</v>
      </c>
      <c r="D92" s="4" t="s">
        <v>169</v>
      </c>
      <c r="E92" s="4" t="s">
        <v>171</v>
      </c>
      <c r="F92" s="4" t="s">
        <v>169</v>
      </c>
      <c r="G92" s="4" t="s">
        <v>171</v>
      </c>
      <c r="H92" s="4" t="s">
        <v>172</v>
      </c>
      <c r="I92" s="4" t="s">
        <v>171</v>
      </c>
      <c r="J92" s="4" t="s">
        <v>173</v>
      </c>
      <c r="K92" s="4" t="s">
        <v>171</v>
      </c>
      <c r="L92" s="4" t="s">
        <v>169</v>
      </c>
      <c r="M92" s="4" t="s">
        <v>171</v>
      </c>
      <c r="N92" s="4" t="s">
        <v>173</v>
      </c>
      <c r="O92" s="4" t="s">
        <v>169</v>
      </c>
      <c r="P92" s="4" t="s">
        <v>169</v>
      </c>
      <c r="Q92" s="4" t="s">
        <v>169</v>
      </c>
      <c r="R92" s="4" t="s">
        <v>171</v>
      </c>
      <c r="S92" s="4" t="s">
        <v>173</v>
      </c>
      <c r="T92" s="4" t="s">
        <v>171</v>
      </c>
      <c r="U92" s="4" t="s">
        <v>170</v>
      </c>
      <c r="V92" s="4" t="s">
        <v>171</v>
      </c>
      <c r="W92" s="4" t="s">
        <v>173</v>
      </c>
      <c r="X92" s="4" t="s">
        <v>171</v>
      </c>
      <c r="Y92" s="4" t="s">
        <v>170</v>
      </c>
      <c r="Z92" s="4" t="s">
        <v>169</v>
      </c>
      <c r="AA92" s="4" t="s">
        <v>173</v>
      </c>
      <c r="AB92" s="4" t="s">
        <v>171</v>
      </c>
      <c r="AC92" s="4" t="s">
        <v>170</v>
      </c>
      <c r="AD92" s="4" t="s">
        <v>171</v>
      </c>
      <c r="AE92" s="4" t="s">
        <v>170</v>
      </c>
      <c r="AF92" s="4" t="s">
        <v>169</v>
      </c>
      <c r="AG92" s="4" t="s">
        <v>170</v>
      </c>
      <c r="AH92" s="4" t="s">
        <v>169</v>
      </c>
    </row>
    <row r="93" spans="1:34" x14ac:dyDescent="0.35">
      <c r="A93" s="4" t="s">
        <v>120</v>
      </c>
      <c r="B93" s="4" t="s">
        <v>176</v>
      </c>
      <c r="C93" s="4" t="s">
        <v>173</v>
      </c>
      <c r="D93" s="6">
        <v>1.71698113207547</v>
      </c>
      <c r="E93" s="4" t="s">
        <v>171</v>
      </c>
      <c r="F93" s="4" t="s">
        <v>169</v>
      </c>
      <c r="G93" s="4" t="s">
        <v>171</v>
      </c>
      <c r="H93" s="4" t="s">
        <v>172</v>
      </c>
      <c r="I93" s="4" t="s">
        <v>171</v>
      </c>
      <c r="J93" s="4" t="s">
        <v>171</v>
      </c>
      <c r="K93" s="4" t="s">
        <v>171</v>
      </c>
      <c r="L93" s="4" t="s">
        <v>169</v>
      </c>
      <c r="M93" s="4" t="s">
        <v>171</v>
      </c>
      <c r="N93" s="4" t="s">
        <v>173</v>
      </c>
      <c r="O93" s="4" t="s">
        <v>169</v>
      </c>
      <c r="P93" s="4" t="s">
        <v>169</v>
      </c>
      <c r="Q93" s="4" t="s">
        <v>173</v>
      </c>
      <c r="R93" s="4" t="s">
        <v>171</v>
      </c>
      <c r="S93" s="4" t="s">
        <v>170</v>
      </c>
      <c r="T93" s="4" t="s">
        <v>171</v>
      </c>
      <c r="U93" s="4" t="s">
        <v>170</v>
      </c>
      <c r="V93" s="4" t="s">
        <v>171</v>
      </c>
      <c r="W93" s="4" t="s">
        <v>173</v>
      </c>
      <c r="X93" s="4" t="s">
        <v>171</v>
      </c>
      <c r="Y93" s="4" t="s">
        <v>170</v>
      </c>
      <c r="Z93" s="4" t="s">
        <v>171</v>
      </c>
      <c r="AA93" s="4" t="s">
        <v>170</v>
      </c>
      <c r="AB93" s="4" t="s">
        <v>171</v>
      </c>
      <c r="AC93" s="4" t="s">
        <v>170</v>
      </c>
      <c r="AD93" s="4" t="s">
        <v>171</v>
      </c>
      <c r="AE93" s="4" t="s">
        <v>170</v>
      </c>
      <c r="AF93" s="4" t="s">
        <v>171</v>
      </c>
      <c r="AG93" s="4" t="s">
        <v>170</v>
      </c>
      <c r="AH93" s="4">
        <v>0.4</v>
      </c>
    </row>
    <row r="94" spans="1:34" x14ac:dyDescent="0.35">
      <c r="A94" s="4" t="s">
        <v>120</v>
      </c>
      <c r="B94" s="4" t="s">
        <v>173</v>
      </c>
      <c r="C94" s="4" t="s">
        <v>176</v>
      </c>
      <c r="D94" s="4" t="s">
        <v>170</v>
      </c>
      <c r="E94" s="4" t="s">
        <v>171</v>
      </c>
      <c r="F94" s="4" t="s">
        <v>169</v>
      </c>
      <c r="G94" s="4" t="s">
        <v>171</v>
      </c>
      <c r="H94" s="4" t="s">
        <v>173</v>
      </c>
      <c r="I94" s="4" t="s">
        <v>171</v>
      </c>
      <c r="J94" s="4" t="s">
        <v>169</v>
      </c>
      <c r="K94" s="4" t="s">
        <v>171</v>
      </c>
      <c r="L94" s="4" t="s">
        <v>171</v>
      </c>
      <c r="M94" s="6">
        <v>1.7945205479452</v>
      </c>
      <c r="N94" s="4" t="s">
        <v>173</v>
      </c>
      <c r="O94" s="4" t="s">
        <v>173</v>
      </c>
      <c r="P94" s="4" t="s">
        <v>169</v>
      </c>
      <c r="Q94" s="4" t="s">
        <v>169</v>
      </c>
      <c r="R94" s="4" t="s">
        <v>171</v>
      </c>
      <c r="S94" s="4" t="s">
        <v>170</v>
      </c>
      <c r="T94" s="4" t="s">
        <v>171</v>
      </c>
      <c r="U94" s="4" t="s">
        <v>170</v>
      </c>
      <c r="V94" s="4" t="s">
        <v>171</v>
      </c>
      <c r="W94" s="4" t="s">
        <v>173</v>
      </c>
      <c r="X94" s="4" t="s">
        <v>171</v>
      </c>
      <c r="Y94" s="4" t="s">
        <v>170</v>
      </c>
      <c r="Z94" s="4" t="s">
        <v>169</v>
      </c>
      <c r="AA94" s="4" t="s">
        <v>170</v>
      </c>
      <c r="AB94" s="4" t="s">
        <v>171</v>
      </c>
      <c r="AC94" s="4" t="s">
        <v>170</v>
      </c>
      <c r="AD94" s="4" t="s">
        <v>171</v>
      </c>
      <c r="AE94" s="4" t="s">
        <v>170</v>
      </c>
      <c r="AF94" s="4" t="s">
        <v>171</v>
      </c>
      <c r="AG94" s="4" t="s">
        <v>170</v>
      </c>
      <c r="AH94" s="4" t="s">
        <v>171</v>
      </c>
    </row>
    <row r="95" spans="1:34" x14ac:dyDescent="0.35">
      <c r="A95" s="4" t="s">
        <v>120</v>
      </c>
      <c r="B95" s="4" t="s">
        <v>169</v>
      </c>
      <c r="C95" s="4" t="s">
        <v>169</v>
      </c>
      <c r="D95" s="4" t="s">
        <v>169</v>
      </c>
      <c r="E95" s="4" t="s">
        <v>171</v>
      </c>
      <c r="F95" s="4" t="s">
        <v>169</v>
      </c>
      <c r="G95" s="4" t="s">
        <v>171</v>
      </c>
      <c r="H95" s="4" t="s">
        <v>172</v>
      </c>
      <c r="I95" s="4" t="s">
        <v>171</v>
      </c>
      <c r="J95" s="4" t="s">
        <v>169</v>
      </c>
      <c r="K95" s="4" t="s">
        <v>171</v>
      </c>
      <c r="L95" s="4" t="s">
        <v>171</v>
      </c>
      <c r="M95" s="6">
        <v>1.7945205479452</v>
      </c>
      <c r="N95" s="4" t="s">
        <v>173</v>
      </c>
      <c r="O95" s="4" t="s">
        <v>169</v>
      </c>
      <c r="P95" s="4" t="s">
        <v>169</v>
      </c>
      <c r="Q95" s="4" t="s">
        <v>173</v>
      </c>
      <c r="R95" s="4" t="s">
        <v>171</v>
      </c>
      <c r="S95" s="4" t="s">
        <v>170</v>
      </c>
      <c r="T95" s="4" t="s">
        <v>171</v>
      </c>
      <c r="U95" s="4" t="s">
        <v>170</v>
      </c>
      <c r="V95" s="4" t="s">
        <v>171</v>
      </c>
      <c r="W95" s="4" t="s">
        <v>173</v>
      </c>
      <c r="X95" s="4" t="s">
        <v>171</v>
      </c>
      <c r="Y95" s="4" t="s">
        <v>170</v>
      </c>
      <c r="Z95" s="4" t="s">
        <v>171</v>
      </c>
      <c r="AA95" s="4" t="s">
        <v>170</v>
      </c>
      <c r="AB95" s="4" t="s">
        <v>171</v>
      </c>
      <c r="AC95" s="4" t="s">
        <v>170</v>
      </c>
      <c r="AD95" s="4" t="s">
        <v>171</v>
      </c>
      <c r="AE95" s="4" t="s">
        <v>170</v>
      </c>
      <c r="AF95" s="4" t="s">
        <v>171</v>
      </c>
      <c r="AG95" s="4" t="s">
        <v>170</v>
      </c>
      <c r="AH95" s="4">
        <v>0.4</v>
      </c>
    </row>
    <row r="96" spans="1:34" x14ac:dyDescent="0.35">
      <c r="A96" s="4" t="s">
        <v>120</v>
      </c>
      <c r="B96" s="4" t="s">
        <v>173</v>
      </c>
      <c r="C96" s="4" t="s">
        <v>171</v>
      </c>
      <c r="D96" s="6">
        <v>1.71698113207547</v>
      </c>
      <c r="E96" s="4" t="s">
        <v>172</v>
      </c>
      <c r="F96" s="4" t="s">
        <v>169</v>
      </c>
      <c r="G96" s="4" t="s">
        <v>171</v>
      </c>
      <c r="H96" s="4" t="s">
        <v>172</v>
      </c>
      <c r="I96" s="4" t="s">
        <v>171</v>
      </c>
      <c r="J96" s="4" t="s">
        <v>171</v>
      </c>
      <c r="K96" s="4" t="s">
        <v>171</v>
      </c>
      <c r="L96" s="4" t="s">
        <v>169</v>
      </c>
      <c r="M96" s="4" t="s">
        <v>171</v>
      </c>
      <c r="N96" s="4" t="s">
        <v>173</v>
      </c>
      <c r="O96" s="4" t="s">
        <v>169</v>
      </c>
      <c r="P96" s="4" t="s">
        <v>169</v>
      </c>
      <c r="Q96" s="4" t="s">
        <v>173</v>
      </c>
      <c r="R96" s="4" t="s">
        <v>171</v>
      </c>
      <c r="S96" s="4" t="s">
        <v>170</v>
      </c>
      <c r="T96" s="4" t="s">
        <v>171</v>
      </c>
      <c r="U96" s="4" t="s">
        <v>170</v>
      </c>
      <c r="V96" s="4" t="s">
        <v>171</v>
      </c>
      <c r="W96" s="4" t="s">
        <v>173</v>
      </c>
      <c r="X96" s="4" t="s">
        <v>171</v>
      </c>
      <c r="Y96" s="4" t="s">
        <v>170</v>
      </c>
      <c r="Z96" s="4" t="s">
        <v>171</v>
      </c>
      <c r="AA96" s="4" t="s">
        <v>170</v>
      </c>
      <c r="AB96" s="4" t="s">
        <v>171</v>
      </c>
      <c r="AC96" s="4" t="s">
        <v>170</v>
      </c>
      <c r="AD96" s="4" t="s">
        <v>171</v>
      </c>
      <c r="AE96" s="4" t="s">
        <v>170</v>
      </c>
      <c r="AF96" s="4" t="s">
        <v>171</v>
      </c>
      <c r="AG96" s="4" t="s">
        <v>170</v>
      </c>
      <c r="AH96" s="4">
        <v>0.4</v>
      </c>
    </row>
    <row r="97" spans="1:34" x14ac:dyDescent="0.35">
      <c r="A97" s="4" t="s">
        <v>120</v>
      </c>
      <c r="B97" s="4" t="s">
        <v>171</v>
      </c>
      <c r="C97" s="4" t="s">
        <v>171</v>
      </c>
      <c r="D97" s="6">
        <v>1.71698113207547</v>
      </c>
      <c r="E97" s="4" t="s">
        <v>171</v>
      </c>
      <c r="F97" s="4" t="s">
        <v>169</v>
      </c>
      <c r="G97" s="4" t="s">
        <v>171</v>
      </c>
      <c r="H97" s="4" t="s">
        <v>172</v>
      </c>
      <c r="I97" s="4" t="s">
        <v>171</v>
      </c>
      <c r="J97" s="4" t="s">
        <v>169</v>
      </c>
      <c r="K97" s="4" t="s">
        <v>171</v>
      </c>
      <c r="L97" s="4" t="s">
        <v>169</v>
      </c>
      <c r="M97" s="4" t="s">
        <v>171</v>
      </c>
      <c r="N97" s="4" t="s">
        <v>173</v>
      </c>
      <c r="O97" s="4" t="s">
        <v>169</v>
      </c>
      <c r="P97" s="4" t="s">
        <v>169</v>
      </c>
      <c r="Q97" s="4" t="s">
        <v>173</v>
      </c>
      <c r="R97" s="4" t="s">
        <v>171</v>
      </c>
      <c r="S97" s="4" t="s">
        <v>170</v>
      </c>
      <c r="T97" s="4" t="s">
        <v>171</v>
      </c>
      <c r="U97" s="4" t="s">
        <v>170</v>
      </c>
      <c r="V97" s="4" t="s">
        <v>171</v>
      </c>
      <c r="W97" s="4" t="s">
        <v>173</v>
      </c>
      <c r="X97" s="4" t="s">
        <v>171</v>
      </c>
      <c r="Y97" s="4" t="s">
        <v>170</v>
      </c>
      <c r="Z97" s="4" t="s">
        <v>171</v>
      </c>
      <c r="AA97" s="4" t="s">
        <v>170</v>
      </c>
      <c r="AB97" s="4" t="s">
        <v>171</v>
      </c>
      <c r="AC97" s="4" t="s">
        <v>170</v>
      </c>
      <c r="AD97" s="4" t="s">
        <v>171</v>
      </c>
      <c r="AE97" s="4" t="s">
        <v>170</v>
      </c>
      <c r="AF97" s="4" t="s">
        <v>171</v>
      </c>
      <c r="AG97" s="4" t="s">
        <v>170</v>
      </c>
      <c r="AH97" s="4">
        <v>0.4</v>
      </c>
    </row>
    <row r="98" spans="1:34" x14ac:dyDescent="0.35">
      <c r="A98" s="4" t="s">
        <v>120</v>
      </c>
      <c r="B98" s="4" t="s">
        <v>176</v>
      </c>
      <c r="C98" s="4" t="s">
        <v>173</v>
      </c>
      <c r="D98" s="6">
        <v>1.71698113207547</v>
      </c>
      <c r="E98" s="4" t="s">
        <v>171</v>
      </c>
      <c r="F98" s="4" t="s">
        <v>173</v>
      </c>
      <c r="G98" s="4" t="s">
        <v>171</v>
      </c>
      <c r="H98" s="4" t="s">
        <v>172</v>
      </c>
      <c r="I98" s="4" t="s">
        <v>171</v>
      </c>
      <c r="J98" s="4" t="s">
        <v>169</v>
      </c>
      <c r="K98" s="4" t="s">
        <v>171</v>
      </c>
      <c r="L98" s="4" t="s">
        <v>169</v>
      </c>
      <c r="M98" s="4" t="s">
        <v>171</v>
      </c>
      <c r="N98" s="4" t="s">
        <v>173</v>
      </c>
      <c r="O98" s="4" t="s">
        <v>169</v>
      </c>
      <c r="P98" s="4" t="s">
        <v>169</v>
      </c>
      <c r="Q98" s="4" t="s">
        <v>173</v>
      </c>
      <c r="R98" s="4" t="s">
        <v>171</v>
      </c>
      <c r="S98" s="4" t="s">
        <v>170</v>
      </c>
      <c r="T98" s="4" t="s">
        <v>171</v>
      </c>
      <c r="U98" s="4" t="s">
        <v>170</v>
      </c>
      <c r="V98" s="4" t="s">
        <v>171</v>
      </c>
      <c r="W98" s="4" t="s">
        <v>173</v>
      </c>
      <c r="X98" s="4" t="s">
        <v>171</v>
      </c>
      <c r="Y98" s="4" t="s">
        <v>170</v>
      </c>
      <c r="Z98" s="4" t="s">
        <v>171</v>
      </c>
      <c r="AA98" s="4" t="s">
        <v>173</v>
      </c>
      <c r="AB98" s="4" t="s">
        <v>171</v>
      </c>
      <c r="AC98" s="4" t="s">
        <v>170</v>
      </c>
      <c r="AD98" s="4" t="s">
        <v>171</v>
      </c>
      <c r="AE98" s="4" t="s">
        <v>170</v>
      </c>
      <c r="AF98" s="4" t="s">
        <v>171</v>
      </c>
      <c r="AG98" s="4" t="s">
        <v>170</v>
      </c>
      <c r="AH98" s="4">
        <v>0.4</v>
      </c>
    </row>
    <row r="99" spans="1:34" x14ac:dyDescent="0.35">
      <c r="A99" s="4" t="s">
        <v>120</v>
      </c>
      <c r="B99" s="4" t="s">
        <v>176</v>
      </c>
      <c r="C99" s="4" t="s">
        <v>173</v>
      </c>
      <c r="D99" s="6">
        <v>1.71698113207547</v>
      </c>
      <c r="E99" s="4" t="s">
        <v>172</v>
      </c>
      <c r="F99" s="4" t="s">
        <v>169</v>
      </c>
      <c r="G99" s="4" t="s">
        <v>171</v>
      </c>
      <c r="H99" s="4" t="s">
        <v>172</v>
      </c>
      <c r="I99" s="4" t="s">
        <v>171</v>
      </c>
      <c r="J99" s="4" t="s">
        <v>169</v>
      </c>
      <c r="K99" s="4" t="s">
        <v>171</v>
      </c>
      <c r="L99" s="4" t="s">
        <v>171</v>
      </c>
      <c r="M99" s="6">
        <v>1.7945205479452</v>
      </c>
      <c r="N99" s="4" t="s">
        <v>173</v>
      </c>
      <c r="O99" s="4" t="s">
        <v>171</v>
      </c>
      <c r="P99" s="4" t="s">
        <v>169</v>
      </c>
      <c r="Q99" s="4" t="s">
        <v>173</v>
      </c>
      <c r="R99" s="4" t="s">
        <v>171</v>
      </c>
      <c r="S99" s="4" t="s">
        <v>170</v>
      </c>
      <c r="T99" s="4" t="s">
        <v>171</v>
      </c>
      <c r="U99" s="4" t="s">
        <v>170</v>
      </c>
      <c r="V99" s="4" t="s">
        <v>171</v>
      </c>
      <c r="W99" s="4" t="s">
        <v>173</v>
      </c>
      <c r="X99" s="4" t="s">
        <v>171</v>
      </c>
      <c r="Y99" s="4" t="s">
        <v>170</v>
      </c>
      <c r="Z99" s="4" t="s">
        <v>171</v>
      </c>
      <c r="AA99" s="4" t="s">
        <v>170</v>
      </c>
      <c r="AB99" s="4" t="s">
        <v>171</v>
      </c>
      <c r="AC99" s="4" t="s">
        <v>170</v>
      </c>
      <c r="AD99" s="4" t="s">
        <v>171</v>
      </c>
      <c r="AE99" s="4" t="s">
        <v>170</v>
      </c>
      <c r="AF99" s="4" t="s">
        <v>171</v>
      </c>
      <c r="AG99" s="4" t="s">
        <v>170</v>
      </c>
      <c r="AH99" s="4">
        <v>0.4</v>
      </c>
    </row>
    <row r="100" spans="1:34" x14ac:dyDescent="0.35">
      <c r="A100" s="4" t="s">
        <v>120</v>
      </c>
      <c r="B100" s="4" t="s">
        <v>171</v>
      </c>
      <c r="C100" s="4" t="s">
        <v>169</v>
      </c>
      <c r="D100" s="4" t="s">
        <v>169</v>
      </c>
      <c r="E100" s="4" t="s">
        <v>172</v>
      </c>
      <c r="F100" s="4" t="s">
        <v>169</v>
      </c>
      <c r="G100" s="4" t="s">
        <v>171</v>
      </c>
      <c r="H100" s="4" t="s">
        <v>172</v>
      </c>
      <c r="I100" s="4" t="s">
        <v>171</v>
      </c>
      <c r="J100" s="4" t="s">
        <v>173</v>
      </c>
      <c r="K100" s="4" t="s">
        <v>171</v>
      </c>
      <c r="L100" s="4" t="s">
        <v>169</v>
      </c>
      <c r="M100" s="4" t="s">
        <v>171</v>
      </c>
      <c r="N100" s="4" t="s">
        <v>173</v>
      </c>
      <c r="O100" s="4" t="s">
        <v>169</v>
      </c>
      <c r="P100" s="4" t="s">
        <v>169</v>
      </c>
      <c r="Q100" s="4" t="s">
        <v>173</v>
      </c>
      <c r="R100" s="4" t="s">
        <v>171</v>
      </c>
      <c r="S100" s="4" t="s">
        <v>170</v>
      </c>
      <c r="T100" s="4" t="s">
        <v>171</v>
      </c>
      <c r="U100" s="4" t="s">
        <v>170</v>
      </c>
      <c r="V100" s="4" t="s">
        <v>171</v>
      </c>
      <c r="W100" s="4" t="s">
        <v>173</v>
      </c>
      <c r="X100" s="4" t="s">
        <v>171</v>
      </c>
      <c r="Y100" s="4" t="s">
        <v>170</v>
      </c>
      <c r="Z100" s="4" t="s">
        <v>171</v>
      </c>
      <c r="AA100" s="4" t="s">
        <v>170</v>
      </c>
      <c r="AB100" s="4" t="s">
        <v>171</v>
      </c>
      <c r="AC100" s="4" t="s">
        <v>170</v>
      </c>
      <c r="AD100" s="4" t="s">
        <v>171</v>
      </c>
      <c r="AE100" s="4" t="s">
        <v>170</v>
      </c>
      <c r="AF100" s="4" t="s">
        <v>171</v>
      </c>
      <c r="AG100" s="4" t="s">
        <v>170</v>
      </c>
      <c r="AH100" s="4">
        <v>0.4</v>
      </c>
    </row>
    <row r="101" spans="1:34" x14ac:dyDescent="0.35">
      <c r="A101" s="4" t="s">
        <v>120</v>
      </c>
      <c r="B101" s="4" t="s">
        <v>170</v>
      </c>
      <c r="C101" s="4" t="s">
        <v>169</v>
      </c>
      <c r="D101" s="4" t="s">
        <v>169</v>
      </c>
      <c r="E101" s="4" t="s">
        <v>178</v>
      </c>
      <c r="F101" s="4" t="s">
        <v>173</v>
      </c>
      <c r="G101" s="4" t="s">
        <v>171</v>
      </c>
      <c r="H101" s="4" t="s">
        <v>172</v>
      </c>
      <c r="I101" s="4" t="s">
        <v>171</v>
      </c>
      <c r="J101" s="4" t="s">
        <v>171</v>
      </c>
      <c r="K101" s="4" t="s">
        <v>171</v>
      </c>
      <c r="L101" s="4" t="s">
        <v>169</v>
      </c>
      <c r="M101" s="4" t="s">
        <v>171</v>
      </c>
      <c r="N101" s="4" t="s">
        <v>171</v>
      </c>
      <c r="O101" s="4" t="s">
        <v>169</v>
      </c>
      <c r="P101" s="4" t="s">
        <v>169</v>
      </c>
      <c r="Q101" s="4" t="s">
        <v>173</v>
      </c>
      <c r="R101" s="4" t="s">
        <v>171</v>
      </c>
      <c r="S101" s="4" t="s">
        <v>170</v>
      </c>
      <c r="T101" s="4" t="s">
        <v>171</v>
      </c>
      <c r="U101" s="4" t="s">
        <v>170</v>
      </c>
      <c r="V101" s="4" t="s">
        <v>171</v>
      </c>
      <c r="W101" s="4" t="s">
        <v>170</v>
      </c>
      <c r="X101" s="4" t="s">
        <v>171</v>
      </c>
      <c r="Y101" s="4" t="s">
        <v>170</v>
      </c>
      <c r="Z101" s="4" t="s">
        <v>171</v>
      </c>
      <c r="AA101" s="4" t="s">
        <v>170</v>
      </c>
      <c r="AB101" s="4" t="s">
        <v>171</v>
      </c>
      <c r="AC101" s="4" t="s">
        <v>170</v>
      </c>
      <c r="AD101" s="4" t="s">
        <v>171</v>
      </c>
      <c r="AE101" s="4" t="s">
        <v>170</v>
      </c>
      <c r="AF101" s="4" t="s">
        <v>171</v>
      </c>
      <c r="AG101" s="4" t="s">
        <v>170</v>
      </c>
      <c r="AH101" s="4">
        <v>0.4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1"/>
  <sheetViews>
    <sheetView workbookViewId="0">
      <selection sqref="A1:XFD41"/>
    </sheetView>
  </sheetViews>
  <sheetFormatPr defaultRowHeight="14.5" x14ac:dyDescent="0.35"/>
  <sheetData>
    <row r="1" spans="1:35" ht="14.4" x14ac:dyDescent="0.3">
      <c r="B1" t="s">
        <v>155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</row>
    <row r="2" spans="1:35" ht="43.25" x14ac:dyDescent="0.3">
      <c r="A2" s="2">
        <v>1</v>
      </c>
      <c r="B2" s="2" t="s">
        <v>120</v>
      </c>
      <c r="C2" s="2">
        <v>0.5</v>
      </c>
      <c r="D2" s="2">
        <v>0.25</v>
      </c>
      <c r="E2" s="2">
        <v>0.33333333333333298</v>
      </c>
      <c r="F2" s="2">
        <v>0</v>
      </c>
      <c r="G2" s="2">
        <v>0</v>
      </c>
      <c r="H2" s="2">
        <v>1</v>
      </c>
      <c r="I2" s="2">
        <v>0.55555555555555503</v>
      </c>
      <c r="J2" s="2">
        <v>1</v>
      </c>
      <c r="K2" s="2">
        <v>0.5</v>
      </c>
      <c r="L2" s="2">
        <v>0</v>
      </c>
      <c r="M2" s="2">
        <v>0</v>
      </c>
      <c r="N2" s="2">
        <v>0.2</v>
      </c>
      <c r="O2" s="2">
        <v>1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1</v>
      </c>
      <c r="W2" s="2">
        <v>1</v>
      </c>
      <c r="X2" s="2">
        <v>0</v>
      </c>
      <c r="Y2" s="2">
        <v>1</v>
      </c>
      <c r="Z2" s="2">
        <v>1</v>
      </c>
      <c r="AA2" s="2">
        <v>0</v>
      </c>
      <c r="AB2" s="2">
        <v>0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0</v>
      </c>
    </row>
    <row r="3" spans="1:35" ht="43.25" x14ac:dyDescent="0.3">
      <c r="A3" s="2">
        <v>2</v>
      </c>
      <c r="B3" s="2" t="s">
        <v>120</v>
      </c>
      <c r="C3" s="2">
        <v>0</v>
      </c>
      <c r="D3" s="2">
        <v>0.23765432098765399</v>
      </c>
      <c r="E3" s="2">
        <v>0.23899371069182301</v>
      </c>
      <c r="F3" s="2">
        <v>0.53703703703703698</v>
      </c>
      <c r="G3" s="2">
        <v>0.12757201646090499</v>
      </c>
      <c r="H3" s="2">
        <v>0.94805194805194803</v>
      </c>
      <c r="I3" s="2">
        <v>0.55692729766803795</v>
      </c>
      <c r="J3" s="2">
        <v>0.936708860759493</v>
      </c>
      <c r="K3" s="2">
        <v>0.407407407407407</v>
      </c>
      <c r="L3" s="2">
        <v>0.19478737997256501</v>
      </c>
      <c r="M3" s="2">
        <v>5.5555555555555497E-2</v>
      </c>
      <c r="N3" s="2">
        <v>0.158904109589041</v>
      </c>
      <c r="O3" s="2">
        <v>0.95061728395061695</v>
      </c>
      <c r="P3" s="2">
        <v>6.1728395061728301E-2</v>
      </c>
      <c r="Q3" s="2">
        <v>0.189873417721519</v>
      </c>
      <c r="R3" s="2">
        <v>0.32345679012345602</v>
      </c>
      <c r="S3" s="2">
        <v>0.98765432098765404</v>
      </c>
      <c r="T3" s="2">
        <v>0.76543209876543195</v>
      </c>
      <c r="U3" s="2">
        <v>0.97530864197530798</v>
      </c>
      <c r="V3" s="2">
        <v>1</v>
      </c>
      <c r="W3" s="2">
        <v>1</v>
      </c>
      <c r="X3" s="2">
        <v>0.11111111111111099</v>
      </c>
      <c r="Y3" s="2">
        <v>1</v>
      </c>
      <c r="Z3" s="2">
        <v>0.97530864197530798</v>
      </c>
      <c r="AA3" s="2">
        <v>0.90123456790123402</v>
      </c>
      <c r="AB3" s="2">
        <v>0.44444444444444398</v>
      </c>
      <c r="AC3" s="2">
        <v>1</v>
      </c>
      <c r="AD3" s="2">
        <v>1</v>
      </c>
      <c r="AE3" s="2">
        <v>1</v>
      </c>
      <c r="AF3" s="2">
        <v>1</v>
      </c>
      <c r="AG3" s="2">
        <v>0.938271604938271</v>
      </c>
      <c r="AH3" s="2">
        <v>1</v>
      </c>
      <c r="AI3" s="2">
        <v>0.19565217391304299</v>
      </c>
    </row>
    <row r="4" spans="1:35" ht="43.25" x14ac:dyDescent="0.3">
      <c r="A4" s="2">
        <v>3</v>
      </c>
      <c r="B4" s="2" t="s">
        <v>120</v>
      </c>
      <c r="C4" s="2">
        <v>0</v>
      </c>
      <c r="D4" s="2">
        <v>0.23765432098765399</v>
      </c>
      <c r="E4" s="2">
        <v>0.23899371069182301</v>
      </c>
      <c r="F4" s="2">
        <v>0.53703703703703698</v>
      </c>
      <c r="G4" s="2">
        <v>0.12757201646090499</v>
      </c>
      <c r="H4" s="2">
        <v>0.94805194805194803</v>
      </c>
      <c r="I4" s="2">
        <v>0.55692729766803795</v>
      </c>
      <c r="J4" s="2">
        <v>0.936708860759493</v>
      </c>
      <c r="K4" s="2">
        <v>0.407407407407407</v>
      </c>
      <c r="L4" s="2">
        <v>0.19478737997256501</v>
      </c>
      <c r="M4" s="2">
        <v>5.5555555555555497E-2</v>
      </c>
      <c r="N4" s="2">
        <v>0.158904109589041</v>
      </c>
      <c r="O4" s="2">
        <v>0.95061728395061695</v>
      </c>
      <c r="P4" s="2">
        <v>6.1728395061728301E-2</v>
      </c>
      <c r="Q4" s="2">
        <v>0.189873417721519</v>
      </c>
      <c r="R4" s="2">
        <v>0.32345679012345602</v>
      </c>
      <c r="S4" s="2">
        <v>0.98765432098765404</v>
      </c>
      <c r="T4" s="2">
        <v>0.76543209876543195</v>
      </c>
      <c r="U4" s="2">
        <v>0.97530864197530798</v>
      </c>
      <c r="V4" s="2">
        <v>1</v>
      </c>
      <c r="W4" s="2">
        <v>1</v>
      </c>
      <c r="X4" s="2">
        <v>0.11111111111111099</v>
      </c>
      <c r="Y4" s="2">
        <v>1</v>
      </c>
      <c r="Z4" s="2">
        <v>0.97530864197530798</v>
      </c>
      <c r="AA4" s="2">
        <v>0.90123456790123402</v>
      </c>
      <c r="AB4" s="2">
        <v>0.44444444444444398</v>
      </c>
      <c r="AC4" s="2">
        <v>1</v>
      </c>
      <c r="AD4" s="2">
        <v>1</v>
      </c>
      <c r="AE4" s="2">
        <v>1</v>
      </c>
      <c r="AF4" s="2">
        <v>1</v>
      </c>
      <c r="AG4" s="2">
        <v>0.938271604938271</v>
      </c>
      <c r="AH4" s="2">
        <v>1</v>
      </c>
      <c r="AI4" s="2">
        <v>0.19565217391304299</v>
      </c>
    </row>
    <row r="5" spans="1:35" ht="43.25" x14ac:dyDescent="0.3">
      <c r="A5" s="2">
        <v>4</v>
      </c>
      <c r="B5" s="2" t="s">
        <v>120</v>
      </c>
      <c r="C5" s="2">
        <v>0</v>
      </c>
      <c r="D5" s="2">
        <v>0.23765432098765399</v>
      </c>
      <c r="E5" s="2">
        <v>0.23899371069182301</v>
      </c>
      <c r="F5" s="2">
        <v>0.53703703703703698</v>
      </c>
      <c r="G5" s="2">
        <v>0.12757201646090499</v>
      </c>
      <c r="H5" s="2">
        <v>0.94805194805194803</v>
      </c>
      <c r="I5" s="2">
        <v>0.55692729766803795</v>
      </c>
      <c r="J5" s="2">
        <v>0.936708860759493</v>
      </c>
      <c r="K5" s="2">
        <v>0.407407407407407</v>
      </c>
      <c r="L5" s="2">
        <v>0.19478737997256501</v>
      </c>
      <c r="M5" s="2">
        <v>5.5555555555555497E-2</v>
      </c>
      <c r="N5" s="2">
        <v>0.158904109589041</v>
      </c>
      <c r="O5" s="2">
        <v>0.95061728395061695</v>
      </c>
      <c r="P5" s="2">
        <v>6.1728395061728301E-2</v>
      </c>
      <c r="Q5" s="2">
        <v>0.189873417721519</v>
      </c>
      <c r="R5" s="2">
        <v>0.32345679012345602</v>
      </c>
      <c r="S5" s="2">
        <v>0.98765432098765404</v>
      </c>
      <c r="T5" s="2">
        <v>0.76543209876543195</v>
      </c>
      <c r="U5" s="2">
        <v>0.97530864197530798</v>
      </c>
      <c r="V5" s="2">
        <v>1</v>
      </c>
      <c r="W5" s="2">
        <v>1</v>
      </c>
      <c r="X5" s="2">
        <v>0.11111111111111099</v>
      </c>
      <c r="Y5" s="2">
        <v>1</v>
      </c>
      <c r="Z5" s="2">
        <v>0.97530864197530798</v>
      </c>
      <c r="AA5" s="2">
        <v>0.90123456790123402</v>
      </c>
      <c r="AB5" s="2">
        <v>0.44444444444444398</v>
      </c>
      <c r="AC5" s="2">
        <v>1</v>
      </c>
      <c r="AD5" s="2">
        <v>1</v>
      </c>
      <c r="AE5" s="2">
        <v>1</v>
      </c>
      <c r="AF5" s="2">
        <v>1</v>
      </c>
      <c r="AG5" s="2">
        <v>0.938271604938271</v>
      </c>
      <c r="AH5" s="2">
        <v>1</v>
      </c>
      <c r="AI5" s="2">
        <v>0.19565217391304299</v>
      </c>
    </row>
    <row r="6" spans="1:35" ht="43.25" x14ac:dyDescent="0.3">
      <c r="A6" s="2">
        <v>5</v>
      </c>
      <c r="B6" s="2" t="s">
        <v>120</v>
      </c>
      <c r="C6" s="2">
        <v>0</v>
      </c>
      <c r="D6" s="2">
        <v>0.23765432098765399</v>
      </c>
      <c r="E6" s="2">
        <v>0.23899371069182301</v>
      </c>
      <c r="F6" s="2">
        <v>0.53703703703703698</v>
      </c>
      <c r="G6" s="2">
        <v>0.12757201646090499</v>
      </c>
      <c r="H6" s="2">
        <v>0.94805194805194803</v>
      </c>
      <c r="I6" s="2">
        <v>0.55692729766803795</v>
      </c>
      <c r="J6" s="2">
        <v>0.936708860759493</v>
      </c>
      <c r="K6" s="2">
        <v>0.407407407407407</v>
      </c>
      <c r="L6" s="2">
        <v>0.19478737997256501</v>
      </c>
      <c r="M6" s="2">
        <v>5.5555555555555497E-2</v>
      </c>
      <c r="N6" s="2">
        <v>0.158904109589041</v>
      </c>
      <c r="O6" s="2">
        <v>0.95061728395061695</v>
      </c>
      <c r="P6" s="2">
        <v>6.1728395061728301E-2</v>
      </c>
      <c r="Q6" s="2">
        <v>0.189873417721519</v>
      </c>
      <c r="R6" s="2">
        <v>0.32345679012345602</v>
      </c>
      <c r="S6" s="2">
        <v>0.98765432098765404</v>
      </c>
      <c r="T6" s="2">
        <v>0.76543209876543195</v>
      </c>
      <c r="U6" s="2">
        <v>0.97530864197530798</v>
      </c>
      <c r="V6" s="2">
        <v>1</v>
      </c>
      <c r="W6" s="2">
        <v>1</v>
      </c>
      <c r="X6" s="2">
        <v>0.11111111111111099</v>
      </c>
      <c r="Y6" s="2">
        <v>1</v>
      </c>
      <c r="Z6" s="2">
        <v>0.97530864197530798</v>
      </c>
      <c r="AA6" s="2">
        <v>0.90123456790123402</v>
      </c>
      <c r="AB6" s="2">
        <v>0.44444444444444398</v>
      </c>
      <c r="AC6" s="2">
        <v>1</v>
      </c>
      <c r="AD6" s="2">
        <v>1</v>
      </c>
      <c r="AE6" s="2">
        <v>1</v>
      </c>
      <c r="AF6" s="2">
        <v>1</v>
      </c>
      <c r="AG6" s="2">
        <v>0.938271604938271</v>
      </c>
      <c r="AH6" s="2">
        <v>1</v>
      </c>
      <c r="AI6" s="2">
        <v>0.19565217391304299</v>
      </c>
    </row>
    <row r="7" spans="1:35" ht="43.25" x14ac:dyDescent="0.3">
      <c r="A7" s="2">
        <v>6</v>
      </c>
      <c r="B7" s="2" t="s">
        <v>120</v>
      </c>
      <c r="C7" s="2">
        <v>0</v>
      </c>
      <c r="D7" s="2">
        <v>0.23765432098765399</v>
      </c>
      <c r="E7" s="2">
        <v>0.23899371069182301</v>
      </c>
      <c r="F7" s="2">
        <v>0.53703703703703698</v>
      </c>
      <c r="G7" s="2">
        <v>0.12757201646090499</v>
      </c>
      <c r="H7" s="2">
        <v>0.94805194805194803</v>
      </c>
      <c r="I7" s="2">
        <v>0.55692729766803795</v>
      </c>
      <c r="J7" s="2">
        <v>0.936708860759493</v>
      </c>
      <c r="K7" s="2">
        <v>0.407407407407407</v>
      </c>
      <c r="L7" s="2">
        <v>0.19478737997256501</v>
      </c>
      <c r="M7" s="2">
        <v>5.5555555555555497E-2</v>
      </c>
      <c r="N7" s="2">
        <v>0.158904109589041</v>
      </c>
      <c r="O7" s="2">
        <v>0.95061728395061695</v>
      </c>
      <c r="P7" s="2">
        <v>6.1728395061728301E-2</v>
      </c>
      <c r="Q7" s="2">
        <v>0.189873417721519</v>
      </c>
      <c r="R7" s="2">
        <v>0.32345679012345602</v>
      </c>
      <c r="S7" s="2">
        <v>0.98765432098765404</v>
      </c>
      <c r="T7" s="2">
        <v>0.76543209876543195</v>
      </c>
      <c r="U7" s="2">
        <v>0.97530864197530798</v>
      </c>
      <c r="V7" s="2">
        <v>1</v>
      </c>
      <c r="W7" s="2">
        <v>1</v>
      </c>
      <c r="X7" s="2">
        <v>0.11111111111111099</v>
      </c>
      <c r="Y7" s="2">
        <v>1</v>
      </c>
      <c r="Z7" s="2">
        <v>0.97530864197530798</v>
      </c>
      <c r="AA7" s="2">
        <v>0.90123456790123402</v>
      </c>
      <c r="AB7" s="2">
        <v>0.44444444444444398</v>
      </c>
      <c r="AC7" s="2">
        <v>1</v>
      </c>
      <c r="AD7" s="2">
        <v>1</v>
      </c>
      <c r="AE7" s="2">
        <v>1</v>
      </c>
      <c r="AF7" s="2">
        <v>1</v>
      </c>
      <c r="AG7" s="2">
        <v>0.938271604938271</v>
      </c>
      <c r="AH7" s="2">
        <v>1</v>
      </c>
      <c r="AI7" s="2">
        <v>0.19565217391304299</v>
      </c>
    </row>
    <row r="8" spans="1:35" ht="43.5" x14ac:dyDescent="0.35">
      <c r="A8" s="2">
        <v>7</v>
      </c>
      <c r="B8" s="2" t="s">
        <v>120</v>
      </c>
      <c r="C8" s="2">
        <v>0</v>
      </c>
      <c r="D8" s="2">
        <v>0.23765432098765399</v>
      </c>
      <c r="E8" s="2">
        <v>0.23899371069182301</v>
      </c>
      <c r="F8" s="2">
        <v>0.53703703703703698</v>
      </c>
      <c r="G8" s="2">
        <v>0.12757201646090499</v>
      </c>
      <c r="H8" s="2">
        <v>0.94805194805194803</v>
      </c>
      <c r="I8" s="2">
        <v>0.55692729766803795</v>
      </c>
      <c r="J8" s="2">
        <v>0.936708860759493</v>
      </c>
      <c r="K8" s="2">
        <v>0.407407407407407</v>
      </c>
      <c r="L8" s="2">
        <v>0.19478737997256501</v>
      </c>
      <c r="M8" s="2">
        <v>5.5555555555555497E-2</v>
      </c>
      <c r="N8" s="2">
        <v>0.158904109589041</v>
      </c>
      <c r="O8" s="2">
        <v>0.95061728395061695</v>
      </c>
      <c r="P8" s="2">
        <v>6.1728395061728301E-2</v>
      </c>
      <c r="Q8" s="2">
        <v>0.189873417721519</v>
      </c>
      <c r="R8" s="2">
        <v>0.32345679012345602</v>
      </c>
      <c r="S8" s="2">
        <v>0.98765432098765404</v>
      </c>
      <c r="T8" s="2">
        <v>0.76543209876543195</v>
      </c>
      <c r="U8" s="2">
        <v>0.97530864197530798</v>
      </c>
      <c r="V8" s="2">
        <v>1</v>
      </c>
      <c r="W8" s="2">
        <v>1</v>
      </c>
      <c r="X8" s="2">
        <v>0.11111111111111099</v>
      </c>
      <c r="Y8" s="2">
        <v>1</v>
      </c>
      <c r="Z8" s="2">
        <v>0.97530864197530798</v>
      </c>
      <c r="AA8" s="2">
        <v>0.90123456790123402</v>
      </c>
      <c r="AB8" s="2">
        <v>0.44444444444444398</v>
      </c>
      <c r="AC8" s="2">
        <v>1</v>
      </c>
      <c r="AD8" s="2">
        <v>1</v>
      </c>
      <c r="AE8" s="2">
        <v>1</v>
      </c>
      <c r="AF8" s="2">
        <v>1</v>
      </c>
      <c r="AG8" s="2">
        <v>0.938271604938271</v>
      </c>
      <c r="AH8" s="2">
        <v>1</v>
      </c>
      <c r="AI8" s="2">
        <v>0.19565217391304299</v>
      </c>
    </row>
    <row r="9" spans="1:35" ht="43.5" x14ac:dyDescent="0.35">
      <c r="A9" s="2">
        <v>8</v>
      </c>
      <c r="B9" s="2" t="s">
        <v>120</v>
      </c>
      <c r="C9" s="2">
        <v>0</v>
      </c>
      <c r="D9" s="2">
        <v>0.25</v>
      </c>
      <c r="E9" s="2">
        <v>0.23899371069182301</v>
      </c>
      <c r="F9" s="2">
        <v>0.66666666666666596</v>
      </c>
      <c r="G9" s="2">
        <v>1</v>
      </c>
      <c r="H9" s="2">
        <v>0.94805194805194803</v>
      </c>
      <c r="I9" s="2">
        <v>1</v>
      </c>
      <c r="J9" s="2">
        <v>0.936708860759493</v>
      </c>
      <c r="K9" s="2">
        <v>0.5</v>
      </c>
      <c r="L9" s="2">
        <v>0.55555555555555503</v>
      </c>
      <c r="M9" s="2">
        <v>0.5</v>
      </c>
      <c r="N9" s="2">
        <v>0.158904109589041</v>
      </c>
      <c r="O9" s="2">
        <v>1</v>
      </c>
      <c r="P9" s="2">
        <v>1</v>
      </c>
      <c r="Q9" s="2">
        <v>0.189873417721519</v>
      </c>
      <c r="R9" s="2">
        <v>0.4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</row>
    <row r="10" spans="1:35" ht="43.5" x14ac:dyDescent="0.35">
      <c r="A10" s="2">
        <v>9</v>
      </c>
      <c r="B10" s="2" t="s">
        <v>120</v>
      </c>
      <c r="C10" s="2">
        <v>0.66666666666666596</v>
      </c>
      <c r="D10" s="2">
        <v>0.25</v>
      </c>
      <c r="E10" s="2">
        <v>0.23899371069182301</v>
      </c>
      <c r="F10" s="2">
        <v>0.66666666666666596</v>
      </c>
      <c r="G10" s="2">
        <v>0</v>
      </c>
      <c r="H10" s="2">
        <v>1</v>
      </c>
      <c r="I10" s="2">
        <v>0.55555555555555503</v>
      </c>
      <c r="J10" s="2">
        <v>1</v>
      </c>
      <c r="K10" s="2">
        <v>0</v>
      </c>
      <c r="L10" s="2">
        <v>0</v>
      </c>
      <c r="M10" s="2">
        <v>0</v>
      </c>
      <c r="N10" s="2">
        <v>0.2</v>
      </c>
      <c r="O10" s="2">
        <v>1</v>
      </c>
      <c r="P10" s="2">
        <v>0</v>
      </c>
      <c r="Q10" s="2">
        <v>0</v>
      </c>
      <c r="R10" s="2">
        <v>0.4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0.19565217391304299</v>
      </c>
    </row>
    <row r="11" spans="1:35" ht="43.5" x14ac:dyDescent="0.35">
      <c r="A11" s="2">
        <v>10</v>
      </c>
      <c r="B11" s="2" t="s">
        <v>120</v>
      </c>
      <c r="C11" s="2">
        <v>0.5</v>
      </c>
      <c r="D11" s="2">
        <v>0.5</v>
      </c>
      <c r="E11" s="2">
        <v>0.23899371069182301</v>
      </c>
      <c r="F11" s="2">
        <v>0.66666666666666596</v>
      </c>
      <c r="G11" s="2">
        <v>0</v>
      </c>
      <c r="H11" s="2">
        <v>1</v>
      </c>
      <c r="I11" s="2">
        <v>0.55555555555555503</v>
      </c>
      <c r="J11" s="2">
        <v>1</v>
      </c>
      <c r="K11" s="2">
        <v>0</v>
      </c>
      <c r="L11" s="2">
        <v>0</v>
      </c>
      <c r="M11" s="2">
        <v>0</v>
      </c>
      <c r="N11" s="2">
        <v>0.2</v>
      </c>
      <c r="O11" s="2">
        <v>1</v>
      </c>
      <c r="P11" s="2">
        <v>0</v>
      </c>
      <c r="Q11" s="2">
        <v>0</v>
      </c>
      <c r="R11" s="2">
        <v>0.4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0.19565217391304299</v>
      </c>
    </row>
    <row r="12" spans="1:35" ht="43.5" x14ac:dyDescent="0.35">
      <c r="A12" s="2">
        <v>11</v>
      </c>
      <c r="B12" s="2" t="s">
        <v>120</v>
      </c>
      <c r="C12" s="2">
        <v>0.66666666666666596</v>
      </c>
      <c r="D12" s="2">
        <v>0.25</v>
      </c>
      <c r="E12" s="2">
        <v>0.23899371069182301</v>
      </c>
      <c r="F12" s="2">
        <v>0</v>
      </c>
      <c r="G12" s="2">
        <v>0</v>
      </c>
      <c r="H12" s="2">
        <v>1</v>
      </c>
      <c r="I12" s="2">
        <v>0.66666666666666596</v>
      </c>
      <c r="J12" s="2">
        <v>1</v>
      </c>
      <c r="K12" s="2">
        <v>1</v>
      </c>
      <c r="L12" s="2">
        <v>0</v>
      </c>
      <c r="M12" s="2">
        <v>0</v>
      </c>
      <c r="N12" s="2">
        <v>0.2</v>
      </c>
      <c r="O12" s="2">
        <v>1</v>
      </c>
      <c r="P12" s="2">
        <v>0</v>
      </c>
      <c r="Q12" s="2">
        <v>0</v>
      </c>
      <c r="R12" s="2">
        <v>0.4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0.19565217391304299</v>
      </c>
    </row>
    <row r="13" spans="1:35" ht="43.5" x14ac:dyDescent="0.35">
      <c r="A13" s="2">
        <v>12</v>
      </c>
      <c r="B13" s="2" t="s">
        <v>120</v>
      </c>
      <c r="C13" s="2">
        <v>0.33333333333333298</v>
      </c>
      <c r="D13" s="2">
        <v>0.25</v>
      </c>
      <c r="E13" s="2">
        <v>0.33333333333333298</v>
      </c>
      <c r="F13" s="2">
        <v>0.66666666666666596</v>
      </c>
      <c r="G13" s="2">
        <v>0</v>
      </c>
      <c r="H13" s="2">
        <v>1</v>
      </c>
      <c r="I13" s="2">
        <v>0.55555555555555503</v>
      </c>
      <c r="J13" s="2">
        <v>1</v>
      </c>
      <c r="K13" s="2">
        <v>0.5</v>
      </c>
      <c r="L13" s="2">
        <v>0</v>
      </c>
      <c r="M13" s="2">
        <v>0</v>
      </c>
      <c r="N13" s="2">
        <v>0.2</v>
      </c>
      <c r="O13" s="2">
        <v>1</v>
      </c>
      <c r="P13" s="2">
        <v>0</v>
      </c>
      <c r="Q13" s="2">
        <v>0</v>
      </c>
      <c r="R13" s="2">
        <v>0.4</v>
      </c>
      <c r="S13" s="2">
        <v>1</v>
      </c>
      <c r="T13" s="2">
        <v>0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0</v>
      </c>
    </row>
    <row r="14" spans="1:35" ht="43.5" x14ac:dyDescent="0.35">
      <c r="A14" s="2">
        <v>13</v>
      </c>
      <c r="B14" s="2" t="s">
        <v>120</v>
      </c>
      <c r="C14" s="2">
        <v>0.5</v>
      </c>
      <c r="D14" s="2">
        <v>0.25</v>
      </c>
      <c r="E14" s="2">
        <v>0.33333333333333298</v>
      </c>
      <c r="F14" s="2">
        <v>0.66666666666666596</v>
      </c>
      <c r="G14" s="2">
        <v>0</v>
      </c>
      <c r="H14" s="2">
        <v>1</v>
      </c>
      <c r="I14" s="2">
        <v>0.55555555555555503</v>
      </c>
      <c r="J14" s="2">
        <v>1</v>
      </c>
      <c r="K14" s="2">
        <v>0.5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0.4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1</v>
      </c>
      <c r="AA14" s="2">
        <v>1</v>
      </c>
      <c r="AB14" s="2">
        <v>0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0</v>
      </c>
    </row>
    <row r="15" spans="1:35" ht="43.5" x14ac:dyDescent="0.35">
      <c r="A15" s="2">
        <v>14</v>
      </c>
      <c r="B15" s="2" t="s">
        <v>120</v>
      </c>
      <c r="C15" s="2">
        <v>0.16666666666666599</v>
      </c>
      <c r="D15" s="2">
        <v>0.25</v>
      </c>
      <c r="E15" s="2">
        <v>0.33333333333333298</v>
      </c>
      <c r="F15" s="2">
        <v>0.66666666666666596</v>
      </c>
      <c r="G15" s="2">
        <v>0</v>
      </c>
      <c r="H15" s="2">
        <v>1</v>
      </c>
      <c r="I15" s="2">
        <v>0.55555555555555503</v>
      </c>
      <c r="J15" s="2">
        <v>1</v>
      </c>
      <c r="K15" s="2">
        <v>0.5</v>
      </c>
      <c r="L15" s="2">
        <v>0</v>
      </c>
      <c r="M15" s="2">
        <v>0</v>
      </c>
      <c r="N15" s="2">
        <v>0.2</v>
      </c>
      <c r="O15" s="2">
        <v>1</v>
      </c>
      <c r="P15" s="2">
        <v>0</v>
      </c>
      <c r="Q15" s="2">
        <v>0</v>
      </c>
      <c r="R15" s="2">
        <v>0.4</v>
      </c>
      <c r="S15" s="2">
        <v>1</v>
      </c>
      <c r="T15" s="2">
        <v>0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0</v>
      </c>
    </row>
    <row r="16" spans="1:35" ht="43.5" x14ac:dyDescent="0.35">
      <c r="A16" s="2">
        <v>15</v>
      </c>
      <c r="B16" s="2" t="s">
        <v>120</v>
      </c>
      <c r="C16" s="2">
        <v>0.33333333333333298</v>
      </c>
      <c r="D16" s="2">
        <v>0.25</v>
      </c>
      <c r="E16" s="2">
        <v>0.33333333333333298</v>
      </c>
      <c r="F16" s="2">
        <v>0</v>
      </c>
      <c r="G16" s="2">
        <v>0</v>
      </c>
      <c r="H16" s="2">
        <v>1</v>
      </c>
      <c r="I16" s="2">
        <v>0.55555555555555503</v>
      </c>
      <c r="J16" s="2">
        <v>1</v>
      </c>
      <c r="K16" s="2">
        <v>0</v>
      </c>
      <c r="L16" s="2">
        <v>0</v>
      </c>
      <c r="M16" s="2">
        <v>0</v>
      </c>
      <c r="N16" s="2">
        <v>0.4</v>
      </c>
      <c r="O16" s="2">
        <v>1</v>
      </c>
      <c r="P16" s="2">
        <v>0</v>
      </c>
      <c r="Q16" s="2">
        <v>0</v>
      </c>
      <c r="R16" s="2">
        <v>0.4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0</v>
      </c>
    </row>
    <row r="17" spans="1:35" ht="43.5" x14ac:dyDescent="0.35">
      <c r="A17" s="2">
        <v>16</v>
      </c>
      <c r="B17" s="2" t="s">
        <v>120</v>
      </c>
      <c r="C17" s="2">
        <v>0.16666666666666599</v>
      </c>
      <c r="D17" s="2">
        <v>0.5</v>
      </c>
      <c r="E17" s="2">
        <v>1</v>
      </c>
      <c r="F17" s="2">
        <v>0</v>
      </c>
      <c r="G17" s="2">
        <v>0</v>
      </c>
      <c r="H17" s="2">
        <v>1</v>
      </c>
      <c r="I17" s="2">
        <v>0.55555555555555503</v>
      </c>
      <c r="J17" s="2">
        <v>1</v>
      </c>
      <c r="K17" s="2">
        <v>0.5</v>
      </c>
      <c r="L17" s="2">
        <v>0</v>
      </c>
      <c r="M17" s="2">
        <v>0</v>
      </c>
      <c r="N17" s="2">
        <v>0.2</v>
      </c>
      <c r="O17" s="2">
        <v>1</v>
      </c>
      <c r="P17" s="2">
        <v>0</v>
      </c>
      <c r="Q17" s="2">
        <v>0</v>
      </c>
      <c r="R17" s="2">
        <v>0.4</v>
      </c>
      <c r="S17" s="2">
        <v>1</v>
      </c>
      <c r="T17" s="2">
        <v>0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0</v>
      </c>
    </row>
    <row r="18" spans="1:35" ht="43.5" x14ac:dyDescent="0.35">
      <c r="A18" s="2">
        <v>17</v>
      </c>
      <c r="B18" s="2" t="s">
        <v>120</v>
      </c>
      <c r="C18" s="2">
        <v>0.16666666666666599</v>
      </c>
      <c r="D18" s="2">
        <v>0</v>
      </c>
      <c r="E18" s="2">
        <v>0</v>
      </c>
      <c r="F18" s="2">
        <v>0.66666666666666596</v>
      </c>
      <c r="G18" s="2">
        <v>0</v>
      </c>
      <c r="H18" s="2">
        <v>1</v>
      </c>
      <c r="I18" s="2">
        <v>0.55555555555555503</v>
      </c>
      <c r="J18" s="2">
        <v>1</v>
      </c>
      <c r="K18" s="2">
        <v>0.5</v>
      </c>
      <c r="L18" s="2">
        <v>0</v>
      </c>
      <c r="M18" s="2">
        <v>0</v>
      </c>
      <c r="N18" s="2">
        <v>0.2</v>
      </c>
      <c r="O18" s="2">
        <v>1</v>
      </c>
      <c r="P18" s="2">
        <v>0</v>
      </c>
      <c r="Q18" s="2">
        <v>0</v>
      </c>
      <c r="R18" s="2">
        <v>0.4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0.19565217391304299</v>
      </c>
    </row>
    <row r="19" spans="1:35" ht="43.5" x14ac:dyDescent="0.35">
      <c r="A19" s="2">
        <v>18</v>
      </c>
      <c r="B19" s="2" t="s">
        <v>120</v>
      </c>
      <c r="C19" s="2">
        <v>0.66666666666666596</v>
      </c>
      <c r="D19" s="2">
        <v>0.5</v>
      </c>
      <c r="E19" s="2">
        <v>0.23899371069182301</v>
      </c>
      <c r="F19" s="2">
        <v>0.66666666666666596</v>
      </c>
      <c r="G19" s="2">
        <v>0</v>
      </c>
      <c r="H19" s="2">
        <v>1</v>
      </c>
      <c r="I19" s="2">
        <v>0.55555555555555503</v>
      </c>
      <c r="J19" s="2">
        <v>1</v>
      </c>
      <c r="K19" s="2">
        <v>0.5</v>
      </c>
      <c r="L19" s="2">
        <v>0</v>
      </c>
      <c r="M19" s="2">
        <v>0.5</v>
      </c>
      <c r="N19" s="2">
        <v>0.158904109589041</v>
      </c>
      <c r="O19" s="2">
        <v>1</v>
      </c>
      <c r="P19" s="2">
        <v>0</v>
      </c>
      <c r="Q19" s="2">
        <v>0</v>
      </c>
      <c r="R19" s="2">
        <v>0.4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0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0.19565217391304299</v>
      </c>
    </row>
    <row r="20" spans="1:35" ht="43.5" x14ac:dyDescent="0.35">
      <c r="A20" s="2">
        <v>19</v>
      </c>
      <c r="B20" s="2" t="s">
        <v>120</v>
      </c>
      <c r="C20" s="2">
        <v>0.33333333333333298</v>
      </c>
      <c r="D20" s="2">
        <v>0.25</v>
      </c>
      <c r="E20" s="2">
        <v>0.33333333333333298</v>
      </c>
      <c r="F20" s="2">
        <v>0.66666666666666596</v>
      </c>
      <c r="G20" s="2">
        <v>0</v>
      </c>
      <c r="H20" s="2">
        <v>1</v>
      </c>
      <c r="I20" s="2">
        <v>0.55555555555555503</v>
      </c>
      <c r="J20" s="2">
        <v>1</v>
      </c>
      <c r="K20" s="2">
        <v>0.5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1</v>
      </c>
      <c r="R20" s="2">
        <v>0.4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1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0</v>
      </c>
    </row>
    <row r="21" spans="1:35" ht="43.5" x14ac:dyDescent="0.35">
      <c r="A21" s="2">
        <v>20</v>
      </c>
      <c r="B21" s="2" t="s">
        <v>120</v>
      </c>
      <c r="C21" s="2">
        <v>0.33333333333333298</v>
      </c>
      <c r="D21" s="2">
        <v>0</v>
      </c>
      <c r="E21" s="2">
        <v>0</v>
      </c>
      <c r="F21" s="2">
        <v>0.66666666666666596</v>
      </c>
      <c r="G21" s="2">
        <v>0</v>
      </c>
      <c r="H21" s="2">
        <v>1</v>
      </c>
      <c r="I21" s="2">
        <v>0.55555555555555503</v>
      </c>
      <c r="J21" s="2">
        <v>1</v>
      </c>
      <c r="K21" s="2">
        <v>0.5</v>
      </c>
      <c r="L21" s="2">
        <v>1</v>
      </c>
      <c r="M21" s="2">
        <v>0</v>
      </c>
      <c r="N21" s="2">
        <v>0.2</v>
      </c>
      <c r="O21" s="2">
        <v>1</v>
      </c>
      <c r="P21" s="2">
        <v>0</v>
      </c>
      <c r="Q21" s="2">
        <v>1</v>
      </c>
      <c r="R21" s="2">
        <v>0.4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0</v>
      </c>
    </row>
    <row r="22" spans="1:35" ht="43.5" x14ac:dyDescent="0.35">
      <c r="A22" s="2">
        <v>21</v>
      </c>
      <c r="B22" s="2" t="s">
        <v>120</v>
      </c>
      <c r="C22" s="2">
        <v>0.33333333333333298</v>
      </c>
      <c r="D22" s="2">
        <v>0</v>
      </c>
      <c r="E22" s="2">
        <v>0.33333333333333298</v>
      </c>
      <c r="F22" s="2">
        <v>0.66666666666666596</v>
      </c>
      <c r="G22" s="2">
        <v>0.33333333333333298</v>
      </c>
      <c r="H22" s="2">
        <v>1</v>
      </c>
      <c r="I22" s="2">
        <v>0.55555555555555503</v>
      </c>
      <c r="J22" s="2">
        <v>1</v>
      </c>
      <c r="K22" s="2">
        <v>0</v>
      </c>
      <c r="L22" s="2">
        <v>0</v>
      </c>
      <c r="M22" s="2">
        <v>0</v>
      </c>
      <c r="N22" s="2">
        <v>0.2</v>
      </c>
      <c r="O22" s="2">
        <v>1</v>
      </c>
      <c r="P22" s="2">
        <v>0</v>
      </c>
      <c r="Q22" s="2">
        <v>0</v>
      </c>
      <c r="R22" s="2">
        <v>0.4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0.19565217391304299</v>
      </c>
    </row>
    <row r="23" spans="1:35" ht="43.5" x14ac:dyDescent="0.35">
      <c r="A23" s="2">
        <v>22</v>
      </c>
      <c r="B23" s="2" t="s">
        <v>120</v>
      </c>
      <c r="C23" s="2">
        <v>0.5</v>
      </c>
      <c r="D23" s="2">
        <v>0</v>
      </c>
      <c r="E23" s="2">
        <v>0</v>
      </c>
      <c r="F23" s="2">
        <v>0.66666666666666596</v>
      </c>
      <c r="G23" s="2">
        <v>0</v>
      </c>
      <c r="H23" s="2">
        <v>1</v>
      </c>
      <c r="I23" s="2">
        <v>0.55555555555555503</v>
      </c>
      <c r="J23" s="2">
        <v>1</v>
      </c>
      <c r="K23" s="2">
        <v>0.5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0.4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0.19565217391304299</v>
      </c>
    </row>
    <row r="24" spans="1:35" ht="43.5" x14ac:dyDescent="0.35">
      <c r="A24" s="2">
        <v>23</v>
      </c>
      <c r="B24" s="2" t="s">
        <v>120</v>
      </c>
      <c r="C24" s="2">
        <v>0</v>
      </c>
      <c r="D24" s="2">
        <v>0.23765432098765399</v>
      </c>
      <c r="E24" s="2">
        <v>0.23899371069182301</v>
      </c>
      <c r="F24" s="2">
        <v>0.53703703703703698</v>
      </c>
      <c r="G24" s="2">
        <v>0.12757201646090499</v>
      </c>
      <c r="H24" s="2">
        <v>0.94805194805194803</v>
      </c>
      <c r="I24" s="2">
        <v>0.55692729766803795</v>
      </c>
      <c r="J24" s="2">
        <v>0.936708860759493</v>
      </c>
      <c r="K24" s="2">
        <v>0.407407407407407</v>
      </c>
      <c r="L24" s="2">
        <v>0.19478737997256501</v>
      </c>
      <c r="M24" s="2">
        <v>5.5555555555555497E-2</v>
      </c>
      <c r="N24" s="2">
        <v>0.158904109589041</v>
      </c>
      <c r="O24" s="2">
        <v>0.95061728395061695</v>
      </c>
      <c r="P24" s="2">
        <v>6.1728395061728301E-2</v>
      </c>
      <c r="Q24" s="2">
        <v>0.189873417721519</v>
      </c>
      <c r="R24" s="2">
        <v>0.32345679012345602</v>
      </c>
      <c r="S24" s="2">
        <v>0.98765432098765404</v>
      </c>
      <c r="T24" s="2">
        <v>0.76543209876543195</v>
      </c>
      <c r="U24" s="2">
        <v>0.97530864197530798</v>
      </c>
      <c r="V24" s="2">
        <v>1</v>
      </c>
      <c r="W24" s="2">
        <v>1</v>
      </c>
      <c r="X24" s="2">
        <v>0.11111111111111099</v>
      </c>
      <c r="Y24" s="2">
        <v>1</v>
      </c>
      <c r="Z24" s="2">
        <v>0.97530864197530798</v>
      </c>
      <c r="AA24" s="2">
        <v>0.90123456790123402</v>
      </c>
      <c r="AB24" s="2">
        <v>0.44444444444444398</v>
      </c>
      <c r="AC24" s="2">
        <v>1</v>
      </c>
      <c r="AD24" s="2">
        <v>1</v>
      </c>
      <c r="AE24" s="2">
        <v>1</v>
      </c>
      <c r="AF24" s="2">
        <v>1</v>
      </c>
      <c r="AG24" s="2">
        <v>0.938271604938271</v>
      </c>
      <c r="AH24" s="2">
        <v>1</v>
      </c>
      <c r="AI24" s="2">
        <v>0.19565217391304299</v>
      </c>
    </row>
    <row r="25" spans="1:35" ht="43.5" x14ac:dyDescent="0.35">
      <c r="A25" s="2">
        <v>24</v>
      </c>
      <c r="B25" s="2" t="s">
        <v>120</v>
      </c>
      <c r="C25" s="2">
        <v>0</v>
      </c>
      <c r="D25" s="2">
        <v>0.23765432098765399</v>
      </c>
      <c r="E25" s="2">
        <v>0.23899371069182301</v>
      </c>
      <c r="F25" s="2">
        <v>0.53703703703703698</v>
      </c>
      <c r="G25" s="2">
        <v>0.12757201646090499</v>
      </c>
      <c r="H25" s="2">
        <v>0.94805194805194803</v>
      </c>
      <c r="I25" s="2">
        <v>0.55692729766803795</v>
      </c>
      <c r="J25" s="2">
        <v>0.936708860759493</v>
      </c>
      <c r="K25" s="2">
        <v>0.407407407407407</v>
      </c>
      <c r="L25" s="2">
        <v>0.19478737997256501</v>
      </c>
      <c r="M25" s="2">
        <v>5.5555555555555497E-2</v>
      </c>
      <c r="N25" s="2">
        <v>0.158904109589041</v>
      </c>
      <c r="O25" s="2">
        <v>0.95061728395061695</v>
      </c>
      <c r="P25" s="2">
        <v>6.1728395061728301E-2</v>
      </c>
      <c r="Q25" s="2">
        <v>0.189873417721519</v>
      </c>
      <c r="R25" s="2">
        <v>0.32345679012345602</v>
      </c>
      <c r="S25" s="2">
        <v>0.98765432098765404</v>
      </c>
      <c r="T25" s="2">
        <v>0.76543209876543195</v>
      </c>
      <c r="U25" s="2">
        <v>0.97530864197530798</v>
      </c>
      <c r="V25" s="2">
        <v>1</v>
      </c>
      <c r="W25" s="2">
        <v>1</v>
      </c>
      <c r="X25" s="2">
        <v>0.11111111111111099</v>
      </c>
      <c r="Y25" s="2">
        <v>1</v>
      </c>
      <c r="Z25" s="2">
        <v>0.97530864197530798</v>
      </c>
      <c r="AA25" s="2">
        <v>0.90123456790123402</v>
      </c>
      <c r="AB25" s="2">
        <v>0.44444444444444398</v>
      </c>
      <c r="AC25" s="2">
        <v>1</v>
      </c>
      <c r="AD25" s="2">
        <v>1</v>
      </c>
      <c r="AE25" s="2">
        <v>1</v>
      </c>
      <c r="AF25" s="2">
        <v>1</v>
      </c>
      <c r="AG25" s="2">
        <v>0.938271604938271</v>
      </c>
      <c r="AH25" s="2">
        <v>1</v>
      </c>
      <c r="AI25" s="2">
        <v>0.19565217391304299</v>
      </c>
    </row>
    <row r="26" spans="1:35" ht="43.5" x14ac:dyDescent="0.35">
      <c r="A26" s="2">
        <v>25</v>
      </c>
      <c r="B26" s="2" t="s">
        <v>120</v>
      </c>
      <c r="C26" s="2">
        <v>0</v>
      </c>
      <c r="D26" s="2">
        <v>0.23765432098765399</v>
      </c>
      <c r="E26" s="2">
        <v>0.23899371069182301</v>
      </c>
      <c r="F26" s="2">
        <v>0.53703703703703698</v>
      </c>
      <c r="G26" s="2">
        <v>0.12757201646090499</v>
      </c>
      <c r="H26" s="2">
        <v>0.94805194805194803</v>
      </c>
      <c r="I26" s="2">
        <v>0.55692729766803795</v>
      </c>
      <c r="J26" s="2">
        <v>0.936708860759493</v>
      </c>
      <c r="K26" s="2">
        <v>0.407407407407407</v>
      </c>
      <c r="L26" s="2">
        <v>0.19478737997256501</v>
      </c>
      <c r="M26" s="2">
        <v>5.5555555555555497E-2</v>
      </c>
      <c r="N26" s="2">
        <v>0.158904109589041</v>
      </c>
      <c r="O26" s="2">
        <v>0.95061728395061695</v>
      </c>
      <c r="P26" s="2">
        <v>6.1728395061728301E-2</v>
      </c>
      <c r="Q26" s="2">
        <v>0.189873417721519</v>
      </c>
      <c r="R26" s="2">
        <v>0.32345679012345602</v>
      </c>
      <c r="S26" s="2">
        <v>0.98765432098765404</v>
      </c>
      <c r="T26" s="2">
        <v>0.76543209876543195</v>
      </c>
      <c r="U26" s="2">
        <v>0.97530864197530798</v>
      </c>
      <c r="V26" s="2">
        <v>1</v>
      </c>
      <c r="W26" s="2">
        <v>1</v>
      </c>
      <c r="X26" s="2">
        <v>0.11111111111111099</v>
      </c>
      <c r="Y26" s="2">
        <v>1</v>
      </c>
      <c r="Z26" s="2">
        <v>0.97530864197530798</v>
      </c>
      <c r="AA26" s="2">
        <v>0.90123456790123402</v>
      </c>
      <c r="AB26" s="2">
        <v>0.44444444444444398</v>
      </c>
      <c r="AC26" s="2">
        <v>1</v>
      </c>
      <c r="AD26" s="2">
        <v>1</v>
      </c>
      <c r="AE26" s="2">
        <v>1</v>
      </c>
      <c r="AF26" s="2">
        <v>1</v>
      </c>
      <c r="AG26" s="2">
        <v>0.938271604938271</v>
      </c>
      <c r="AH26" s="2">
        <v>1</v>
      </c>
      <c r="AI26" s="2">
        <v>0.19565217391304299</v>
      </c>
    </row>
    <row r="27" spans="1:35" ht="43.5" x14ac:dyDescent="0.35">
      <c r="A27" s="2">
        <v>26</v>
      </c>
      <c r="B27" s="2" t="s">
        <v>120</v>
      </c>
      <c r="C27" s="2">
        <v>0.33333333333333298</v>
      </c>
      <c r="D27" s="2">
        <v>0.25</v>
      </c>
      <c r="E27" s="2">
        <v>0.33333333333333298</v>
      </c>
      <c r="F27" s="2">
        <v>0.66666666666666596</v>
      </c>
      <c r="G27" s="2">
        <v>0</v>
      </c>
      <c r="H27" s="2">
        <v>1</v>
      </c>
      <c r="I27" s="2">
        <v>0.55555555555555503</v>
      </c>
      <c r="J27" s="2">
        <v>1</v>
      </c>
      <c r="K27" s="2">
        <v>0</v>
      </c>
      <c r="L27" s="2">
        <v>0</v>
      </c>
      <c r="M27" s="2">
        <v>0</v>
      </c>
      <c r="N27" s="2">
        <v>0.2</v>
      </c>
      <c r="O27" s="2">
        <v>1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0</v>
      </c>
    </row>
    <row r="28" spans="1:35" ht="43.5" x14ac:dyDescent="0.35">
      <c r="A28" s="2">
        <v>27</v>
      </c>
      <c r="B28" s="2" t="s">
        <v>120</v>
      </c>
      <c r="C28" s="2">
        <v>0.66666666666666596</v>
      </c>
      <c r="D28" s="2">
        <v>0.25</v>
      </c>
      <c r="E28" s="2">
        <v>0.23899371069182301</v>
      </c>
      <c r="F28" s="2">
        <v>1</v>
      </c>
      <c r="G28" s="2">
        <v>0.33333333333333298</v>
      </c>
      <c r="H28" s="2">
        <v>1</v>
      </c>
      <c r="I28" s="2">
        <v>0.55555555555555503</v>
      </c>
      <c r="J28" s="2">
        <v>1</v>
      </c>
      <c r="K28" s="2">
        <v>0.5</v>
      </c>
      <c r="L28" s="2">
        <v>0</v>
      </c>
      <c r="M28" s="2">
        <v>0</v>
      </c>
      <c r="N28" s="2">
        <v>0.2</v>
      </c>
      <c r="O28" s="2">
        <v>0.5</v>
      </c>
      <c r="P28" s="2">
        <v>0</v>
      </c>
      <c r="Q28" s="2">
        <v>0</v>
      </c>
      <c r="R28" s="2">
        <v>0.4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1</v>
      </c>
      <c r="AA28" s="2">
        <v>1</v>
      </c>
      <c r="AB28" s="2">
        <v>0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0.19565217391304299</v>
      </c>
    </row>
    <row r="29" spans="1:35" ht="43.5" x14ac:dyDescent="0.35">
      <c r="A29" s="2">
        <v>28</v>
      </c>
      <c r="B29" s="2" t="s">
        <v>120</v>
      </c>
      <c r="C29" s="2">
        <v>0.83333333333333304</v>
      </c>
      <c r="D29" s="2">
        <v>0.25</v>
      </c>
      <c r="E29" s="2">
        <v>0.33333333333333298</v>
      </c>
      <c r="F29" s="2">
        <v>0.66666666666666596</v>
      </c>
      <c r="G29" s="2">
        <v>0</v>
      </c>
      <c r="H29" s="2">
        <v>1</v>
      </c>
      <c r="I29" s="2">
        <v>0.55555555555555503</v>
      </c>
      <c r="J29" s="2">
        <v>1</v>
      </c>
      <c r="K29" s="2">
        <v>0.5</v>
      </c>
      <c r="L29" s="2">
        <v>1</v>
      </c>
      <c r="M29" s="2">
        <v>0</v>
      </c>
      <c r="N29" s="2">
        <v>0.2</v>
      </c>
      <c r="O29" s="2">
        <v>1</v>
      </c>
      <c r="P29" s="2">
        <v>0</v>
      </c>
      <c r="Q29" s="2">
        <v>1</v>
      </c>
      <c r="R29" s="2">
        <v>0.4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0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0</v>
      </c>
    </row>
    <row r="30" spans="1:35" ht="43.5" x14ac:dyDescent="0.35">
      <c r="A30" s="2">
        <v>29</v>
      </c>
      <c r="B30" s="2" t="s">
        <v>120</v>
      </c>
      <c r="C30" s="2">
        <v>0.66666666666666596</v>
      </c>
      <c r="D30" s="2">
        <v>0.25</v>
      </c>
      <c r="E30" s="2">
        <v>0.33333333333333298</v>
      </c>
      <c r="F30" s="2">
        <v>0.66666666666666596</v>
      </c>
      <c r="G30" s="2">
        <v>0.33333333333333298</v>
      </c>
      <c r="H30" s="2">
        <v>1</v>
      </c>
      <c r="I30" s="2">
        <v>0.55555555555555503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1</v>
      </c>
      <c r="V30" s="2">
        <v>1</v>
      </c>
      <c r="W30" s="2">
        <v>1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</row>
    <row r="31" spans="1:35" ht="43.5" x14ac:dyDescent="0.35">
      <c r="A31" s="2">
        <v>30</v>
      </c>
      <c r="B31" s="2" t="s">
        <v>120</v>
      </c>
      <c r="C31" s="2">
        <v>0.16666666666666599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0.55555555555555503</v>
      </c>
      <c r="J31" s="2">
        <v>1</v>
      </c>
      <c r="K31" s="2">
        <v>1</v>
      </c>
      <c r="L31" s="2">
        <v>0.33333333333333298</v>
      </c>
      <c r="M31" s="2">
        <v>0</v>
      </c>
      <c r="N31" s="2">
        <v>0.2</v>
      </c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1</v>
      </c>
      <c r="V31" s="2">
        <v>1</v>
      </c>
      <c r="W31" s="2">
        <v>1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0</v>
      </c>
      <c r="AH31" s="2">
        <v>1</v>
      </c>
      <c r="AI31" s="2">
        <v>0.5</v>
      </c>
    </row>
    <row r="32" spans="1:35" ht="43.5" x14ac:dyDescent="0.35">
      <c r="A32" s="2">
        <v>31</v>
      </c>
      <c r="B32" s="2" t="s">
        <v>120</v>
      </c>
      <c r="C32" s="2">
        <v>1</v>
      </c>
      <c r="D32" s="2">
        <v>0.25</v>
      </c>
      <c r="E32" s="2">
        <v>0.23899371069182301</v>
      </c>
      <c r="F32" s="2">
        <v>0.66666666666666596</v>
      </c>
      <c r="G32" s="2">
        <v>0</v>
      </c>
      <c r="H32" s="2">
        <v>1</v>
      </c>
      <c r="I32" s="2">
        <v>0.55555555555555503</v>
      </c>
      <c r="J32" s="2">
        <v>1</v>
      </c>
      <c r="K32" s="2">
        <v>0.5</v>
      </c>
      <c r="L32" s="2">
        <v>0</v>
      </c>
      <c r="M32" s="2">
        <v>0</v>
      </c>
      <c r="N32" s="2">
        <v>0.2</v>
      </c>
      <c r="O32" s="2">
        <v>1</v>
      </c>
      <c r="P32" s="2">
        <v>0</v>
      </c>
      <c r="Q32" s="2">
        <v>0</v>
      </c>
      <c r="R32" s="2">
        <v>0.4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0.19565217391304299</v>
      </c>
    </row>
    <row r="33" spans="1:35" ht="43.5" x14ac:dyDescent="0.35">
      <c r="A33" s="2">
        <v>32</v>
      </c>
      <c r="B33" s="2" t="s">
        <v>120</v>
      </c>
      <c r="C33" s="2">
        <v>0</v>
      </c>
      <c r="D33" s="2">
        <v>0</v>
      </c>
      <c r="E33" s="2">
        <v>0</v>
      </c>
      <c r="F33" s="2">
        <v>0.66666666666666596</v>
      </c>
      <c r="G33" s="2">
        <v>0</v>
      </c>
      <c r="H33" s="2">
        <v>1</v>
      </c>
      <c r="I33" s="2">
        <v>0.55555555555555503</v>
      </c>
      <c r="J33" s="2">
        <v>1</v>
      </c>
      <c r="K33" s="2">
        <v>1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0</v>
      </c>
      <c r="AH33" s="2">
        <v>1</v>
      </c>
      <c r="AI33" s="2">
        <v>1</v>
      </c>
    </row>
    <row r="34" spans="1:35" ht="43.5" x14ac:dyDescent="0.35">
      <c r="A34" s="2">
        <v>33</v>
      </c>
      <c r="B34" s="2" t="s">
        <v>120</v>
      </c>
      <c r="C34" s="2">
        <v>0</v>
      </c>
      <c r="D34" s="2">
        <v>0</v>
      </c>
      <c r="E34" s="2">
        <v>0.33333333333333298</v>
      </c>
      <c r="F34" s="2">
        <v>1</v>
      </c>
      <c r="G34" s="2">
        <v>0.33333333333333298</v>
      </c>
      <c r="H34" s="2">
        <v>1</v>
      </c>
      <c r="I34" s="2">
        <v>0.55555555555555503</v>
      </c>
      <c r="J34" s="2">
        <v>1</v>
      </c>
      <c r="K34" s="2">
        <v>0</v>
      </c>
      <c r="L34" s="2">
        <v>0</v>
      </c>
      <c r="M34" s="2">
        <v>0</v>
      </c>
      <c r="N34" s="2">
        <v>0.2</v>
      </c>
      <c r="O34" s="2">
        <v>1</v>
      </c>
      <c r="P34" s="2">
        <v>0.33333333333333298</v>
      </c>
      <c r="Q34" s="2">
        <v>0</v>
      </c>
      <c r="R34" s="2">
        <v>0.4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0.19565217391304299</v>
      </c>
    </row>
    <row r="35" spans="1:35" ht="43.5" x14ac:dyDescent="0.35">
      <c r="A35" s="2">
        <v>34</v>
      </c>
      <c r="B35" s="2" t="s">
        <v>120</v>
      </c>
      <c r="C35" s="2">
        <v>0.66666666666666596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0.55555555555555503</v>
      </c>
      <c r="J35" s="2">
        <v>1</v>
      </c>
      <c r="K35" s="2">
        <v>1</v>
      </c>
      <c r="L35" s="2">
        <v>0</v>
      </c>
      <c r="M35" s="2">
        <v>0</v>
      </c>
      <c r="N35" s="2">
        <v>0.2</v>
      </c>
      <c r="O35" s="2">
        <v>1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0</v>
      </c>
    </row>
    <row r="36" spans="1:35" ht="43.5" x14ac:dyDescent="0.35">
      <c r="A36" s="2">
        <v>35</v>
      </c>
      <c r="B36" s="2" t="s">
        <v>120</v>
      </c>
      <c r="C36" s="2">
        <v>0.5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0.55555555555555503</v>
      </c>
      <c r="J36" s="2">
        <v>0</v>
      </c>
      <c r="K36" s="2">
        <v>0.5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0</v>
      </c>
    </row>
    <row r="37" spans="1:35" ht="43.5" x14ac:dyDescent="0.35">
      <c r="A37" s="2">
        <v>36</v>
      </c>
      <c r="B37" s="2" t="s">
        <v>120</v>
      </c>
      <c r="C37" s="2">
        <v>0</v>
      </c>
      <c r="D37" s="2">
        <v>0.23765432098765399</v>
      </c>
      <c r="E37" s="2">
        <v>0.23899371069182301</v>
      </c>
      <c r="F37" s="2">
        <v>0.53703703703703698</v>
      </c>
      <c r="G37" s="2">
        <v>0.12757201646090499</v>
      </c>
      <c r="H37" s="2">
        <v>0.94805194805194803</v>
      </c>
      <c r="I37" s="2">
        <v>0.55692729766803795</v>
      </c>
      <c r="J37" s="2">
        <v>0.936708860759493</v>
      </c>
      <c r="K37" s="2">
        <v>0.407407407407407</v>
      </c>
      <c r="L37" s="2">
        <v>0.19478737997256501</v>
      </c>
      <c r="M37" s="2">
        <v>5.5555555555555497E-2</v>
      </c>
      <c r="N37" s="2">
        <v>0.158904109589041</v>
      </c>
      <c r="O37" s="2">
        <v>0.95061728395061695</v>
      </c>
      <c r="P37" s="2">
        <v>6.1728395061728301E-2</v>
      </c>
      <c r="Q37" s="2">
        <v>0.189873417721519</v>
      </c>
      <c r="R37" s="2">
        <v>0.32345679012345602</v>
      </c>
      <c r="S37" s="2">
        <v>0.98765432098765404</v>
      </c>
      <c r="T37" s="2">
        <v>0.76543209876543195</v>
      </c>
      <c r="U37" s="2">
        <v>0.97530864197530798</v>
      </c>
      <c r="V37" s="2">
        <v>1</v>
      </c>
      <c r="W37" s="2">
        <v>1</v>
      </c>
      <c r="X37" s="2">
        <v>0.11111111111111099</v>
      </c>
      <c r="Y37" s="2">
        <v>1</v>
      </c>
      <c r="Z37" s="2">
        <v>0.97530864197530798</v>
      </c>
      <c r="AA37" s="2">
        <v>0.90123456790123402</v>
      </c>
      <c r="AB37" s="2">
        <v>0.44444444444444398</v>
      </c>
      <c r="AC37" s="2">
        <v>1</v>
      </c>
      <c r="AD37" s="2">
        <v>1</v>
      </c>
      <c r="AE37" s="2">
        <v>1</v>
      </c>
      <c r="AF37" s="2">
        <v>1</v>
      </c>
      <c r="AG37" s="2">
        <v>0.938271604938271</v>
      </c>
      <c r="AH37" s="2">
        <v>1</v>
      </c>
      <c r="AI37" s="2">
        <v>0.19565217391304299</v>
      </c>
    </row>
    <row r="38" spans="1:35" ht="43.5" x14ac:dyDescent="0.35">
      <c r="A38" s="2">
        <v>37</v>
      </c>
      <c r="B38" s="2" t="s">
        <v>120</v>
      </c>
      <c r="C38" s="2">
        <v>0</v>
      </c>
      <c r="D38" s="2">
        <v>0.23765432098765399</v>
      </c>
      <c r="E38" s="2">
        <v>0.23899371069182301</v>
      </c>
      <c r="F38" s="2">
        <v>0.53703703703703698</v>
      </c>
      <c r="G38" s="2">
        <v>0.12757201646090499</v>
      </c>
      <c r="H38" s="2">
        <v>0.94805194805194803</v>
      </c>
      <c r="I38" s="2">
        <v>0.55692729766803795</v>
      </c>
      <c r="J38" s="2">
        <v>0.936708860759493</v>
      </c>
      <c r="K38" s="2">
        <v>0.407407407407407</v>
      </c>
      <c r="L38" s="2">
        <v>0.19478737997256501</v>
      </c>
      <c r="M38" s="2">
        <v>5.5555555555555497E-2</v>
      </c>
      <c r="N38" s="2">
        <v>0.158904109589041</v>
      </c>
      <c r="O38" s="2">
        <v>0.95061728395061695</v>
      </c>
      <c r="P38" s="2">
        <v>6.1728395061728301E-2</v>
      </c>
      <c r="Q38" s="2">
        <v>0.189873417721519</v>
      </c>
      <c r="R38" s="2">
        <v>0.32345679012345602</v>
      </c>
      <c r="S38" s="2">
        <v>0.98765432098765404</v>
      </c>
      <c r="T38" s="2">
        <v>0.76543209876543195</v>
      </c>
      <c r="U38" s="2">
        <v>0.97530864197530798</v>
      </c>
      <c r="V38" s="2">
        <v>1</v>
      </c>
      <c r="W38" s="2">
        <v>1</v>
      </c>
      <c r="X38" s="2">
        <v>0.11111111111111099</v>
      </c>
      <c r="Y38" s="2">
        <v>1</v>
      </c>
      <c r="Z38" s="2">
        <v>0.97530864197530798</v>
      </c>
      <c r="AA38" s="2">
        <v>0.90123456790123402</v>
      </c>
      <c r="AB38" s="2">
        <v>0.44444444444444398</v>
      </c>
      <c r="AC38" s="2">
        <v>1</v>
      </c>
      <c r="AD38" s="2">
        <v>1</v>
      </c>
      <c r="AE38" s="2">
        <v>1</v>
      </c>
      <c r="AF38" s="2">
        <v>1</v>
      </c>
      <c r="AG38" s="2">
        <v>0.938271604938271</v>
      </c>
      <c r="AH38" s="2">
        <v>1</v>
      </c>
      <c r="AI38" s="2">
        <v>0.19565217391304299</v>
      </c>
    </row>
    <row r="39" spans="1:35" ht="43.5" x14ac:dyDescent="0.35">
      <c r="A39" s="2">
        <v>38</v>
      </c>
      <c r="B39" s="2" t="s">
        <v>120</v>
      </c>
      <c r="C39" s="2">
        <v>0</v>
      </c>
      <c r="D39" s="2">
        <v>0.23765432098765399</v>
      </c>
      <c r="E39" s="2">
        <v>0.23899371069182301</v>
      </c>
      <c r="F39" s="2">
        <v>0.53703703703703698</v>
      </c>
      <c r="G39" s="2">
        <v>0.12757201646090499</v>
      </c>
      <c r="H39" s="2">
        <v>0.94805194805194803</v>
      </c>
      <c r="I39" s="2">
        <v>0.55692729766803795</v>
      </c>
      <c r="J39" s="2">
        <v>0.936708860759493</v>
      </c>
      <c r="K39" s="2">
        <v>0.407407407407407</v>
      </c>
      <c r="L39" s="2">
        <v>0.19478737997256501</v>
      </c>
      <c r="M39" s="2">
        <v>5.5555555555555497E-2</v>
      </c>
      <c r="N39" s="2">
        <v>0.158904109589041</v>
      </c>
      <c r="O39" s="2">
        <v>0.95061728395061695</v>
      </c>
      <c r="P39" s="2">
        <v>6.1728395061728301E-2</v>
      </c>
      <c r="Q39" s="2">
        <v>0.189873417721519</v>
      </c>
      <c r="R39" s="2">
        <v>0.32345679012345602</v>
      </c>
      <c r="S39" s="2">
        <v>0.98765432098765404</v>
      </c>
      <c r="T39" s="2">
        <v>0.76543209876543195</v>
      </c>
      <c r="U39" s="2">
        <v>0.97530864197530798</v>
      </c>
      <c r="V39" s="2">
        <v>1</v>
      </c>
      <c r="W39" s="2">
        <v>1</v>
      </c>
      <c r="X39" s="2">
        <v>0.11111111111111099</v>
      </c>
      <c r="Y39" s="2">
        <v>1</v>
      </c>
      <c r="Z39" s="2">
        <v>0.97530864197530798</v>
      </c>
      <c r="AA39" s="2">
        <v>0.90123456790123402</v>
      </c>
      <c r="AB39" s="2">
        <v>0.44444444444444398</v>
      </c>
      <c r="AC39" s="2">
        <v>1</v>
      </c>
      <c r="AD39" s="2">
        <v>1</v>
      </c>
      <c r="AE39" s="2">
        <v>1</v>
      </c>
      <c r="AF39" s="2">
        <v>1</v>
      </c>
      <c r="AG39" s="2">
        <v>0.938271604938271</v>
      </c>
      <c r="AH39" s="2">
        <v>1</v>
      </c>
      <c r="AI39" s="2">
        <v>0.19565217391304299</v>
      </c>
    </row>
    <row r="40" spans="1:35" ht="43.5" x14ac:dyDescent="0.35">
      <c r="A40" s="2">
        <v>39</v>
      </c>
      <c r="B40" s="2" t="s">
        <v>120</v>
      </c>
      <c r="C40" s="2">
        <v>0</v>
      </c>
      <c r="D40" s="2">
        <v>0.23765432098765399</v>
      </c>
      <c r="E40" s="2">
        <v>0.23899371069182301</v>
      </c>
      <c r="F40" s="2">
        <v>0.53703703703703698</v>
      </c>
      <c r="G40" s="2">
        <v>0.12757201646090499</v>
      </c>
      <c r="H40" s="2">
        <v>0.94805194805194803</v>
      </c>
      <c r="I40" s="2">
        <v>0.55692729766803795</v>
      </c>
      <c r="J40" s="2">
        <v>0.936708860759493</v>
      </c>
      <c r="K40" s="2">
        <v>0.407407407407407</v>
      </c>
      <c r="L40" s="2">
        <v>0.19478737997256501</v>
      </c>
      <c r="M40" s="2">
        <v>5.5555555555555497E-2</v>
      </c>
      <c r="N40" s="2">
        <v>0.158904109589041</v>
      </c>
      <c r="O40" s="2">
        <v>0.95061728395061695</v>
      </c>
      <c r="P40" s="2">
        <v>6.1728395061728301E-2</v>
      </c>
      <c r="Q40" s="2">
        <v>0.189873417721519</v>
      </c>
      <c r="R40" s="2">
        <v>0.32345679012345602</v>
      </c>
      <c r="S40" s="2">
        <v>0.98765432098765404</v>
      </c>
      <c r="T40" s="2">
        <v>0.76543209876543195</v>
      </c>
      <c r="U40" s="2">
        <v>0.97530864197530798</v>
      </c>
      <c r="V40" s="2">
        <v>1</v>
      </c>
      <c r="W40" s="2">
        <v>1</v>
      </c>
      <c r="X40" s="2">
        <v>0.11111111111111099</v>
      </c>
      <c r="Y40" s="2">
        <v>1</v>
      </c>
      <c r="Z40" s="2">
        <v>0.97530864197530798</v>
      </c>
      <c r="AA40" s="2">
        <v>0.90123456790123402</v>
      </c>
      <c r="AB40" s="2">
        <v>0.44444444444444398</v>
      </c>
      <c r="AC40" s="2">
        <v>1</v>
      </c>
      <c r="AD40" s="2">
        <v>1</v>
      </c>
      <c r="AE40" s="2">
        <v>1</v>
      </c>
      <c r="AF40" s="2">
        <v>1</v>
      </c>
      <c r="AG40" s="2">
        <v>0.938271604938271</v>
      </c>
      <c r="AH40" s="2">
        <v>1</v>
      </c>
      <c r="AI40" s="2">
        <v>0.19565217391304299</v>
      </c>
    </row>
    <row r="41" spans="1:35" ht="43.5" x14ac:dyDescent="0.35">
      <c r="A41" s="2">
        <v>40</v>
      </c>
      <c r="B41" s="2" t="s">
        <v>120</v>
      </c>
      <c r="C41" s="2">
        <v>0.5</v>
      </c>
      <c r="D41" s="2">
        <v>0</v>
      </c>
      <c r="E41" s="2">
        <v>0</v>
      </c>
      <c r="F41" s="2">
        <v>0.66666666666666596</v>
      </c>
      <c r="G41" s="2">
        <v>0</v>
      </c>
      <c r="H41" s="2">
        <v>1</v>
      </c>
      <c r="I41" s="2">
        <v>0.55555555555555503</v>
      </c>
      <c r="J41" s="2">
        <v>1</v>
      </c>
      <c r="K41" s="2">
        <v>0.5</v>
      </c>
      <c r="L41" s="2">
        <v>1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0.4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0</v>
      </c>
    </row>
    <row r="42" spans="1:35" ht="43.5" x14ac:dyDescent="0.35">
      <c r="A42" s="2">
        <v>41</v>
      </c>
      <c r="B42" s="2" t="s">
        <v>120</v>
      </c>
      <c r="C42" s="2">
        <v>0.33333333333333298</v>
      </c>
      <c r="D42" s="2">
        <v>0.23765432098765399</v>
      </c>
      <c r="E42" s="2">
        <v>0.23899371069182301</v>
      </c>
      <c r="F42" s="2">
        <v>0.53703703703703698</v>
      </c>
      <c r="G42" s="2">
        <v>0.12757201646090499</v>
      </c>
      <c r="H42" s="2">
        <v>0.94805194805194803</v>
      </c>
      <c r="I42" s="2">
        <v>0.55692729766803795</v>
      </c>
      <c r="J42" s="2">
        <v>0.936708860759493</v>
      </c>
      <c r="K42" s="2">
        <v>0.407407407407407</v>
      </c>
      <c r="L42" s="2">
        <v>0.19478737997256501</v>
      </c>
      <c r="M42" s="2">
        <v>5.5555555555555497E-2</v>
      </c>
      <c r="N42" s="2">
        <v>0.158904109589041</v>
      </c>
      <c r="O42" s="2">
        <v>0.95061728395061695</v>
      </c>
      <c r="P42" s="2">
        <v>6.1728395061728301E-2</v>
      </c>
      <c r="Q42" s="2">
        <v>0.189873417721519</v>
      </c>
      <c r="R42" s="2">
        <v>0.32345679012345602</v>
      </c>
      <c r="S42" s="2">
        <v>0.98765432098765404</v>
      </c>
      <c r="T42" s="2">
        <v>0.76543209876543195</v>
      </c>
      <c r="U42" s="2">
        <v>0.97530864197530798</v>
      </c>
      <c r="V42" s="2">
        <v>1</v>
      </c>
      <c r="W42" s="2">
        <v>1</v>
      </c>
      <c r="X42" s="2">
        <v>0.11111111111111099</v>
      </c>
      <c r="Y42" s="2">
        <v>1</v>
      </c>
      <c r="Z42" s="2">
        <v>0.97530864197530798</v>
      </c>
      <c r="AA42" s="2">
        <v>0.90123456790123402</v>
      </c>
      <c r="AB42" s="2">
        <v>0.44444444444444398</v>
      </c>
      <c r="AC42" s="2">
        <v>1</v>
      </c>
      <c r="AD42" s="2">
        <v>1</v>
      </c>
      <c r="AE42" s="2">
        <v>1</v>
      </c>
      <c r="AF42" s="2">
        <v>1</v>
      </c>
      <c r="AG42" s="2">
        <v>0.938271604938271</v>
      </c>
      <c r="AH42" s="2">
        <v>1</v>
      </c>
      <c r="AI42" s="2">
        <v>0.19565217391304299</v>
      </c>
    </row>
    <row r="43" spans="1:35" ht="43.5" x14ac:dyDescent="0.35">
      <c r="A43" s="2">
        <v>42</v>
      </c>
      <c r="B43" s="2" t="s">
        <v>120</v>
      </c>
      <c r="C43" s="2">
        <v>0.33333333333333298</v>
      </c>
      <c r="D43" s="2">
        <v>0.25</v>
      </c>
      <c r="E43" s="2">
        <v>0.33333333333333298</v>
      </c>
      <c r="F43" s="2">
        <v>0.66666666666666596</v>
      </c>
      <c r="G43" s="2">
        <v>0</v>
      </c>
      <c r="H43" s="2">
        <v>1</v>
      </c>
      <c r="I43" s="2">
        <v>0.55555555555555503</v>
      </c>
      <c r="J43" s="2">
        <v>1</v>
      </c>
      <c r="K43" s="2">
        <v>0.5</v>
      </c>
      <c r="L43" s="2">
        <v>1</v>
      </c>
      <c r="M43" s="2">
        <v>0</v>
      </c>
      <c r="N43" s="2">
        <v>0.2</v>
      </c>
      <c r="O43" s="2">
        <v>0</v>
      </c>
      <c r="P43" s="2">
        <v>0</v>
      </c>
      <c r="Q43" s="2">
        <v>1</v>
      </c>
      <c r="R43" s="2">
        <v>0.4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0</v>
      </c>
      <c r="Y43" s="2">
        <v>1</v>
      </c>
      <c r="Z43" s="2">
        <v>1</v>
      </c>
      <c r="AA43" s="2">
        <v>1</v>
      </c>
      <c r="AB43" s="2">
        <v>0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0</v>
      </c>
    </row>
    <row r="44" spans="1:35" ht="43.5" x14ac:dyDescent="0.35">
      <c r="A44" s="2">
        <v>43</v>
      </c>
      <c r="B44" s="2" t="s">
        <v>120</v>
      </c>
      <c r="C44" s="2">
        <v>0</v>
      </c>
      <c r="D44" s="2">
        <v>0</v>
      </c>
      <c r="E44" s="2">
        <v>0</v>
      </c>
      <c r="F44" s="2">
        <v>0.66666666666666596</v>
      </c>
      <c r="G44" s="2">
        <v>0.33333333333333298</v>
      </c>
      <c r="H44" s="2">
        <v>1</v>
      </c>
      <c r="I44" s="2">
        <v>0.55555555555555503</v>
      </c>
      <c r="J44" s="2">
        <v>1</v>
      </c>
      <c r="K44" s="2">
        <v>0.5</v>
      </c>
      <c r="L44" s="2">
        <v>0</v>
      </c>
      <c r="M44" s="2">
        <v>0</v>
      </c>
      <c r="N44" s="2">
        <v>0.2</v>
      </c>
      <c r="O44" s="2">
        <v>0.5</v>
      </c>
      <c r="P44" s="2">
        <v>0</v>
      </c>
      <c r="Q44" s="2">
        <v>0</v>
      </c>
      <c r="R44" s="2">
        <v>0.4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0.19565217391304299</v>
      </c>
    </row>
    <row r="45" spans="1:35" ht="43.5" x14ac:dyDescent="0.35">
      <c r="A45" s="2">
        <v>44</v>
      </c>
      <c r="B45" s="2" t="s">
        <v>120</v>
      </c>
      <c r="C45" s="2">
        <v>0.16666666666666599</v>
      </c>
      <c r="D45" s="2">
        <v>0.5</v>
      </c>
      <c r="E45" s="2">
        <v>0.23899371069182301</v>
      </c>
      <c r="F45" s="2">
        <v>0.66666666666666596</v>
      </c>
      <c r="G45" s="2">
        <v>0</v>
      </c>
      <c r="H45" s="2">
        <v>1</v>
      </c>
      <c r="I45" s="2">
        <v>0.55555555555555503</v>
      </c>
      <c r="J45" s="2">
        <v>1</v>
      </c>
      <c r="K45" s="2">
        <v>0.5</v>
      </c>
      <c r="L45" s="2">
        <v>0</v>
      </c>
      <c r="M45" s="2">
        <v>0</v>
      </c>
      <c r="N45" s="2">
        <v>0.2</v>
      </c>
      <c r="O45" s="2">
        <v>1</v>
      </c>
      <c r="P45" s="2">
        <v>0</v>
      </c>
      <c r="Q45" s="2">
        <v>0</v>
      </c>
      <c r="R45" s="2">
        <v>0.4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0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0.19565217391304299</v>
      </c>
    </row>
    <row r="46" spans="1:35" ht="43.5" x14ac:dyDescent="0.35">
      <c r="A46" s="2">
        <v>45</v>
      </c>
      <c r="B46" s="2" t="s">
        <v>120</v>
      </c>
      <c r="C46" s="2">
        <v>0</v>
      </c>
      <c r="D46" s="2">
        <v>0.23765432098765399</v>
      </c>
      <c r="E46" s="2">
        <v>0.23899371069182301</v>
      </c>
      <c r="F46" s="2">
        <v>0.53703703703703698</v>
      </c>
      <c r="G46" s="2">
        <v>0.12757201646090499</v>
      </c>
      <c r="H46" s="2">
        <v>0.94805194805194803</v>
      </c>
      <c r="I46" s="2">
        <v>0.55692729766803795</v>
      </c>
      <c r="J46" s="2">
        <v>0.936708860759493</v>
      </c>
      <c r="K46" s="2">
        <v>0.407407407407407</v>
      </c>
      <c r="L46" s="2">
        <v>0.19478737997256501</v>
      </c>
      <c r="M46" s="2">
        <v>5.5555555555555497E-2</v>
      </c>
      <c r="N46" s="2">
        <v>0.158904109589041</v>
      </c>
      <c r="O46" s="2">
        <v>0.95061728395061695</v>
      </c>
      <c r="P46" s="2">
        <v>6.1728395061728301E-2</v>
      </c>
      <c r="Q46" s="2">
        <v>0.189873417721519</v>
      </c>
      <c r="R46" s="2">
        <v>0.32345679012345602</v>
      </c>
      <c r="S46" s="2">
        <v>0.98765432098765404</v>
      </c>
      <c r="T46" s="2">
        <v>0.76543209876543195</v>
      </c>
      <c r="U46" s="2">
        <v>0.97530864197530798</v>
      </c>
      <c r="V46" s="2">
        <v>1</v>
      </c>
      <c r="W46" s="2">
        <v>1</v>
      </c>
      <c r="X46" s="2">
        <v>0.11111111111111099</v>
      </c>
      <c r="Y46" s="2">
        <v>1</v>
      </c>
      <c r="Z46" s="2">
        <v>0.97530864197530798</v>
      </c>
      <c r="AA46" s="2">
        <v>0.90123456790123402</v>
      </c>
      <c r="AB46" s="2">
        <v>0.44444444444444398</v>
      </c>
      <c r="AC46" s="2">
        <v>1</v>
      </c>
      <c r="AD46" s="2">
        <v>1</v>
      </c>
      <c r="AE46" s="2">
        <v>1</v>
      </c>
      <c r="AF46" s="2">
        <v>1</v>
      </c>
      <c r="AG46" s="2">
        <v>0.938271604938271</v>
      </c>
      <c r="AH46" s="2">
        <v>1</v>
      </c>
      <c r="AI46" s="2">
        <v>0.19565217391304299</v>
      </c>
    </row>
    <row r="47" spans="1:35" ht="43.5" x14ac:dyDescent="0.35">
      <c r="A47" s="2">
        <v>46</v>
      </c>
      <c r="B47" s="2" t="s">
        <v>120</v>
      </c>
      <c r="C47" s="2">
        <v>0</v>
      </c>
      <c r="D47" s="2">
        <v>0.23765432098765399</v>
      </c>
      <c r="E47" s="2">
        <v>0.23899371069182301</v>
      </c>
      <c r="F47" s="2">
        <v>0.53703703703703698</v>
      </c>
      <c r="G47" s="2">
        <v>0.12757201646090499</v>
      </c>
      <c r="H47" s="2">
        <v>0.94805194805194803</v>
      </c>
      <c r="I47" s="2">
        <v>0.55692729766803795</v>
      </c>
      <c r="J47" s="2">
        <v>0.936708860759493</v>
      </c>
      <c r="K47" s="2">
        <v>0.407407407407407</v>
      </c>
      <c r="L47" s="2">
        <v>0.19478737997256501</v>
      </c>
      <c r="M47" s="2">
        <v>5.5555555555555497E-2</v>
      </c>
      <c r="N47" s="2">
        <v>0.158904109589041</v>
      </c>
      <c r="O47" s="2">
        <v>0.95061728395061695</v>
      </c>
      <c r="P47" s="2">
        <v>6.1728395061728301E-2</v>
      </c>
      <c r="Q47" s="2">
        <v>0.189873417721519</v>
      </c>
      <c r="R47" s="2">
        <v>0.32345679012345602</v>
      </c>
      <c r="S47" s="2">
        <v>0.98765432098765404</v>
      </c>
      <c r="T47" s="2">
        <v>0.76543209876543195</v>
      </c>
      <c r="U47" s="2">
        <v>0.97530864197530798</v>
      </c>
      <c r="V47" s="2">
        <v>1</v>
      </c>
      <c r="W47" s="2">
        <v>1</v>
      </c>
      <c r="X47" s="2">
        <v>0.11111111111111099</v>
      </c>
      <c r="Y47" s="2">
        <v>1</v>
      </c>
      <c r="Z47" s="2">
        <v>0.97530864197530798</v>
      </c>
      <c r="AA47" s="2">
        <v>0.90123456790123402</v>
      </c>
      <c r="AB47" s="2">
        <v>0.44444444444444398</v>
      </c>
      <c r="AC47" s="2">
        <v>1</v>
      </c>
      <c r="AD47" s="2">
        <v>1</v>
      </c>
      <c r="AE47" s="2">
        <v>1</v>
      </c>
      <c r="AF47" s="2">
        <v>1</v>
      </c>
      <c r="AG47" s="2">
        <v>0.938271604938271</v>
      </c>
      <c r="AH47" s="2">
        <v>1</v>
      </c>
      <c r="AI47" s="2">
        <v>0.19565217391304299</v>
      </c>
    </row>
    <row r="48" spans="1:35" ht="43.5" x14ac:dyDescent="0.35">
      <c r="A48" s="2">
        <v>47</v>
      </c>
      <c r="B48" s="2" t="s">
        <v>120</v>
      </c>
      <c r="C48" s="2">
        <v>0.83333333333333304</v>
      </c>
      <c r="D48" s="2">
        <v>0.5</v>
      </c>
      <c r="E48" s="2">
        <v>0</v>
      </c>
      <c r="F48" s="2">
        <v>0.66666666666666596</v>
      </c>
      <c r="G48" s="2">
        <v>0</v>
      </c>
      <c r="H48" s="2">
        <v>1</v>
      </c>
      <c r="I48" s="2">
        <v>0.55555555555555503</v>
      </c>
      <c r="J48" s="2">
        <v>1</v>
      </c>
      <c r="K48" s="2">
        <v>0.5</v>
      </c>
      <c r="L48" s="2">
        <v>0</v>
      </c>
      <c r="M48" s="2">
        <v>0</v>
      </c>
      <c r="N48" s="2">
        <v>0</v>
      </c>
      <c r="O48" s="2">
        <v>1</v>
      </c>
      <c r="P48" s="2">
        <v>0.33333333333333298</v>
      </c>
      <c r="Q48" s="2">
        <v>0</v>
      </c>
      <c r="R48" s="2">
        <v>0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0</v>
      </c>
      <c r="Y48" s="2">
        <v>1</v>
      </c>
      <c r="Z48" s="2">
        <v>1</v>
      </c>
      <c r="AA48" s="2">
        <v>1</v>
      </c>
      <c r="AB48" s="2">
        <v>0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0</v>
      </c>
    </row>
    <row r="49" spans="1:35" ht="43.5" x14ac:dyDescent="0.35">
      <c r="A49" s="2">
        <v>48</v>
      </c>
      <c r="B49" s="2" t="s">
        <v>120</v>
      </c>
      <c r="C49" s="2">
        <v>0</v>
      </c>
      <c r="D49" s="2">
        <v>0.23765432098765399</v>
      </c>
      <c r="E49" s="2">
        <v>0.23899371069182301</v>
      </c>
      <c r="F49" s="2">
        <v>0.53703703703703698</v>
      </c>
      <c r="G49" s="2">
        <v>0.12757201646090499</v>
      </c>
      <c r="H49" s="2">
        <v>0.94805194805194803</v>
      </c>
      <c r="I49" s="2">
        <v>0.55692729766803795</v>
      </c>
      <c r="J49" s="2">
        <v>0.936708860759493</v>
      </c>
      <c r="K49" s="2">
        <v>0.407407407407407</v>
      </c>
      <c r="L49" s="2">
        <v>0.19478737997256501</v>
      </c>
      <c r="M49" s="2">
        <v>5.5555555555555497E-2</v>
      </c>
      <c r="N49" s="2">
        <v>0.158904109589041</v>
      </c>
      <c r="O49" s="2">
        <v>0.95061728395061695</v>
      </c>
      <c r="P49" s="2">
        <v>6.1728395061728301E-2</v>
      </c>
      <c r="Q49" s="2">
        <v>0.189873417721519</v>
      </c>
      <c r="R49" s="2">
        <v>0.32345679012345602</v>
      </c>
      <c r="S49" s="2">
        <v>0.98765432098765404</v>
      </c>
      <c r="T49" s="2">
        <v>0.76543209876543195</v>
      </c>
      <c r="U49" s="2">
        <v>0.97530864197530798</v>
      </c>
      <c r="V49" s="2">
        <v>1</v>
      </c>
      <c r="W49" s="2">
        <v>1</v>
      </c>
      <c r="X49" s="2">
        <v>0.11111111111111099</v>
      </c>
      <c r="Y49" s="2">
        <v>1</v>
      </c>
      <c r="Z49" s="2">
        <v>0.97530864197530798</v>
      </c>
      <c r="AA49" s="2">
        <v>0.90123456790123402</v>
      </c>
      <c r="AB49" s="2">
        <v>0.44444444444444398</v>
      </c>
      <c r="AC49" s="2">
        <v>1</v>
      </c>
      <c r="AD49" s="2">
        <v>1</v>
      </c>
      <c r="AE49" s="2">
        <v>1</v>
      </c>
      <c r="AF49" s="2">
        <v>1</v>
      </c>
      <c r="AG49" s="2">
        <v>0.938271604938271</v>
      </c>
      <c r="AH49" s="2">
        <v>1</v>
      </c>
      <c r="AI49" s="2">
        <v>0.19565217391304299</v>
      </c>
    </row>
    <row r="50" spans="1:35" ht="43.5" x14ac:dyDescent="0.35">
      <c r="A50" s="2">
        <v>49</v>
      </c>
      <c r="B50" s="2" t="s">
        <v>120</v>
      </c>
      <c r="C50" s="2">
        <v>0.16666666666666599</v>
      </c>
      <c r="D50" s="2">
        <v>0.25</v>
      </c>
      <c r="E50" s="2">
        <v>0.23899371069182301</v>
      </c>
      <c r="F50" s="2">
        <v>0.66666666666666596</v>
      </c>
      <c r="G50" s="2">
        <v>1</v>
      </c>
      <c r="H50" s="2">
        <v>0.94805194805194803</v>
      </c>
      <c r="I50" s="2">
        <v>1</v>
      </c>
      <c r="J50" s="2">
        <v>0.936708860759493</v>
      </c>
      <c r="K50" s="2">
        <v>0</v>
      </c>
      <c r="L50" s="2">
        <v>0.55555555555555503</v>
      </c>
      <c r="M50" s="2">
        <v>0.5</v>
      </c>
      <c r="N50" s="2">
        <v>0.158904109589041</v>
      </c>
      <c r="O50" s="2">
        <v>1</v>
      </c>
      <c r="P50" s="2">
        <v>1</v>
      </c>
      <c r="Q50" s="2">
        <v>0.189873417721519</v>
      </c>
      <c r="R50" s="2">
        <v>0.4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</row>
    <row r="51" spans="1:35" ht="43.5" x14ac:dyDescent="0.35">
      <c r="A51" s="2">
        <v>50</v>
      </c>
      <c r="B51" s="2" t="s">
        <v>120</v>
      </c>
      <c r="C51" s="2">
        <v>0.83333333333333304</v>
      </c>
      <c r="D51" s="2">
        <v>0</v>
      </c>
      <c r="E51" s="2">
        <v>0</v>
      </c>
      <c r="F51" s="2">
        <v>0.66666666666666596</v>
      </c>
      <c r="G51" s="2">
        <v>0</v>
      </c>
      <c r="H51" s="2">
        <v>1</v>
      </c>
      <c r="I51" s="2">
        <v>0.55555555555555503</v>
      </c>
      <c r="J51" s="2">
        <v>1</v>
      </c>
      <c r="K51" s="2">
        <v>1</v>
      </c>
      <c r="L51" s="2">
        <v>0</v>
      </c>
      <c r="M51" s="2">
        <v>0</v>
      </c>
      <c r="N51" s="2">
        <v>0.2</v>
      </c>
      <c r="O51" s="2">
        <v>1</v>
      </c>
      <c r="P51" s="2">
        <v>0</v>
      </c>
      <c r="Q51" s="2">
        <v>0</v>
      </c>
      <c r="R51" s="2">
        <v>0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1</v>
      </c>
      <c r="AA51" s="2">
        <v>1</v>
      </c>
      <c r="AB51" s="2">
        <v>0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0</v>
      </c>
    </row>
    <row r="52" spans="1:35" ht="43.5" x14ac:dyDescent="0.35">
      <c r="A52" s="2">
        <v>51</v>
      </c>
      <c r="B52" s="2" t="s">
        <v>120</v>
      </c>
      <c r="C52" s="2">
        <v>0.66666666666666596</v>
      </c>
      <c r="D52" s="2">
        <v>0.25</v>
      </c>
      <c r="E52" s="2">
        <v>0.23899371069182301</v>
      </c>
      <c r="F52" s="2">
        <v>0.66666666666666596</v>
      </c>
      <c r="G52" s="2">
        <v>0</v>
      </c>
      <c r="H52" s="2">
        <v>1</v>
      </c>
      <c r="I52" s="2">
        <v>0.55555555555555503</v>
      </c>
      <c r="J52" s="2">
        <v>1</v>
      </c>
      <c r="K52" s="2">
        <v>0.5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0.4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0.19565217391304299</v>
      </c>
    </row>
    <row r="53" spans="1:35" ht="43.5" x14ac:dyDescent="0.35">
      <c r="A53" s="2">
        <v>52</v>
      </c>
      <c r="B53" s="2" t="s">
        <v>120</v>
      </c>
      <c r="C53" s="2">
        <v>0.16666666666666599</v>
      </c>
      <c r="D53" s="2">
        <v>0.5</v>
      </c>
      <c r="E53" s="2">
        <v>0.23899371069182301</v>
      </c>
      <c r="F53" s="2">
        <v>0</v>
      </c>
      <c r="G53" s="2">
        <v>0</v>
      </c>
      <c r="H53" s="2">
        <v>1</v>
      </c>
      <c r="I53" s="2">
        <v>0.55555555555555503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0.4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0.19565217391304299</v>
      </c>
    </row>
    <row r="54" spans="1:35" ht="43.5" x14ac:dyDescent="0.35">
      <c r="A54" s="2">
        <v>53</v>
      </c>
      <c r="B54" s="2" t="s">
        <v>120</v>
      </c>
      <c r="C54" s="2">
        <v>0</v>
      </c>
      <c r="D54" s="2">
        <v>0.25</v>
      </c>
      <c r="E54" s="2">
        <v>0.23899371069182301</v>
      </c>
      <c r="F54" s="2">
        <v>0.66666666666666596</v>
      </c>
      <c r="G54" s="2">
        <v>0</v>
      </c>
      <c r="H54" s="2">
        <v>1</v>
      </c>
      <c r="I54" s="2">
        <v>0.55555555555555503</v>
      </c>
      <c r="J54" s="2">
        <v>1</v>
      </c>
      <c r="K54" s="2">
        <v>0</v>
      </c>
      <c r="L54" s="2">
        <v>0</v>
      </c>
      <c r="M54" s="2">
        <v>0</v>
      </c>
      <c r="N54" s="2">
        <v>0.2</v>
      </c>
      <c r="O54" s="2">
        <v>1</v>
      </c>
      <c r="P54" s="2">
        <v>0</v>
      </c>
      <c r="Q54" s="2">
        <v>0</v>
      </c>
      <c r="R54" s="2">
        <v>0.4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0.19565217391304299</v>
      </c>
    </row>
    <row r="55" spans="1:35" ht="43.5" x14ac:dyDescent="0.35">
      <c r="A55" s="2">
        <v>54</v>
      </c>
      <c r="B55" s="2" t="s">
        <v>120</v>
      </c>
      <c r="C55" s="2">
        <v>0.5</v>
      </c>
      <c r="D55" s="2">
        <v>0.25</v>
      </c>
      <c r="E55" s="2">
        <v>0.33333333333333298</v>
      </c>
      <c r="F55" s="2">
        <v>0.66666666666666596</v>
      </c>
      <c r="G55" s="2">
        <v>0</v>
      </c>
      <c r="H55" s="2">
        <v>1</v>
      </c>
      <c r="I55" s="2">
        <v>0.55555555555555503</v>
      </c>
      <c r="J55" s="2">
        <v>1</v>
      </c>
      <c r="K55" s="2">
        <v>0.5</v>
      </c>
      <c r="L55" s="2">
        <v>1</v>
      </c>
      <c r="M55" s="2">
        <v>0</v>
      </c>
      <c r="N55" s="2">
        <v>0</v>
      </c>
      <c r="O55" s="2">
        <v>1</v>
      </c>
      <c r="P55" s="2">
        <v>0</v>
      </c>
      <c r="Q55" s="2">
        <v>1</v>
      </c>
      <c r="R55" s="2">
        <v>0.4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1</v>
      </c>
      <c r="AA55" s="2">
        <v>1</v>
      </c>
      <c r="AB55" s="2">
        <v>0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0</v>
      </c>
    </row>
    <row r="56" spans="1:35" ht="43.5" x14ac:dyDescent="0.35">
      <c r="A56" s="2">
        <v>55</v>
      </c>
      <c r="B56" s="2" t="s">
        <v>120</v>
      </c>
      <c r="C56" s="2">
        <v>0.83333333333333304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0.55555555555555503</v>
      </c>
      <c r="J56" s="2">
        <v>1</v>
      </c>
      <c r="K56" s="2">
        <v>0.5</v>
      </c>
      <c r="L56" s="2">
        <v>1</v>
      </c>
      <c r="M56" s="2">
        <v>0</v>
      </c>
      <c r="N56" s="2">
        <v>0</v>
      </c>
      <c r="O56" s="2">
        <v>1</v>
      </c>
      <c r="P56" s="2">
        <v>0</v>
      </c>
      <c r="Q56" s="2">
        <v>1</v>
      </c>
      <c r="R56" s="2">
        <v>0.4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0</v>
      </c>
    </row>
    <row r="57" spans="1:35" ht="43.5" x14ac:dyDescent="0.35">
      <c r="A57" s="2">
        <v>56</v>
      </c>
      <c r="B57" s="2" t="s">
        <v>120</v>
      </c>
      <c r="C57" s="2">
        <v>0.16666666666666599</v>
      </c>
      <c r="D57" s="2">
        <v>0.25</v>
      </c>
      <c r="E57" s="2">
        <v>0.33333333333333298</v>
      </c>
      <c r="F57" s="2">
        <v>0.66666666666666596</v>
      </c>
      <c r="G57" s="2">
        <v>1</v>
      </c>
      <c r="H57" s="2">
        <v>0.94805194805194803</v>
      </c>
      <c r="I57" s="2">
        <v>0.55555555555555503</v>
      </c>
      <c r="J57" s="2">
        <v>1</v>
      </c>
      <c r="K57" s="2">
        <v>0.5</v>
      </c>
      <c r="L57" s="2">
        <v>1</v>
      </c>
      <c r="M57" s="2">
        <v>0</v>
      </c>
      <c r="N57" s="2">
        <v>0.2</v>
      </c>
      <c r="O57" s="2">
        <v>1</v>
      </c>
      <c r="P57" s="2">
        <v>0.33333333333333298</v>
      </c>
      <c r="Q57" s="2">
        <v>0</v>
      </c>
      <c r="R57" s="2">
        <v>0.4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0</v>
      </c>
    </row>
    <row r="58" spans="1:35" ht="43.5" x14ac:dyDescent="0.35">
      <c r="A58" s="2">
        <v>57</v>
      </c>
      <c r="B58" s="2" t="s">
        <v>120</v>
      </c>
      <c r="C58" s="2">
        <v>0.66666666666666596</v>
      </c>
      <c r="D58" s="2">
        <v>0</v>
      </c>
      <c r="E58" s="2">
        <v>1</v>
      </c>
      <c r="F58" s="2">
        <v>0.66666666666666596</v>
      </c>
      <c r="G58" s="2">
        <v>0.33333333333333298</v>
      </c>
      <c r="H58" s="2">
        <v>1</v>
      </c>
      <c r="I58" s="2">
        <v>0.55555555555555503</v>
      </c>
      <c r="J58" s="2">
        <v>1</v>
      </c>
      <c r="K58" s="2">
        <v>0.5</v>
      </c>
      <c r="L58" s="2">
        <v>0</v>
      </c>
      <c r="M58" s="2">
        <v>0</v>
      </c>
      <c r="N58" s="2">
        <v>0</v>
      </c>
      <c r="O58" s="2">
        <v>1</v>
      </c>
      <c r="P58" s="2">
        <v>0.33333333333333298</v>
      </c>
      <c r="Q58" s="2">
        <v>0</v>
      </c>
      <c r="R58" s="2">
        <v>1</v>
      </c>
      <c r="S58" s="2">
        <v>1</v>
      </c>
      <c r="T58" s="2">
        <v>1</v>
      </c>
      <c r="U58" s="2">
        <v>0</v>
      </c>
      <c r="V58" s="2">
        <v>1</v>
      </c>
      <c r="W58" s="2">
        <v>1</v>
      </c>
      <c r="X58" s="2">
        <v>0</v>
      </c>
      <c r="Y58" s="2">
        <v>1</v>
      </c>
      <c r="Z58" s="2">
        <v>1</v>
      </c>
      <c r="AA58" s="2">
        <v>1</v>
      </c>
      <c r="AB58" s="2">
        <v>0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0</v>
      </c>
    </row>
    <row r="59" spans="1:35" ht="43.5" x14ac:dyDescent="0.35">
      <c r="A59" s="2">
        <v>58</v>
      </c>
      <c r="B59" s="2" t="s">
        <v>120</v>
      </c>
      <c r="C59" s="2">
        <v>0.66666666666666596</v>
      </c>
      <c r="D59" s="2">
        <v>0.25</v>
      </c>
      <c r="E59" s="2">
        <v>0.33333333333333298</v>
      </c>
      <c r="F59" s="2">
        <v>0</v>
      </c>
      <c r="G59" s="2">
        <v>0</v>
      </c>
      <c r="H59" s="2">
        <v>0</v>
      </c>
      <c r="I59" s="2">
        <v>0.55555555555555503</v>
      </c>
      <c r="J59" s="2">
        <v>0</v>
      </c>
      <c r="K59" s="2">
        <v>0.5</v>
      </c>
      <c r="L59" s="2">
        <v>0</v>
      </c>
      <c r="M59" s="2">
        <v>0</v>
      </c>
      <c r="N59" s="2">
        <v>0.2</v>
      </c>
      <c r="O59" s="2">
        <v>1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1</v>
      </c>
      <c r="V59" s="2">
        <v>1</v>
      </c>
      <c r="W59" s="2">
        <v>1</v>
      </c>
      <c r="X59" s="2">
        <v>0</v>
      </c>
      <c r="Y59" s="2">
        <v>1</v>
      </c>
      <c r="Z59" s="2">
        <v>1</v>
      </c>
      <c r="AA59" s="2">
        <v>1</v>
      </c>
      <c r="AB59" s="2">
        <v>0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</row>
    <row r="60" spans="1:35" ht="43.5" x14ac:dyDescent="0.35">
      <c r="A60" s="2">
        <v>59</v>
      </c>
      <c r="B60" s="2" t="s">
        <v>120</v>
      </c>
      <c r="C60" s="2">
        <v>0.33333333333333298</v>
      </c>
      <c r="D60" s="2">
        <v>0.5</v>
      </c>
      <c r="E60" s="2">
        <v>0.33333333333333298</v>
      </c>
      <c r="F60" s="2">
        <v>0</v>
      </c>
      <c r="G60" s="2">
        <v>0</v>
      </c>
      <c r="H60" s="2">
        <v>1</v>
      </c>
      <c r="I60" s="2">
        <v>0.55555555555555503</v>
      </c>
      <c r="J60" s="2">
        <v>1</v>
      </c>
      <c r="K60" s="2">
        <v>0.5</v>
      </c>
      <c r="L60" s="2">
        <v>0</v>
      </c>
      <c r="M60" s="2">
        <v>0</v>
      </c>
      <c r="N60" s="2">
        <v>0.2</v>
      </c>
      <c r="O60" s="2">
        <v>1</v>
      </c>
      <c r="P60" s="2">
        <v>0</v>
      </c>
      <c r="Q60" s="2">
        <v>0</v>
      </c>
      <c r="R60" s="2">
        <v>0.4</v>
      </c>
      <c r="S60" s="2">
        <v>1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0</v>
      </c>
      <c r="AB60" s="2">
        <v>0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0</v>
      </c>
    </row>
    <row r="61" spans="1:35" ht="43.5" x14ac:dyDescent="0.35">
      <c r="A61" s="2">
        <v>60</v>
      </c>
      <c r="B61" s="2" t="s">
        <v>120</v>
      </c>
      <c r="C61" s="2">
        <v>0</v>
      </c>
      <c r="D61" s="2">
        <v>0</v>
      </c>
      <c r="E61" s="2">
        <v>0</v>
      </c>
      <c r="F61" s="2">
        <v>1</v>
      </c>
      <c r="G61" s="2">
        <v>0.33333333333333298</v>
      </c>
      <c r="H61" s="2">
        <v>1</v>
      </c>
      <c r="I61" s="2">
        <v>0.55555555555555503</v>
      </c>
      <c r="J61" s="2">
        <v>1</v>
      </c>
      <c r="K61" s="2">
        <v>0</v>
      </c>
      <c r="L61" s="2">
        <v>0.44444444444444398</v>
      </c>
      <c r="M61" s="2">
        <v>0</v>
      </c>
      <c r="N61" s="2">
        <v>0.2</v>
      </c>
      <c r="O61" s="2">
        <v>1</v>
      </c>
      <c r="P61" s="2">
        <v>0</v>
      </c>
      <c r="Q61" s="2">
        <v>1</v>
      </c>
      <c r="R61" s="2">
        <v>0.4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0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0</v>
      </c>
    </row>
    <row r="62" spans="1:35" ht="43.5" x14ac:dyDescent="0.35">
      <c r="A62" s="2">
        <v>61</v>
      </c>
      <c r="B62" s="2" t="s">
        <v>120</v>
      </c>
      <c r="C62" s="2">
        <v>0.33333333333333298</v>
      </c>
      <c r="D62" s="2">
        <v>0</v>
      </c>
      <c r="E62" s="2">
        <v>0</v>
      </c>
      <c r="F62" s="2">
        <v>1</v>
      </c>
      <c r="G62" s="2">
        <v>0.33333333333333298</v>
      </c>
      <c r="H62" s="2">
        <v>1</v>
      </c>
      <c r="I62" s="2">
        <v>0.55555555555555503</v>
      </c>
      <c r="J62" s="2">
        <v>1</v>
      </c>
      <c r="K62" s="2">
        <v>0</v>
      </c>
      <c r="L62" s="2">
        <v>0.44444444444444398</v>
      </c>
      <c r="M62" s="2">
        <v>0</v>
      </c>
      <c r="N62" s="2">
        <v>0.2</v>
      </c>
      <c r="O62" s="2">
        <v>1</v>
      </c>
      <c r="P62" s="2">
        <v>0</v>
      </c>
      <c r="Q62" s="2">
        <v>1</v>
      </c>
      <c r="R62" s="2">
        <v>0.4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1</v>
      </c>
      <c r="Z62" s="2">
        <v>1</v>
      </c>
      <c r="AA62" s="2">
        <v>1</v>
      </c>
      <c r="AB62" s="2">
        <v>0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0</v>
      </c>
    </row>
    <row r="63" spans="1:35" ht="43.5" x14ac:dyDescent="0.35">
      <c r="A63" s="2">
        <v>62</v>
      </c>
      <c r="B63" s="2" t="s">
        <v>120</v>
      </c>
      <c r="C63" s="2">
        <v>0.66666666666666596</v>
      </c>
      <c r="D63" s="2">
        <v>0.25</v>
      </c>
      <c r="E63" s="2">
        <v>0.33333333333333298</v>
      </c>
      <c r="F63" s="2">
        <v>0.66666666666666596</v>
      </c>
      <c r="G63" s="2">
        <v>1</v>
      </c>
      <c r="H63" s="2">
        <v>0.94805194805194803</v>
      </c>
      <c r="I63" s="2">
        <v>0.55555555555555503</v>
      </c>
      <c r="J63" s="2">
        <v>1</v>
      </c>
      <c r="K63" s="2">
        <v>0.5</v>
      </c>
      <c r="L63" s="2">
        <v>1</v>
      </c>
      <c r="M63" s="2">
        <v>0</v>
      </c>
      <c r="N63" s="2">
        <v>0.2</v>
      </c>
      <c r="O63" s="2">
        <v>1</v>
      </c>
      <c r="P63" s="2">
        <v>0.33333333333333298</v>
      </c>
      <c r="Q63" s="2">
        <v>0</v>
      </c>
      <c r="R63" s="2">
        <v>0.4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0</v>
      </c>
      <c r="Y63" s="2">
        <v>1</v>
      </c>
      <c r="Z63" s="2">
        <v>1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0</v>
      </c>
    </row>
    <row r="64" spans="1:35" ht="43.5" x14ac:dyDescent="0.35">
      <c r="A64" s="2">
        <v>63</v>
      </c>
      <c r="B64" s="2" t="s">
        <v>120</v>
      </c>
      <c r="C64" s="2">
        <v>0.33333333333333298</v>
      </c>
      <c r="D64" s="2">
        <v>0</v>
      </c>
      <c r="E64" s="2">
        <v>0</v>
      </c>
      <c r="F64" s="2">
        <v>0.66666666666666596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0.4</v>
      </c>
      <c r="S64" s="2">
        <v>1</v>
      </c>
      <c r="T64" s="2">
        <v>0</v>
      </c>
      <c r="U64" s="2">
        <v>1</v>
      </c>
      <c r="V64" s="2">
        <v>1</v>
      </c>
      <c r="W64" s="2">
        <v>1</v>
      </c>
      <c r="X64" s="2">
        <v>0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0</v>
      </c>
    </row>
    <row r="65" spans="1:35" ht="43.5" x14ac:dyDescent="0.35">
      <c r="A65" s="2">
        <v>64</v>
      </c>
      <c r="B65" s="2" t="s">
        <v>120</v>
      </c>
      <c r="C65" s="2">
        <v>0.66666666666666596</v>
      </c>
      <c r="D65" s="2">
        <v>0</v>
      </c>
      <c r="E65" s="2">
        <v>0</v>
      </c>
      <c r="F65" s="2">
        <v>0.66666666666666596</v>
      </c>
      <c r="G65" s="2">
        <v>0</v>
      </c>
      <c r="H65" s="2">
        <v>1</v>
      </c>
      <c r="I65" s="2">
        <v>0.55555555555555503</v>
      </c>
      <c r="J65" s="2">
        <v>1</v>
      </c>
      <c r="K65" s="2">
        <v>0.5</v>
      </c>
      <c r="L65" s="2">
        <v>0.44444444444444398</v>
      </c>
      <c r="M65" s="2">
        <v>0</v>
      </c>
      <c r="N65" s="2">
        <v>0</v>
      </c>
      <c r="O65" s="2">
        <v>1</v>
      </c>
      <c r="P65" s="2">
        <v>0</v>
      </c>
      <c r="Q65" s="2">
        <v>1</v>
      </c>
      <c r="R65" s="2">
        <v>0.4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0</v>
      </c>
      <c r="Y65" s="2">
        <v>1</v>
      </c>
      <c r="Z65" s="2">
        <v>1</v>
      </c>
      <c r="AA65" s="2">
        <v>1</v>
      </c>
      <c r="AB65" s="2">
        <v>0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0</v>
      </c>
    </row>
    <row r="66" spans="1:35" ht="43.5" x14ac:dyDescent="0.35">
      <c r="A66" s="2">
        <v>65</v>
      </c>
      <c r="B66" s="2" t="s">
        <v>120</v>
      </c>
      <c r="C66" s="2">
        <v>0.5</v>
      </c>
      <c r="D66" s="2">
        <v>0.25</v>
      </c>
      <c r="E66" s="2">
        <v>0.33333333333333298</v>
      </c>
      <c r="F66" s="2">
        <v>0.66666666666666596</v>
      </c>
      <c r="G66" s="2">
        <v>0</v>
      </c>
      <c r="H66" s="2">
        <v>1</v>
      </c>
      <c r="I66" s="2">
        <v>0.55555555555555503</v>
      </c>
      <c r="J66" s="2">
        <v>0</v>
      </c>
      <c r="K66" s="2">
        <v>0.5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1</v>
      </c>
      <c r="V66" s="2">
        <v>1</v>
      </c>
      <c r="W66" s="2">
        <v>1</v>
      </c>
      <c r="X66" s="2">
        <v>0</v>
      </c>
      <c r="Y66" s="2">
        <v>1</v>
      </c>
      <c r="Z66" s="2">
        <v>1</v>
      </c>
      <c r="AA66" s="2">
        <v>1</v>
      </c>
      <c r="AB66" s="2">
        <v>0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0</v>
      </c>
    </row>
    <row r="67" spans="1:35" ht="43.5" x14ac:dyDescent="0.35">
      <c r="A67" s="2">
        <v>66</v>
      </c>
      <c r="B67" s="2" t="s">
        <v>120</v>
      </c>
      <c r="C67" s="2">
        <v>0.33333333333333298</v>
      </c>
      <c r="D67" s="2">
        <v>1</v>
      </c>
      <c r="E67" s="2">
        <v>1</v>
      </c>
      <c r="F67" s="2">
        <v>0</v>
      </c>
      <c r="G67" s="2">
        <v>0</v>
      </c>
      <c r="H67" s="2">
        <v>0</v>
      </c>
      <c r="I67" s="2">
        <v>0.55555555555555503</v>
      </c>
      <c r="J67" s="2">
        <v>1</v>
      </c>
      <c r="K67" s="2">
        <v>1</v>
      </c>
      <c r="L67" s="2">
        <v>0</v>
      </c>
      <c r="M67" s="2">
        <v>0</v>
      </c>
      <c r="N67" s="2">
        <v>0.2</v>
      </c>
      <c r="O67" s="2">
        <v>1</v>
      </c>
      <c r="P67" s="2">
        <v>0</v>
      </c>
      <c r="Q67" s="2">
        <v>0</v>
      </c>
      <c r="R67" s="2">
        <v>0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0</v>
      </c>
      <c r="Y67" s="2">
        <v>1</v>
      </c>
      <c r="Z67" s="2">
        <v>1</v>
      </c>
      <c r="AA67" s="2">
        <v>0</v>
      </c>
      <c r="AB67" s="2">
        <v>0</v>
      </c>
      <c r="AC67" s="2">
        <v>1</v>
      </c>
      <c r="AD67" s="2">
        <v>1</v>
      </c>
      <c r="AE67" s="2">
        <v>1</v>
      </c>
      <c r="AF67" s="2">
        <v>1</v>
      </c>
      <c r="AG67" s="2">
        <v>0</v>
      </c>
      <c r="AH67" s="2">
        <v>1</v>
      </c>
      <c r="AI67" s="2">
        <v>1</v>
      </c>
    </row>
    <row r="68" spans="1:35" ht="43.5" x14ac:dyDescent="0.35">
      <c r="A68" s="2">
        <v>67</v>
      </c>
      <c r="B68" s="2" t="s">
        <v>120</v>
      </c>
      <c r="C68" s="2">
        <v>0.16666666666666599</v>
      </c>
      <c r="D68" s="2">
        <v>0</v>
      </c>
      <c r="E68" s="2">
        <v>0</v>
      </c>
      <c r="F68" s="2">
        <v>1</v>
      </c>
      <c r="G68" s="2">
        <v>0.33333333333333298</v>
      </c>
      <c r="H68" s="2">
        <v>1</v>
      </c>
      <c r="I68" s="2">
        <v>0.55555555555555503</v>
      </c>
      <c r="J68" s="2">
        <v>1</v>
      </c>
      <c r="K68" s="2">
        <v>0.5</v>
      </c>
      <c r="L68" s="2">
        <v>0</v>
      </c>
      <c r="M68" s="2">
        <v>0</v>
      </c>
      <c r="N68" s="2">
        <v>0.2</v>
      </c>
      <c r="O68" s="2">
        <v>1</v>
      </c>
      <c r="P68" s="2">
        <v>0</v>
      </c>
      <c r="Q68" s="2">
        <v>0</v>
      </c>
      <c r="R68" s="2">
        <v>0.6</v>
      </c>
      <c r="S68" s="2">
        <v>0</v>
      </c>
      <c r="T68" s="2">
        <v>0</v>
      </c>
      <c r="U68" s="2">
        <v>1</v>
      </c>
      <c r="V68" s="2">
        <v>1</v>
      </c>
      <c r="W68" s="2">
        <v>1</v>
      </c>
      <c r="X68" s="2">
        <v>0</v>
      </c>
      <c r="Y68" s="2">
        <v>1</v>
      </c>
      <c r="Z68" s="2">
        <v>1</v>
      </c>
      <c r="AA68" s="2">
        <v>1</v>
      </c>
      <c r="AB68" s="2">
        <v>0</v>
      </c>
      <c r="AC68" s="2">
        <v>1</v>
      </c>
      <c r="AD68" s="2">
        <v>1</v>
      </c>
      <c r="AE68" s="2">
        <v>1</v>
      </c>
      <c r="AF68" s="2">
        <v>1</v>
      </c>
      <c r="AG68" s="2">
        <v>0</v>
      </c>
      <c r="AH68" s="2">
        <v>1</v>
      </c>
      <c r="AI68" s="2">
        <v>1</v>
      </c>
    </row>
    <row r="69" spans="1:35" ht="43.5" x14ac:dyDescent="0.35">
      <c r="A69" s="2">
        <v>68</v>
      </c>
      <c r="B69" s="2" t="s">
        <v>120</v>
      </c>
      <c r="C69" s="2">
        <v>0.5</v>
      </c>
      <c r="D69" s="2">
        <v>0.25</v>
      </c>
      <c r="E69" s="2">
        <v>0.23899371069182301</v>
      </c>
      <c r="F69" s="2">
        <v>0.66666666666666596</v>
      </c>
      <c r="G69" s="2">
        <v>0</v>
      </c>
      <c r="H69" s="2">
        <v>1</v>
      </c>
      <c r="I69" s="2">
        <v>0.55555555555555503</v>
      </c>
      <c r="J69" s="2">
        <v>1</v>
      </c>
      <c r="K69" s="2">
        <v>0.5</v>
      </c>
      <c r="L69" s="2">
        <v>0</v>
      </c>
      <c r="M69" s="2">
        <v>0</v>
      </c>
      <c r="N69" s="2">
        <v>0.2</v>
      </c>
      <c r="O69" s="2">
        <v>1</v>
      </c>
      <c r="P69" s="2">
        <v>0</v>
      </c>
      <c r="Q69" s="2">
        <v>0</v>
      </c>
      <c r="R69" s="2">
        <v>0.4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0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0.19565217391304299</v>
      </c>
    </row>
    <row r="70" spans="1:35" ht="43.5" x14ac:dyDescent="0.35">
      <c r="A70" s="2">
        <v>69</v>
      </c>
      <c r="B70" s="2" t="s">
        <v>120</v>
      </c>
      <c r="C70" s="2">
        <v>0.66666666666666596</v>
      </c>
      <c r="D70" s="2">
        <v>0.25</v>
      </c>
      <c r="E70" s="2">
        <v>0.23899371069182301</v>
      </c>
      <c r="F70" s="2">
        <v>0.66666666666666596</v>
      </c>
      <c r="G70" s="2">
        <v>0.33333333333333298</v>
      </c>
      <c r="H70" s="2">
        <v>1</v>
      </c>
      <c r="I70" s="2">
        <v>0.55555555555555503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0.4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0</v>
      </c>
      <c r="Y70" s="2">
        <v>1</v>
      </c>
      <c r="Z70" s="2">
        <v>1</v>
      </c>
      <c r="AA70" s="2">
        <v>1</v>
      </c>
      <c r="AB70" s="2">
        <v>0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0.19565217391304299</v>
      </c>
    </row>
    <row r="71" spans="1:35" ht="43.5" x14ac:dyDescent="0.35">
      <c r="A71" s="2">
        <v>70</v>
      </c>
      <c r="B71" s="2" t="s">
        <v>120</v>
      </c>
      <c r="C71" s="2">
        <v>0.66666666666666596</v>
      </c>
      <c r="D71" s="2">
        <v>0.25</v>
      </c>
      <c r="E71" s="2">
        <v>0.23899371069182301</v>
      </c>
      <c r="F71" s="2">
        <v>0.66666666666666596</v>
      </c>
      <c r="G71" s="2">
        <v>0</v>
      </c>
      <c r="H71" s="2">
        <v>1</v>
      </c>
      <c r="I71" s="2">
        <v>0.55555555555555503</v>
      </c>
      <c r="J71" s="2">
        <v>1</v>
      </c>
      <c r="K71" s="2">
        <v>0.5</v>
      </c>
      <c r="L71" s="2">
        <v>0</v>
      </c>
      <c r="M71" s="2">
        <v>0</v>
      </c>
      <c r="N71" s="2">
        <v>0.2</v>
      </c>
      <c r="O71" s="2">
        <v>1</v>
      </c>
      <c r="P71" s="2">
        <v>0</v>
      </c>
      <c r="Q71" s="2">
        <v>0</v>
      </c>
      <c r="R71" s="2">
        <v>0.4</v>
      </c>
      <c r="S71" s="2">
        <v>1</v>
      </c>
      <c r="T71" s="2">
        <v>0</v>
      </c>
      <c r="U71" s="2">
        <v>1</v>
      </c>
      <c r="V71" s="2">
        <v>1</v>
      </c>
      <c r="W71" s="2">
        <v>1</v>
      </c>
      <c r="X71" s="2">
        <v>0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0.19565217391304299</v>
      </c>
    </row>
    <row r="72" spans="1:35" ht="43.5" x14ac:dyDescent="0.35">
      <c r="A72" s="2">
        <v>71</v>
      </c>
      <c r="B72" s="2" t="s">
        <v>120</v>
      </c>
      <c r="C72" s="2">
        <v>0.66666666666666596</v>
      </c>
      <c r="D72" s="2">
        <v>0.25</v>
      </c>
      <c r="E72" s="2">
        <v>0.23899371069182301</v>
      </c>
      <c r="F72" s="2">
        <v>0.66666666666666596</v>
      </c>
      <c r="G72" s="2">
        <v>0</v>
      </c>
      <c r="H72" s="2">
        <v>1</v>
      </c>
      <c r="I72" s="2">
        <v>0.55555555555555503</v>
      </c>
      <c r="J72" s="2">
        <v>1</v>
      </c>
      <c r="K72" s="2">
        <v>0.5</v>
      </c>
      <c r="L72" s="2">
        <v>0</v>
      </c>
      <c r="M72" s="2">
        <v>0</v>
      </c>
      <c r="N72" s="2">
        <v>0.2</v>
      </c>
      <c r="O72" s="2">
        <v>1</v>
      </c>
      <c r="P72" s="2">
        <v>0</v>
      </c>
      <c r="Q72" s="2">
        <v>0</v>
      </c>
      <c r="R72" s="2">
        <v>0.4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0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0.19565217391304299</v>
      </c>
    </row>
    <row r="73" spans="1:35" ht="43.5" x14ac:dyDescent="0.35">
      <c r="A73" s="2">
        <v>72</v>
      </c>
      <c r="B73" s="2" t="s">
        <v>121</v>
      </c>
      <c r="C73" s="2">
        <v>1</v>
      </c>
      <c r="D73" s="2">
        <v>0.5</v>
      </c>
      <c r="E73" s="2">
        <v>0.23899371069182301</v>
      </c>
      <c r="F73" s="2">
        <v>0.66666666666666596</v>
      </c>
      <c r="G73" s="2">
        <v>0</v>
      </c>
      <c r="H73" s="2">
        <v>1</v>
      </c>
      <c r="I73" s="2">
        <v>0.55555555555555503</v>
      </c>
      <c r="J73" s="2">
        <v>1</v>
      </c>
      <c r="K73" s="2">
        <v>0.5</v>
      </c>
      <c r="L73" s="2">
        <v>0</v>
      </c>
      <c r="M73" s="2">
        <v>0</v>
      </c>
      <c r="N73" s="2">
        <v>0.2</v>
      </c>
      <c r="O73" s="2">
        <v>1</v>
      </c>
      <c r="P73" s="2">
        <v>0</v>
      </c>
      <c r="Q73" s="2">
        <v>0</v>
      </c>
      <c r="R73" s="2">
        <v>0.4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0</v>
      </c>
      <c r="Y73" s="2">
        <v>1</v>
      </c>
      <c r="Z73" s="2">
        <v>1</v>
      </c>
      <c r="AA73" s="2">
        <v>1</v>
      </c>
      <c r="AB73" s="2">
        <v>0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0.19565217391304299</v>
      </c>
    </row>
    <row r="74" spans="1:35" ht="43.5" x14ac:dyDescent="0.35">
      <c r="A74" s="2">
        <v>73</v>
      </c>
      <c r="B74" s="2" t="s">
        <v>120</v>
      </c>
      <c r="C74" s="2">
        <v>0.66666666666666596</v>
      </c>
      <c r="D74" s="2">
        <v>0.5</v>
      </c>
      <c r="E74" s="2">
        <v>0.23899371069182301</v>
      </c>
      <c r="F74" s="2">
        <v>0.66666666666666596</v>
      </c>
      <c r="G74" s="2">
        <v>0.33333333333333298</v>
      </c>
      <c r="H74" s="2">
        <v>1</v>
      </c>
      <c r="I74" s="2">
        <v>0.55555555555555503</v>
      </c>
      <c r="J74" s="2">
        <v>1</v>
      </c>
      <c r="K74" s="2">
        <v>0.5</v>
      </c>
      <c r="L74" s="2">
        <v>0</v>
      </c>
      <c r="M74" s="2">
        <v>0</v>
      </c>
      <c r="N74" s="2">
        <v>0.2</v>
      </c>
      <c r="O74" s="2">
        <v>1</v>
      </c>
      <c r="P74" s="2">
        <v>0</v>
      </c>
      <c r="Q74" s="2">
        <v>0</v>
      </c>
      <c r="R74" s="2">
        <v>0.4</v>
      </c>
      <c r="S74" s="2">
        <v>1</v>
      </c>
      <c r="T74" s="2">
        <v>0</v>
      </c>
      <c r="U74" s="2">
        <v>1</v>
      </c>
      <c r="V74" s="2">
        <v>1</v>
      </c>
      <c r="W74" s="2">
        <v>1</v>
      </c>
      <c r="X74" s="2">
        <v>0</v>
      </c>
      <c r="Y74" s="2">
        <v>1</v>
      </c>
      <c r="Z74" s="2">
        <v>1</v>
      </c>
      <c r="AA74" s="2">
        <v>1</v>
      </c>
      <c r="AB74" s="2">
        <v>0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0.19565217391304299</v>
      </c>
    </row>
    <row r="75" spans="1:35" ht="43.5" x14ac:dyDescent="0.35">
      <c r="A75" s="2">
        <v>74</v>
      </c>
      <c r="B75" s="2" t="s">
        <v>120</v>
      </c>
      <c r="C75" s="2">
        <v>0.83333333333333304</v>
      </c>
      <c r="D75" s="2">
        <v>0.25</v>
      </c>
      <c r="E75" s="2">
        <v>0.23899371069182301</v>
      </c>
      <c r="F75" s="2">
        <v>0</v>
      </c>
      <c r="G75" s="2">
        <v>0</v>
      </c>
      <c r="H75" s="2">
        <v>1</v>
      </c>
      <c r="I75" s="2">
        <v>0.55555555555555503</v>
      </c>
      <c r="J75" s="2">
        <v>1</v>
      </c>
      <c r="K75" s="2">
        <v>0.5</v>
      </c>
      <c r="L75" s="2">
        <v>0</v>
      </c>
      <c r="M75" s="2">
        <v>1</v>
      </c>
      <c r="N75" s="2">
        <v>0.158904109589041</v>
      </c>
      <c r="O75" s="2">
        <v>1</v>
      </c>
      <c r="P75" s="2">
        <v>0</v>
      </c>
      <c r="Q75" s="2">
        <v>0</v>
      </c>
      <c r="R75" s="2">
        <v>0.4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0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0.19565217391304299</v>
      </c>
    </row>
    <row r="76" spans="1:35" ht="43.5" x14ac:dyDescent="0.35">
      <c r="A76" s="2">
        <v>75</v>
      </c>
      <c r="B76" s="2" t="s">
        <v>120</v>
      </c>
      <c r="C76" s="2">
        <v>0.5</v>
      </c>
      <c r="D76" s="2">
        <v>0.25</v>
      </c>
      <c r="E76" s="2">
        <v>0.33333333333333298</v>
      </c>
      <c r="F76" s="2">
        <v>0.66666666666666596</v>
      </c>
      <c r="G76" s="2">
        <v>0.33333333333333298</v>
      </c>
      <c r="H76" s="2">
        <v>1</v>
      </c>
      <c r="I76" s="2">
        <v>0.55555555555555503</v>
      </c>
      <c r="J76" s="2">
        <v>1</v>
      </c>
      <c r="K76" s="2">
        <v>0</v>
      </c>
      <c r="L76" s="2">
        <v>0</v>
      </c>
      <c r="M76" s="2">
        <v>0</v>
      </c>
      <c r="N76" s="2">
        <v>0.2</v>
      </c>
      <c r="O76" s="2">
        <v>1</v>
      </c>
      <c r="P76" s="2">
        <v>0</v>
      </c>
      <c r="Q76" s="2">
        <v>0</v>
      </c>
      <c r="R76" s="2">
        <v>0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0</v>
      </c>
      <c r="Y76" s="2">
        <v>1</v>
      </c>
      <c r="Z76" s="2">
        <v>1</v>
      </c>
      <c r="AA76" s="2">
        <v>1</v>
      </c>
      <c r="AB76" s="2">
        <v>0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0</v>
      </c>
    </row>
    <row r="77" spans="1:35" ht="43.5" x14ac:dyDescent="0.35">
      <c r="A77" s="2">
        <v>76</v>
      </c>
      <c r="B77" s="2" t="s">
        <v>120</v>
      </c>
      <c r="C77" s="2">
        <v>0</v>
      </c>
      <c r="D77" s="2">
        <v>0.25</v>
      </c>
      <c r="E77" s="2">
        <v>0.33333333333333298</v>
      </c>
      <c r="F77" s="2">
        <v>1</v>
      </c>
      <c r="G77" s="2">
        <v>0.33333333333333298</v>
      </c>
      <c r="H77" s="2">
        <v>1</v>
      </c>
      <c r="I77" s="2">
        <v>0.55555555555555503</v>
      </c>
      <c r="J77" s="2">
        <v>1</v>
      </c>
      <c r="K77" s="2">
        <v>0.5</v>
      </c>
      <c r="L77" s="2">
        <v>1</v>
      </c>
      <c r="M77" s="2">
        <v>0</v>
      </c>
      <c r="N77" s="2">
        <v>0.2</v>
      </c>
      <c r="O77" s="2">
        <v>1</v>
      </c>
      <c r="P77" s="2">
        <v>0</v>
      </c>
      <c r="Q77" s="2">
        <v>1</v>
      </c>
      <c r="R77" s="2">
        <v>0.4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0</v>
      </c>
      <c r="Y77" s="2">
        <v>1</v>
      </c>
      <c r="Z77" s="2">
        <v>1</v>
      </c>
      <c r="AA77" s="2">
        <v>1</v>
      </c>
      <c r="AB77" s="2">
        <v>0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0</v>
      </c>
    </row>
    <row r="78" spans="1:35" ht="43.5" x14ac:dyDescent="0.35">
      <c r="A78" s="2">
        <v>77</v>
      </c>
      <c r="B78" s="2" t="s">
        <v>120</v>
      </c>
      <c r="C78" s="2">
        <v>0.33333333333333298</v>
      </c>
      <c r="D78" s="2">
        <v>0</v>
      </c>
      <c r="E78" s="2">
        <v>0</v>
      </c>
      <c r="F78" s="2">
        <v>0.66666666666666596</v>
      </c>
      <c r="G78" s="2">
        <v>0</v>
      </c>
      <c r="H78" s="2">
        <v>1</v>
      </c>
      <c r="I78" s="2">
        <v>0.55555555555555503</v>
      </c>
      <c r="J78" s="2">
        <v>1</v>
      </c>
      <c r="K78" s="2">
        <v>0.5</v>
      </c>
      <c r="L78" s="2">
        <v>0</v>
      </c>
      <c r="M78" s="2">
        <v>0</v>
      </c>
      <c r="N78" s="2">
        <v>0.2</v>
      </c>
      <c r="O78" s="2">
        <v>0.5</v>
      </c>
      <c r="P78" s="2">
        <v>0</v>
      </c>
      <c r="Q78" s="2">
        <v>0</v>
      </c>
      <c r="R78" s="2">
        <v>0.4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0</v>
      </c>
      <c r="Y78" s="2">
        <v>1</v>
      </c>
      <c r="Z78" s="2">
        <v>1</v>
      </c>
      <c r="AA78" s="2">
        <v>0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0.19565217391304299</v>
      </c>
    </row>
    <row r="79" spans="1:35" ht="43.5" x14ac:dyDescent="0.35">
      <c r="A79" s="2">
        <v>78</v>
      </c>
      <c r="B79" s="2" t="s">
        <v>120</v>
      </c>
      <c r="C79" s="2">
        <v>0.16666666666666599</v>
      </c>
      <c r="D79" s="2">
        <v>0.5</v>
      </c>
      <c r="E79" s="2">
        <v>0.23899371069182301</v>
      </c>
      <c r="F79" s="2">
        <v>1</v>
      </c>
      <c r="G79" s="2">
        <v>0.33333333333333298</v>
      </c>
      <c r="H79" s="2">
        <v>1</v>
      </c>
      <c r="I79" s="2">
        <v>0.55555555555555503</v>
      </c>
      <c r="J79" s="2">
        <v>1</v>
      </c>
      <c r="K79" s="2">
        <v>0</v>
      </c>
      <c r="L79" s="2">
        <v>0</v>
      </c>
      <c r="M79" s="2">
        <v>0</v>
      </c>
      <c r="N79" s="2">
        <v>0.2</v>
      </c>
      <c r="O79" s="2">
        <v>0.5</v>
      </c>
      <c r="P79" s="2">
        <v>0</v>
      </c>
      <c r="Q79" s="2">
        <v>0</v>
      </c>
      <c r="R79" s="2">
        <v>0.4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0.19565217391304299</v>
      </c>
    </row>
    <row r="80" spans="1:35" ht="43.5" x14ac:dyDescent="0.35">
      <c r="A80" s="2">
        <v>79</v>
      </c>
      <c r="B80" s="2" t="s">
        <v>120</v>
      </c>
      <c r="C80" s="2">
        <v>0</v>
      </c>
      <c r="D80" s="2">
        <v>0.23765432098765399</v>
      </c>
      <c r="E80" s="2">
        <v>0.23899371069182301</v>
      </c>
      <c r="F80" s="2">
        <v>0.53703703703703698</v>
      </c>
      <c r="G80" s="2">
        <v>0.12757201646090499</v>
      </c>
      <c r="H80" s="2">
        <v>0.94805194805194803</v>
      </c>
      <c r="I80" s="2">
        <v>0.55692729766803795</v>
      </c>
      <c r="J80" s="2">
        <v>0.936708860759493</v>
      </c>
      <c r="K80" s="2">
        <v>0.407407407407407</v>
      </c>
      <c r="L80" s="2">
        <v>0.19478737997256501</v>
      </c>
      <c r="M80" s="2">
        <v>5.5555555555555497E-2</v>
      </c>
      <c r="N80" s="2">
        <v>0.158904109589041</v>
      </c>
      <c r="O80" s="2">
        <v>0.95061728395061695</v>
      </c>
      <c r="P80" s="2">
        <v>6.1728395061728301E-2</v>
      </c>
      <c r="Q80" s="2">
        <v>0.189873417721519</v>
      </c>
      <c r="R80" s="2">
        <v>0.32345679012345602</v>
      </c>
      <c r="S80" s="2">
        <v>0.98765432098765404</v>
      </c>
      <c r="T80" s="2">
        <v>0.76543209876543195</v>
      </c>
      <c r="U80" s="2">
        <v>0.97530864197530798</v>
      </c>
      <c r="V80" s="2">
        <v>1</v>
      </c>
      <c r="W80" s="2">
        <v>1</v>
      </c>
      <c r="X80" s="2">
        <v>0.11111111111111099</v>
      </c>
      <c r="Y80" s="2">
        <v>1</v>
      </c>
      <c r="Z80" s="2">
        <v>0.97530864197530798</v>
      </c>
      <c r="AA80" s="2">
        <v>0.90123456790123402</v>
      </c>
      <c r="AB80" s="2">
        <v>0.44444444444444398</v>
      </c>
      <c r="AC80" s="2">
        <v>1</v>
      </c>
      <c r="AD80" s="2">
        <v>1</v>
      </c>
      <c r="AE80" s="2">
        <v>1</v>
      </c>
      <c r="AF80" s="2">
        <v>1</v>
      </c>
      <c r="AG80" s="2">
        <v>0.938271604938271</v>
      </c>
      <c r="AH80" s="2">
        <v>1</v>
      </c>
      <c r="AI80" s="2">
        <v>0.19565217391304299</v>
      </c>
    </row>
    <row r="81" spans="1:35" ht="43.5" x14ac:dyDescent="0.35">
      <c r="A81" s="2">
        <v>80</v>
      </c>
      <c r="B81" s="2" t="s">
        <v>120</v>
      </c>
      <c r="C81" s="2">
        <v>0.5</v>
      </c>
      <c r="D81" s="2">
        <v>0.5</v>
      </c>
      <c r="E81" s="2">
        <v>0.23899371069182301</v>
      </c>
      <c r="F81" s="2">
        <v>0.66666666666666596</v>
      </c>
      <c r="G81" s="2">
        <v>0</v>
      </c>
      <c r="H81" s="2">
        <v>1</v>
      </c>
      <c r="I81" s="2">
        <v>0.55555555555555503</v>
      </c>
      <c r="J81" s="2">
        <v>1</v>
      </c>
      <c r="K81" s="2">
        <v>0</v>
      </c>
      <c r="L81" s="2">
        <v>0</v>
      </c>
      <c r="M81" s="2">
        <v>0.5</v>
      </c>
      <c r="N81" s="2">
        <v>0.158904109589041</v>
      </c>
      <c r="O81" s="2">
        <v>1</v>
      </c>
      <c r="P81" s="2">
        <v>0</v>
      </c>
      <c r="Q81" s="2">
        <v>0</v>
      </c>
      <c r="R81" s="2">
        <v>0.4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0</v>
      </c>
      <c r="Y81" s="2">
        <v>1</v>
      </c>
      <c r="Z81" s="2">
        <v>1</v>
      </c>
      <c r="AA81" s="2">
        <v>1</v>
      </c>
      <c r="AB81" s="2">
        <v>0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0.19565217391304299</v>
      </c>
    </row>
    <row r="82" spans="1:35" ht="43.5" x14ac:dyDescent="0.35">
      <c r="A82" s="2">
        <v>81</v>
      </c>
      <c r="B82" s="2" t="s">
        <v>120</v>
      </c>
      <c r="C82" s="2">
        <v>0.33333333333333298</v>
      </c>
      <c r="D82" s="2">
        <v>0.23765432098765399</v>
      </c>
      <c r="E82" s="2">
        <v>0.23899371069182301</v>
      </c>
      <c r="F82" s="2">
        <v>0.53703703703703698</v>
      </c>
      <c r="G82" s="2">
        <v>0.12757201646090499</v>
      </c>
      <c r="H82" s="2">
        <v>0.94805194805194803</v>
      </c>
      <c r="I82" s="2">
        <v>0.55692729766803795</v>
      </c>
      <c r="J82" s="2">
        <v>0.936708860759493</v>
      </c>
      <c r="K82" s="2">
        <v>0.407407407407407</v>
      </c>
      <c r="L82" s="2">
        <v>0.19478737997256501</v>
      </c>
      <c r="M82" s="2">
        <v>5.5555555555555497E-2</v>
      </c>
      <c r="N82" s="2">
        <v>0.158904109589041</v>
      </c>
      <c r="O82" s="2">
        <v>0.95061728395061695</v>
      </c>
      <c r="P82" s="2">
        <v>6.1728395061728301E-2</v>
      </c>
      <c r="Q82" s="2">
        <v>0.189873417721519</v>
      </c>
      <c r="R82" s="2">
        <v>0.32345679012345602</v>
      </c>
      <c r="S82" s="2">
        <v>0.98765432098765404</v>
      </c>
      <c r="T82" s="2">
        <v>0.76543209876543195</v>
      </c>
      <c r="U82" s="2">
        <v>0.97530864197530798</v>
      </c>
      <c r="V82" s="2">
        <v>1</v>
      </c>
      <c r="W82" s="2">
        <v>1</v>
      </c>
      <c r="X82" s="2">
        <v>0.11111111111111099</v>
      </c>
      <c r="Y82" s="2">
        <v>1</v>
      </c>
      <c r="Z82" s="2">
        <v>0.97530864197530798</v>
      </c>
      <c r="AA82" s="2">
        <v>0.90123456790123402</v>
      </c>
      <c r="AB82" s="2">
        <v>0.44444444444444398</v>
      </c>
      <c r="AC82" s="2">
        <v>1</v>
      </c>
      <c r="AD82" s="2">
        <v>1</v>
      </c>
      <c r="AE82" s="2">
        <v>1</v>
      </c>
      <c r="AF82" s="2">
        <v>1</v>
      </c>
      <c r="AG82" s="2">
        <v>0.938271604938271</v>
      </c>
      <c r="AH82" s="2">
        <v>1</v>
      </c>
      <c r="AI82" s="2">
        <v>0.19565217391304299</v>
      </c>
    </row>
    <row r="83" spans="1:35" ht="43.5" x14ac:dyDescent="0.35">
      <c r="A83" s="2">
        <v>82</v>
      </c>
      <c r="B83" s="2" t="s">
        <v>120</v>
      </c>
      <c r="C83" s="2">
        <v>0.5</v>
      </c>
      <c r="D83" s="2">
        <v>0.5</v>
      </c>
      <c r="E83" s="2">
        <v>0.23899371069182301</v>
      </c>
      <c r="F83" s="2">
        <v>0.66666666666666596</v>
      </c>
      <c r="G83" s="2">
        <v>0</v>
      </c>
      <c r="H83" s="2">
        <v>1</v>
      </c>
      <c r="I83" s="2">
        <v>0.55555555555555503</v>
      </c>
      <c r="J83" s="2">
        <v>1</v>
      </c>
      <c r="K83" s="2">
        <v>0.5</v>
      </c>
      <c r="L83" s="2">
        <v>0</v>
      </c>
      <c r="M83" s="2">
        <v>0</v>
      </c>
      <c r="N83" s="2">
        <v>0.2</v>
      </c>
      <c r="O83" s="2">
        <v>1</v>
      </c>
      <c r="P83" s="2">
        <v>0</v>
      </c>
      <c r="Q83" s="2">
        <v>0</v>
      </c>
      <c r="R83" s="2">
        <v>0.4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0.19565217391304299</v>
      </c>
    </row>
    <row r="84" spans="1:35" ht="43.5" x14ac:dyDescent="0.35">
      <c r="A84" s="2">
        <v>83</v>
      </c>
      <c r="B84" s="2" t="s">
        <v>120</v>
      </c>
      <c r="C84" s="2">
        <v>0.33333333333333298</v>
      </c>
      <c r="D84" s="2">
        <v>0.25</v>
      </c>
      <c r="E84" s="2">
        <v>0.23899371069182301</v>
      </c>
      <c r="F84" s="2">
        <v>0</v>
      </c>
      <c r="G84" s="2">
        <v>0</v>
      </c>
      <c r="H84" s="2">
        <v>1</v>
      </c>
      <c r="I84" s="2">
        <v>0.55555555555555503</v>
      </c>
      <c r="J84" s="2">
        <v>1</v>
      </c>
      <c r="K84" s="2">
        <v>0</v>
      </c>
      <c r="L84" s="2">
        <v>0</v>
      </c>
      <c r="M84" s="2">
        <v>0</v>
      </c>
      <c r="N84" s="2">
        <v>0.2</v>
      </c>
      <c r="O84" s="2">
        <v>0.5</v>
      </c>
      <c r="P84" s="2">
        <v>0</v>
      </c>
      <c r="Q84" s="2">
        <v>0</v>
      </c>
      <c r="R84" s="2">
        <v>0.4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0</v>
      </c>
      <c r="Y84" s="2">
        <v>1</v>
      </c>
      <c r="Z84" s="2">
        <v>1</v>
      </c>
      <c r="AA84" s="2">
        <v>1</v>
      </c>
      <c r="AB84" s="2">
        <v>0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0.19565217391304299</v>
      </c>
    </row>
    <row r="85" spans="1:35" ht="43.5" x14ac:dyDescent="0.35">
      <c r="A85" s="2">
        <v>84</v>
      </c>
      <c r="B85" s="2" t="s">
        <v>121</v>
      </c>
      <c r="C85" s="2">
        <v>0.83333333333333304</v>
      </c>
      <c r="D85" s="2">
        <v>0.25</v>
      </c>
      <c r="E85" s="2">
        <v>0.33333333333333298</v>
      </c>
      <c r="F85" s="2">
        <v>1</v>
      </c>
      <c r="G85" s="2">
        <v>0.33333333333333298</v>
      </c>
      <c r="H85" s="2">
        <v>1</v>
      </c>
      <c r="I85" s="2">
        <v>0.55555555555555503</v>
      </c>
      <c r="J85" s="2">
        <v>1</v>
      </c>
      <c r="K85" s="2">
        <v>0.5</v>
      </c>
      <c r="L85" s="2">
        <v>1</v>
      </c>
      <c r="M85" s="2">
        <v>0</v>
      </c>
      <c r="N85" s="2">
        <v>0.2</v>
      </c>
      <c r="O85" s="2">
        <v>1</v>
      </c>
      <c r="P85" s="2">
        <v>0</v>
      </c>
      <c r="Q85" s="2">
        <v>1</v>
      </c>
      <c r="R85" s="2">
        <v>0.4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0</v>
      </c>
      <c r="Y85" s="2">
        <v>1</v>
      </c>
      <c r="Z85" s="2">
        <v>1</v>
      </c>
      <c r="AA85" s="2">
        <v>1</v>
      </c>
      <c r="AB85" s="2">
        <v>0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0</v>
      </c>
    </row>
    <row r="86" spans="1:35" ht="43.5" x14ac:dyDescent="0.35">
      <c r="A86" s="2">
        <v>85</v>
      </c>
      <c r="B86" s="2" t="s">
        <v>121</v>
      </c>
      <c r="C86" s="2">
        <v>0.83333333333333304</v>
      </c>
      <c r="D86" s="2">
        <v>0.25</v>
      </c>
      <c r="E86" s="2">
        <v>0.33333333333333298</v>
      </c>
      <c r="F86" s="2">
        <v>0.66666666666666596</v>
      </c>
      <c r="G86" s="2">
        <v>0</v>
      </c>
      <c r="H86" s="2">
        <v>1</v>
      </c>
      <c r="I86" s="2">
        <v>0.55555555555555503</v>
      </c>
      <c r="J86" s="2">
        <v>1</v>
      </c>
      <c r="K86" s="2">
        <v>0.5</v>
      </c>
      <c r="L86" s="2">
        <v>1</v>
      </c>
      <c r="M86" s="2">
        <v>0</v>
      </c>
      <c r="N86" s="2">
        <v>0.2</v>
      </c>
      <c r="O86" s="2">
        <v>1</v>
      </c>
      <c r="P86" s="2">
        <v>0</v>
      </c>
      <c r="Q86" s="2">
        <v>1</v>
      </c>
      <c r="R86" s="2">
        <v>0.2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0</v>
      </c>
      <c r="Y86" s="2">
        <v>1</v>
      </c>
      <c r="Z86" s="2">
        <v>1</v>
      </c>
      <c r="AA86" s="2">
        <v>1</v>
      </c>
      <c r="AB86" s="2">
        <v>0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0</v>
      </c>
    </row>
    <row r="87" spans="1:35" ht="43.5" x14ac:dyDescent="0.35">
      <c r="A87" s="2">
        <v>86</v>
      </c>
      <c r="B87" s="2" t="s">
        <v>120</v>
      </c>
      <c r="C87" s="2">
        <v>0</v>
      </c>
      <c r="D87" s="2">
        <v>0.25</v>
      </c>
      <c r="E87" s="2">
        <v>0.33333333333333298</v>
      </c>
      <c r="F87" s="2">
        <v>0.66666666666666596</v>
      </c>
      <c r="G87" s="2">
        <v>0</v>
      </c>
      <c r="H87" s="2">
        <v>1</v>
      </c>
      <c r="I87" s="2">
        <v>0.55555555555555503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0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0</v>
      </c>
    </row>
    <row r="88" spans="1:35" ht="43.5" x14ac:dyDescent="0.35">
      <c r="A88" s="2">
        <v>87</v>
      </c>
      <c r="B88" s="2" t="s">
        <v>120</v>
      </c>
      <c r="C88" s="2">
        <v>0.5</v>
      </c>
      <c r="D88" s="2">
        <v>0.25</v>
      </c>
      <c r="E88" s="2">
        <v>0.33333333333333298</v>
      </c>
      <c r="F88" s="2">
        <v>0.66666666666666596</v>
      </c>
      <c r="G88" s="2">
        <v>0.33333333333333298</v>
      </c>
      <c r="H88" s="2">
        <v>1</v>
      </c>
      <c r="I88" s="2">
        <v>0.55555555555555503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1</v>
      </c>
      <c r="P88" s="2">
        <v>0.33333333333333298</v>
      </c>
      <c r="Q88" s="2">
        <v>0</v>
      </c>
      <c r="R88" s="2">
        <v>0.4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0</v>
      </c>
    </row>
    <row r="89" spans="1:35" ht="43.5" x14ac:dyDescent="0.35">
      <c r="A89" s="2">
        <v>88</v>
      </c>
      <c r="B89" s="2" t="s">
        <v>121</v>
      </c>
      <c r="C89" s="2">
        <v>0.83333333333333304</v>
      </c>
      <c r="D89" s="2">
        <v>0.25</v>
      </c>
      <c r="E89" s="2">
        <v>0.33333333333333298</v>
      </c>
      <c r="F89" s="2">
        <v>0.5</v>
      </c>
      <c r="G89" s="2">
        <v>0.33333333333333298</v>
      </c>
      <c r="H89" s="2">
        <v>1</v>
      </c>
      <c r="I89" s="2">
        <v>0.55555555555555503</v>
      </c>
      <c r="J89" s="2">
        <v>1</v>
      </c>
      <c r="K89" s="2">
        <v>0.5</v>
      </c>
      <c r="L89" s="2">
        <v>0</v>
      </c>
      <c r="M89" s="2">
        <v>0</v>
      </c>
      <c r="N89" s="2">
        <v>1</v>
      </c>
      <c r="O89" s="2">
        <v>1</v>
      </c>
      <c r="P89" s="2">
        <v>0</v>
      </c>
      <c r="Q89" s="2">
        <v>1</v>
      </c>
      <c r="R89" s="2">
        <v>0.4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0</v>
      </c>
      <c r="Y89" s="2">
        <v>1</v>
      </c>
      <c r="Z89" s="2">
        <v>1</v>
      </c>
      <c r="AA89" s="2">
        <v>1</v>
      </c>
      <c r="AB89" s="2">
        <v>0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0</v>
      </c>
    </row>
    <row r="90" spans="1:35" ht="43.5" x14ac:dyDescent="0.35">
      <c r="A90" s="2">
        <v>89</v>
      </c>
      <c r="B90" s="2" t="s">
        <v>120</v>
      </c>
      <c r="C90" s="2">
        <v>0.5</v>
      </c>
      <c r="D90" s="2">
        <v>0.25</v>
      </c>
      <c r="E90" s="2">
        <v>0.33333333333333298</v>
      </c>
      <c r="F90" s="2">
        <v>0.66666666666666596</v>
      </c>
      <c r="G90" s="2">
        <v>0</v>
      </c>
      <c r="H90" s="2">
        <v>1</v>
      </c>
      <c r="I90" s="2">
        <v>0.55555555555555503</v>
      </c>
      <c r="J90" s="2">
        <v>1</v>
      </c>
      <c r="K90" s="2">
        <v>0.5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1</v>
      </c>
      <c r="W90" s="2">
        <v>1</v>
      </c>
      <c r="X90" s="2">
        <v>0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0</v>
      </c>
    </row>
    <row r="91" spans="1:35" ht="43.5" x14ac:dyDescent="0.35">
      <c r="A91" s="2">
        <v>90</v>
      </c>
      <c r="B91" s="2" t="s">
        <v>120</v>
      </c>
      <c r="C91" s="2">
        <v>0.83333333333333304</v>
      </c>
      <c r="D91" s="2">
        <v>0</v>
      </c>
      <c r="E91" s="2">
        <v>0</v>
      </c>
      <c r="F91" s="2">
        <v>0.66666666666666596</v>
      </c>
      <c r="G91" s="2">
        <v>0</v>
      </c>
      <c r="H91" s="2">
        <v>1</v>
      </c>
      <c r="I91" s="2">
        <v>0.55555555555555503</v>
      </c>
      <c r="J91" s="2">
        <v>0</v>
      </c>
      <c r="K91" s="2">
        <v>0.5</v>
      </c>
      <c r="L91" s="2">
        <v>0</v>
      </c>
      <c r="M91" s="2">
        <v>0</v>
      </c>
      <c r="N91" s="2">
        <v>0.2</v>
      </c>
      <c r="O91" s="2">
        <v>1</v>
      </c>
      <c r="P91" s="2">
        <v>0</v>
      </c>
      <c r="Q91" s="2">
        <v>1</v>
      </c>
      <c r="R91" s="2">
        <v>0.4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0</v>
      </c>
      <c r="Y91" s="2">
        <v>1</v>
      </c>
      <c r="Z91" s="2">
        <v>1</v>
      </c>
      <c r="AA91" s="2">
        <v>1</v>
      </c>
      <c r="AB91" s="2">
        <v>0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0</v>
      </c>
    </row>
    <row r="92" spans="1:35" ht="43.5" x14ac:dyDescent="0.35">
      <c r="A92" s="2">
        <v>91</v>
      </c>
      <c r="B92" s="2" t="s">
        <v>120</v>
      </c>
      <c r="C92" s="2">
        <v>0.66666666666666596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0.55555555555555503</v>
      </c>
      <c r="J92" s="2">
        <v>1</v>
      </c>
      <c r="K92" s="2">
        <v>1</v>
      </c>
      <c r="L92" s="2">
        <v>0</v>
      </c>
      <c r="M92" s="2">
        <v>0</v>
      </c>
      <c r="N92" s="2">
        <v>0.2</v>
      </c>
      <c r="O92" s="2">
        <v>1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1</v>
      </c>
      <c r="V92" s="2">
        <v>1</v>
      </c>
      <c r="W92" s="2">
        <v>1</v>
      </c>
      <c r="X92" s="2">
        <v>0</v>
      </c>
      <c r="Y92" s="2">
        <v>1</v>
      </c>
      <c r="Z92" s="2">
        <v>1</v>
      </c>
      <c r="AA92" s="2">
        <v>0</v>
      </c>
      <c r="AB92" s="2">
        <v>0</v>
      </c>
      <c r="AC92" s="2">
        <v>1</v>
      </c>
      <c r="AD92" s="2">
        <v>1</v>
      </c>
      <c r="AE92" s="2">
        <v>1</v>
      </c>
      <c r="AF92" s="2">
        <v>1</v>
      </c>
      <c r="AG92" s="2">
        <v>0</v>
      </c>
      <c r="AH92" s="2">
        <v>1</v>
      </c>
      <c r="AI92" s="2">
        <v>0.5</v>
      </c>
    </row>
    <row r="93" spans="1:35" ht="43.5" x14ac:dyDescent="0.35">
      <c r="A93" s="2">
        <v>92</v>
      </c>
      <c r="B93" s="2" t="s">
        <v>120</v>
      </c>
      <c r="C93" s="2">
        <v>0.66666666666666596</v>
      </c>
      <c r="D93" s="2">
        <v>0.5</v>
      </c>
      <c r="E93" s="2">
        <v>0.23899371069182301</v>
      </c>
      <c r="F93" s="2">
        <v>0</v>
      </c>
      <c r="G93" s="2">
        <v>0</v>
      </c>
      <c r="H93" s="2">
        <v>1</v>
      </c>
      <c r="I93" s="2">
        <v>0.55555555555555503</v>
      </c>
      <c r="J93" s="2">
        <v>1</v>
      </c>
      <c r="K93" s="2">
        <v>0.5</v>
      </c>
      <c r="L93" s="2">
        <v>0</v>
      </c>
      <c r="M93" s="2">
        <v>0</v>
      </c>
      <c r="N93" s="2">
        <v>0.2</v>
      </c>
      <c r="O93" s="2">
        <v>1</v>
      </c>
      <c r="P93" s="2">
        <v>0</v>
      </c>
      <c r="Q93" s="2">
        <v>0</v>
      </c>
      <c r="R93" s="2">
        <v>0.4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0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0.19565217391304299</v>
      </c>
    </row>
    <row r="94" spans="1:35" ht="43.5" x14ac:dyDescent="0.35">
      <c r="A94" s="2">
        <v>93</v>
      </c>
      <c r="B94" s="2" t="s">
        <v>120</v>
      </c>
      <c r="C94" s="2">
        <v>0.33333333333333298</v>
      </c>
      <c r="D94" s="2">
        <v>1</v>
      </c>
      <c r="E94" s="2">
        <v>1</v>
      </c>
      <c r="F94" s="2">
        <v>0</v>
      </c>
      <c r="G94" s="2">
        <v>0</v>
      </c>
      <c r="H94" s="2">
        <v>1</v>
      </c>
      <c r="I94" s="2">
        <v>0.22222222222222199</v>
      </c>
      <c r="J94" s="2">
        <v>1</v>
      </c>
      <c r="K94" s="2">
        <v>0</v>
      </c>
      <c r="L94" s="2">
        <v>0</v>
      </c>
      <c r="M94" s="2">
        <v>0.5</v>
      </c>
      <c r="N94" s="2">
        <v>0.158904109589041</v>
      </c>
      <c r="O94" s="2">
        <v>1</v>
      </c>
      <c r="P94" s="2">
        <v>0.66666666666666596</v>
      </c>
      <c r="Q94" s="2">
        <v>0</v>
      </c>
      <c r="R94" s="2">
        <v>0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</row>
    <row r="95" spans="1:35" ht="43.5" x14ac:dyDescent="0.35">
      <c r="A95" s="2">
        <v>94</v>
      </c>
      <c r="B95" s="2" t="s">
        <v>120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0.55555555555555503</v>
      </c>
      <c r="J95" s="2">
        <v>1</v>
      </c>
      <c r="K95" s="2">
        <v>0</v>
      </c>
      <c r="L95" s="2">
        <v>0</v>
      </c>
      <c r="M95" s="2">
        <v>0.5</v>
      </c>
      <c r="N95" s="2">
        <v>0.158904109589041</v>
      </c>
      <c r="O95" s="2">
        <v>1</v>
      </c>
      <c r="P95" s="2">
        <v>0</v>
      </c>
      <c r="Q95" s="2">
        <v>0</v>
      </c>
      <c r="R95" s="2">
        <v>0.4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0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0.19565217391304299</v>
      </c>
    </row>
    <row r="96" spans="1:35" ht="43.5" x14ac:dyDescent="0.35">
      <c r="A96" s="2">
        <v>95</v>
      </c>
      <c r="B96" s="2" t="s">
        <v>120</v>
      </c>
      <c r="C96" s="2">
        <v>0.33333333333333298</v>
      </c>
      <c r="D96" s="2">
        <v>0.25</v>
      </c>
      <c r="E96" s="2">
        <v>0.23899371069182301</v>
      </c>
      <c r="F96" s="2">
        <v>0.66666666666666596</v>
      </c>
      <c r="G96" s="2">
        <v>0</v>
      </c>
      <c r="H96" s="2">
        <v>1</v>
      </c>
      <c r="I96" s="2">
        <v>0.55555555555555503</v>
      </c>
      <c r="J96" s="2">
        <v>1</v>
      </c>
      <c r="K96" s="2">
        <v>0.5</v>
      </c>
      <c r="L96" s="2">
        <v>0</v>
      </c>
      <c r="M96" s="2">
        <v>0</v>
      </c>
      <c r="N96" s="2">
        <v>0.2</v>
      </c>
      <c r="O96" s="2">
        <v>1</v>
      </c>
      <c r="P96" s="2">
        <v>0</v>
      </c>
      <c r="Q96" s="2">
        <v>0</v>
      </c>
      <c r="R96" s="2">
        <v>0.4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0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0.19565217391304299</v>
      </c>
    </row>
    <row r="97" spans="1:35" ht="43.5" x14ac:dyDescent="0.35">
      <c r="A97" s="2">
        <v>96</v>
      </c>
      <c r="B97" s="2" t="s">
        <v>120</v>
      </c>
      <c r="C97" s="2">
        <v>0.16666666666666599</v>
      </c>
      <c r="D97" s="2">
        <v>0.25</v>
      </c>
      <c r="E97" s="2">
        <v>0.23899371069182301</v>
      </c>
      <c r="F97" s="2">
        <v>0</v>
      </c>
      <c r="G97" s="2">
        <v>0</v>
      </c>
      <c r="H97" s="2">
        <v>1</v>
      </c>
      <c r="I97" s="2">
        <v>0.55555555555555503</v>
      </c>
      <c r="J97" s="2">
        <v>1</v>
      </c>
      <c r="K97" s="2">
        <v>0</v>
      </c>
      <c r="L97" s="2">
        <v>0</v>
      </c>
      <c r="M97" s="2">
        <v>0</v>
      </c>
      <c r="N97" s="2">
        <v>0.2</v>
      </c>
      <c r="O97" s="2">
        <v>1</v>
      </c>
      <c r="P97" s="2">
        <v>0</v>
      </c>
      <c r="Q97" s="2">
        <v>0</v>
      </c>
      <c r="R97" s="2">
        <v>0.4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0.19565217391304299</v>
      </c>
    </row>
    <row r="98" spans="1:35" ht="43.5" x14ac:dyDescent="0.35">
      <c r="A98" s="2">
        <v>97</v>
      </c>
      <c r="B98" s="2" t="s">
        <v>120</v>
      </c>
      <c r="C98" s="2">
        <v>0.66666666666666596</v>
      </c>
      <c r="D98" s="2">
        <v>0.5</v>
      </c>
      <c r="E98" s="2">
        <v>0.23899371069182301</v>
      </c>
      <c r="F98" s="2">
        <v>0</v>
      </c>
      <c r="G98" s="2">
        <v>0.33333333333333298</v>
      </c>
      <c r="H98" s="2">
        <v>1</v>
      </c>
      <c r="I98" s="2">
        <v>0.55555555555555503</v>
      </c>
      <c r="J98" s="2">
        <v>1</v>
      </c>
      <c r="K98" s="2">
        <v>0</v>
      </c>
      <c r="L98" s="2">
        <v>0</v>
      </c>
      <c r="M98" s="2">
        <v>0</v>
      </c>
      <c r="N98" s="2">
        <v>0.2</v>
      </c>
      <c r="O98" s="2">
        <v>1</v>
      </c>
      <c r="P98" s="2">
        <v>0</v>
      </c>
      <c r="Q98" s="2">
        <v>0</v>
      </c>
      <c r="R98" s="2">
        <v>0.4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0</v>
      </c>
      <c r="Y98" s="2">
        <v>1</v>
      </c>
      <c r="Z98" s="2">
        <v>1</v>
      </c>
      <c r="AA98" s="2">
        <v>1</v>
      </c>
      <c r="AB98" s="2">
        <v>0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0.19565217391304299</v>
      </c>
    </row>
    <row r="99" spans="1:35" ht="43.5" x14ac:dyDescent="0.35">
      <c r="A99" s="2">
        <v>98</v>
      </c>
      <c r="B99" s="2" t="s">
        <v>120</v>
      </c>
      <c r="C99" s="2">
        <v>0.66666666666666596</v>
      </c>
      <c r="D99" s="2">
        <v>0.5</v>
      </c>
      <c r="E99" s="2">
        <v>0.23899371069182301</v>
      </c>
      <c r="F99" s="2">
        <v>0.66666666666666596</v>
      </c>
      <c r="G99" s="2">
        <v>0</v>
      </c>
      <c r="H99" s="2">
        <v>1</v>
      </c>
      <c r="I99" s="2">
        <v>0.55555555555555503</v>
      </c>
      <c r="J99" s="2">
        <v>1</v>
      </c>
      <c r="K99" s="2">
        <v>0</v>
      </c>
      <c r="L99" s="2">
        <v>0</v>
      </c>
      <c r="M99" s="2">
        <v>0.5</v>
      </c>
      <c r="N99" s="2">
        <v>0.158904109589041</v>
      </c>
      <c r="O99" s="2">
        <v>1</v>
      </c>
      <c r="P99" s="2">
        <v>0.33333333333333298</v>
      </c>
      <c r="Q99" s="2">
        <v>0</v>
      </c>
      <c r="R99" s="2">
        <v>0.4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0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0.19565217391304299</v>
      </c>
    </row>
    <row r="100" spans="1:35" ht="43.5" x14ac:dyDescent="0.35">
      <c r="A100" s="2">
        <v>99</v>
      </c>
      <c r="B100" s="2" t="s">
        <v>120</v>
      </c>
      <c r="C100" s="2">
        <v>0.16666666666666599</v>
      </c>
      <c r="D100" s="2">
        <v>0</v>
      </c>
      <c r="E100" s="2">
        <v>0</v>
      </c>
      <c r="F100" s="2">
        <v>0.66666666666666596</v>
      </c>
      <c r="G100" s="2">
        <v>0</v>
      </c>
      <c r="H100" s="2">
        <v>1</v>
      </c>
      <c r="I100" s="2">
        <v>0.55555555555555503</v>
      </c>
      <c r="J100" s="2">
        <v>1</v>
      </c>
      <c r="K100" s="2">
        <v>1</v>
      </c>
      <c r="L100" s="2">
        <v>0</v>
      </c>
      <c r="M100" s="2">
        <v>0</v>
      </c>
      <c r="N100" s="2">
        <v>0.2</v>
      </c>
      <c r="O100" s="2">
        <v>1</v>
      </c>
      <c r="P100" s="2">
        <v>0</v>
      </c>
      <c r="Q100" s="2">
        <v>0</v>
      </c>
      <c r="R100" s="2">
        <v>0.4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0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0.19565217391304299</v>
      </c>
    </row>
    <row r="101" spans="1:35" ht="43.5" x14ac:dyDescent="0.35">
      <c r="A101" s="2">
        <v>100</v>
      </c>
      <c r="B101" s="2" t="s">
        <v>120</v>
      </c>
      <c r="C101" s="2">
        <v>0.5</v>
      </c>
      <c r="D101" s="2">
        <v>0</v>
      </c>
      <c r="E101" s="2">
        <v>0</v>
      </c>
      <c r="F101" s="2">
        <v>1</v>
      </c>
      <c r="G101" s="2">
        <v>0.33333333333333298</v>
      </c>
      <c r="H101" s="2">
        <v>1</v>
      </c>
      <c r="I101" s="2">
        <v>0.55555555555555503</v>
      </c>
      <c r="J101" s="2">
        <v>1</v>
      </c>
      <c r="K101" s="2">
        <v>0.5</v>
      </c>
      <c r="L101" s="2">
        <v>0</v>
      </c>
      <c r="M101" s="2">
        <v>0</v>
      </c>
      <c r="N101" s="2">
        <v>0.2</v>
      </c>
      <c r="O101" s="2">
        <v>0.5</v>
      </c>
      <c r="P101" s="2">
        <v>0</v>
      </c>
      <c r="Q101" s="2">
        <v>0</v>
      </c>
      <c r="R101" s="2">
        <v>0.4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0.19565217391304299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AA00-AD3B-405E-902E-2389D945B89F}">
  <dimension ref="A1:AI61"/>
  <sheetViews>
    <sheetView topLeftCell="A44" workbookViewId="0">
      <selection activeCell="B2" sqref="B2:B61"/>
    </sheetView>
  </sheetViews>
  <sheetFormatPr defaultRowHeight="14.5" x14ac:dyDescent="0.35"/>
  <sheetData>
    <row r="1" spans="1:35" x14ac:dyDescent="0.35">
      <c r="B1" t="s">
        <v>155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</row>
    <row r="2" spans="1:35" x14ac:dyDescent="0.35">
      <c r="A2" s="2">
        <v>1</v>
      </c>
      <c r="B2" s="2" t="s">
        <v>120</v>
      </c>
      <c r="C2" s="2">
        <v>0.33333333333333298</v>
      </c>
      <c r="D2" s="2">
        <v>0.23765432098765399</v>
      </c>
      <c r="E2" s="2">
        <v>0.23899371069182301</v>
      </c>
      <c r="F2" s="2">
        <v>0.53703703703703698</v>
      </c>
      <c r="G2" s="2">
        <v>0.12757201646090499</v>
      </c>
      <c r="H2" s="2">
        <v>0.94805194805194803</v>
      </c>
      <c r="I2" s="2">
        <v>0.55692729766803795</v>
      </c>
      <c r="J2" s="2">
        <v>0.936708860759493</v>
      </c>
      <c r="K2" s="2">
        <v>0.407407407407407</v>
      </c>
      <c r="L2" s="2">
        <v>0.19478737997256501</v>
      </c>
      <c r="M2" s="2">
        <v>5.5555555555555497E-2</v>
      </c>
      <c r="N2" s="2">
        <v>0.158904109589041</v>
      </c>
      <c r="O2" s="2">
        <v>0.95061728395061695</v>
      </c>
      <c r="P2" s="2">
        <v>6.1728395061728301E-2</v>
      </c>
      <c r="Q2" s="2">
        <v>0.189873417721519</v>
      </c>
      <c r="R2" s="2">
        <v>0.32345679012345602</v>
      </c>
      <c r="S2" s="2">
        <v>0.98765432098765404</v>
      </c>
      <c r="T2" s="2">
        <v>0.76543209876543195</v>
      </c>
      <c r="U2" s="2">
        <v>0.97530864197530798</v>
      </c>
      <c r="V2" s="2">
        <v>1</v>
      </c>
      <c r="W2" s="2">
        <v>1</v>
      </c>
      <c r="X2" s="2">
        <v>0.11111111111111099</v>
      </c>
      <c r="Y2" s="2">
        <v>1</v>
      </c>
      <c r="Z2" s="2">
        <v>0.97530864197530798</v>
      </c>
      <c r="AA2" s="2">
        <v>0.90123456790123402</v>
      </c>
      <c r="AB2" s="2">
        <v>0.44444444444444398</v>
      </c>
      <c r="AC2" s="2">
        <v>1</v>
      </c>
      <c r="AD2" s="2">
        <v>1</v>
      </c>
      <c r="AE2" s="2">
        <v>1</v>
      </c>
      <c r="AF2" s="2">
        <v>1</v>
      </c>
      <c r="AG2" s="2">
        <v>0.938271604938271</v>
      </c>
      <c r="AH2" s="2">
        <v>1</v>
      </c>
      <c r="AI2" s="2">
        <v>0.19565217391304299</v>
      </c>
    </row>
    <row r="3" spans="1:35" x14ac:dyDescent="0.35">
      <c r="A3" s="2">
        <v>2</v>
      </c>
      <c r="B3" s="2" t="s">
        <v>120</v>
      </c>
      <c r="C3" s="2">
        <v>0.33333333333333298</v>
      </c>
      <c r="D3" s="2">
        <v>0.25</v>
      </c>
      <c r="E3" s="2">
        <v>0.33333333333333298</v>
      </c>
      <c r="F3" s="2">
        <v>0.66666666666666596</v>
      </c>
      <c r="G3" s="2">
        <v>0</v>
      </c>
      <c r="H3" s="2">
        <v>1</v>
      </c>
      <c r="I3" s="2">
        <v>0.55555555555555503</v>
      </c>
      <c r="J3" s="2">
        <v>1</v>
      </c>
      <c r="K3" s="2">
        <v>0.5</v>
      </c>
      <c r="L3" s="2">
        <v>1</v>
      </c>
      <c r="M3" s="2">
        <v>0</v>
      </c>
      <c r="N3" s="2">
        <v>0.2</v>
      </c>
      <c r="O3" s="2">
        <v>0</v>
      </c>
      <c r="P3" s="2">
        <v>0</v>
      </c>
      <c r="Q3" s="2">
        <v>1</v>
      </c>
      <c r="R3" s="2">
        <v>0.4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1</v>
      </c>
      <c r="Z3" s="2">
        <v>1</v>
      </c>
      <c r="AA3" s="2">
        <v>1</v>
      </c>
      <c r="AB3" s="2">
        <v>0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0</v>
      </c>
    </row>
    <row r="4" spans="1:35" x14ac:dyDescent="0.35">
      <c r="A4" s="2">
        <v>3</v>
      </c>
      <c r="B4" s="2" t="s">
        <v>120</v>
      </c>
      <c r="C4" s="2">
        <v>0</v>
      </c>
      <c r="D4" s="2">
        <v>0</v>
      </c>
      <c r="E4" s="2">
        <v>0</v>
      </c>
      <c r="F4" s="2">
        <v>0.66666666666666596</v>
      </c>
      <c r="G4" s="2">
        <v>0.33333333333333298</v>
      </c>
      <c r="H4" s="2">
        <v>1</v>
      </c>
      <c r="I4" s="2">
        <v>0.55555555555555503</v>
      </c>
      <c r="J4" s="2">
        <v>1</v>
      </c>
      <c r="K4" s="2">
        <v>0.5</v>
      </c>
      <c r="L4" s="2">
        <v>0</v>
      </c>
      <c r="M4" s="2">
        <v>0</v>
      </c>
      <c r="N4" s="2">
        <v>0.2</v>
      </c>
      <c r="O4" s="2">
        <v>0.5</v>
      </c>
      <c r="P4" s="2">
        <v>0</v>
      </c>
      <c r="Q4" s="2">
        <v>0</v>
      </c>
      <c r="R4" s="2">
        <v>0.4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0.19565217391304299</v>
      </c>
    </row>
    <row r="5" spans="1:35" x14ac:dyDescent="0.35">
      <c r="A5" s="2">
        <v>4</v>
      </c>
      <c r="B5" s="2" t="s">
        <v>120</v>
      </c>
      <c r="C5" s="2">
        <v>0.16666666666666599</v>
      </c>
      <c r="D5" s="2">
        <v>0.5</v>
      </c>
      <c r="E5" s="2">
        <v>0.23899371069182301</v>
      </c>
      <c r="F5" s="2">
        <v>0.66666666666666596</v>
      </c>
      <c r="G5" s="2">
        <v>0</v>
      </c>
      <c r="H5" s="2">
        <v>1</v>
      </c>
      <c r="I5" s="2">
        <v>0.55555555555555503</v>
      </c>
      <c r="J5" s="2">
        <v>1</v>
      </c>
      <c r="K5" s="2">
        <v>0.5</v>
      </c>
      <c r="L5" s="2">
        <v>0</v>
      </c>
      <c r="M5" s="2">
        <v>0</v>
      </c>
      <c r="N5" s="2">
        <v>0.2</v>
      </c>
      <c r="O5" s="2">
        <v>1</v>
      </c>
      <c r="P5" s="2">
        <v>0</v>
      </c>
      <c r="Q5" s="2">
        <v>0</v>
      </c>
      <c r="R5" s="2">
        <v>0.4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0.19565217391304299</v>
      </c>
    </row>
    <row r="6" spans="1:35" x14ac:dyDescent="0.35">
      <c r="A6" s="2">
        <v>5</v>
      </c>
      <c r="B6" s="2" t="s">
        <v>120</v>
      </c>
      <c r="C6" s="2">
        <v>0</v>
      </c>
      <c r="D6" s="2">
        <v>0.23765432098765399</v>
      </c>
      <c r="E6" s="2">
        <v>0.23899371069182301</v>
      </c>
      <c r="F6" s="2">
        <v>0.53703703703703698</v>
      </c>
      <c r="G6" s="2">
        <v>0.12757201646090499</v>
      </c>
      <c r="H6" s="2">
        <v>0.94805194805194803</v>
      </c>
      <c r="I6" s="2">
        <v>0.55692729766803795</v>
      </c>
      <c r="J6" s="2">
        <v>0.936708860759493</v>
      </c>
      <c r="K6" s="2">
        <v>0.407407407407407</v>
      </c>
      <c r="L6" s="2">
        <v>0.19478737997256501</v>
      </c>
      <c r="M6" s="2">
        <v>5.5555555555555497E-2</v>
      </c>
      <c r="N6" s="2">
        <v>0.158904109589041</v>
      </c>
      <c r="O6" s="2">
        <v>0.95061728395061695</v>
      </c>
      <c r="P6" s="2">
        <v>6.1728395061728301E-2</v>
      </c>
      <c r="Q6" s="2">
        <v>0.189873417721519</v>
      </c>
      <c r="R6" s="2">
        <v>0.32345679012345602</v>
      </c>
      <c r="S6" s="2">
        <v>0.98765432098765404</v>
      </c>
      <c r="T6" s="2">
        <v>0.76543209876543195</v>
      </c>
      <c r="U6" s="2">
        <v>0.97530864197530798</v>
      </c>
      <c r="V6" s="2">
        <v>1</v>
      </c>
      <c r="W6" s="2">
        <v>1</v>
      </c>
      <c r="X6" s="2">
        <v>0.11111111111111099</v>
      </c>
      <c r="Y6" s="2">
        <v>1</v>
      </c>
      <c r="Z6" s="2">
        <v>0.97530864197530798</v>
      </c>
      <c r="AA6" s="2">
        <v>0.90123456790123402</v>
      </c>
      <c r="AB6" s="2">
        <v>0.44444444444444398</v>
      </c>
      <c r="AC6" s="2">
        <v>1</v>
      </c>
      <c r="AD6" s="2">
        <v>1</v>
      </c>
      <c r="AE6" s="2">
        <v>1</v>
      </c>
      <c r="AF6" s="2">
        <v>1</v>
      </c>
      <c r="AG6" s="2">
        <v>0.938271604938271</v>
      </c>
      <c r="AH6" s="2">
        <v>1</v>
      </c>
      <c r="AI6" s="2">
        <v>0.19565217391304299</v>
      </c>
    </row>
    <row r="7" spans="1:35" x14ac:dyDescent="0.35">
      <c r="A7" s="2">
        <v>6</v>
      </c>
      <c r="B7" s="2" t="s">
        <v>120</v>
      </c>
      <c r="C7" s="2">
        <v>0</v>
      </c>
      <c r="D7" s="2">
        <v>0.23765432098765399</v>
      </c>
      <c r="E7" s="2">
        <v>0.23899371069182301</v>
      </c>
      <c r="F7" s="2">
        <v>0.53703703703703698</v>
      </c>
      <c r="G7" s="2">
        <v>0.12757201646090499</v>
      </c>
      <c r="H7" s="2">
        <v>0.94805194805194803</v>
      </c>
      <c r="I7" s="2">
        <v>0.55692729766803795</v>
      </c>
      <c r="J7" s="2">
        <v>0.936708860759493</v>
      </c>
      <c r="K7" s="2">
        <v>0.407407407407407</v>
      </c>
      <c r="L7" s="2">
        <v>0.19478737997256501</v>
      </c>
      <c r="M7" s="2">
        <v>5.5555555555555497E-2</v>
      </c>
      <c r="N7" s="2">
        <v>0.158904109589041</v>
      </c>
      <c r="O7" s="2">
        <v>0.95061728395061695</v>
      </c>
      <c r="P7" s="2">
        <v>6.1728395061728301E-2</v>
      </c>
      <c r="Q7" s="2">
        <v>0.189873417721519</v>
      </c>
      <c r="R7" s="2">
        <v>0.32345679012345602</v>
      </c>
      <c r="S7" s="2">
        <v>0.98765432098765404</v>
      </c>
      <c r="T7" s="2">
        <v>0.76543209876543195</v>
      </c>
      <c r="U7" s="2">
        <v>0.97530864197530798</v>
      </c>
      <c r="V7" s="2">
        <v>1</v>
      </c>
      <c r="W7" s="2">
        <v>1</v>
      </c>
      <c r="X7" s="2">
        <v>0.11111111111111099</v>
      </c>
      <c r="Y7" s="2">
        <v>1</v>
      </c>
      <c r="Z7" s="2">
        <v>0.97530864197530798</v>
      </c>
      <c r="AA7" s="2">
        <v>0.90123456790123402</v>
      </c>
      <c r="AB7" s="2">
        <v>0.44444444444444398</v>
      </c>
      <c r="AC7" s="2">
        <v>1</v>
      </c>
      <c r="AD7" s="2">
        <v>1</v>
      </c>
      <c r="AE7" s="2">
        <v>1</v>
      </c>
      <c r="AF7" s="2">
        <v>1</v>
      </c>
      <c r="AG7" s="2">
        <v>0.938271604938271</v>
      </c>
      <c r="AH7" s="2">
        <v>1</v>
      </c>
      <c r="AI7" s="2">
        <v>0.19565217391304299</v>
      </c>
    </row>
    <row r="8" spans="1:35" x14ac:dyDescent="0.35">
      <c r="A8" s="2">
        <v>7</v>
      </c>
      <c r="B8" s="2" t="s">
        <v>120</v>
      </c>
      <c r="C8" s="2">
        <v>0.83333333333333304</v>
      </c>
      <c r="D8" s="2">
        <v>0.5</v>
      </c>
      <c r="E8" s="2">
        <v>0</v>
      </c>
      <c r="F8" s="2">
        <v>0.66666666666666596</v>
      </c>
      <c r="G8" s="2">
        <v>0</v>
      </c>
      <c r="H8" s="2">
        <v>1</v>
      </c>
      <c r="I8" s="2">
        <v>0.55555555555555503</v>
      </c>
      <c r="J8" s="2">
        <v>1</v>
      </c>
      <c r="K8" s="2">
        <v>0.5</v>
      </c>
      <c r="L8" s="2">
        <v>0</v>
      </c>
      <c r="M8" s="2">
        <v>0</v>
      </c>
      <c r="N8" s="2">
        <v>0</v>
      </c>
      <c r="O8" s="2">
        <v>1</v>
      </c>
      <c r="P8" s="2">
        <v>0.33333333333333298</v>
      </c>
      <c r="Q8" s="2">
        <v>0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0</v>
      </c>
      <c r="Y8" s="2">
        <v>1</v>
      </c>
      <c r="Z8" s="2">
        <v>1</v>
      </c>
      <c r="AA8" s="2">
        <v>1</v>
      </c>
      <c r="AB8" s="2">
        <v>0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0</v>
      </c>
    </row>
    <row r="9" spans="1:35" x14ac:dyDescent="0.35">
      <c r="A9" s="2">
        <v>8</v>
      </c>
      <c r="B9" s="2" t="s">
        <v>120</v>
      </c>
      <c r="C9" s="2">
        <v>0</v>
      </c>
      <c r="D9" s="2">
        <v>0.23765432098765399</v>
      </c>
      <c r="E9" s="2">
        <v>0.23899371069182301</v>
      </c>
      <c r="F9" s="2">
        <v>0.53703703703703698</v>
      </c>
      <c r="G9" s="2">
        <v>0.12757201646090499</v>
      </c>
      <c r="H9" s="2">
        <v>0.94805194805194803</v>
      </c>
      <c r="I9" s="2">
        <v>0.55692729766803795</v>
      </c>
      <c r="J9" s="2">
        <v>0.936708860759493</v>
      </c>
      <c r="K9" s="2">
        <v>0.407407407407407</v>
      </c>
      <c r="L9" s="2">
        <v>0.19478737997256501</v>
      </c>
      <c r="M9" s="2">
        <v>5.5555555555555497E-2</v>
      </c>
      <c r="N9" s="2">
        <v>0.158904109589041</v>
      </c>
      <c r="O9" s="2">
        <v>0.95061728395061695</v>
      </c>
      <c r="P9" s="2">
        <v>6.1728395061728301E-2</v>
      </c>
      <c r="Q9" s="2">
        <v>0.189873417721519</v>
      </c>
      <c r="R9" s="2">
        <v>0.32345679012345602</v>
      </c>
      <c r="S9" s="2">
        <v>0.98765432098765404</v>
      </c>
      <c r="T9" s="2">
        <v>0.76543209876543195</v>
      </c>
      <c r="U9" s="2">
        <v>0.97530864197530798</v>
      </c>
      <c r="V9" s="2">
        <v>1</v>
      </c>
      <c r="W9" s="2">
        <v>1</v>
      </c>
      <c r="X9" s="2">
        <v>0.11111111111111099</v>
      </c>
      <c r="Y9" s="2">
        <v>1</v>
      </c>
      <c r="Z9" s="2">
        <v>0.97530864197530798</v>
      </c>
      <c r="AA9" s="2">
        <v>0.90123456790123402</v>
      </c>
      <c r="AB9" s="2">
        <v>0.44444444444444398</v>
      </c>
      <c r="AC9" s="2">
        <v>1</v>
      </c>
      <c r="AD9" s="2">
        <v>1</v>
      </c>
      <c r="AE9" s="2">
        <v>1</v>
      </c>
      <c r="AF9" s="2">
        <v>1</v>
      </c>
      <c r="AG9" s="2">
        <v>0.938271604938271</v>
      </c>
      <c r="AH9" s="2">
        <v>1</v>
      </c>
      <c r="AI9" s="2">
        <v>0.19565217391304299</v>
      </c>
    </row>
    <row r="10" spans="1:35" x14ac:dyDescent="0.35">
      <c r="A10" s="2">
        <v>9</v>
      </c>
      <c r="B10" s="2" t="s">
        <v>120</v>
      </c>
      <c r="C10" s="2">
        <v>0.16666666666666599</v>
      </c>
      <c r="D10" s="2">
        <v>0.25</v>
      </c>
      <c r="E10" s="2">
        <v>0.23899371069182301</v>
      </c>
      <c r="F10" s="2">
        <v>0.66666666666666596</v>
      </c>
      <c r="G10" s="2">
        <v>1</v>
      </c>
      <c r="H10" s="2">
        <v>0.94805194805194803</v>
      </c>
      <c r="I10" s="2">
        <v>1</v>
      </c>
      <c r="J10" s="2">
        <v>0.936708860759493</v>
      </c>
      <c r="K10" s="2">
        <v>0</v>
      </c>
      <c r="L10" s="2">
        <v>0.55555555555555503</v>
      </c>
      <c r="M10" s="2">
        <v>0.5</v>
      </c>
      <c r="N10" s="2">
        <v>0.158904109589041</v>
      </c>
      <c r="O10" s="2">
        <v>1</v>
      </c>
      <c r="P10" s="2">
        <v>1</v>
      </c>
      <c r="Q10" s="2">
        <v>0.189873417721519</v>
      </c>
      <c r="R10" s="2">
        <v>0.4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</row>
    <row r="11" spans="1:35" x14ac:dyDescent="0.35">
      <c r="A11" s="2">
        <v>10</v>
      </c>
      <c r="B11" s="2" t="s">
        <v>120</v>
      </c>
      <c r="C11" s="2">
        <v>0.83333333333333304</v>
      </c>
      <c r="D11" s="2">
        <v>0</v>
      </c>
      <c r="E11" s="2">
        <v>0</v>
      </c>
      <c r="F11" s="2">
        <v>0.66666666666666596</v>
      </c>
      <c r="G11" s="2">
        <v>0</v>
      </c>
      <c r="H11" s="2">
        <v>1</v>
      </c>
      <c r="I11" s="2">
        <v>0.55555555555555503</v>
      </c>
      <c r="J11" s="2">
        <v>1</v>
      </c>
      <c r="K11" s="2">
        <v>1</v>
      </c>
      <c r="L11" s="2">
        <v>0</v>
      </c>
      <c r="M11" s="2">
        <v>0</v>
      </c>
      <c r="N11" s="2">
        <v>0.2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0</v>
      </c>
    </row>
    <row r="12" spans="1:35" x14ac:dyDescent="0.35">
      <c r="A12" s="2">
        <v>11</v>
      </c>
      <c r="B12" s="2" t="s">
        <v>120</v>
      </c>
      <c r="C12" s="2">
        <v>0.66666666666666596</v>
      </c>
      <c r="D12" s="2">
        <v>0.25</v>
      </c>
      <c r="E12" s="2">
        <v>0.23899371069182301</v>
      </c>
      <c r="F12" s="2">
        <v>0.66666666666666596</v>
      </c>
      <c r="G12" s="2">
        <v>0</v>
      </c>
      <c r="H12" s="2">
        <v>1</v>
      </c>
      <c r="I12" s="2">
        <v>0.55555555555555503</v>
      </c>
      <c r="J12" s="2">
        <v>1</v>
      </c>
      <c r="K12" s="2">
        <v>0.5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0.4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0.19565217391304299</v>
      </c>
    </row>
    <row r="13" spans="1:35" x14ac:dyDescent="0.35">
      <c r="A13" s="2">
        <v>12</v>
      </c>
      <c r="B13" s="2" t="s">
        <v>120</v>
      </c>
      <c r="C13" s="2">
        <v>0.16666666666666599</v>
      </c>
      <c r="D13" s="2">
        <v>0.5</v>
      </c>
      <c r="E13" s="2">
        <v>0.23899371069182301</v>
      </c>
      <c r="F13" s="2">
        <v>0</v>
      </c>
      <c r="G13" s="2">
        <v>0</v>
      </c>
      <c r="H13" s="2">
        <v>1</v>
      </c>
      <c r="I13" s="2">
        <v>0.55555555555555503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0.4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0.19565217391304299</v>
      </c>
    </row>
    <row r="14" spans="1:35" x14ac:dyDescent="0.35">
      <c r="A14" s="2">
        <v>13</v>
      </c>
      <c r="B14" s="2" t="s">
        <v>120</v>
      </c>
      <c r="C14" s="2">
        <v>0</v>
      </c>
      <c r="D14" s="2">
        <v>0.25</v>
      </c>
      <c r="E14" s="2">
        <v>0.23899371069182301</v>
      </c>
      <c r="F14" s="2">
        <v>0.66666666666666596</v>
      </c>
      <c r="G14" s="2">
        <v>0</v>
      </c>
      <c r="H14" s="2">
        <v>1</v>
      </c>
      <c r="I14" s="2">
        <v>0.55555555555555503</v>
      </c>
      <c r="J14" s="2">
        <v>1</v>
      </c>
      <c r="K14" s="2">
        <v>0</v>
      </c>
      <c r="L14" s="2">
        <v>0</v>
      </c>
      <c r="M14" s="2">
        <v>0</v>
      </c>
      <c r="N14" s="2">
        <v>0.2</v>
      </c>
      <c r="O14" s="2">
        <v>1</v>
      </c>
      <c r="P14" s="2">
        <v>0</v>
      </c>
      <c r="Q14" s="2">
        <v>0</v>
      </c>
      <c r="R14" s="2">
        <v>0.4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0.19565217391304299</v>
      </c>
    </row>
    <row r="15" spans="1:35" x14ac:dyDescent="0.35">
      <c r="A15" s="2">
        <v>14</v>
      </c>
      <c r="B15" s="2" t="s">
        <v>120</v>
      </c>
      <c r="C15" s="2">
        <v>0.5</v>
      </c>
      <c r="D15" s="2">
        <v>0.25</v>
      </c>
      <c r="E15" s="2">
        <v>0.33333333333333298</v>
      </c>
      <c r="F15" s="2">
        <v>0.66666666666666596</v>
      </c>
      <c r="G15" s="2">
        <v>0</v>
      </c>
      <c r="H15" s="2">
        <v>1</v>
      </c>
      <c r="I15" s="2">
        <v>0.55555555555555503</v>
      </c>
      <c r="J15" s="2">
        <v>1</v>
      </c>
      <c r="K15" s="2">
        <v>0.5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0.4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0</v>
      </c>
    </row>
    <row r="16" spans="1:35" x14ac:dyDescent="0.35">
      <c r="A16" s="2">
        <v>15</v>
      </c>
      <c r="B16" s="2" t="s">
        <v>120</v>
      </c>
      <c r="C16" s="2">
        <v>0.83333333333333304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0.55555555555555503</v>
      </c>
      <c r="J16" s="2">
        <v>1</v>
      </c>
      <c r="K16" s="2">
        <v>0.5</v>
      </c>
      <c r="L16" s="2">
        <v>1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  <c r="R16" s="2">
        <v>0.4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0</v>
      </c>
    </row>
    <row r="17" spans="1:35" x14ac:dyDescent="0.35">
      <c r="A17" s="2">
        <v>16</v>
      </c>
      <c r="B17" s="2" t="s">
        <v>120</v>
      </c>
      <c r="C17" s="2">
        <v>0.16666666666666599</v>
      </c>
      <c r="D17" s="2">
        <v>0.25</v>
      </c>
      <c r="E17" s="2">
        <v>0.33333333333333298</v>
      </c>
      <c r="F17" s="2">
        <v>0.66666666666666596</v>
      </c>
      <c r="G17" s="2">
        <v>1</v>
      </c>
      <c r="H17" s="2">
        <v>0.94805194805194803</v>
      </c>
      <c r="I17" s="2">
        <v>0.55555555555555503</v>
      </c>
      <c r="J17" s="2">
        <v>1</v>
      </c>
      <c r="K17" s="2">
        <v>0.5</v>
      </c>
      <c r="L17" s="2">
        <v>1</v>
      </c>
      <c r="M17" s="2">
        <v>0</v>
      </c>
      <c r="N17" s="2">
        <v>0.2</v>
      </c>
      <c r="O17" s="2">
        <v>1</v>
      </c>
      <c r="P17" s="2">
        <v>0.33333333333333298</v>
      </c>
      <c r="Q17" s="2">
        <v>0</v>
      </c>
      <c r="R17" s="2">
        <v>0.4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1</v>
      </c>
      <c r="AB17" s="2">
        <v>0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0</v>
      </c>
    </row>
    <row r="18" spans="1:35" x14ac:dyDescent="0.35">
      <c r="A18" s="2">
        <v>17</v>
      </c>
      <c r="B18" s="2" t="s">
        <v>120</v>
      </c>
      <c r="C18" s="2">
        <v>0.66666666666666596</v>
      </c>
      <c r="D18" s="2">
        <v>0</v>
      </c>
      <c r="E18" s="2">
        <v>1</v>
      </c>
      <c r="F18" s="2">
        <v>0.66666666666666596</v>
      </c>
      <c r="G18" s="2">
        <v>0.33333333333333298</v>
      </c>
      <c r="H18" s="2">
        <v>1</v>
      </c>
      <c r="I18" s="2">
        <v>0.55555555555555503</v>
      </c>
      <c r="J18" s="2">
        <v>1</v>
      </c>
      <c r="K18" s="2">
        <v>0.5</v>
      </c>
      <c r="L18" s="2">
        <v>0</v>
      </c>
      <c r="M18" s="2">
        <v>0</v>
      </c>
      <c r="N18" s="2">
        <v>0</v>
      </c>
      <c r="O18" s="2">
        <v>1</v>
      </c>
      <c r="P18" s="2">
        <v>0.33333333333333298</v>
      </c>
      <c r="Q18" s="2">
        <v>0</v>
      </c>
      <c r="R18" s="2">
        <v>1</v>
      </c>
      <c r="S18" s="2">
        <v>1</v>
      </c>
      <c r="T18" s="2">
        <v>1</v>
      </c>
      <c r="U18" s="2">
        <v>0</v>
      </c>
      <c r="V18" s="2">
        <v>1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0</v>
      </c>
    </row>
    <row r="19" spans="1:35" x14ac:dyDescent="0.35">
      <c r="A19" s="2">
        <v>18</v>
      </c>
      <c r="B19" s="2" t="s">
        <v>120</v>
      </c>
      <c r="C19" s="2">
        <v>0.66666666666666596</v>
      </c>
      <c r="D19" s="2">
        <v>0.25</v>
      </c>
      <c r="E19" s="2">
        <v>0.33333333333333298</v>
      </c>
      <c r="F19" s="2">
        <v>0</v>
      </c>
      <c r="G19" s="2">
        <v>0</v>
      </c>
      <c r="H19" s="2">
        <v>0</v>
      </c>
      <c r="I19" s="2">
        <v>0.55555555555555503</v>
      </c>
      <c r="J19" s="2">
        <v>0</v>
      </c>
      <c r="K19" s="2">
        <v>0.5</v>
      </c>
      <c r="L19" s="2">
        <v>0</v>
      </c>
      <c r="M19" s="2">
        <v>0</v>
      </c>
      <c r="N19" s="2">
        <v>0.2</v>
      </c>
      <c r="O19" s="2">
        <v>1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0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</row>
    <row r="20" spans="1:35" x14ac:dyDescent="0.35">
      <c r="A20" s="2">
        <v>19</v>
      </c>
      <c r="B20" s="2" t="s">
        <v>120</v>
      </c>
      <c r="C20" s="2">
        <v>0.33333333333333298</v>
      </c>
      <c r="D20" s="2">
        <v>0.5</v>
      </c>
      <c r="E20" s="2">
        <v>0.33333333333333298</v>
      </c>
      <c r="F20" s="2">
        <v>0</v>
      </c>
      <c r="G20" s="2">
        <v>0</v>
      </c>
      <c r="H20" s="2">
        <v>1</v>
      </c>
      <c r="I20" s="2">
        <v>0.55555555555555503</v>
      </c>
      <c r="J20" s="2">
        <v>1</v>
      </c>
      <c r="K20" s="2">
        <v>0.5</v>
      </c>
      <c r="L20" s="2">
        <v>0</v>
      </c>
      <c r="M20" s="2">
        <v>0</v>
      </c>
      <c r="N20" s="2">
        <v>0.2</v>
      </c>
      <c r="O20" s="2">
        <v>1</v>
      </c>
      <c r="P20" s="2">
        <v>0</v>
      </c>
      <c r="Q20" s="2">
        <v>0</v>
      </c>
      <c r="R20" s="2">
        <v>0.4</v>
      </c>
      <c r="S20" s="2">
        <v>1</v>
      </c>
      <c r="T20" s="2">
        <v>0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0</v>
      </c>
      <c r="AB20" s="2">
        <v>0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0</v>
      </c>
    </row>
    <row r="21" spans="1:35" x14ac:dyDescent="0.35">
      <c r="A21" s="2">
        <v>20</v>
      </c>
      <c r="B21" s="2" t="s">
        <v>120</v>
      </c>
      <c r="C21" s="2">
        <v>0</v>
      </c>
      <c r="D21" s="2">
        <v>0</v>
      </c>
      <c r="E21" s="2">
        <v>0</v>
      </c>
      <c r="F21" s="2">
        <v>1</v>
      </c>
      <c r="G21" s="2">
        <v>0.33333333333333298</v>
      </c>
      <c r="H21" s="2">
        <v>1</v>
      </c>
      <c r="I21" s="2">
        <v>0.55555555555555503</v>
      </c>
      <c r="J21" s="2">
        <v>1</v>
      </c>
      <c r="K21" s="2">
        <v>0</v>
      </c>
      <c r="L21" s="2">
        <v>0.44444444444444398</v>
      </c>
      <c r="M21" s="2">
        <v>0</v>
      </c>
      <c r="N21" s="2">
        <v>0.2</v>
      </c>
      <c r="O21" s="2">
        <v>1</v>
      </c>
      <c r="P21" s="2">
        <v>0</v>
      </c>
      <c r="Q21" s="2">
        <v>1</v>
      </c>
      <c r="R21" s="2">
        <v>0.4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0</v>
      </c>
    </row>
    <row r="22" spans="1:35" x14ac:dyDescent="0.35">
      <c r="A22" s="2">
        <v>21</v>
      </c>
      <c r="B22" s="2" t="s">
        <v>120</v>
      </c>
      <c r="C22" s="2">
        <v>0.33333333333333298</v>
      </c>
      <c r="D22" s="2">
        <v>0</v>
      </c>
      <c r="E22" s="2">
        <v>0</v>
      </c>
      <c r="F22" s="2">
        <v>1</v>
      </c>
      <c r="G22" s="2">
        <v>0.33333333333333298</v>
      </c>
      <c r="H22" s="2">
        <v>1</v>
      </c>
      <c r="I22" s="2">
        <v>0.55555555555555503</v>
      </c>
      <c r="J22" s="2">
        <v>1</v>
      </c>
      <c r="K22" s="2">
        <v>0</v>
      </c>
      <c r="L22" s="2">
        <v>0.44444444444444398</v>
      </c>
      <c r="M22" s="2">
        <v>0</v>
      </c>
      <c r="N22" s="2">
        <v>0.2</v>
      </c>
      <c r="O22" s="2">
        <v>1</v>
      </c>
      <c r="P22" s="2">
        <v>0</v>
      </c>
      <c r="Q22" s="2">
        <v>1</v>
      </c>
      <c r="R22" s="2">
        <v>0.4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0</v>
      </c>
    </row>
    <row r="23" spans="1:35" x14ac:dyDescent="0.35">
      <c r="A23" s="2">
        <v>22</v>
      </c>
      <c r="B23" s="2" t="s">
        <v>120</v>
      </c>
      <c r="C23" s="2">
        <v>0.66666666666666596</v>
      </c>
      <c r="D23" s="2">
        <v>0.25</v>
      </c>
      <c r="E23" s="2">
        <v>0.33333333333333298</v>
      </c>
      <c r="F23" s="2">
        <v>0.66666666666666596</v>
      </c>
      <c r="G23" s="2">
        <v>1</v>
      </c>
      <c r="H23" s="2">
        <v>0.94805194805194803</v>
      </c>
      <c r="I23" s="2">
        <v>0.55555555555555503</v>
      </c>
      <c r="J23" s="2">
        <v>1</v>
      </c>
      <c r="K23" s="2">
        <v>0.5</v>
      </c>
      <c r="L23" s="2">
        <v>1</v>
      </c>
      <c r="M23" s="2">
        <v>0</v>
      </c>
      <c r="N23" s="2">
        <v>0.2</v>
      </c>
      <c r="O23" s="2">
        <v>1</v>
      </c>
      <c r="P23" s="2">
        <v>0.33333333333333298</v>
      </c>
      <c r="Q23" s="2">
        <v>0</v>
      </c>
      <c r="R23" s="2">
        <v>0.4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0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0</v>
      </c>
    </row>
    <row r="24" spans="1:35" x14ac:dyDescent="0.35">
      <c r="A24" s="2">
        <v>23</v>
      </c>
      <c r="B24" s="2" t="s">
        <v>120</v>
      </c>
      <c r="C24" s="2">
        <v>0.33333333333333298</v>
      </c>
      <c r="D24" s="2">
        <v>0</v>
      </c>
      <c r="E24" s="2">
        <v>0</v>
      </c>
      <c r="F24" s="2">
        <v>0.66666666666666596</v>
      </c>
      <c r="G24" s="2">
        <v>0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0.4</v>
      </c>
      <c r="S24" s="2">
        <v>1</v>
      </c>
      <c r="T24" s="2">
        <v>0</v>
      </c>
      <c r="U24" s="2">
        <v>1</v>
      </c>
      <c r="V24" s="2">
        <v>1</v>
      </c>
      <c r="W24" s="2">
        <v>1</v>
      </c>
      <c r="X24" s="2">
        <v>0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0</v>
      </c>
    </row>
    <row r="25" spans="1:35" x14ac:dyDescent="0.35">
      <c r="A25" s="2">
        <v>24</v>
      </c>
      <c r="B25" s="2" t="s">
        <v>120</v>
      </c>
      <c r="C25" s="2">
        <v>0.66666666666666596</v>
      </c>
      <c r="D25" s="2">
        <v>0</v>
      </c>
      <c r="E25" s="2">
        <v>0</v>
      </c>
      <c r="F25" s="2">
        <v>0.66666666666666596</v>
      </c>
      <c r="G25" s="2">
        <v>0</v>
      </c>
      <c r="H25" s="2">
        <v>1</v>
      </c>
      <c r="I25" s="2">
        <v>0.55555555555555503</v>
      </c>
      <c r="J25" s="2">
        <v>1</v>
      </c>
      <c r="K25" s="2">
        <v>0.5</v>
      </c>
      <c r="L25" s="2">
        <v>0.44444444444444398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0.4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1</v>
      </c>
      <c r="AA25" s="2">
        <v>1</v>
      </c>
      <c r="AB25" s="2">
        <v>0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0</v>
      </c>
    </row>
    <row r="26" spans="1:35" x14ac:dyDescent="0.35">
      <c r="A26" s="2">
        <v>25</v>
      </c>
      <c r="B26" s="2" t="s">
        <v>120</v>
      </c>
      <c r="C26" s="2">
        <v>0.5</v>
      </c>
      <c r="D26" s="2">
        <v>0.25</v>
      </c>
      <c r="E26" s="2">
        <v>0.33333333333333298</v>
      </c>
      <c r="F26" s="2">
        <v>0.66666666666666596</v>
      </c>
      <c r="G26" s="2">
        <v>0</v>
      </c>
      <c r="H26" s="2">
        <v>1</v>
      </c>
      <c r="I26" s="2">
        <v>0.55555555555555503</v>
      </c>
      <c r="J26" s="2">
        <v>0</v>
      </c>
      <c r="K26" s="2">
        <v>0.5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1</v>
      </c>
      <c r="AA26" s="2">
        <v>1</v>
      </c>
      <c r="AB26" s="2">
        <v>0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0</v>
      </c>
    </row>
    <row r="27" spans="1:35" x14ac:dyDescent="0.35">
      <c r="A27" s="2">
        <v>26</v>
      </c>
      <c r="B27" s="2" t="s">
        <v>120</v>
      </c>
      <c r="C27" s="2">
        <v>0.33333333333333298</v>
      </c>
      <c r="D27" s="2">
        <v>1</v>
      </c>
      <c r="E27" s="2">
        <v>1</v>
      </c>
      <c r="F27" s="2">
        <v>0</v>
      </c>
      <c r="G27" s="2">
        <v>0</v>
      </c>
      <c r="H27" s="2">
        <v>0</v>
      </c>
      <c r="I27" s="2">
        <v>0.55555555555555503</v>
      </c>
      <c r="J27" s="2">
        <v>1</v>
      </c>
      <c r="K27" s="2">
        <v>1</v>
      </c>
      <c r="L27" s="2">
        <v>0</v>
      </c>
      <c r="M27" s="2">
        <v>0</v>
      </c>
      <c r="N27" s="2">
        <v>0.2</v>
      </c>
      <c r="O27" s="2">
        <v>1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1</v>
      </c>
      <c r="AA27" s="2">
        <v>0</v>
      </c>
      <c r="AB27" s="2">
        <v>0</v>
      </c>
      <c r="AC27" s="2">
        <v>1</v>
      </c>
      <c r="AD27" s="2">
        <v>1</v>
      </c>
      <c r="AE27" s="2">
        <v>1</v>
      </c>
      <c r="AF27" s="2">
        <v>1</v>
      </c>
      <c r="AG27" s="2">
        <v>0</v>
      </c>
      <c r="AH27" s="2">
        <v>1</v>
      </c>
      <c r="AI27" s="2">
        <v>1</v>
      </c>
    </row>
    <row r="28" spans="1:35" x14ac:dyDescent="0.35">
      <c r="A28" s="2">
        <v>27</v>
      </c>
      <c r="B28" s="2" t="s">
        <v>120</v>
      </c>
      <c r="C28" s="2">
        <v>0.16666666666666599</v>
      </c>
      <c r="D28" s="2">
        <v>0</v>
      </c>
      <c r="E28" s="2">
        <v>0</v>
      </c>
      <c r="F28" s="2">
        <v>1</v>
      </c>
      <c r="G28" s="2">
        <v>0.33333333333333298</v>
      </c>
      <c r="H28" s="2">
        <v>1</v>
      </c>
      <c r="I28" s="2">
        <v>0.55555555555555503</v>
      </c>
      <c r="J28" s="2">
        <v>1</v>
      </c>
      <c r="K28" s="2">
        <v>0.5</v>
      </c>
      <c r="L28" s="2">
        <v>0</v>
      </c>
      <c r="M28" s="2">
        <v>0</v>
      </c>
      <c r="N28" s="2">
        <v>0.2</v>
      </c>
      <c r="O28" s="2">
        <v>1</v>
      </c>
      <c r="P28" s="2">
        <v>0</v>
      </c>
      <c r="Q28" s="2">
        <v>0</v>
      </c>
      <c r="R28" s="2">
        <v>0.6</v>
      </c>
      <c r="S28" s="2">
        <v>0</v>
      </c>
      <c r="T28" s="2">
        <v>0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1</v>
      </c>
      <c r="AA28" s="2">
        <v>1</v>
      </c>
      <c r="AB28" s="2">
        <v>0</v>
      </c>
      <c r="AC28" s="2">
        <v>1</v>
      </c>
      <c r="AD28" s="2">
        <v>1</v>
      </c>
      <c r="AE28" s="2">
        <v>1</v>
      </c>
      <c r="AF28" s="2">
        <v>1</v>
      </c>
      <c r="AG28" s="2">
        <v>0</v>
      </c>
      <c r="AH28" s="2">
        <v>1</v>
      </c>
      <c r="AI28" s="2">
        <v>1</v>
      </c>
    </row>
    <row r="29" spans="1:35" x14ac:dyDescent="0.35">
      <c r="A29" s="2">
        <v>28</v>
      </c>
      <c r="B29" s="2" t="s">
        <v>120</v>
      </c>
      <c r="C29" s="2">
        <v>0.5</v>
      </c>
      <c r="D29" s="2">
        <v>0.25</v>
      </c>
      <c r="E29" s="2">
        <v>0.23899371069182301</v>
      </c>
      <c r="F29" s="2">
        <v>0.66666666666666596</v>
      </c>
      <c r="G29" s="2">
        <v>0</v>
      </c>
      <c r="H29" s="2">
        <v>1</v>
      </c>
      <c r="I29" s="2">
        <v>0.55555555555555503</v>
      </c>
      <c r="J29" s="2">
        <v>1</v>
      </c>
      <c r="K29" s="2">
        <v>0.5</v>
      </c>
      <c r="L29" s="2">
        <v>0</v>
      </c>
      <c r="M29" s="2">
        <v>0</v>
      </c>
      <c r="N29" s="2">
        <v>0.2</v>
      </c>
      <c r="O29" s="2">
        <v>1</v>
      </c>
      <c r="P29" s="2">
        <v>0</v>
      </c>
      <c r="Q29" s="2">
        <v>0</v>
      </c>
      <c r="R29" s="2">
        <v>0.4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0.19565217391304299</v>
      </c>
    </row>
    <row r="30" spans="1:35" x14ac:dyDescent="0.35">
      <c r="A30" s="2">
        <v>29</v>
      </c>
      <c r="B30" s="2" t="s">
        <v>120</v>
      </c>
      <c r="C30" s="2">
        <v>0.66666666666666596</v>
      </c>
      <c r="D30" s="2">
        <v>0.25</v>
      </c>
      <c r="E30" s="2">
        <v>0.23899371069182301</v>
      </c>
      <c r="F30" s="2">
        <v>0.66666666666666596</v>
      </c>
      <c r="G30" s="2">
        <v>0.33333333333333298</v>
      </c>
      <c r="H30" s="2">
        <v>1</v>
      </c>
      <c r="I30" s="2">
        <v>0.55555555555555503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0.4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0.19565217391304299</v>
      </c>
    </row>
    <row r="31" spans="1:35" x14ac:dyDescent="0.35">
      <c r="A31" s="2">
        <v>30</v>
      </c>
      <c r="B31" s="2" t="s">
        <v>120</v>
      </c>
      <c r="C31" s="2">
        <v>0.66666666666666596</v>
      </c>
      <c r="D31" s="2">
        <v>0.25</v>
      </c>
      <c r="E31" s="2">
        <v>0.23899371069182301</v>
      </c>
      <c r="F31" s="2">
        <v>0.66666666666666596</v>
      </c>
      <c r="G31" s="2">
        <v>0</v>
      </c>
      <c r="H31" s="2">
        <v>1</v>
      </c>
      <c r="I31" s="2">
        <v>0.55555555555555503</v>
      </c>
      <c r="J31" s="2">
        <v>1</v>
      </c>
      <c r="K31" s="2">
        <v>0.5</v>
      </c>
      <c r="L31" s="2">
        <v>0</v>
      </c>
      <c r="M31" s="2">
        <v>0</v>
      </c>
      <c r="N31" s="2">
        <v>0.2</v>
      </c>
      <c r="O31" s="2">
        <v>1</v>
      </c>
      <c r="P31" s="2">
        <v>0</v>
      </c>
      <c r="Q31" s="2">
        <v>0</v>
      </c>
      <c r="R31" s="2">
        <v>0.4</v>
      </c>
      <c r="S31" s="2">
        <v>1</v>
      </c>
      <c r="T31" s="2">
        <v>0</v>
      </c>
      <c r="U31" s="2">
        <v>1</v>
      </c>
      <c r="V31" s="2">
        <v>1</v>
      </c>
      <c r="W31" s="2">
        <v>1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0.19565217391304299</v>
      </c>
    </row>
    <row r="32" spans="1:35" x14ac:dyDescent="0.35">
      <c r="A32" s="2">
        <v>31</v>
      </c>
      <c r="B32" s="2" t="s">
        <v>120</v>
      </c>
      <c r="C32" s="2">
        <v>0.66666666666666596</v>
      </c>
      <c r="D32" s="2">
        <v>0.25</v>
      </c>
      <c r="E32" s="2">
        <v>0.23899371069182301</v>
      </c>
      <c r="F32" s="2">
        <v>0.66666666666666596</v>
      </c>
      <c r="G32" s="2">
        <v>0</v>
      </c>
      <c r="H32" s="2">
        <v>1</v>
      </c>
      <c r="I32" s="2">
        <v>0.55555555555555503</v>
      </c>
      <c r="J32" s="2">
        <v>1</v>
      </c>
      <c r="K32" s="2">
        <v>0.5</v>
      </c>
      <c r="L32" s="2">
        <v>0</v>
      </c>
      <c r="M32" s="2">
        <v>0</v>
      </c>
      <c r="N32" s="2">
        <v>0.2</v>
      </c>
      <c r="O32" s="2">
        <v>1</v>
      </c>
      <c r="P32" s="2">
        <v>0</v>
      </c>
      <c r="Q32" s="2">
        <v>0</v>
      </c>
      <c r="R32" s="2">
        <v>0.4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0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0.19565217391304299</v>
      </c>
    </row>
    <row r="33" spans="1:35" x14ac:dyDescent="0.35">
      <c r="A33" s="2">
        <v>32</v>
      </c>
      <c r="B33" s="2" t="s">
        <v>121</v>
      </c>
      <c r="C33" s="2">
        <v>1</v>
      </c>
      <c r="D33" s="2">
        <v>0.5</v>
      </c>
      <c r="E33" s="2">
        <v>0.23899371069182301</v>
      </c>
      <c r="F33" s="2">
        <v>0.66666666666666596</v>
      </c>
      <c r="G33" s="2">
        <v>0</v>
      </c>
      <c r="H33" s="2">
        <v>1</v>
      </c>
      <c r="I33" s="2">
        <v>0.55555555555555503</v>
      </c>
      <c r="J33" s="2">
        <v>1</v>
      </c>
      <c r="K33" s="2">
        <v>0.5</v>
      </c>
      <c r="L33" s="2">
        <v>0</v>
      </c>
      <c r="M33" s="2">
        <v>0</v>
      </c>
      <c r="N33" s="2">
        <v>0.2</v>
      </c>
      <c r="O33" s="2">
        <v>1</v>
      </c>
      <c r="P33" s="2">
        <v>0</v>
      </c>
      <c r="Q33" s="2">
        <v>0</v>
      </c>
      <c r="R33" s="2">
        <v>0.4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1</v>
      </c>
      <c r="AA33" s="2">
        <v>1</v>
      </c>
      <c r="AB33" s="2">
        <v>0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0.19565217391304299</v>
      </c>
    </row>
    <row r="34" spans="1:35" x14ac:dyDescent="0.35">
      <c r="A34" s="2">
        <v>33</v>
      </c>
      <c r="B34" s="2" t="s">
        <v>120</v>
      </c>
      <c r="C34" s="2">
        <v>0.66666666666666596</v>
      </c>
      <c r="D34" s="2">
        <v>0.5</v>
      </c>
      <c r="E34" s="2">
        <v>0.23899371069182301</v>
      </c>
      <c r="F34" s="2">
        <v>0.66666666666666596</v>
      </c>
      <c r="G34" s="2">
        <v>0.33333333333333298</v>
      </c>
      <c r="H34" s="2">
        <v>1</v>
      </c>
      <c r="I34" s="2">
        <v>0.55555555555555503</v>
      </c>
      <c r="J34" s="2">
        <v>1</v>
      </c>
      <c r="K34" s="2">
        <v>0.5</v>
      </c>
      <c r="L34" s="2">
        <v>0</v>
      </c>
      <c r="M34" s="2">
        <v>0</v>
      </c>
      <c r="N34" s="2">
        <v>0.2</v>
      </c>
      <c r="O34" s="2">
        <v>1</v>
      </c>
      <c r="P34" s="2">
        <v>0</v>
      </c>
      <c r="Q34" s="2">
        <v>0</v>
      </c>
      <c r="R34" s="2">
        <v>0.4</v>
      </c>
      <c r="S34" s="2">
        <v>1</v>
      </c>
      <c r="T34" s="2">
        <v>0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0.19565217391304299</v>
      </c>
    </row>
    <row r="35" spans="1:35" x14ac:dyDescent="0.35">
      <c r="A35" s="2">
        <v>34</v>
      </c>
      <c r="B35" s="2" t="s">
        <v>120</v>
      </c>
      <c r="C35" s="2">
        <v>0.83333333333333304</v>
      </c>
      <c r="D35" s="2">
        <v>0.25</v>
      </c>
      <c r="E35" s="2">
        <v>0.23899371069182301</v>
      </c>
      <c r="F35" s="2">
        <v>0</v>
      </c>
      <c r="G35" s="2">
        <v>0</v>
      </c>
      <c r="H35" s="2">
        <v>1</v>
      </c>
      <c r="I35" s="2">
        <v>0.55555555555555503</v>
      </c>
      <c r="J35" s="2">
        <v>1</v>
      </c>
      <c r="K35" s="2">
        <v>0.5</v>
      </c>
      <c r="L35" s="2">
        <v>0</v>
      </c>
      <c r="M35" s="2">
        <v>1</v>
      </c>
      <c r="N35" s="2">
        <v>0.158904109589041</v>
      </c>
      <c r="O35" s="2">
        <v>1</v>
      </c>
      <c r="P35" s="2">
        <v>0</v>
      </c>
      <c r="Q35" s="2">
        <v>0</v>
      </c>
      <c r="R35" s="2">
        <v>0.4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0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0.19565217391304299</v>
      </c>
    </row>
    <row r="36" spans="1:35" x14ac:dyDescent="0.35">
      <c r="A36" s="2">
        <v>35</v>
      </c>
      <c r="B36" s="2" t="s">
        <v>120</v>
      </c>
      <c r="C36" s="2">
        <v>0.5</v>
      </c>
      <c r="D36" s="2">
        <v>0.25</v>
      </c>
      <c r="E36" s="2">
        <v>0.33333333333333298</v>
      </c>
      <c r="F36" s="2">
        <v>0.66666666666666596</v>
      </c>
      <c r="G36" s="2">
        <v>0.33333333333333298</v>
      </c>
      <c r="H36" s="2">
        <v>1</v>
      </c>
      <c r="I36" s="2">
        <v>0.55555555555555503</v>
      </c>
      <c r="J36" s="2">
        <v>1</v>
      </c>
      <c r="K36" s="2">
        <v>0</v>
      </c>
      <c r="L36" s="2">
        <v>0</v>
      </c>
      <c r="M36" s="2">
        <v>0</v>
      </c>
      <c r="N36" s="2">
        <v>0.2</v>
      </c>
      <c r="O36" s="2">
        <v>1</v>
      </c>
      <c r="P36" s="2">
        <v>0</v>
      </c>
      <c r="Q36" s="2">
        <v>0</v>
      </c>
      <c r="R36" s="2">
        <v>0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1</v>
      </c>
      <c r="AA36" s="2">
        <v>1</v>
      </c>
      <c r="AB36" s="2">
        <v>0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0</v>
      </c>
    </row>
    <row r="37" spans="1:35" x14ac:dyDescent="0.35">
      <c r="A37" s="2">
        <v>36</v>
      </c>
      <c r="B37" s="2" t="s">
        <v>120</v>
      </c>
      <c r="C37" s="2">
        <v>0</v>
      </c>
      <c r="D37" s="2">
        <v>0.25</v>
      </c>
      <c r="E37" s="2">
        <v>0.33333333333333298</v>
      </c>
      <c r="F37" s="2">
        <v>1</v>
      </c>
      <c r="G37" s="2">
        <v>0.33333333333333298</v>
      </c>
      <c r="H37" s="2">
        <v>1</v>
      </c>
      <c r="I37" s="2">
        <v>0.55555555555555503</v>
      </c>
      <c r="J37" s="2">
        <v>1</v>
      </c>
      <c r="K37" s="2">
        <v>0.5</v>
      </c>
      <c r="L37" s="2">
        <v>1</v>
      </c>
      <c r="M37" s="2">
        <v>0</v>
      </c>
      <c r="N37" s="2">
        <v>0.2</v>
      </c>
      <c r="O37" s="2">
        <v>1</v>
      </c>
      <c r="P37" s="2">
        <v>0</v>
      </c>
      <c r="Q37" s="2">
        <v>1</v>
      </c>
      <c r="R37" s="2">
        <v>0.4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0</v>
      </c>
    </row>
    <row r="38" spans="1:35" x14ac:dyDescent="0.35">
      <c r="A38" s="2">
        <v>37</v>
      </c>
      <c r="B38" s="2" t="s">
        <v>120</v>
      </c>
      <c r="C38" s="2">
        <v>0.33333333333333298</v>
      </c>
      <c r="D38" s="2">
        <v>0</v>
      </c>
      <c r="E38" s="2">
        <v>0</v>
      </c>
      <c r="F38" s="2">
        <v>0.66666666666666596</v>
      </c>
      <c r="G38" s="2">
        <v>0</v>
      </c>
      <c r="H38" s="2">
        <v>1</v>
      </c>
      <c r="I38" s="2">
        <v>0.55555555555555503</v>
      </c>
      <c r="J38" s="2">
        <v>1</v>
      </c>
      <c r="K38" s="2">
        <v>0.5</v>
      </c>
      <c r="L38" s="2">
        <v>0</v>
      </c>
      <c r="M38" s="2">
        <v>0</v>
      </c>
      <c r="N38" s="2">
        <v>0.2</v>
      </c>
      <c r="O38" s="2">
        <v>0.5</v>
      </c>
      <c r="P38" s="2">
        <v>0</v>
      </c>
      <c r="Q38" s="2">
        <v>0</v>
      </c>
      <c r="R38" s="2">
        <v>0.4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0.19565217391304299</v>
      </c>
    </row>
    <row r="39" spans="1:35" x14ac:dyDescent="0.35">
      <c r="A39" s="2">
        <v>38</v>
      </c>
      <c r="B39" s="2" t="s">
        <v>120</v>
      </c>
      <c r="C39" s="2">
        <v>0.16666666666666599</v>
      </c>
      <c r="D39" s="2">
        <v>0.5</v>
      </c>
      <c r="E39" s="2">
        <v>0.23899371069182301</v>
      </c>
      <c r="F39" s="2">
        <v>1</v>
      </c>
      <c r="G39" s="2">
        <v>0.33333333333333298</v>
      </c>
      <c r="H39" s="2">
        <v>1</v>
      </c>
      <c r="I39" s="2">
        <v>0.55555555555555503</v>
      </c>
      <c r="J39" s="2">
        <v>1</v>
      </c>
      <c r="K39" s="2">
        <v>0</v>
      </c>
      <c r="L39" s="2">
        <v>0</v>
      </c>
      <c r="M39" s="2">
        <v>0</v>
      </c>
      <c r="N39" s="2">
        <v>0.2</v>
      </c>
      <c r="O39" s="2">
        <v>0.5</v>
      </c>
      <c r="P39" s="2">
        <v>0</v>
      </c>
      <c r="Q39" s="2">
        <v>0</v>
      </c>
      <c r="R39" s="2">
        <v>0.4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0.19565217391304299</v>
      </c>
    </row>
    <row r="40" spans="1:35" x14ac:dyDescent="0.35">
      <c r="A40" s="2">
        <v>39</v>
      </c>
      <c r="B40" s="2" t="s">
        <v>120</v>
      </c>
      <c r="C40" s="2">
        <v>0</v>
      </c>
      <c r="D40" s="2">
        <v>0.23765432098765399</v>
      </c>
      <c r="E40" s="2">
        <v>0.23899371069182301</v>
      </c>
      <c r="F40" s="2">
        <v>0.53703703703703698</v>
      </c>
      <c r="G40" s="2">
        <v>0.12757201646090499</v>
      </c>
      <c r="H40" s="2">
        <v>0.94805194805194803</v>
      </c>
      <c r="I40" s="2">
        <v>0.55692729766803795</v>
      </c>
      <c r="J40" s="2">
        <v>0.936708860759493</v>
      </c>
      <c r="K40" s="2">
        <v>0.407407407407407</v>
      </c>
      <c r="L40" s="2">
        <v>0.19478737997256501</v>
      </c>
      <c r="M40" s="2">
        <v>5.5555555555555497E-2</v>
      </c>
      <c r="N40" s="2">
        <v>0.158904109589041</v>
      </c>
      <c r="O40" s="2">
        <v>0.95061728395061695</v>
      </c>
      <c r="P40" s="2">
        <v>6.1728395061728301E-2</v>
      </c>
      <c r="Q40" s="2">
        <v>0.189873417721519</v>
      </c>
      <c r="R40" s="2">
        <v>0.32345679012345602</v>
      </c>
      <c r="S40" s="2">
        <v>0.98765432098765404</v>
      </c>
      <c r="T40" s="2">
        <v>0.76543209876543195</v>
      </c>
      <c r="U40" s="2">
        <v>0.97530864197530798</v>
      </c>
      <c r="V40" s="2">
        <v>1</v>
      </c>
      <c r="W40" s="2">
        <v>1</v>
      </c>
      <c r="X40" s="2">
        <v>0.11111111111111099</v>
      </c>
      <c r="Y40" s="2">
        <v>1</v>
      </c>
      <c r="Z40" s="2">
        <v>0.97530864197530798</v>
      </c>
      <c r="AA40" s="2">
        <v>0.90123456790123402</v>
      </c>
      <c r="AB40" s="2">
        <v>0.44444444444444398</v>
      </c>
      <c r="AC40" s="2">
        <v>1</v>
      </c>
      <c r="AD40" s="2">
        <v>1</v>
      </c>
      <c r="AE40" s="2">
        <v>1</v>
      </c>
      <c r="AF40" s="2">
        <v>1</v>
      </c>
      <c r="AG40" s="2">
        <v>0.938271604938271</v>
      </c>
      <c r="AH40" s="2">
        <v>1</v>
      </c>
      <c r="AI40" s="2">
        <v>0.19565217391304299</v>
      </c>
    </row>
    <row r="41" spans="1:35" x14ac:dyDescent="0.35">
      <c r="A41" s="2">
        <v>40</v>
      </c>
      <c r="B41" s="2" t="s">
        <v>120</v>
      </c>
      <c r="C41" s="2">
        <v>0.5</v>
      </c>
      <c r="D41" s="2">
        <v>0.5</v>
      </c>
      <c r="E41" s="2">
        <v>0.23899371069182301</v>
      </c>
      <c r="F41" s="2">
        <v>0.66666666666666596</v>
      </c>
      <c r="G41" s="2">
        <v>0</v>
      </c>
      <c r="H41" s="2">
        <v>1</v>
      </c>
      <c r="I41" s="2">
        <v>0.55555555555555503</v>
      </c>
      <c r="J41" s="2">
        <v>1</v>
      </c>
      <c r="K41" s="2">
        <v>0</v>
      </c>
      <c r="L41" s="2">
        <v>0</v>
      </c>
      <c r="M41" s="2">
        <v>0.5</v>
      </c>
      <c r="N41" s="2">
        <v>0.158904109589041</v>
      </c>
      <c r="O41" s="2">
        <v>1</v>
      </c>
      <c r="P41" s="2">
        <v>0</v>
      </c>
      <c r="Q41" s="2">
        <v>0</v>
      </c>
      <c r="R41" s="2">
        <v>0.4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0.19565217391304299</v>
      </c>
    </row>
    <row r="42" spans="1:35" x14ac:dyDescent="0.35">
      <c r="A42" s="2">
        <v>41</v>
      </c>
      <c r="B42" s="2" t="s">
        <v>120</v>
      </c>
      <c r="C42" s="2">
        <v>0.33333333333333298</v>
      </c>
      <c r="D42" s="2">
        <v>0.23765432098765399</v>
      </c>
      <c r="E42" s="2">
        <v>0.23899371069182301</v>
      </c>
      <c r="F42" s="2">
        <v>0.53703703703703698</v>
      </c>
      <c r="G42" s="2">
        <v>0.12757201646090499</v>
      </c>
      <c r="H42" s="2">
        <v>0.94805194805194803</v>
      </c>
      <c r="I42" s="2">
        <v>0.55692729766803795</v>
      </c>
      <c r="J42" s="2">
        <v>0.936708860759493</v>
      </c>
      <c r="K42" s="2">
        <v>0.407407407407407</v>
      </c>
      <c r="L42" s="2">
        <v>0.19478737997256501</v>
      </c>
      <c r="M42" s="2">
        <v>5.5555555555555497E-2</v>
      </c>
      <c r="N42" s="2">
        <v>0.158904109589041</v>
      </c>
      <c r="O42" s="2">
        <v>0.95061728395061695</v>
      </c>
      <c r="P42" s="2">
        <v>6.1728395061728301E-2</v>
      </c>
      <c r="Q42" s="2">
        <v>0.189873417721519</v>
      </c>
      <c r="R42" s="2">
        <v>0.32345679012345602</v>
      </c>
      <c r="S42" s="2">
        <v>0.98765432098765404</v>
      </c>
      <c r="T42" s="2">
        <v>0.76543209876543195</v>
      </c>
      <c r="U42" s="2">
        <v>0.97530864197530798</v>
      </c>
      <c r="V42" s="2">
        <v>1</v>
      </c>
      <c r="W42" s="2">
        <v>1</v>
      </c>
      <c r="X42" s="2">
        <v>0.11111111111111099</v>
      </c>
      <c r="Y42" s="2">
        <v>1</v>
      </c>
      <c r="Z42" s="2">
        <v>0.97530864197530798</v>
      </c>
      <c r="AA42" s="2">
        <v>0.90123456790123402</v>
      </c>
      <c r="AB42" s="2">
        <v>0.44444444444444398</v>
      </c>
      <c r="AC42" s="2">
        <v>1</v>
      </c>
      <c r="AD42" s="2">
        <v>1</v>
      </c>
      <c r="AE42" s="2">
        <v>1</v>
      </c>
      <c r="AF42" s="2">
        <v>1</v>
      </c>
      <c r="AG42" s="2">
        <v>0.938271604938271</v>
      </c>
      <c r="AH42" s="2">
        <v>1</v>
      </c>
      <c r="AI42" s="2">
        <v>0.19565217391304299</v>
      </c>
    </row>
    <row r="43" spans="1:35" x14ac:dyDescent="0.35">
      <c r="A43" s="2">
        <v>42</v>
      </c>
      <c r="B43" s="2" t="s">
        <v>120</v>
      </c>
      <c r="C43" s="2">
        <v>0.5</v>
      </c>
      <c r="D43" s="2">
        <v>0.5</v>
      </c>
      <c r="E43" s="2">
        <v>0.23899371069182301</v>
      </c>
      <c r="F43" s="2">
        <v>0.66666666666666596</v>
      </c>
      <c r="G43" s="2">
        <v>0</v>
      </c>
      <c r="H43" s="2">
        <v>1</v>
      </c>
      <c r="I43" s="2">
        <v>0.55555555555555503</v>
      </c>
      <c r="J43" s="2">
        <v>1</v>
      </c>
      <c r="K43" s="2">
        <v>0.5</v>
      </c>
      <c r="L43" s="2">
        <v>0</v>
      </c>
      <c r="M43" s="2">
        <v>0</v>
      </c>
      <c r="N43" s="2">
        <v>0.2</v>
      </c>
      <c r="O43" s="2">
        <v>1</v>
      </c>
      <c r="P43" s="2">
        <v>0</v>
      </c>
      <c r="Q43" s="2">
        <v>0</v>
      </c>
      <c r="R43" s="2">
        <v>0.4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0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0.19565217391304299</v>
      </c>
    </row>
    <row r="44" spans="1:35" x14ac:dyDescent="0.35">
      <c r="A44" s="2">
        <v>43</v>
      </c>
      <c r="B44" s="2" t="s">
        <v>120</v>
      </c>
      <c r="C44" s="2">
        <v>0.33333333333333298</v>
      </c>
      <c r="D44" s="2">
        <v>0.25</v>
      </c>
      <c r="E44" s="2">
        <v>0.23899371069182301</v>
      </c>
      <c r="F44" s="2">
        <v>0</v>
      </c>
      <c r="G44" s="2">
        <v>0</v>
      </c>
      <c r="H44" s="2">
        <v>1</v>
      </c>
      <c r="I44" s="2">
        <v>0.55555555555555503</v>
      </c>
      <c r="J44" s="2">
        <v>1</v>
      </c>
      <c r="K44" s="2">
        <v>0</v>
      </c>
      <c r="L44" s="2">
        <v>0</v>
      </c>
      <c r="M44" s="2">
        <v>0</v>
      </c>
      <c r="N44" s="2">
        <v>0.2</v>
      </c>
      <c r="O44" s="2">
        <v>0.5</v>
      </c>
      <c r="P44" s="2">
        <v>0</v>
      </c>
      <c r="Q44" s="2">
        <v>0</v>
      </c>
      <c r="R44" s="2">
        <v>0.4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1</v>
      </c>
      <c r="Z44" s="2">
        <v>1</v>
      </c>
      <c r="AA44" s="2">
        <v>1</v>
      </c>
      <c r="AB44" s="2">
        <v>0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0.19565217391304299</v>
      </c>
    </row>
    <row r="45" spans="1:35" x14ac:dyDescent="0.35">
      <c r="A45" s="2">
        <v>44</v>
      </c>
      <c r="B45" s="2" t="s">
        <v>121</v>
      </c>
      <c r="C45" s="2">
        <v>0.83333333333333304</v>
      </c>
      <c r="D45" s="2">
        <v>0.25</v>
      </c>
      <c r="E45" s="2">
        <v>0.33333333333333298</v>
      </c>
      <c r="F45" s="2">
        <v>1</v>
      </c>
      <c r="G45" s="2">
        <v>0.33333333333333298</v>
      </c>
      <c r="H45" s="2">
        <v>1</v>
      </c>
      <c r="I45" s="2">
        <v>0.55555555555555503</v>
      </c>
      <c r="J45" s="2">
        <v>1</v>
      </c>
      <c r="K45" s="2">
        <v>0.5</v>
      </c>
      <c r="L45" s="2">
        <v>1</v>
      </c>
      <c r="M45" s="2">
        <v>0</v>
      </c>
      <c r="N45" s="2">
        <v>0.2</v>
      </c>
      <c r="O45" s="2">
        <v>1</v>
      </c>
      <c r="P45" s="2">
        <v>0</v>
      </c>
      <c r="Q45" s="2">
        <v>1</v>
      </c>
      <c r="R45" s="2">
        <v>0.4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0</v>
      </c>
      <c r="Y45" s="2">
        <v>1</v>
      </c>
      <c r="Z45" s="2">
        <v>1</v>
      </c>
      <c r="AA45" s="2">
        <v>1</v>
      </c>
      <c r="AB45" s="2">
        <v>0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0</v>
      </c>
    </row>
    <row r="46" spans="1:35" x14ac:dyDescent="0.35">
      <c r="A46" s="2">
        <v>45</v>
      </c>
      <c r="B46" s="2" t="s">
        <v>121</v>
      </c>
      <c r="C46" s="2">
        <v>0.83333333333333304</v>
      </c>
      <c r="D46" s="2">
        <v>0.25</v>
      </c>
      <c r="E46" s="2">
        <v>0.33333333333333298</v>
      </c>
      <c r="F46" s="2">
        <v>0.66666666666666596</v>
      </c>
      <c r="G46" s="2">
        <v>0</v>
      </c>
      <c r="H46" s="2">
        <v>1</v>
      </c>
      <c r="I46" s="2">
        <v>0.55555555555555503</v>
      </c>
      <c r="J46" s="2">
        <v>1</v>
      </c>
      <c r="K46" s="2">
        <v>0.5</v>
      </c>
      <c r="L46" s="2">
        <v>1</v>
      </c>
      <c r="M46" s="2">
        <v>0</v>
      </c>
      <c r="N46" s="2">
        <v>0.2</v>
      </c>
      <c r="O46" s="2">
        <v>1</v>
      </c>
      <c r="P46" s="2">
        <v>0</v>
      </c>
      <c r="Q46" s="2">
        <v>1</v>
      </c>
      <c r="R46" s="2">
        <v>0.2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1</v>
      </c>
      <c r="Z46" s="2">
        <v>1</v>
      </c>
      <c r="AA46" s="2">
        <v>1</v>
      </c>
      <c r="AB46" s="2">
        <v>0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0</v>
      </c>
    </row>
    <row r="47" spans="1:35" x14ac:dyDescent="0.35">
      <c r="A47" s="2">
        <v>46</v>
      </c>
      <c r="B47" s="2" t="s">
        <v>120</v>
      </c>
      <c r="C47" s="2">
        <v>0</v>
      </c>
      <c r="D47" s="2">
        <v>0.25</v>
      </c>
      <c r="E47" s="2">
        <v>0.33333333333333298</v>
      </c>
      <c r="F47" s="2">
        <v>0.66666666666666596</v>
      </c>
      <c r="G47" s="2">
        <v>0</v>
      </c>
      <c r="H47" s="2">
        <v>1</v>
      </c>
      <c r="I47" s="2">
        <v>0.55555555555555503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0</v>
      </c>
    </row>
    <row r="48" spans="1:35" x14ac:dyDescent="0.35">
      <c r="A48" s="2">
        <v>47</v>
      </c>
      <c r="B48" s="2" t="s">
        <v>120</v>
      </c>
      <c r="C48" s="2">
        <v>0.5</v>
      </c>
      <c r="D48" s="2">
        <v>0.25</v>
      </c>
      <c r="E48" s="2">
        <v>0.33333333333333298</v>
      </c>
      <c r="F48" s="2">
        <v>0.66666666666666596</v>
      </c>
      <c r="G48" s="2">
        <v>0.33333333333333298</v>
      </c>
      <c r="H48" s="2">
        <v>1</v>
      </c>
      <c r="I48" s="2">
        <v>0.55555555555555503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0.33333333333333298</v>
      </c>
      <c r="Q48" s="2">
        <v>0</v>
      </c>
      <c r="R48" s="2">
        <v>0.4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0</v>
      </c>
    </row>
    <row r="49" spans="1:35" x14ac:dyDescent="0.35">
      <c r="A49" s="2">
        <v>48</v>
      </c>
      <c r="B49" s="2" t="s">
        <v>121</v>
      </c>
      <c r="C49" s="2">
        <v>0.83333333333333304</v>
      </c>
      <c r="D49" s="2">
        <v>0.25</v>
      </c>
      <c r="E49" s="2">
        <v>0.33333333333333298</v>
      </c>
      <c r="F49" s="2">
        <v>0.5</v>
      </c>
      <c r="G49" s="2">
        <v>0.33333333333333298</v>
      </c>
      <c r="H49" s="2">
        <v>1</v>
      </c>
      <c r="I49" s="2">
        <v>0.55555555555555503</v>
      </c>
      <c r="J49" s="2">
        <v>1</v>
      </c>
      <c r="K49" s="2">
        <v>0.5</v>
      </c>
      <c r="L49" s="2">
        <v>0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0.4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0</v>
      </c>
      <c r="Y49" s="2">
        <v>1</v>
      </c>
      <c r="Z49" s="2">
        <v>1</v>
      </c>
      <c r="AA49" s="2">
        <v>1</v>
      </c>
      <c r="AB49" s="2">
        <v>0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0</v>
      </c>
    </row>
    <row r="50" spans="1:35" x14ac:dyDescent="0.35">
      <c r="A50" s="2">
        <v>49</v>
      </c>
      <c r="B50" s="2" t="s">
        <v>120</v>
      </c>
      <c r="C50" s="2">
        <v>0.5</v>
      </c>
      <c r="D50" s="2">
        <v>0.25</v>
      </c>
      <c r="E50" s="2">
        <v>0.33333333333333298</v>
      </c>
      <c r="F50" s="2">
        <v>0.66666666666666596</v>
      </c>
      <c r="G50" s="2">
        <v>0</v>
      </c>
      <c r="H50" s="2">
        <v>1</v>
      </c>
      <c r="I50" s="2">
        <v>0.55555555555555503</v>
      </c>
      <c r="J50" s="2">
        <v>1</v>
      </c>
      <c r="K50" s="2">
        <v>0.5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1</v>
      </c>
      <c r="V50" s="2">
        <v>1</v>
      </c>
      <c r="W50" s="2">
        <v>1</v>
      </c>
      <c r="X50" s="2">
        <v>0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0</v>
      </c>
    </row>
    <row r="51" spans="1:35" x14ac:dyDescent="0.35">
      <c r="A51" s="2">
        <v>50</v>
      </c>
      <c r="B51" s="2" t="s">
        <v>120</v>
      </c>
      <c r="C51" s="2">
        <v>0.83333333333333304</v>
      </c>
      <c r="D51" s="2">
        <v>0</v>
      </c>
      <c r="E51" s="2">
        <v>0</v>
      </c>
      <c r="F51" s="2">
        <v>0.66666666666666596</v>
      </c>
      <c r="G51" s="2">
        <v>0</v>
      </c>
      <c r="H51" s="2">
        <v>1</v>
      </c>
      <c r="I51" s="2">
        <v>0.55555555555555503</v>
      </c>
      <c r="J51" s="2">
        <v>0</v>
      </c>
      <c r="K51" s="2">
        <v>0.5</v>
      </c>
      <c r="L51" s="2">
        <v>0</v>
      </c>
      <c r="M51" s="2">
        <v>0</v>
      </c>
      <c r="N51" s="2">
        <v>0.2</v>
      </c>
      <c r="O51" s="2">
        <v>1</v>
      </c>
      <c r="P51" s="2">
        <v>0</v>
      </c>
      <c r="Q51" s="2">
        <v>1</v>
      </c>
      <c r="R51" s="2">
        <v>0.4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1</v>
      </c>
      <c r="AA51" s="2">
        <v>1</v>
      </c>
      <c r="AB51" s="2">
        <v>0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0</v>
      </c>
    </row>
    <row r="52" spans="1:35" x14ac:dyDescent="0.35">
      <c r="A52" s="2">
        <v>51</v>
      </c>
      <c r="B52" s="2" t="s">
        <v>120</v>
      </c>
      <c r="C52" s="2">
        <v>0.66666666666666596</v>
      </c>
      <c r="D52" s="2">
        <v>0</v>
      </c>
      <c r="E52" s="2">
        <v>0</v>
      </c>
      <c r="F52" s="2">
        <v>0</v>
      </c>
      <c r="G52" s="2">
        <v>0</v>
      </c>
      <c r="H52" s="2">
        <v>1</v>
      </c>
      <c r="I52" s="2">
        <v>0.55555555555555503</v>
      </c>
      <c r="J52" s="2">
        <v>1</v>
      </c>
      <c r="K52" s="2">
        <v>1</v>
      </c>
      <c r="L52" s="2">
        <v>0</v>
      </c>
      <c r="M52" s="2">
        <v>0</v>
      </c>
      <c r="N52" s="2">
        <v>0.2</v>
      </c>
      <c r="O52" s="2">
        <v>1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1</v>
      </c>
      <c r="AA52" s="2">
        <v>0</v>
      </c>
      <c r="AB52" s="2">
        <v>0</v>
      </c>
      <c r="AC52" s="2">
        <v>1</v>
      </c>
      <c r="AD52" s="2">
        <v>1</v>
      </c>
      <c r="AE52" s="2">
        <v>1</v>
      </c>
      <c r="AF52" s="2">
        <v>1</v>
      </c>
      <c r="AG52" s="2">
        <v>0</v>
      </c>
      <c r="AH52" s="2">
        <v>1</v>
      </c>
      <c r="AI52" s="2">
        <v>0.5</v>
      </c>
    </row>
    <row r="53" spans="1:35" x14ac:dyDescent="0.35">
      <c r="A53" s="2">
        <v>52</v>
      </c>
      <c r="B53" s="2" t="s">
        <v>120</v>
      </c>
      <c r="C53" s="2">
        <v>0.66666666666666596</v>
      </c>
      <c r="D53" s="2">
        <v>0.5</v>
      </c>
      <c r="E53" s="2">
        <v>0.23899371069182301</v>
      </c>
      <c r="F53" s="2">
        <v>0</v>
      </c>
      <c r="G53" s="2">
        <v>0</v>
      </c>
      <c r="H53" s="2">
        <v>1</v>
      </c>
      <c r="I53" s="2">
        <v>0.55555555555555503</v>
      </c>
      <c r="J53" s="2">
        <v>1</v>
      </c>
      <c r="K53" s="2">
        <v>0.5</v>
      </c>
      <c r="L53" s="2">
        <v>0</v>
      </c>
      <c r="M53" s="2">
        <v>0</v>
      </c>
      <c r="N53" s="2">
        <v>0.2</v>
      </c>
      <c r="O53" s="2">
        <v>1</v>
      </c>
      <c r="P53" s="2">
        <v>0</v>
      </c>
      <c r="Q53" s="2">
        <v>0</v>
      </c>
      <c r="R53" s="2">
        <v>0.4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0.19565217391304299</v>
      </c>
    </row>
    <row r="54" spans="1:35" x14ac:dyDescent="0.35">
      <c r="A54" s="2">
        <v>53</v>
      </c>
      <c r="B54" s="2" t="s">
        <v>120</v>
      </c>
      <c r="C54" s="2">
        <v>0.33333333333333298</v>
      </c>
      <c r="D54" s="2">
        <v>1</v>
      </c>
      <c r="E54" s="2">
        <v>1</v>
      </c>
      <c r="F54" s="2">
        <v>0</v>
      </c>
      <c r="G54" s="2">
        <v>0</v>
      </c>
      <c r="H54" s="2">
        <v>1</v>
      </c>
      <c r="I54" s="2">
        <v>0.22222222222222199</v>
      </c>
      <c r="J54" s="2">
        <v>1</v>
      </c>
      <c r="K54" s="2">
        <v>0</v>
      </c>
      <c r="L54" s="2">
        <v>0</v>
      </c>
      <c r="M54" s="2">
        <v>0.5</v>
      </c>
      <c r="N54" s="2">
        <v>0.158904109589041</v>
      </c>
      <c r="O54" s="2">
        <v>1</v>
      </c>
      <c r="P54" s="2">
        <v>0.66666666666666596</v>
      </c>
      <c r="Q54" s="2">
        <v>0</v>
      </c>
      <c r="R54" s="2">
        <v>0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0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</row>
    <row r="55" spans="1:35" x14ac:dyDescent="0.35">
      <c r="A55" s="2">
        <v>54</v>
      </c>
      <c r="B55" s="2" t="s">
        <v>120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0.55555555555555503</v>
      </c>
      <c r="J55" s="2">
        <v>1</v>
      </c>
      <c r="K55" s="2">
        <v>0</v>
      </c>
      <c r="L55" s="2">
        <v>0</v>
      </c>
      <c r="M55" s="2">
        <v>0.5</v>
      </c>
      <c r="N55" s="2">
        <v>0.158904109589041</v>
      </c>
      <c r="O55" s="2">
        <v>1</v>
      </c>
      <c r="P55" s="2">
        <v>0</v>
      </c>
      <c r="Q55" s="2">
        <v>0</v>
      </c>
      <c r="R55" s="2">
        <v>0.4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0.19565217391304299</v>
      </c>
    </row>
    <row r="56" spans="1:35" x14ac:dyDescent="0.35">
      <c r="A56" s="2">
        <v>55</v>
      </c>
      <c r="B56" s="2" t="s">
        <v>120</v>
      </c>
      <c r="C56" s="2">
        <v>0.33333333333333298</v>
      </c>
      <c r="D56" s="2">
        <v>0.25</v>
      </c>
      <c r="E56" s="2">
        <v>0.23899371069182301</v>
      </c>
      <c r="F56" s="2">
        <v>0.66666666666666596</v>
      </c>
      <c r="G56" s="2">
        <v>0</v>
      </c>
      <c r="H56" s="2">
        <v>1</v>
      </c>
      <c r="I56" s="2">
        <v>0.55555555555555503</v>
      </c>
      <c r="J56" s="2">
        <v>1</v>
      </c>
      <c r="K56" s="2">
        <v>0.5</v>
      </c>
      <c r="L56" s="2">
        <v>0</v>
      </c>
      <c r="M56" s="2">
        <v>0</v>
      </c>
      <c r="N56" s="2">
        <v>0.2</v>
      </c>
      <c r="O56" s="2">
        <v>1</v>
      </c>
      <c r="P56" s="2">
        <v>0</v>
      </c>
      <c r="Q56" s="2">
        <v>0</v>
      </c>
      <c r="R56" s="2">
        <v>0.4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0.19565217391304299</v>
      </c>
    </row>
    <row r="57" spans="1:35" x14ac:dyDescent="0.35">
      <c r="A57" s="2">
        <v>56</v>
      </c>
      <c r="B57" s="2" t="s">
        <v>120</v>
      </c>
      <c r="C57" s="2">
        <v>0.16666666666666599</v>
      </c>
      <c r="D57" s="2">
        <v>0.25</v>
      </c>
      <c r="E57" s="2">
        <v>0.23899371069182301</v>
      </c>
      <c r="F57" s="2">
        <v>0</v>
      </c>
      <c r="G57" s="2">
        <v>0</v>
      </c>
      <c r="H57" s="2">
        <v>1</v>
      </c>
      <c r="I57" s="2">
        <v>0.55555555555555503</v>
      </c>
      <c r="J57" s="2">
        <v>1</v>
      </c>
      <c r="K57" s="2">
        <v>0</v>
      </c>
      <c r="L57" s="2">
        <v>0</v>
      </c>
      <c r="M57" s="2">
        <v>0</v>
      </c>
      <c r="N57" s="2">
        <v>0.2</v>
      </c>
      <c r="O57" s="2">
        <v>1</v>
      </c>
      <c r="P57" s="2">
        <v>0</v>
      </c>
      <c r="Q57" s="2">
        <v>0</v>
      </c>
      <c r="R57" s="2">
        <v>0.4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0.19565217391304299</v>
      </c>
    </row>
    <row r="58" spans="1:35" x14ac:dyDescent="0.35">
      <c r="A58" s="2">
        <v>57</v>
      </c>
      <c r="B58" s="2" t="s">
        <v>120</v>
      </c>
      <c r="C58" s="2">
        <v>0.66666666666666596</v>
      </c>
      <c r="D58" s="2">
        <v>0.5</v>
      </c>
      <c r="E58" s="2">
        <v>0.23899371069182301</v>
      </c>
      <c r="F58" s="2">
        <v>0</v>
      </c>
      <c r="G58" s="2">
        <v>0.33333333333333298</v>
      </c>
      <c r="H58" s="2">
        <v>1</v>
      </c>
      <c r="I58" s="2">
        <v>0.55555555555555503</v>
      </c>
      <c r="J58" s="2">
        <v>1</v>
      </c>
      <c r="K58" s="2">
        <v>0</v>
      </c>
      <c r="L58" s="2">
        <v>0</v>
      </c>
      <c r="M58" s="2">
        <v>0</v>
      </c>
      <c r="N58" s="2">
        <v>0.2</v>
      </c>
      <c r="O58" s="2">
        <v>1</v>
      </c>
      <c r="P58" s="2">
        <v>0</v>
      </c>
      <c r="Q58" s="2">
        <v>0</v>
      </c>
      <c r="R58" s="2">
        <v>0.4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0</v>
      </c>
      <c r="Y58" s="2">
        <v>1</v>
      </c>
      <c r="Z58" s="2">
        <v>1</v>
      </c>
      <c r="AA58" s="2">
        <v>1</v>
      </c>
      <c r="AB58" s="2">
        <v>0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0.19565217391304299</v>
      </c>
    </row>
    <row r="59" spans="1:35" x14ac:dyDescent="0.35">
      <c r="A59" s="2">
        <v>58</v>
      </c>
      <c r="B59" s="2" t="s">
        <v>120</v>
      </c>
      <c r="C59" s="2">
        <v>0.66666666666666596</v>
      </c>
      <c r="D59" s="2">
        <v>0.5</v>
      </c>
      <c r="E59" s="2">
        <v>0.23899371069182301</v>
      </c>
      <c r="F59" s="2">
        <v>0.66666666666666596</v>
      </c>
      <c r="G59" s="2">
        <v>0</v>
      </c>
      <c r="H59" s="2">
        <v>1</v>
      </c>
      <c r="I59" s="2">
        <v>0.55555555555555503</v>
      </c>
      <c r="J59" s="2">
        <v>1</v>
      </c>
      <c r="K59" s="2">
        <v>0</v>
      </c>
      <c r="L59" s="2">
        <v>0</v>
      </c>
      <c r="M59" s="2">
        <v>0.5</v>
      </c>
      <c r="N59" s="2">
        <v>0.158904109589041</v>
      </c>
      <c r="O59" s="2">
        <v>1</v>
      </c>
      <c r="P59" s="2">
        <v>0.33333333333333298</v>
      </c>
      <c r="Q59" s="2">
        <v>0</v>
      </c>
      <c r="R59" s="2">
        <v>0.4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0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0.19565217391304299</v>
      </c>
    </row>
    <row r="60" spans="1:35" x14ac:dyDescent="0.35">
      <c r="A60" s="2">
        <v>59</v>
      </c>
      <c r="B60" s="2" t="s">
        <v>120</v>
      </c>
      <c r="C60" s="2">
        <v>0.16666666666666599</v>
      </c>
      <c r="D60" s="2">
        <v>0</v>
      </c>
      <c r="E60" s="2">
        <v>0</v>
      </c>
      <c r="F60" s="2">
        <v>0.66666666666666596</v>
      </c>
      <c r="G60" s="2">
        <v>0</v>
      </c>
      <c r="H60" s="2">
        <v>1</v>
      </c>
      <c r="I60" s="2">
        <v>0.55555555555555503</v>
      </c>
      <c r="J60" s="2">
        <v>1</v>
      </c>
      <c r="K60" s="2">
        <v>1</v>
      </c>
      <c r="L60" s="2">
        <v>0</v>
      </c>
      <c r="M60" s="2">
        <v>0</v>
      </c>
      <c r="N60" s="2">
        <v>0.2</v>
      </c>
      <c r="O60" s="2">
        <v>1</v>
      </c>
      <c r="P60" s="2">
        <v>0</v>
      </c>
      <c r="Q60" s="2">
        <v>0</v>
      </c>
      <c r="R60" s="2">
        <v>0.4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0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0.19565217391304299</v>
      </c>
    </row>
    <row r="61" spans="1:35" x14ac:dyDescent="0.35">
      <c r="A61" s="2">
        <v>60</v>
      </c>
      <c r="B61" s="2" t="s">
        <v>120</v>
      </c>
      <c r="C61" s="2">
        <v>0.5</v>
      </c>
      <c r="D61" s="2">
        <v>0</v>
      </c>
      <c r="E61" s="2">
        <v>0</v>
      </c>
      <c r="F61" s="2">
        <v>1</v>
      </c>
      <c r="G61" s="2">
        <v>0.33333333333333298</v>
      </c>
      <c r="H61" s="2">
        <v>1</v>
      </c>
      <c r="I61" s="2">
        <v>0.55555555555555503</v>
      </c>
      <c r="J61" s="2">
        <v>1</v>
      </c>
      <c r="K61" s="2">
        <v>0.5</v>
      </c>
      <c r="L61" s="2">
        <v>0</v>
      </c>
      <c r="M61" s="2">
        <v>0</v>
      </c>
      <c r="N61" s="2">
        <v>0.2</v>
      </c>
      <c r="O61" s="2">
        <v>0.5</v>
      </c>
      <c r="P61" s="2">
        <v>0</v>
      </c>
      <c r="Q61" s="2">
        <v>0</v>
      </c>
      <c r="R61" s="2">
        <v>0.4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0.19565217391304299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5A27-A016-4963-91DD-689CA92CE9CE}">
  <dimension ref="A1:AI41"/>
  <sheetViews>
    <sheetView workbookViewId="0">
      <selection activeCell="C2" sqref="C2:AI41"/>
    </sheetView>
  </sheetViews>
  <sheetFormatPr defaultRowHeight="14.5" x14ac:dyDescent="0.35"/>
  <sheetData>
    <row r="1" spans="1:35" x14ac:dyDescent="0.35">
      <c r="B1" t="s">
        <v>155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154</v>
      </c>
    </row>
    <row r="2" spans="1:35" x14ac:dyDescent="0.35">
      <c r="A2" s="2">
        <v>1</v>
      </c>
      <c r="B2" s="2" t="s">
        <v>120</v>
      </c>
      <c r="C2" s="2">
        <v>0.5</v>
      </c>
      <c r="D2" s="2">
        <v>0.25</v>
      </c>
      <c r="E2" s="2">
        <v>0.33333333333333298</v>
      </c>
      <c r="F2" s="2">
        <v>0</v>
      </c>
      <c r="G2" s="2">
        <v>0</v>
      </c>
      <c r="H2" s="2">
        <v>1</v>
      </c>
      <c r="I2" s="2">
        <v>0.55555555555555503</v>
      </c>
      <c r="J2" s="2">
        <v>1</v>
      </c>
      <c r="K2" s="2">
        <v>0.5</v>
      </c>
      <c r="L2" s="2">
        <v>0</v>
      </c>
      <c r="M2" s="2">
        <v>0</v>
      </c>
      <c r="N2" s="2">
        <v>0.2</v>
      </c>
      <c r="O2" s="2">
        <v>1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1</v>
      </c>
      <c r="W2" s="2">
        <v>1</v>
      </c>
      <c r="X2" s="2">
        <v>0</v>
      </c>
      <c r="Y2" s="2">
        <v>1</v>
      </c>
      <c r="Z2" s="2">
        <v>1</v>
      </c>
      <c r="AA2" s="2">
        <v>0</v>
      </c>
      <c r="AB2" s="2">
        <v>0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0</v>
      </c>
    </row>
    <row r="3" spans="1:35" x14ac:dyDescent="0.35">
      <c r="A3" s="2">
        <v>2</v>
      </c>
      <c r="B3" s="2" t="s">
        <v>120</v>
      </c>
      <c r="C3" s="2">
        <v>0</v>
      </c>
      <c r="D3" s="2">
        <v>0.23765432098765399</v>
      </c>
      <c r="E3" s="2">
        <v>0.23899371069182301</v>
      </c>
      <c r="F3" s="2">
        <v>0.53703703703703698</v>
      </c>
      <c r="G3" s="2">
        <v>0.12757201646090499</v>
      </c>
      <c r="H3" s="2">
        <v>0.94805194805194803</v>
      </c>
      <c r="I3" s="2">
        <v>0.55692729766803795</v>
      </c>
      <c r="J3" s="2">
        <v>0.936708860759493</v>
      </c>
      <c r="K3" s="2">
        <v>0.407407407407407</v>
      </c>
      <c r="L3" s="2">
        <v>0.19478737997256501</v>
      </c>
      <c r="M3" s="2">
        <v>5.5555555555555497E-2</v>
      </c>
      <c r="N3" s="2">
        <v>0.158904109589041</v>
      </c>
      <c r="O3" s="2">
        <v>0.95061728395061695</v>
      </c>
      <c r="P3" s="2">
        <v>6.1728395061728301E-2</v>
      </c>
      <c r="Q3" s="2">
        <v>0.189873417721519</v>
      </c>
      <c r="R3" s="2">
        <v>0.32345679012345602</v>
      </c>
      <c r="S3" s="2">
        <v>0.98765432098765404</v>
      </c>
      <c r="T3" s="2">
        <v>0.76543209876543195</v>
      </c>
      <c r="U3" s="2">
        <v>0.97530864197530798</v>
      </c>
      <c r="V3" s="2">
        <v>1</v>
      </c>
      <c r="W3" s="2">
        <v>1</v>
      </c>
      <c r="X3" s="2">
        <v>0.11111111111111099</v>
      </c>
      <c r="Y3" s="2">
        <v>1</v>
      </c>
      <c r="Z3" s="2">
        <v>0.97530864197530798</v>
      </c>
      <c r="AA3" s="2">
        <v>0.90123456790123402</v>
      </c>
      <c r="AB3" s="2">
        <v>0.44444444444444398</v>
      </c>
      <c r="AC3" s="2">
        <v>1</v>
      </c>
      <c r="AD3" s="2">
        <v>1</v>
      </c>
      <c r="AE3" s="2">
        <v>1</v>
      </c>
      <c r="AF3" s="2">
        <v>1</v>
      </c>
      <c r="AG3" s="2">
        <v>0.938271604938271</v>
      </c>
      <c r="AH3" s="2">
        <v>1</v>
      </c>
      <c r="AI3" s="2">
        <v>0.19565217391304299</v>
      </c>
    </row>
    <row r="4" spans="1:35" x14ac:dyDescent="0.35">
      <c r="A4" s="2">
        <v>3</v>
      </c>
      <c r="B4" s="2" t="s">
        <v>120</v>
      </c>
      <c r="C4" s="2">
        <v>0</v>
      </c>
      <c r="D4" s="2">
        <v>0.23765432098765399</v>
      </c>
      <c r="E4" s="2">
        <v>0.23899371069182301</v>
      </c>
      <c r="F4" s="2">
        <v>0.53703703703703698</v>
      </c>
      <c r="G4" s="2">
        <v>0.12757201646090499</v>
      </c>
      <c r="H4" s="2">
        <v>0.94805194805194803</v>
      </c>
      <c r="I4" s="2">
        <v>0.55692729766803795</v>
      </c>
      <c r="J4" s="2">
        <v>0.936708860759493</v>
      </c>
      <c r="K4" s="2">
        <v>0.407407407407407</v>
      </c>
      <c r="L4" s="2">
        <v>0.19478737997256501</v>
      </c>
      <c r="M4" s="2">
        <v>5.5555555555555497E-2</v>
      </c>
      <c r="N4" s="2">
        <v>0.158904109589041</v>
      </c>
      <c r="O4" s="2">
        <v>0.95061728395061695</v>
      </c>
      <c r="P4" s="2">
        <v>6.1728395061728301E-2</v>
      </c>
      <c r="Q4" s="2">
        <v>0.189873417721519</v>
      </c>
      <c r="R4" s="2">
        <v>0.32345679012345602</v>
      </c>
      <c r="S4" s="2">
        <v>0.98765432098765404</v>
      </c>
      <c r="T4" s="2">
        <v>0.76543209876543195</v>
      </c>
      <c r="U4" s="2">
        <v>0.97530864197530798</v>
      </c>
      <c r="V4" s="2">
        <v>1</v>
      </c>
      <c r="W4" s="2">
        <v>1</v>
      </c>
      <c r="X4" s="2">
        <v>0.11111111111111099</v>
      </c>
      <c r="Y4" s="2">
        <v>1</v>
      </c>
      <c r="Z4" s="2">
        <v>0.97530864197530798</v>
      </c>
      <c r="AA4" s="2">
        <v>0.90123456790123402</v>
      </c>
      <c r="AB4" s="2">
        <v>0.44444444444444398</v>
      </c>
      <c r="AC4" s="2">
        <v>1</v>
      </c>
      <c r="AD4" s="2">
        <v>1</v>
      </c>
      <c r="AE4" s="2">
        <v>1</v>
      </c>
      <c r="AF4" s="2">
        <v>1</v>
      </c>
      <c r="AG4" s="2">
        <v>0.938271604938271</v>
      </c>
      <c r="AH4" s="2">
        <v>1</v>
      </c>
      <c r="AI4" s="2">
        <v>0.19565217391304299</v>
      </c>
    </row>
    <row r="5" spans="1:35" x14ac:dyDescent="0.35">
      <c r="A5" s="2">
        <v>4</v>
      </c>
      <c r="B5" s="2" t="s">
        <v>120</v>
      </c>
      <c r="C5" s="2">
        <v>0</v>
      </c>
      <c r="D5" s="2">
        <v>0.23765432098765399</v>
      </c>
      <c r="E5" s="2">
        <v>0.23899371069182301</v>
      </c>
      <c r="F5" s="2">
        <v>0.53703703703703698</v>
      </c>
      <c r="G5" s="2">
        <v>0.12757201646090499</v>
      </c>
      <c r="H5" s="2">
        <v>0.94805194805194803</v>
      </c>
      <c r="I5" s="2">
        <v>0.55692729766803795</v>
      </c>
      <c r="J5" s="2">
        <v>0.936708860759493</v>
      </c>
      <c r="K5" s="2">
        <v>0.407407407407407</v>
      </c>
      <c r="L5" s="2">
        <v>0.19478737997256501</v>
      </c>
      <c r="M5" s="2">
        <v>5.5555555555555497E-2</v>
      </c>
      <c r="N5" s="2">
        <v>0.158904109589041</v>
      </c>
      <c r="O5" s="2">
        <v>0.95061728395061695</v>
      </c>
      <c r="P5" s="2">
        <v>6.1728395061728301E-2</v>
      </c>
      <c r="Q5" s="2">
        <v>0.189873417721519</v>
      </c>
      <c r="R5" s="2">
        <v>0.32345679012345602</v>
      </c>
      <c r="S5" s="2">
        <v>0.98765432098765404</v>
      </c>
      <c r="T5" s="2">
        <v>0.76543209876543195</v>
      </c>
      <c r="U5" s="2">
        <v>0.97530864197530798</v>
      </c>
      <c r="V5" s="2">
        <v>1</v>
      </c>
      <c r="W5" s="2">
        <v>1</v>
      </c>
      <c r="X5" s="2">
        <v>0.11111111111111099</v>
      </c>
      <c r="Y5" s="2">
        <v>1</v>
      </c>
      <c r="Z5" s="2">
        <v>0.97530864197530798</v>
      </c>
      <c r="AA5" s="2">
        <v>0.90123456790123402</v>
      </c>
      <c r="AB5" s="2">
        <v>0.44444444444444398</v>
      </c>
      <c r="AC5" s="2">
        <v>1</v>
      </c>
      <c r="AD5" s="2">
        <v>1</v>
      </c>
      <c r="AE5" s="2">
        <v>1</v>
      </c>
      <c r="AF5" s="2">
        <v>1</v>
      </c>
      <c r="AG5" s="2">
        <v>0.938271604938271</v>
      </c>
      <c r="AH5" s="2">
        <v>1</v>
      </c>
      <c r="AI5" s="2">
        <v>0.19565217391304299</v>
      </c>
    </row>
    <row r="6" spans="1:35" x14ac:dyDescent="0.35">
      <c r="A6" s="2">
        <v>5</v>
      </c>
      <c r="B6" s="2" t="s">
        <v>120</v>
      </c>
      <c r="C6" s="2">
        <v>0</v>
      </c>
      <c r="D6" s="2">
        <v>0.23765432098765399</v>
      </c>
      <c r="E6" s="2">
        <v>0.23899371069182301</v>
      </c>
      <c r="F6" s="2">
        <v>0.53703703703703698</v>
      </c>
      <c r="G6" s="2">
        <v>0.12757201646090499</v>
      </c>
      <c r="H6" s="2">
        <v>0.94805194805194803</v>
      </c>
      <c r="I6" s="2">
        <v>0.55692729766803795</v>
      </c>
      <c r="J6" s="2">
        <v>0.936708860759493</v>
      </c>
      <c r="K6" s="2">
        <v>0.407407407407407</v>
      </c>
      <c r="L6" s="2">
        <v>0.19478737997256501</v>
      </c>
      <c r="M6" s="2">
        <v>5.5555555555555497E-2</v>
      </c>
      <c r="N6" s="2">
        <v>0.158904109589041</v>
      </c>
      <c r="O6" s="2">
        <v>0.95061728395061695</v>
      </c>
      <c r="P6" s="2">
        <v>6.1728395061728301E-2</v>
      </c>
      <c r="Q6" s="2">
        <v>0.189873417721519</v>
      </c>
      <c r="R6" s="2">
        <v>0.32345679012345602</v>
      </c>
      <c r="S6" s="2">
        <v>0.98765432098765404</v>
      </c>
      <c r="T6" s="2">
        <v>0.76543209876543195</v>
      </c>
      <c r="U6" s="2">
        <v>0.97530864197530798</v>
      </c>
      <c r="V6" s="2">
        <v>1</v>
      </c>
      <c r="W6" s="2">
        <v>1</v>
      </c>
      <c r="X6" s="2">
        <v>0.11111111111111099</v>
      </c>
      <c r="Y6" s="2">
        <v>1</v>
      </c>
      <c r="Z6" s="2">
        <v>0.97530864197530798</v>
      </c>
      <c r="AA6" s="2">
        <v>0.90123456790123402</v>
      </c>
      <c r="AB6" s="2">
        <v>0.44444444444444398</v>
      </c>
      <c r="AC6" s="2">
        <v>1</v>
      </c>
      <c r="AD6" s="2">
        <v>1</v>
      </c>
      <c r="AE6" s="2">
        <v>1</v>
      </c>
      <c r="AF6" s="2">
        <v>1</v>
      </c>
      <c r="AG6" s="2">
        <v>0.938271604938271</v>
      </c>
      <c r="AH6" s="2">
        <v>1</v>
      </c>
      <c r="AI6" s="2">
        <v>0.19565217391304299</v>
      </c>
    </row>
    <row r="7" spans="1:35" x14ac:dyDescent="0.35">
      <c r="A7" s="2">
        <v>6</v>
      </c>
      <c r="B7" s="2" t="s">
        <v>120</v>
      </c>
      <c r="C7" s="2">
        <v>0</v>
      </c>
      <c r="D7" s="2">
        <v>0.23765432098765399</v>
      </c>
      <c r="E7" s="2">
        <v>0.23899371069182301</v>
      </c>
      <c r="F7" s="2">
        <v>0.53703703703703698</v>
      </c>
      <c r="G7" s="2">
        <v>0.12757201646090499</v>
      </c>
      <c r="H7" s="2">
        <v>0.94805194805194803</v>
      </c>
      <c r="I7" s="2">
        <v>0.55692729766803795</v>
      </c>
      <c r="J7" s="2">
        <v>0.936708860759493</v>
      </c>
      <c r="K7" s="2">
        <v>0.407407407407407</v>
      </c>
      <c r="L7" s="2">
        <v>0.19478737997256501</v>
      </c>
      <c r="M7" s="2">
        <v>5.5555555555555497E-2</v>
      </c>
      <c r="N7" s="2">
        <v>0.158904109589041</v>
      </c>
      <c r="O7" s="2">
        <v>0.95061728395061695</v>
      </c>
      <c r="P7" s="2">
        <v>6.1728395061728301E-2</v>
      </c>
      <c r="Q7" s="2">
        <v>0.189873417721519</v>
      </c>
      <c r="R7" s="2">
        <v>0.32345679012345602</v>
      </c>
      <c r="S7" s="2">
        <v>0.98765432098765404</v>
      </c>
      <c r="T7" s="2">
        <v>0.76543209876543195</v>
      </c>
      <c r="U7" s="2">
        <v>0.97530864197530798</v>
      </c>
      <c r="V7" s="2">
        <v>1</v>
      </c>
      <c r="W7" s="2">
        <v>1</v>
      </c>
      <c r="X7" s="2">
        <v>0.11111111111111099</v>
      </c>
      <c r="Y7" s="2">
        <v>1</v>
      </c>
      <c r="Z7" s="2">
        <v>0.97530864197530798</v>
      </c>
      <c r="AA7" s="2">
        <v>0.90123456790123402</v>
      </c>
      <c r="AB7" s="2">
        <v>0.44444444444444398</v>
      </c>
      <c r="AC7" s="2">
        <v>1</v>
      </c>
      <c r="AD7" s="2">
        <v>1</v>
      </c>
      <c r="AE7" s="2">
        <v>1</v>
      </c>
      <c r="AF7" s="2">
        <v>1</v>
      </c>
      <c r="AG7" s="2">
        <v>0.938271604938271</v>
      </c>
      <c r="AH7" s="2">
        <v>1</v>
      </c>
      <c r="AI7" s="2">
        <v>0.19565217391304299</v>
      </c>
    </row>
    <row r="8" spans="1:35" x14ac:dyDescent="0.35">
      <c r="A8" s="2">
        <v>7</v>
      </c>
      <c r="B8" s="2" t="s">
        <v>120</v>
      </c>
      <c r="C8" s="2">
        <v>0</v>
      </c>
      <c r="D8" s="2">
        <v>0.23765432098765399</v>
      </c>
      <c r="E8" s="2">
        <v>0.23899371069182301</v>
      </c>
      <c r="F8" s="2">
        <v>0.53703703703703698</v>
      </c>
      <c r="G8" s="2">
        <v>0.12757201646090499</v>
      </c>
      <c r="H8" s="2">
        <v>0.94805194805194803</v>
      </c>
      <c r="I8" s="2">
        <v>0.55692729766803795</v>
      </c>
      <c r="J8" s="2">
        <v>0.936708860759493</v>
      </c>
      <c r="K8" s="2">
        <v>0.407407407407407</v>
      </c>
      <c r="L8" s="2">
        <v>0.19478737997256501</v>
      </c>
      <c r="M8" s="2">
        <v>5.5555555555555497E-2</v>
      </c>
      <c r="N8" s="2">
        <v>0.158904109589041</v>
      </c>
      <c r="O8" s="2">
        <v>0.95061728395061695</v>
      </c>
      <c r="P8" s="2">
        <v>6.1728395061728301E-2</v>
      </c>
      <c r="Q8" s="2">
        <v>0.189873417721519</v>
      </c>
      <c r="R8" s="2">
        <v>0.32345679012345602</v>
      </c>
      <c r="S8" s="2">
        <v>0.98765432098765404</v>
      </c>
      <c r="T8" s="2">
        <v>0.76543209876543195</v>
      </c>
      <c r="U8" s="2">
        <v>0.97530864197530798</v>
      </c>
      <c r="V8" s="2">
        <v>1</v>
      </c>
      <c r="W8" s="2">
        <v>1</v>
      </c>
      <c r="X8" s="2">
        <v>0.11111111111111099</v>
      </c>
      <c r="Y8" s="2">
        <v>1</v>
      </c>
      <c r="Z8" s="2">
        <v>0.97530864197530798</v>
      </c>
      <c r="AA8" s="2">
        <v>0.90123456790123402</v>
      </c>
      <c r="AB8" s="2">
        <v>0.44444444444444398</v>
      </c>
      <c r="AC8" s="2">
        <v>1</v>
      </c>
      <c r="AD8" s="2">
        <v>1</v>
      </c>
      <c r="AE8" s="2">
        <v>1</v>
      </c>
      <c r="AF8" s="2">
        <v>1</v>
      </c>
      <c r="AG8" s="2">
        <v>0.938271604938271</v>
      </c>
      <c r="AH8" s="2">
        <v>1</v>
      </c>
      <c r="AI8" s="2">
        <v>0.19565217391304299</v>
      </c>
    </row>
    <row r="9" spans="1:35" x14ac:dyDescent="0.35">
      <c r="A9" s="2">
        <v>8</v>
      </c>
      <c r="B9" s="2" t="s">
        <v>120</v>
      </c>
      <c r="C9" s="2">
        <v>0</v>
      </c>
      <c r="D9" s="2">
        <v>0.25</v>
      </c>
      <c r="E9" s="2">
        <v>0.23899371069182301</v>
      </c>
      <c r="F9" s="2">
        <v>0.66666666666666596</v>
      </c>
      <c r="G9" s="2">
        <v>1</v>
      </c>
      <c r="H9" s="2">
        <v>0.94805194805194803</v>
      </c>
      <c r="I9" s="2">
        <v>1</v>
      </c>
      <c r="J9" s="2">
        <v>0.936708860759493</v>
      </c>
      <c r="K9" s="2">
        <v>0.5</v>
      </c>
      <c r="L9" s="2">
        <v>0.55555555555555503</v>
      </c>
      <c r="M9" s="2">
        <v>0.5</v>
      </c>
      <c r="N9" s="2">
        <v>0.158904109589041</v>
      </c>
      <c r="O9" s="2">
        <v>1</v>
      </c>
      <c r="P9" s="2">
        <v>1</v>
      </c>
      <c r="Q9" s="2">
        <v>0.189873417721519</v>
      </c>
      <c r="R9" s="2">
        <v>0.4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</row>
    <row r="10" spans="1:35" x14ac:dyDescent="0.35">
      <c r="A10" s="2">
        <v>9</v>
      </c>
      <c r="B10" s="2" t="s">
        <v>120</v>
      </c>
      <c r="C10" s="2">
        <v>0.66666666666666596</v>
      </c>
      <c r="D10" s="2">
        <v>0.25</v>
      </c>
      <c r="E10" s="2">
        <v>0.23899371069182301</v>
      </c>
      <c r="F10" s="2">
        <v>0.66666666666666596</v>
      </c>
      <c r="G10" s="2">
        <v>0</v>
      </c>
      <c r="H10" s="2">
        <v>1</v>
      </c>
      <c r="I10" s="2">
        <v>0.55555555555555503</v>
      </c>
      <c r="J10" s="2">
        <v>1</v>
      </c>
      <c r="K10" s="2">
        <v>0</v>
      </c>
      <c r="L10" s="2">
        <v>0</v>
      </c>
      <c r="M10" s="2">
        <v>0</v>
      </c>
      <c r="N10" s="2">
        <v>0.2</v>
      </c>
      <c r="O10" s="2">
        <v>1</v>
      </c>
      <c r="P10" s="2">
        <v>0</v>
      </c>
      <c r="Q10" s="2">
        <v>0</v>
      </c>
      <c r="R10" s="2">
        <v>0.4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0.19565217391304299</v>
      </c>
    </row>
    <row r="11" spans="1:35" x14ac:dyDescent="0.35">
      <c r="A11" s="2">
        <v>10</v>
      </c>
      <c r="B11" s="2" t="s">
        <v>120</v>
      </c>
      <c r="C11" s="2">
        <v>0.5</v>
      </c>
      <c r="D11" s="2">
        <v>0.5</v>
      </c>
      <c r="E11" s="2">
        <v>0.23899371069182301</v>
      </c>
      <c r="F11" s="2">
        <v>0.66666666666666596</v>
      </c>
      <c r="G11" s="2">
        <v>0</v>
      </c>
      <c r="H11" s="2">
        <v>1</v>
      </c>
      <c r="I11" s="2">
        <v>0.55555555555555503</v>
      </c>
      <c r="J11" s="2">
        <v>1</v>
      </c>
      <c r="K11" s="2">
        <v>0</v>
      </c>
      <c r="L11" s="2">
        <v>0</v>
      </c>
      <c r="M11" s="2">
        <v>0</v>
      </c>
      <c r="N11" s="2">
        <v>0.2</v>
      </c>
      <c r="O11" s="2">
        <v>1</v>
      </c>
      <c r="P11" s="2">
        <v>0</v>
      </c>
      <c r="Q11" s="2">
        <v>0</v>
      </c>
      <c r="R11" s="2">
        <v>0.4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0.19565217391304299</v>
      </c>
    </row>
    <row r="12" spans="1:35" x14ac:dyDescent="0.35">
      <c r="A12" s="2">
        <v>11</v>
      </c>
      <c r="B12" s="2" t="s">
        <v>120</v>
      </c>
      <c r="C12" s="2">
        <v>0.66666666666666596</v>
      </c>
      <c r="D12" s="2">
        <v>0.25</v>
      </c>
      <c r="E12" s="2">
        <v>0.23899371069182301</v>
      </c>
      <c r="F12" s="2">
        <v>0</v>
      </c>
      <c r="G12" s="2">
        <v>0</v>
      </c>
      <c r="H12" s="2">
        <v>1</v>
      </c>
      <c r="I12" s="2">
        <v>0.66666666666666596</v>
      </c>
      <c r="J12" s="2">
        <v>1</v>
      </c>
      <c r="K12" s="2">
        <v>1</v>
      </c>
      <c r="L12" s="2">
        <v>0</v>
      </c>
      <c r="M12" s="2">
        <v>0</v>
      </c>
      <c r="N12" s="2">
        <v>0.2</v>
      </c>
      <c r="O12" s="2">
        <v>1</v>
      </c>
      <c r="P12" s="2">
        <v>0</v>
      </c>
      <c r="Q12" s="2">
        <v>0</v>
      </c>
      <c r="R12" s="2">
        <v>0.4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0.19565217391304299</v>
      </c>
    </row>
    <row r="13" spans="1:35" x14ac:dyDescent="0.35">
      <c r="A13" s="2">
        <v>12</v>
      </c>
      <c r="B13" s="2" t="s">
        <v>120</v>
      </c>
      <c r="C13" s="2">
        <v>0.33333333333333298</v>
      </c>
      <c r="D13" s="2">
        <v>0.25</v>
      </c>
      <c r="E13" s="2">
        <v>0.33333333333333298</v>
      </c>
      <c r="F13" s="2">
        <v>0.66666666666666596</v>
      </c>
      <c r="G13" s="2">
        <v>0</v>
      </c>
      <c r="H13" s="2">
        <v>1</v>
      </c>
      <c r="I13" s="2">
        <v>0.55555555555555503</v>
      </c>
      <c r="J13" s="2">
        <v>1</v>
      </c>
      <c r="K13" s="2">
        <v>0.5</v>
      </c>
      <c r="L13" s="2">
        <v>0</v>
      </c>
      <c r="M13" s="2">
        <v>0</v>
      </c>
      <c r="N13" s="2">
        <v>0.2</v>
      </c>
      <c r="O13" s="2">
        <v>1</v>
      </c>
      <c r="P13" s="2">
        <v>0</v>
      </c>
      <c r="Q13" s="2">
        <v>0</v>
      </c>
      <c r="R13" s="2">
        <v>0.4</v>
      </c>
      <c r="S13" s="2">
        <v>1</v>
      </c>
      <c r="T13" s="2">
        <v>0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0</v>
      </c>
    </row>
    <row r="14" spans="1:35" x14ac:dyDescent="0.35">
      <c r="A14" s="2">
        <v>13</v>
      </c>
      <c r="B14" s="2" t="s">
        <v>120</v>
      </c>
      <c r="C14" s="2">
        <v>0.5</v>
      </c>
      <c r="D14" s="2">
        <v>0.25</v>
      </c>
      <c r="E14" s="2">
        <v>0.33333333333333298</v>
      </c>
      <c r="F14" s="2">
        <v>0.66666666666666596</v>
      </c>
      <c r="G14" s="2">
        <v>0</v>
      </c>
      <c r="H14" s="2">
        <v>1</v>
      </c>
      <c r="I14" s="2">
        <v>0.55555555555555503</v>
      </c>
      <c r="J14" s="2">
        <v>1</v>
      </c>
      <c r="K14" s="2">
        <v>0.5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0.4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1</v>
      </c>
      <c r="AA14" s="2">
        <v>1</v>
      </c>
      <c r="AB14" s="2">
        <v>0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0</v>
      </c>
    </row>
    <row r="15" spans="1:35" x14ac:dyDescent="0.35">
      <c r="A15" s="2">
        <v>14</v>
      </c>
      <c r="B15" s="2" t="s">
        <v>120</v>
      </c>
      <c r="C15" s="2">
        <v>0.16666666666666599</v>
      </c>
      <c r="D15" s="2">
        <v>0.25</v>
      </c>
      <c r="E15" s="2">
        <v>0.33333333333333298</v>
      </c>
      <c r="F15" s="2">
        <v>0.66666666666666596</v>
      </c>
      <c r="G15" s="2">
        <v>0</v>
      </c>
      <c r="H15" s="2">
        <v>1</v>
      </c>
      <c r="I15" s="2">
        <v>0.55555555555555503</v>
      </c>
      <c r="J15" s="2">
        <v>1</v>
      </c>
      <c r="K15" s="2">
        <v>0.5</v>
      </c>
      <c r="L15" s="2">
        <v>0</v>
      </c>
      <c r="M15" s="2">
        <v>0</v>
      </c>
      <c r="N15" s="2">
        <v>0.2</v>
      </c>
      <c r="O15" s="2">
        <v>1</v>
      </c>
      <c r="P15" s="2">
        <v>0</v>
      </c>
      <c r="Q15" s="2">
        <v>0</v>
      </c>
      <c r="R15" s="2">
        <v>0.4</v>
      </c>
      <c r="S15" s="2">
        <v>1</v>
      </c>
      <c r="T15" s="2">
        <v>0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0</v>
      </c>
    </row>
    <row r="16" spans="1:35" x14ac:dyDescent="0.35">
      <c r="A16" s="2">
        <v>15</v>
      </c>
      <c r="B16" s="2" t="s">
        <v>120</v>
      </c>
      <c r="C16" s="2">
        <v>0.33333333333333298</v>
      </c>
      <c r="D16" s="2">
        <v>0.25</v>
      </c>
      <c r="E16" s="2">
        <v>0.33333333333333298</v>
      </c>
      <c r="F16" s="2">
        <v>0</v>
      </c>
      <c r="G16" s="2">
        <v>0</v>
      </c>
      <c r="H16" s="2">
        <v>1</v>
      </c>
      <c r="I16" s="2">
        <v>0.55555555555555503</v>
      </c>
      <c r="J16" s="2">
        <v>1</v>
      </c>
      <c r="K16" s="2">
        <v>0</v>
      </c>
      <c r="L16" s="2">
        <v>0</v>
      </c>
      <c r="M16" s="2">
        <v>0</v>
      </c>
      <c r="N16" s="2">
        <v>0.4</v>
      </c>
      <c r="O16" s="2">
        <v>1</v>
      </c>
      <c r="P16" s="2">
        <v>0</v>
      </c>
      <c r="Q16" s="2">
        <v>0</v>
      </c>
      <c r="R16" s="2">
        <v>0.4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1</v>
      </c>
      <c r="Z16" s="2">
        <v>1</v>
      </c>
      <c r="AA16" s="2">
        <v>1</v>
      </c>
      <c r="AB16" s="2">
        <v>0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0</v>
      </c>
    </row>
    <row r="17" spans="1:35" x14ac:dyDescent="0.35">
      <c r="A17" s="2">
        <v>16</v>
      </c>
      <c r="B17" s="2" t="s">
        <v>120</v>
      </c>
      <c r="C17" s="2">
        <v>0.16666666666666599</v>
      </c>
      <c r="D17" s="2">
        <v>0.5</v>
      </c>
      <c r="E17" s="2">
        <v>1</v>
      </c>
      <c r="F17" s="2">
        <v>0</v>
      </c>
      <c r="G17" s="2">
        <v>0</v>
      </c>
      <c r="H17" s="2">
        <v>1</v>
      </c>
      <c r="I17" s="2">
        <v>0.55555555555555503</v>
      </c>
      <c r="J17" s="2">
        <v>1</v>
      </c>
      <c r="K17" s="2">
        <v>0.5</v>
      </c>
      <c r="L17" s="2">
        <v>0</v>
      </c>
      <c r="M17" s="2">
        <v>0</v>
      </c>
      <c r="N17" s="2">
        <v>0.2</v>
      </c>
      <c r="O17" s="2">
        <v>1</v>
      </c>
      <c r="P17" s="2">
        <v>0</v>
      </c>
      <c r="Q17" s="2">
        <v>0</v>
      </c>
      <c r="R17" s="2">
        <v>0.4</v>
      </c>
      <c r="S17" s="2">
        <v>1</v>
      </c>
      <c r="T17" s="2">
        <v>0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0</v>
      </c>
    </row>
    <row r="18" spans="1:35" x14ac:dyDescent="0.35">
      <c r="A18" s="2">
        <v>17</v>
      </c>
      <c r="B18" s="2" t="s">
        <v>120</v>
      </c>
      <c r="C18" s="2">
        <v>0.16666666666666599</v>
      </c>
      <c r="D18" s="2">
        <v>0</v>
      </c>
      <c r="E18" s="2">
        <v>0</v>
      </c>
      <c r="F18" s="2">
        <v>0.66666666666666596</v>
      </c>
      <c r="G18" s="2">
        <v>0</v>
      </c>
      <c r="H18" s="2">
        <v>1</v>
      </c>
      <c r="I18" s="2">
        <v>0.55555555555555503</v>
      </c>
      <c r="J18" s="2">
        <v>1</v>
      </c>
      <c r="K18" s="2">
        <v>0.5</v>
      </c>
      <c r="L18" s="2">
        <v>0</v>
      </c>
      <c r="M18" s="2">
        <v>0</v>
      </c>
      <c r="N18" s="2">
        <v>0.2</v>
      </c>
      <c r="O18" s="2">
        <v>1</v>
      </c>
      <c r="P18" s="2">
        <v>0</v>
      </c>
      <c r="Q18" s="2">
        <v>0</v>
      </c>
      <c r="R18" s="2">
        <v>0.4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0.19565217391304299</v>
      </c>
    </row>
    <row r="19" spans="1:35" x14ac:dyDescent="0.35">
      <c r="A19" s="2">
        <v>18</v>
      </c>
      <c r="B19" s="2" t="s">
        <v>120</v>
      </c>
      <c r="C19" s="2">
        <v>0.66666666666666596</v>
      </c>
      <c r="D19" s="2">
        <v>0.5</v>
      </c>
      <c r="E19" s="2">
        <v>0.23899371069182301</v>
      </c>
      <c r="F19" s="2">
        <v>0.66666666666666596</v>
      </c>
      <c r="G19" s="2">
        <v>0</v>
      </c>
      <c r="H19" s="2">
        <v>1</v>
      </c>
      <c r="I19" s="2">
        <v>0.55555555555555503</v>
      </c>
      <c r="J19" s="2">
        <v>1</v>
      </c>
      <c r="K19" s="2">
        <v>0.5</v>
      </c>
      <c r="L19" s="2">
        <v>0</v>
      </c>
      <c r="M19" s="2">
        <v>0.5</v>
      </c>
      <c r="N19" s="2">
        <v>0.158904109589041</v>
      </c>
      <c r="O19" s="2">
        <v>1</v>
      </c>
      <c r="P19" s="2">
        <v>0</v>
      </c>
      <c r="Q19" s="2">
        <v>0</v>
      </c>
      <c r="R19" s="2">
        <v>0.4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0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0.19565217391304299</v>
      </c>
    </row>
    <row r="20" spans="1:35" x14ac:dyDescent="0.35">
      <c r="A20" s="2">
        <v>19</v>
      </c>
      <c r="B20" s="2" t="s">
        <v>120</v>
      </c>
      <c r="C20" s="2">
        <v>0.33333333333333298</v>
      </c>
      <c r="D20" s="2">
        <v>0.25</v>
      </c>
      <c r="E20" s="2">
        <v>0.33333333333333298</v>
      </c>
      <c r="F20" s="2">
        <v>0.66666666666666596</v>
      </c>
      <c r="G20" s="2">
        <v>0</v>
      </c>
      <c r="H20" s="2">
        <v>1</v>
      </c>
      <c r="I20" s="2">
        <v>0.55555555555555503</v>
      </c>
      <c r="J20" s="2">
        <v>1</v>
      </c>
      <c r="K20" s="2">
        <v>0.5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1</v>
      </c>
      <c r="R20" s="2">
        <v>0.4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1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0</v>
      </c>
    </row>
    <row r="21" spans="1:35" x14ac:dyDescent="0.35">
      <c r="A21" s="2">
        <v>20</v>
      </c>
      <c r="B21" s="2" t="s">
        <v>120</v>
      </c>
      <c r="C21" s="2">
        <v>0.33333333333333298</v>
      </c>
      <c r="D21" s="2">
        <v>0</v>
      </c>
      <c r="E21" s="2">
        <v>0</v>
      </c>
      <c r="F21" s="2">
        <v>0.66666666666666596</v>
      </c>
      <c r="G21" s="2">
        <v>0</v>
      </c>
      <c r="H21" s="2">
        <v>1</v>
      </c>
      <c r="I21" s="2">
        <v>0.55555555555555503</v>
      </c>
      <c r="J21" s="2">
        <v>1</v>
      </c>
      <c r="K21" s="2">
        <v>0.5</v>
      </c>
      <c r="L21" s="2">
        <v>1</v>
      </c>
      <c r="M21" s="2">
        <v>0</v>
      </c>
      <c r="N21" s="2">
        <v>0.2</v>
      </c>
      <c r="O21" s="2">
        <v>1</v>
      </c>
      <c r="P21" s="2">
        <v>0</v>
      </c>
      <c r="Q21" s="2">
        <v>1</v>
      </c>
      <c r="R21" s="2">
        <v>0.4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0</v>
      </c>
    </row>
    <row r="22" spans="1:35" x14ac:dyDescent="0.35">
      <c r="A22" s="2">
        <v>21</v>
      </c>
      <c r="B22" s="2" t="s">
        <v>120</v>
      </c>
      <c r="C22" s="2">
        <v>0.33333333333333298</v>
      </c>
      <c r="D22" s="2">
        <v>0</v>
      </c>
      <c r="E22" s="2">
        <v>0.33333333333333298</v>
      </c>
      <c r="F22" s="2">
        <v>0.66666666666666596</v>
      </c>
      <c r="G22" s="2">
        <v>0.33333333333333298</v>
      </c>
      <c r="H22" s="2">
        <v>1</v>
      </c>
      <c r="I22" s="2">
        <v>0.55555555555555503</v>
      </c>
      <c r="J22" s="2">
        <v>1</v>
      </c>
      <c r="K22" s="2">
        <v>0</v>
      </c>
      <c r="L22" s="2">
        <v>0</v>
      </c>
      <c r="M22" s="2">
        <v>0</v>
      </c>
      <c r="N22" s="2">
        <v>0.2</v>
      </c>
      <c r="O22" s="2">
        <v>1</v>
      </c>
      <c r="P22" s="2">
        <v>0</v>
      </c>
      <c r="Q22" s="2">
        <v>0</v>
      </c>
      <c r="R22" s="2">
        <v>0.4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0.19565217391304299</v>
      </c>
    </row>
    <row r="23" spans="1:35" x14ac:dyDescent="0.35">
      <c r="A23" s="2">
        <v>22</v>
      </c>
      <c r="B23" s="2" t="s">
        <v>120</v>
      </c>
      <c r="C23" s="2">
        <v>0.5</v>
      </c>
      <c r="D23" s="2">
        <v>0</v>
      </c>
      <c r="E23" s="2">
        <v>0</v>
      </c>
      <c r="F23" s="2">
        <v>0.66666666666666596</v>
      </c>
      <c r="G23" s="2">
        <v>0</v>
      </c>
      <c r="H23" s="2">
        <v>1</v>
      </c>
      <c r="I23" s="2">
        <v>0.55555555555555503</v>
      </c>
      <c r="J23" s="2">
        <v>1</v>
      </c>
      <c r="K23" s="2">
        <v>0.5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0.4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0.19565217391304299</v>
      </c>
    </row>
    <row r="24" spans="1:35" x14ac:dyDescent="0.35">
      <c r="A24" s="2">
        <v>23</v>
      </c>
      <c r="B24" s="2" t="s">
        <v>120</v>
      </c>
      <c r="C24" s="2">
        <v>0</v>
      </c>
      <c r="D24" s="2">
        <v>0.23765432098765399</v>
      </c>
      <c r="E24" s="2">
        <v>0.23899371069182301</v>
      </c>
      <c r="F24" s="2">
        <v>0.53703703703703698</v>
      </c>
      <c r="G24" s="2">
        <v>0.12757201646090499</v>
      </c>
      <c r="H24" s="2">
        <v>0.94805194805194803</v>
      </c>
      <c r="I24" s="2">
        <v>0.55692729766803795</v>
      </c>
      <c r="J24" s="2">
        <v>0.936708860759493</v>
      </c>
      <c r="K24" s="2">
        <v>0.407407407407407</v>
      </c>
      <c r="L24" s="2">
        <v>0.19478737997256501</v>
      </c>
      <c r="M24" s="2">
        <v>5.5555555555555497E-2</v>
      </c>
      <c r="N24" s="2">
        <v>0.158904109589041</v>
      </c>
      <c r="O24" s="2">
        <v>0.95061728395061695</v>
      </c>
      <c r="P24" s="2">
        <v>6.1728395061728301E-2</v>
      </c>
      <c r="Q24" s="2">
        <v>0.189873417721519</v>
      </c>
      <c r="R24" s="2">
        <v>0.32345679012345602</v>
      </c>
      <c r="S24" s="2">
        <v>0.98765432098765404</v>
      </c>
      <c r="T24" s="2">
        <v>0.76543209876543195</v>
      </c>
      <c r="U24" s="2">
        <v>0.97530864197530798</v>
      </c>
      <c r="V24" s="2">
        <v>1</v>
      </c>
      <c r="W24" s="2">
        <v>1</v>
      </c>
      <c r="X24" s="2">
        <v>0.11111111111111099</v>
      </c>
      <c r="Y24" s="2">
        <v>1</v>
      </c>
      <c r="Z24" s="2">
        <v>0.97530864197530798</v>
      </c>
      <c r="AA24" s="2">
        <v>0.90123456790123402</v>
      </c>
      <c r="AB24" s="2">
        <v>0.44444444444444398</v>
      </c>
      <c r="AC24" s="2">
        <v>1</v>
      </c>
      <c r="AD24" s="2">
        <v>1</v>
      </c>
      <c r="AE24" s="2">
        <v>1</v>
      </c>
      <c r="AF24" s="2">
        <v>1</v>
      </c>
      <c r="AG24" s="2">
        <v>0.938271604938271</v>
      </c>
      <c r="AH24" s="2">
        <v>1</v>
      </c>
      <c r="AI24" s="2">
        <v>0.19565217391304299</v>
      </c>
    </row>
    <row r="25" spans="1:35" x14ac:dyDescent="0.35">
      <c r="A25" s="2">
        <v>24</v>
      </c>
      <c r="B25" s="2" t="s">
        <v>120</v>
      </c>
      <c r="C25" s="2">
        <v>0</v>
      </c>
      <c r="D25" s="2">
        <v>0.23765432098765399</v>
      </c>
      <c r="E25" s="2">
        <v>0.23899371069182301</v>
      </c>
      <c r="F25" s="2">
        <v>0.53703703703703698</v>
      </c>
      <c r="G25" s="2">
        <v>0.12757201646090499</v>
      </c>
      <c r="H25" s="2">
        <v>0.94805194805194803</v>
      </c>
      <c r="I25" s="2">
        <v>0.55692729766803795</v>
      </c>
      <c r="J25" s="2">
        <v>0.936708860759493</v>
      </c>
      <c r="K25" s="2">
        <v>0.407407407407407</v>
      </c>
      <c r="L25" s="2">
        <v>0.19478737997256501</v>
      </c>
      <c r="M25" s="2">
        <v>5.5555555555555497E-2</v>
      </c>
      <c r="N25" s="2">
        <v>0.158904109589041</v>
      </c>
      <c r="O25" s="2">
        <v>0.95061728395061695</v>
      </c>
      <c r="P25" s="2">
        <v>6.1728395061728301E-2</v>
      </c>
      <c r="Q25" s="2">
        <v>0.189873417721519</v>
      </c>
      <c r="R25" s="2">
        <v>0.32345679012345602</v>
      </c>
      <c r="S25" s="2">
        <v>0.98765432098765404</v>
      </c>
      <c r="T25" s="2">
        <v>0.76543209876543195</v>
      </c>
      <c r="U25" s="2">
        <v>0.97530864197530798</v>
      </c>
      <c r="V25" s="2">
        <v>1</v>
      </c>
      <c r="W25" s="2">
        <v>1</v>
      </c>
      <c r="X25" s="2">
        <v>0.11111111111111099</v>
      </c>
      <c r="Y25" s="2">
        <v>1</v>
      </c>
      <c r="Z25" s="2">
        <v>0.97530864197530798</v>
      </c>
      <c r="AA25" s="2">
        <v>0.90123456790123402</v>
      </c>
      <c r="AB25" s="2">
        <v>0.44444444444444398</v>
      </c>
      <c r="AC25" s="2">
        <v>1</v>
      </c>
      <c r="AD25" s="2">
        <v>1</v>
      </c>
      <c r="AE25" s="2">
        <v>1</v>
      </c>
      <c r="AF25" s="2">
        <v>1</v>
      </c>
      <c r="AG25" s="2">
        <v>0.938271604938271</v>
      </c>
      <c r="AH25" s="2">
        <v>1</v>
      </c>
      <c r="AI25" s="2">
        <v>0.19565217391304299</v>
      </c>
    </row>
    <row r="26" spans="1:35" x14ac:dyDescent="0.35">
      <c r="A26" s="2">
        <v>25</v>
      </c>
      <c r="B26" s="2" t="s">
        <v>120</v>
      </c>
      <c r="C26" s="2">
        <v>0</v>
      </c>
      <c r="D26" s="2">
        <v>0.23765432098765399</v>
      </c>
      <c r="E26" s="2">
        <v>0.23899371069182301</v>
      </c>
      <c r="F26" s="2">
        <v>0.53703703703703698</v>
      </c>
      <c r="G26" s="2">
        <v>0.12757201646090499</v>
      </c>
      <c r="H26" s="2">
        <v>0.94805194805194803</v>
      </c>
      <c r="I26" s="2">
        <v>0.55692729766803795</v>
      </c>
      <c r="J26" s="2">
        <v>0.936708860759493</v>
      </c>
      <c r="K26" s="2">
        <v>0.407407407407407</v>
      </c>
      <c r="L26" s="2">
        <v>0.19478737997256501</v>
      </c>
      <c r="M26" s="2">
        <v>5.5555555555555497E-2</v>
      </c>
      <c r="N26" s="2">
        <v>0.158904109589041</v>
      </c>
      <c r="O26" s="2">
        <v>0.95061728395061695</v>
      </c>
      <c r="P26" s="2">
        <v>6.1728395061728301E-2</v>
      </c>
      <c r="Q26" s="2">
        <v>0.189873417721519</v>
      </c>
      <c r="R26" s="2">
        <v>0.32345679012345602</v>
      </c>
      <c r="S26" s="2">
        <v>0.98765432098765404</v>
      </c>
      <c r="T26" s="2">
        <v>0.76543209876543195</v>
      </c>
      <c r="U26" s="2">
        <v>0.97530864197530798</v>
      </c>
      <c r="V26" s="2">
        <v>1</v>
      </c>
      <c r="W26" s="2">
        <v>1</v>
      </c>
      <c r="X26" s="2">
        <v>0.11111111111111099</v>
      </c>
      <c r="Y26" s="2">
        <v>1</v>
      </c>
      <c r="Z26" s="2">
        <v>0.97530864197530798</v>
      </c>
      <c r="AA26" s="2">
        <v>0.90123456790123402</v>
      </c>
      <c r="AB26" s="2">
        <v>0.44444444444444398</v>
      </c>
      <c r="AC26" s="2">
        <v>1</v>
      </c>
      <c r="AD26" s="2">
        <v>1</v>
      </c>
      <c r="AE26" s="2">
        <v>1</v>
      </c>
      <c r="AF26" s="2">
        <v>1</v>
      </c>
      <c r="AG26" s="2">
        <v>0.938271604938271</v>
      </c>
      <c r="AH26" s="2">
        <v>1</v>
      </c>
      <c r="AI26" s="2">
        <v>0.19565217391304299</v>
      </c>
    </row>
    <row r="27" spans="1:35" x14ac:dyDescent="0.35">
      <c r="A27" s="2">
        <v>26</v>
      </c>
      <c r="B27" s="2" t="s">
        <v>120</v>
      </c>
      <c r="C27" s="2">
        <v>0.33333333333333298</v>
      </c>
      <c r="D27" s="2">
        <v>0.25</v>
      </c>
      <c r="E27" s="2">
        <v>0.33333333333333298</v>
      </c>
      <c r="F27" s="2">
        <v>0.66666666666666596</v>
      </c>
      <c r="G27" s="2">
        <v>0</v>
      </c>
      <c r="H27" s="2">
        <v>1</v>
      </c>
      <c r="I27" s="2">
        <v>0.55555555555555503</v>
      </c>
      <c r="J27" s="2">
        <v>1</v>
      </c>
      <c r="K27" s="2">
        <v>0</v>
      </c>
      <c r="L27" s="2">
        <v>0</v>
      </c>
      <c r="M27" s="2">
        <v>0</v>
      </c>
      <c r="N27" s="2">
        <v>0.2</v>
      </c>
      <c r="O27" s="2">
        <v>1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0</v>
      </c>
    </row>
    <row r="28" spans="1:35" x14ac:dyDescent="0.35">
      <c r="A28" s="2">
        <v>27</v>
      </c>
      <c r="B28" s="2" t="s">
        <v>120</v>
      </c>
      <c r="C28" s="2">
        <v>0.66666666666666596</v>
      </c>
      <c r="D28" s="2">
        <v>0.25</v>
      </c>
      <c r="E28" s="2">
        <v>0.23899371069182301</v>
      </c>
      <c r="F28" s="2">
        <v>1</v>
      </c>
      <c r="G28" s="2">
        <v>0.33333333333333298</v>
      </c>
      <c r="H28" s="2">
        <v>1</v>
      </c>
      <c r="I28" s="2">
        <v>0.55555555555555503</v>
      </c>
      <c r="J28" s="2">
        <v>1</v>
      </c>
      <c r="K28" s="2">
        <v>0.5</v>
      </c>
      <c r="L28" s="2">
        <v>0</v>
      </c>
      <c r="M28" s="2">
        <v>0</v>
      </c>
      <c r="N28" s="2">
        <v>0.2</v>
      </c>
      <c r="O28" s="2">
        <v>0.5</v>
      </c>
      <c r="P28" s="2">
        <v>0</v>
      </c>
      <c r="Q28" s="2">
        <v>0</v>
      </c>
      <c r="R28" s="2">
        <v>0.4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1</v>
      </c>
      <c r="AA28" s="2">
        <v>1</v>
      </c>
      <c r="AB28" s="2">
        <v>0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0.19565217391304299</v>
      </c>
    </row>
    <row r="29" spans="1:35" x14ac:dyDescent="0.35">
      <c r="A29" s="2">
        <v>28</v>
      </c>
      <c r="B29" s="2" t="s">
        <v>120</v>
      </c>
      <c r="C29" s="2">
        <v>0.83333333333333304</v>
      </c>
      <c r="D29" s="2">
        <v>0.25</v>
      </c>
      <c r="E29" s="2">
        <v>0.33333333333333298</v>
      </c>
      <c r="F29" s="2">
        <v>0.66666666666666596</v>
      </c>
      <c r="G29" s="2">
        <v>0</v>
      </c>
      <c r="H29" s="2">
        <v>1</v>
      </c>
      <c r="I29" s="2">
        <v>0.55555555555555503</v>
      </c>
      <c r="J29" s="2">
        <v>1</v>
      </c>
      <c r="K29" s="2">
        <v>0.5</v>
      </c>
      <c r="L29" s="2">
        <v>1</v>
      </c>
      <c r="M29" s="2">
        <v>0</v>
      </c>
      <c r="N29" s="2">
        <v>0.2</v>
      </c>
      <c r="O29" s="2">
        <v>1</v>
      </c>
      <c r="P29" s="2">
        <v>0</v>
      </c>
      <c r="Q29" s="2">
        <v>1</v>
      </c>
      <c r="R29" s="2">
        <v>0.4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0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0</v>
      </c>
    </row>
    <row r="30" spans="1:35" x14ac:dyDescent="0.35">
      <c r="A30" s="2">
        <v>29</v>
      </c>
      <c r="B30" s="2" t="s">
        <v>120</v>
      </c>
      <c r="C30" s="2">
        <v>0.66666666666666596</v>
      </c>
      <c r="D30" s="2">
        <v>0.25</v>
      </c>
      <c r="E30" s="2">
        <v>0.33333333333333298</v>
      </c>
      <c r="F30" s="2">
        <v>0.66666666666666596</v>
      </c>
      <c r="G30" s="2">
        <v>0.33333333333333298</v>
      </c>
      <c r="H30" s="2">
        <v>1</v>
      </c>
      <c r="I30" s="2">
        <v>0.55555555555555503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1</v>
      </c>
      <c r="V30" s="2">
        <v>1</v>
      </c>
      <c r="W30" s="2">
        <v>1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</row>
    <row r="31" spans="1:35" x14ac:dyDescent="0.35">
      <c r="A31" s="2">
        <v>30</v>
      </c>
      <c r="B31" s="2" t="s">
        <v>120</v>
      </c>
      <c r="C31" s="2">
        <v>0.16666666666666599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0.55555555555555503</v>
      </c>
      <c r="J31" s="2">
        <v>1</v>
      </c>
      <c r="K31" s="2">
        <v>1</v>
      </c>
      <c r="L31" s="2">
        <v>0.33333333333333298</v>
      </c>
      <c r="M31" s="2">
        <v>0</v>
      </c>
      <c r="N31" s="2">
        <v>0.2</v>
      </c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1</v>
      </c>
      <c r="V31" s="2">
        <v>1</v>
      </c>
      <c r="W31" s="2">
        <v>1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0</v>
      </c>
      <c r="AH31" s="2">
        <v>1</v>
      </c>
      <c r="AI31" s="2">
        <v>0.5</v>
      </c>
    </row>
    <row r="32" spans="1:35" x14ac:dyDescent="0.35">
      <c r="A32" s="2">
        <v>31</v>
      </c>
      <c r="B32" s="2" t="s">
        <v>120</v>
      </c>
      <c r="C32" s="2">
        <v>1</v>
      </c>
      <c r="D32" s="2">
        <v>0.25</v>
      </c>
      <c r="E32" s="2">
        <v>0.23899371069182301</v>
      </c>
      <c r="F32" s="2">
        <v>0.66666666666666596</v>
      </c>
      <c r="G32" s="2">
        <v>0</v>
      </c>
      <c r="H32" s="2">
        <v>1</v>
      </c>
      <c r="I32" s="2">
        <v>0.55555555555555503</v>
      </c>
      <c r="J32" s="2">
        <v>1</v>
      </c>
      <c r="K32" s="2">
        <v>0.5</v>
      </c>
      <c r="L32" s="2">
        <v>0</v>
      </c>
      <c r="M32" s="2">
        <v>0</v>
      </c>
      <c r="N32" s="2">
        <v>0.2</v>
      </c>
      <c r="O32" s="2">
        <v>1</v>
      </c>
      <c r="P32" s="2">
        <v>0</v>
      </c>
      <c r="Q32" s="2">
        <v>0</v>
      </c>
      <c r="R32" s="2">
        <v>0.4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0.19565217391304299</v>
      </c>
    </row>
    <row r="33" spans="1:35" x14ac:dyDescent="0.35">
      <c r="A33" s="2">
        <v>32</v>
      </c>
      <c r="B33" s="2" t="s">
        <v>120</v>
      </c>
      <c r="C33" s="2">
        <v>0</v>
      </c>
      <c r="D33" s="2">
        <v>0</v>
      </c>
      <c r="E33" s="2">
        <v>0</v>
      </c>
      <c r="F33" s="2">
        <v>0.66666666666666596</v>
      </c>
      <c r="G33" s="2">
        <v>0</v>
      </c>
      <c r="H33" s="2">
        <v>1</v>
      </c>
      <c r="I33" s="2">
        <v>0.55555555555555503</v>
      </c>
      <c r="J33" s="2">
        <v>1</v>
      </c>
      <c r="K33" s="2">
        <v>1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0</v>
      </c>
      <c r="AH33" s="2">
        <v>1</v>
      </c>
      <c r="AI33" s="2">
        <v>1</v>
      </c>
    </row>
    <row r="34" spans="1:35" x14ac:dyDescent="0.35">
      <c r="A34" s="2">
        <v>33</v>
      </c>
      <c r="B34" s="2" t="s">
        <v>120</v>
      </c>
      <c r="C34" s="2">
        <v>0</v>
      </c>
      <c r="D34" s="2">
        <v>0</v>
      </c>
      <c r="E34" s="2">
        <v>0.33333333333333298</v>
      </c>
      <c r="F34" s="2">
        <v>1</v>
      </c>
      <c r="G34" s="2">
        <v>0.33333333333333298</v>
      </c>
      <c r="H34" s="2">
        <v>1</v>
      </c>
      <c r="I34" s="2">
        <v>0.55555555555555503</v>
      </c>
      <c r="J34" s="2">
        <v>1</v>
      </c>
      <c r="K34" s="2">
        <v>0</v>
      </c>
      <c r="L34" s="2">
        <v>0</v>
      </c>
      <c r="M34" s="2">
        <v>0</v>
      </c>
      <c r="N34" s="2">
        <v>0.2</v>
      </c>
      <c r="O34" s="2">
        <v>1</v>
      </c>
      <c r="P34" s="2">
        <v>0.33333333333333298</v>
      </c>
      <c r="Q34" s="2">
        <v>0</v>
      </c>
      <c r="R34" s="2">
        <v>0.4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0.19565217391304299</v>
      </c>
    </row>
    <row r="35" spans="1:35" x14ac:dyDescent="0.35">
      <c r="A35" s="2">
        <v>34</v>
      </c>
      <c r="B35" s="2" t="s">
        <v>120</v>
      </c>
      <c r="C35" s="2">
        <v>0.66666666666666596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0.55555555555555503</v>
      </c>
      <c r="J35" s="2">
        <v>1</v>
      </c>
      <c r="K35" s="2">
        <v>1</v>
      </c>
      <c r="L35" s="2">
        <v>0</v>
      </c>
      <c r="M35" s="2">
        <v>0</v>
      </c>
      <c r="N35" s="2">
        <v>0.2</v>
      </c>
      <c r="O35" s="2">
        <v>1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0</v>
      </c>
    </row>
    <row r="36" spans="1:35" x14ac:dyDescent="0.35">
      <c r="A36" s="2">
        <v>35</v>
      </c>
      <c r="B36" s="2" t="s">
        <v>120</v>
      </c>
      <c r="C36" s="2">
        <v>0.5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0.55555555555555503</v>
      </c>
      <c r="J36" s="2">
        <v>0</v>
      </c>
      <c r="K36" s="2">
        <v>0.5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0</v>
      </c>
    </row>
    <row r="37" spans="1:35" x14ac:dyDescent="0.35">
      <c r="A37" s="2">
        <v>36</v>
      </c>
      <c r="B37" s="2" t="s">
        <v>120</v>
      </c>
      <c r="C37" s="2">
        <v>0</v>
      </c>
      <c r="D37" s="2">
        <v>0.23765432098765399</v>
      </c>
      <c r="E37" s="2">
        <v>0.23899371069182301</v>
      </c>
      <c r="F37" s="2">
        <v>0.53703703703703698</v>
      </c>
      <c r="G37" s="2">
        <v>0.12757201646090499</v>
      </c>
      <c r="H37" s="2">
        <v>0.94805194805194803</v>
      </c>
      <c r="I37" s="2">
        <v>0.55692729766803795</v>
      </c>
      <c r="J37" s="2">
        <v>0.936708860759493</v>
      </c>
      <c r="K37" s="2">
        <v>0.407407407407407</v>
      </c>
      <c r="L37" s="2">
        <v>0.19478737997256501</v>
      </c>
      <c r="M37" s="2">
        <v>5.5555555555555497E-2</v>
      </c>
      <c r="N37" s="2">
        <v>0.158904109589041</v>
      </c>
      <c r="O37" s="2">
        <v>0.95061728395061695</v>
      </c>
      <c r="P37" s="2">
        <v>6.1728395061728301E-2</v>
      </c>
      <c r="Q37" s="2">
        <v>0.189873417721519</v>
      </c>
      <c r="R37" s="2">
        <v>0.32345679012345602</v>
      </c>
      <c r="S37" s="2">
        <v>0.98765432098765404</v>
      </c>
      <c r="T37" s="2">
        <v>0.76543209876543195</v>
      </c>
      <c r="U37" s="2">
        <v>0.97530864197530798</v>
      </c>
      <c r="V37" s="2">
        <v>1</v>
      </c>
      <c r="W37" s="2">
        <v>1</v>
      </c>
      <c r="X37" s="2">
        <v>0.11111111111111099</v>
      </c>
      <c r="Y37" s="2">
        <v>1</v>
      </c>
      <c r="Z37" s="2">
        <v>0.97530864197530798</v>
      </c>
      <c r="AA37" s="2">
        <v>0.90123456790123402</v>
      </c>
      <c r="AB37" s="2">
        <v>0.44444444444444398</v>
      </c>
      <c r="AC37" s="2">
        <v>1</v>
      </c>
      <c r="AD37" s="2">
        <v>1</v>
      </c>
      <c r="AE37" s="2">
        <v>1</v>
      </c>
      <c r="AF37" s="2">
        <v>1</v>
      </c>
      <c r="AG37" s="2">
        <v>0.938271604938271</v>
      </c>
      <c r="AH37" s="2">
        <v>1</v>
      </c>
      <c r="AI37" s="2">
        <v>0.19565217391304299</v>
      </c>
    </row>
    <row r="38" spans="1:35" x14ac:dyDescent="0.35">
      <c r="A38" s="2">
        <v>37</v>
      </c>
      <c r="B38" s="2" t="s">
        <v>120</v>
      </c>
      <c r="C38" s="2">
        <v>0</v>
      </c>
      <c r="D38" s="2">
        <v>0.23765432098765399</v>
      </c>
      <c r="E38" s="2">
        <v>0.23899371069182301</v>
      </c>
      <c r="F38" s="2">
        <v>0.53703703703703698</v>
      </c>
      <c r="G38" s="2">
        <v>0.12757201646090499</v>
      </c>
      <c r="H38" s="2">
        <v>0.94805194805194803</v>
      </c>
      <c r="I38" s="2">
        <v>0.55692729766803795</v>
      </c>
      <c r="J38" s="2">
        <v>0.936708860759493</v>
      </c>
      <c r="K38" s="2">
        <v>0.407407407407407</v>
      </c>
      <c r="L38" s="2">
        <v>0.19478737997256501</v>
      </c>
      <c r="M38" s="2">
        <v>5.5555555555555497E-2</v>
      </c>
      <c r="N38" s="2">
        <v>0.158904109589041</v>
      </c>
      <c r="O38" s="2">
        <v>0.95061728395061695</v>
      </c>
      <c r="P38" s="2">
        <v>6.1728395061728301E-2</v>
      </c>
      <c r="Q38" s="2">
        <v>0.189873417721519</v>
      </c>
      <c r="R38" s="2">
        <v>0.32345679012345602</v>
      </c>
      <c r="S38" s="2">
        <v>0.98765432098765404</v>
      </c>
      <c r="T38" s="2">
        <v>0.76543209876543195</v>
      </c>
      <c r="U38" s="2">
        <v>0.97530864197530798</v>
      </c>
      <c r="V38" s="2">
        <v>1</v>
      </c>
      <c r="W38" s="2">
        <v>1</v>
      </c>
      <c r="X38" s="2">
        <v>0.11111111111111099</v>
      </c>
      <c r="Y38" s="2">
        <v>1</v>
      </c>
      <c r="Z38" s="2">
        <v>0.97530864197530798</v>
      </c>
      <c r="AA38" s="2">
        <v>0.90123456790123402</v>
      </c>
      <c r="AB38" s="2">
        <v>0.44444444444444398</v>
      </c>
      <c r="AC38" s="2">
        <v>1</v>
      </c>
      <c r="AD38" s="2">
        <v>1</v>
      </c>
      <c r="AE38" s="2">
        <v>1</v>
      </c>
      <c r="AF38" s="2">
        <v>1</v>
      </c>
      <c r="AG38" s="2">
        <v>0.938271604938271</v>
      </c>
      <c r="AH38" s="2">
        <v>1</v>
      </c>
      <c r="AI38" s="2">
        <v>0.19565217391304299</v>
      </c>
    </row>
    <row r="39" spans="1:35" x14ac:dyDescent="0.35">
      <c r="A39" s="2">
        <v>38</v>
      </c>
      <c r="B39" s="2" t="s">
        <v>120</v>
      </c>
      <c r="C39" s="2">
        <v>0</v>
      </c>
      <c r="D39" s="2">
        <v>0.23765432098765399</v>
      </c>
      <c r="E39" s="2">
        <v>0.23899371069182301</v>
      </c>
      <c r="F39" s="2">
        <v>0.53703703703703698</v>
      </c>
      <c r="G39" s="2">
        <v>0.12757201646090499</v>
      </c>
      <c r="H39" s="2">
        <v>0.94805194805194803</v>
      </c>
      <c r="I39" s="2">
        <v>0.55692729766803795</v>
      </c>
      <c r="J39" s="2">
        <v>0.936708860759493</v>
      </c>
      <c r="K39" s="2">
        <v>0.407407407407407</v>
      </c>
      <c r="L39" s="2">
        <v>0.19478737997256501</v>
      </c>
      <c r="M39" s="2">
        <v>5.5555555555555497E-2</v>
      </c>
      <c r="N39" s="2">
        <v>0.158904109589041</v>
      </c>
      <c r="O39" s="2">
        <v>0.95061728395061695</v>
      </c>
      <c r="P39" s="2">
        <v>6.1728395061728301E-2</v>
      </c>
      <c r="Q39" s="2">
        <v>0.189873417721519</v>
      </c>
      <c r="R39" s="2">
        <v>0.32345679012345602</v>
      </c>
      <c r="S39" s="2">
        <v>0.98765432098765404</v>
      </c>
      <c r="T39" s="2">
        <v>0.76543209876543195</v>
      </c>
      <c r="U39" s="2">
        <v>0.97530864197530798</v>
      </c>
      <c r="V39" s="2">
        <v>1</v>
      </c>
      <c r="W39" s="2">
        <v>1</v>
      </c>
      <c r="X39" s="2">
        <v>0.11111111111111099</v>
      </c>
      <c r="Y39" s="2">
        <v>1</v>
      </c>
      <c r="Z39" s="2">
        <v>0.97530864197530798</v>
      </c>
      <c r="AA39" s="2">
        <v>0.90123456790123402</v>
      </c>
      <c r="AB39" s="2">
        <v>0.44444444444444398</v>
      </c>
      <c r="AC39" s="2">
        <v>1</v>
      </c>
      <c r="AD39" s="2">
        <v>1</v>
      </c>
      <c r="AE39" s="2">
        <v>1</v>
      </c>
      <c r="AF39" s="2">
        <v>1</v>
      </c>
      <c r="AG39" s="2">
        <v>0.938271604938271</v>
      </c>
      <c r="AH39" s="2">
        <v>1</v>
      </c>
      <c r="AI39" s="2">
        <v>0.19565217391304299</v>
      </c>
    </row>
    <row r="40" spans="1:35" x14ac:dyDescent="0.35">
      <c r="A40" s="2">
        <v>39</v>
      </c>
      <c r="B40" s="2" t="s">
        <v>120</v>
      </c>
      <c r="C40" s="2">
        <v>0</v>
      </c>
      <c r="D40" s="2">
        <v>0.23765432098765399</v>
      </c>
      <c r="E40" s="2">
        <v>0.23899371069182301</v>
      </c>
      <c r="F40" s="2">
        <v>0.53703703703703698</v>
      </c>
      <c r="G40" s="2">
        <v>0.12757201646090499</v>
      </c>
      <c r="H40" s="2">
        <v>0.94805194805194803</v>
      </c>
      <c r="I40" s="2">
        <v>0.55692729766803795</v>
      </c>
      <c r="J40" s="2">
        <v>0.936708860759493</v>
      </c>
      <c r="K40" s="2">
        <v>0.407407407407407</v>
      </c>
      <c r="L40" s="2">
        <v>0.19478737997256501</v>
      </c>
      <c r="M40" s="2">
        <v>5.5555555555555497E-2</v>
      </c>
      <c r="N40" s="2">
        <v>0.158904109589041</v>
      </c>
      <c r="O40" s="2">
        <v>0.95061728395061695</v>
      </c>
      <c r="P40" s="2">
        <v>6.1728395061728301E-2</v>
      </c>
      <c r="Q40" s="2">
        <v>0.189873417721519</v>
      </c>
      <c r="R40" s="2">
        <v>0.32345679012345602</v>
      </c>
      <c r="S40" s="2">
        <v>0.98765432098765404</v>
      </c>
      <c r="T40" s="2">
        <v>0.76543209876543195</v>
      </c>
      <c r="U40" s="2">
        <v>0.97530864197530798</v>
      </c>
      <c r="V40" s="2">
        <v>1</v>
      </c>
      <c r="W40" s="2">
        <v>1</v>
      </c>
      <c r="X40" s="2">
        <v>0.11111111111111099</v>
      </c>
      <c r="Y40" s="2">
        <v>1</v>
      </c>
      <c r="Z40" s="2">
        <v>0.97530864197530798</v>
      </c>
      <c r="AA40" s="2">
        <v>0.90123456790123402</v>
      </c>
      <c r="AB40" s="2">
        <v>0.44444444444444398</v>
      </c>
      <c r="AC40" s="2">
        <v>1</v>
      </c>
      <c r="AD40" s="2">
        <v>1</v>
      </c>
      <c r="AE40" s="2">
        <v>1</v>
      </c>
      <c r="AF40" s="2">
        <v>1</v>
      </c>
      <c r="AG40" s="2">
        <v>0.938271604938271</v>
      </c>
      <c r="AH40" s="2">
        <v>1</v>
      </c>
      <c r="AI40" s="2">
        <v>0.19565217391304299</v>
      </c>
    </row>
    <row r="41" spans="1:35" x14ac:dyDescent="0.35">
      <c r="A41" s="2">
        <v>40</v>
      </c>
      <c r="B41" s="2" t="s">
        <v>120</v>
      </c>
      <c r="C41" s="2">
        <v>0.5</v>
      </c>
      <c r="D41" s="2">
        <v>0</v>
      </c>
      <c r="E41" s="2">
        <v>0</v>
      </c>
      <c r="F41" s="2">
        <v>0.66666666666666596</v>
      </c>
      <c r="G41" s="2">
        <v>0</v>
      </c>
      <c r="H41" s="2">
        <v>1</v>
      </c>
      <c r="I41" s="2">
        <v>0.55555555555555503</v>
      </c>
      <c r="J41" s="2">
        <v>1</v>
      </c>
      <c r="K41" s="2">
        <v>0.5</v>
      </c>
      <c r="L41" s="2">
        <v>1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0.4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1</v>
      </c>
      <c r="AA41" s="2">
        <v>1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72F6-FBBE-4BFF-94E9-9AB1CE5AC1F4}">
  <dimension ref="A3:AJ638"/>
  <sheetViews>
    <sheetView topLeftCell="A621" workbookViewId="0">
      <selection activeCell="B3" sqref="B3:AI103"/>
    </sheetView>
  </sheetViews>
  <sheetFormatPr defaultRowHeight="14.5" x14ac:dyDescent="0.35"/>
  <cols>
    <col min="2" max="2" width="63.453125" bestFit="1" customWidth="1"/>
    <col min="36" max="36" width="63.453125" bestFit="1" customWidth="1"/>
  </cols>
  <sheetData>
    <row r="3" spans="1:35" x14ac:dyDescent="0.35">
      <c r="A3" t="s">
        <v>120</v>
      </c>
      <c r="B3" t="s">
        <v>122</v>
      </c>
      <c r="C3" t="s">
        <v>123</v>
      </c>
      <c r="D3" t="s">
        <v>124</v>
      </c>
      <c r="E3" t="s">
        <v>125</v>
      </c>
      <c r="F3" t="s">
        <v>126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135</v>
      </c>
      <c r="P3" t="s">
        <v>136</v>
      </c>
      <c r="Q3" t="s">
        <v>137</v>
      </c>
      <c r="R3" t="s">
        <v>138</v>
      </c>
      <c r="S3" t="s">
        <v>139</v>
      </c>
      <c r="T3" t="s">
        <v>140</v>
      </c>
      <c r="U3" t="s">
        <v>141</v>
      </c>
      <c r="V3" t="s">
        <v>142</v>
      </c>
      <c r="W3" t="s">
        <v>143</v>
      </c>
      <c r="X3" t="s">
        <v>144</v>
      </c>
      <c r="Y3" t="s">
        <v>145</v>
      </c>
      <c r="Z3" t="s">
        <v>146</v>
      </c>
      <c r="AA3" t="s">
        <v>147</v>
      </c>
      <c r="AB3" t="s">
        <v>148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</row>
    <row r="4" spans="1:35" x14ac:dyDescent="0.35">
      <c r="A4" t="s">
        <v>182</v>
      </c>
      <c r="B4" s="2">
        <v>0.33333333333333298</v>
      </c>
      <c r="C4" s="2">
        <v>0.23765432098765399</v>
      </c>
      <c r="D4" s="2">
        <v>0.23899371069182301</v>
      </c>
      <c r="E4" s="2">
        <v>0.53703703703703698</v>
      </c>
      <c r="F4" s="2">
        <v>0.12757201646090499</v>
      </c>
      <c r="G4" s="2">
        <v>0.94805194805194803</v>
      </c>
      <c r="H4" s="2">
        <v>0.55692729766803795</v>
      </c>
      <c r="I4" s="2">
        <v>0.936708860759493</v>
      </c>
      <c r="J4" s="2">
        <v>0.407407407407407</v>
      </c>
      <c r="K4" s="2">
        <v>0.19478737997256501</v>
      </c>
      <c r="L4" s="2">
        <v>5.5555555555555497E-2</v>
      </c>
      <c r="M4" s="2">
        <v>0.158904109589041</v>
      </c>
      <c r="N4" s="2">
        <v>0.95061728395061695</v>
      </c>
      <c r="O4" s="2">
        <v>6.1728395061728301E-2</v>
      </c>
      <c r="P4" s="2">
        <v>0.189873417721519</v>
      </c>
      <c r="Q4" s="2">
        <v>0.32345679012345602</v>
      </c>
      <c r="R4" s="2">
        <v>0.98765432098765404</v>
      </c>
      <c r="S4" s="2">
        <v>0.76543209876543195</v>
      </c>
      <c r="T4" s="2">
        <v>0.97530864197530798</v>
      </c>
      <c r="U4" s="2">
        <v>1</v>
      </c>
      <c r="V4" s="2">
        <v>1</v>
      </c>
      <c r="W4" s="2">
        <v>0.11111111111111099</v>
      </c>
      <c r="X4" s="2">
        <v>1</v>
      </c>
      <c r="Y4" s="2">
        <v>0.97530864197530798</v>
      </c>
      <c r="Z4" s="2">
        <v>0.90123456790123402</v>
      </c>
      <c r="AA4" s="2">
        <v>0.44444444444444398</v>
      </c>
      <c r="AB4" s="2">
        <v>1</v>
      </c>
      <c r="AC4" s="2">
        <v>1</v>
      </c>
      <c r="AD4" s="2">
        <v>1</v>
      </c>
      <c r="AE4" s="2">
        <v>1</v>
      </c>
      <c r="AF4" s="2">
        <v>0.938271604938271</v>
      </c>
      <c r="AG4" s="2">
        <v>1</v>
      </c>
      <c r="AH4" s="2">
        <v>0.19565217391304299</v>
      </c>
      <c r="AI4" s="2" t="s">
        <v>120</v>
      </c>
    </row>
    <row r="5" spans="1:35" x14ac:dyDescent="0.35">
      <c r="A5" t="s">
        <v>183</v>
      </c>
      <c r="B5" s="2">
        <v>0.33333333333333298</v>
      </c>
      <c r="C5" s="2">
        <v>0.25</v>
      </c>
      <c r="D5" s="2">
        <v>0.33333333333333298</v>
      </c>
      <c r="E5" s="2">
        <v>0.66666666666666596</v>
      </c>
      <c r="F5" s="2">
        <v>0</v>
      </c>
      <c r="G5" s="2">
        <v>1</v>
      </c>
      <c r="H5" s="2">
        <v>0.55555555555555503</v>
      </c>
      <c r="I5" s="2">
        <v>1</v>
      </c>
      <c r="J5" s="2">
        <v>0.5</v>
      </c>
      <c r="K5" s="2">
        <v>1</v>
      </c>
      <c r="L5" s="2">
        <v>0</v>
      </c>
      <c r="M5" s="2">
        <v>0.2</v>
      </c>
      <c r="N5" s="2">
        <v>0</v>
      </c>
      <c r="O5" s="2">
        <v>0</v>
      </c>
      <c r="P5" s="2">
        <v>1</v>
      </c>
      <c r="Q5" s="2">
        <v>0.4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s="2">
        <v>0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0</v>
      </c>
      <c r="AI5" s="2" t="s">
        <v>120</v>
      </c>
    </row>
    <row r="6" spans="1:35" x14ac:dyDescent="0.35">
      <c r="A6" t="s">
        <v>184</v>
      </c>
      <c r="B6" s="2">
        <v>0</v>
      </c>
      <c r="C6" s="2">
        <v>0</v>
      </c>
      <c r="D6" s="2">
        <v>0</v>
      </c>
      <c r="E6" s="2">
        <v>0.66666666666666596</v>
      </c>
      <c r="F6" s="2">
        <v>0.33333333333333298</v>
      </c>
      <c r="G6" s="2">
        <v>1</v>
      </c>
      <c r="H6" s="2">
        <v>0.55555555555555503</v>
      </c>
      <c r="I6" s="2">
        <v>1</v>
      </c>
      <c r="J6" s="2">
        <v>0.5</v>
      </c>
      <c r="K6" s="2">
        <v>0</v>
      </c>
      <c r="L6" s="2">
        <v>0</v>
      </c>
      <c r="M6" s="2">
        <v>0.2</v>
      </c>
      <c r="N6" s="2">
        <v>0.5</v>
      </c>
      <c r="O6" s="2">
        <v>0</v>
      </c>
      <c r="P6" s="2">
        <v>0</v>
      </c>
      <c r="Q6" s="2">
        <v>0.4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0.19565217391304299</v>
      </c>
      <c r="AI6" s="2" t="s">
        <v>120</v>
      </c>
    </row>
    <row r="7" spans="1:35" x14ac:dyDescent="0.35">
      <c r="A7" t="s">
        <v>185</v>
      </c>
      <c r="B7" s="2">
        <v>0.16666666666666599</v>
      </c>
      <c r="C7" s="2">
        <v>0.5</v>
      </c>
      <c r="D7" s="2">
        <v>0.23899371069182301</v>
      </c>
      <c r="E7" s="2">
        <v>0.66666666666666596</v>
      </c>
      <c r="F7" s="2">
        <v>0</v>
      </c>
      <c r="G7" s="2">
        <v>1</v>
      </c>
      <c r="H7" s="2">
        <v>0.55555555555555503</v>
      </c>
      <c r="I7" s="2">
        <v>1</v>
      </c>
      <c r="J7" s="2">
        <v>0.5</v>
      </c>
      <c r="K7" s="2">
        <v>0</v>
      </c>
      <c r="L7" s="2">
        <v>0</v>
      </c>
      <c r="M7" s="2">
        <v>0.2</v>
      </c>
      <c r="N7" s="2">
        <v>1</v>
      </c>
      <c r="O7" s="2">
        <v>0</v>
      </c>
      <c r="P7" s="2">
        <v>0</v>
      </c>
      <c r="Q7" s="2">
        <v>0.4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0.19565217391304299</v>
      </c>
      <c r="AI7" s="2" t="s">
        <v>120</v>
      </c>
    </row>
    <row r="8" spans="1:35" x14ac:dyDescent="0.35">
      <c r="A8" t="s">
        <v>186</v>
      </c>
      <c r="B8" s="2">
        <v>0</v>
      </c>
      <c r="C8" s="2">
        <v>0.23765432098765399</v>
      </c>
      <c r="D8" s="2">
        <v>0.23899371069182301</v>
      </c>
      <c r="E8" s="2">
        <v>0.53703703703703698</v>
      </c>
      <c r="F8" s="2">
        <v>0.12757201646090499</v>
      </c>
      <c r="G8" s="2">
        <v>0.94805194805194803</v>
      </c>
      <c r="H8" s="2">
        <v>0.55692729766803795</v>
      </c>
      <c r="I8" s="2">
        <v>0.936708860759493</v>
      </c>
      <c r="J8" s="2">
        <v>0.407407407407407</v>
      </c>
      <c r="K8" s="2">
        <v>0.19478737997256501</v>
      </c>
      <c r="L8" s="2">
        <v>5.5555555555555497E-2</v>
      </c>
      <c r="M8" s="2">
        <v>0.158904109589041</v>
      </c>
      <c r="N8" s="2">
        <v>0.95061728395061695</v>
      </c>
      <c r="O8" s="2">
        <v>6.1728395061728301E-2</v>
      </c>
      <c r="P8" s="2">
        <v>0.189873417721519</v>
      </c>
      <c r="Q8" s="2">
        <v>0.32345679012345602</v>
      </c>
      <c r="R8" s="2">
        <v>0.98765432098765404</v>
      </c>
      <c r="S8" s="2">
        <v>0.76543209876543195</v>
      </c>
      <c r="T8" s="2">
        <v>0.97530864197530798</v>
      </c>
      <c r="U8" s="2">
        <v>1</v>
      </c>
      <c r="V8" s="2">
        <v>1</v>
      </c>
      <c r="W8" s="2">
        <v>0.11111111111111099</v>
      </c>
      <c r="X8" s="2">
        <v>1</v>
      </c>
      <c r="Y8" s="2">
        <v>0.97530864197530798</v>
      </c>
      <c r="Z8" s="2">
        <v>0.90123456790123402</v>
      </c>
      <c r="AA8" s="2">
        <v>0.44444444444444398</v>
      </c>
      <c r="AB8" s="2">
        <v>1</v>
      </c>
      <c r="AC8" s="2">
        <v>1</v>
      </c>
      <c r="AD8" s="2">
        <v>1</v>
      </c>
      <c r="AE8" s="2">
        <v>1</v>
      </c>
      <c r="AF8" s="2">
        <v>0.938271604938271</v>
      </c>
      <c r="AG8" s="2">
        <v>1</v>
      </c>
      <c r="AH8" s="2">
        <v>0.19565217391304299</v>
      </c>
      <c r="AI8" s="2" t="s">
        <v>120</v>
      </c>
    </row>
    <row r="9" spans="1:35" x14ac:dyDescent="0.35">
      <c r="A9" t="s">
        <v>187</v>
      </c>
      <c r="B9" s="2">
        <v>0</v>
      </c>
      <c r="C9" s="2">
        <v>0.23765432098765399</v>
      </c>
      <c r="D9" s="2">
        <v>0.23899371069182301</v>
      </c>
      <c r="E9" s="2">
        <v>0.53703703703703698</v>
      </c>
      <c r="F9" s="2">
        <v>0.12757201646090499</v>
      </c>
      <c r="G9" s="2">
        <v>0.94805194805194803</v>
      </c>
      <c r="H9" s="2">
        <v>0.55692729766803795</v>
      </c>
      <c r="I9" s="2">
        <v>0.936708860759493</v>
      </c>
      <c r="J9" s="2">
        <v>0.407407407407407</v>
      </c>
      <c r="K9" s="2">
        <v>0.19478737997256501</v>
      </c>
      <c r="L9" s="2">
        <v>5.5555555555555497E-2</v>
      </c>
      <c r="M9" s="2">
        <v>0.158904109589041</v>
      </c>
      <c r="N9" s="2">
        <v>0.95061728395061695</v>
      </c>
      <c r="O9" s="2">
        <v>6.1728395061728301E-2</v>
      </c>
      <c r="P9" s="2">
        <v>0.189873417721519</v>
      </c>
      <c r="Q9" s="2">
        <v>0.32345679012345602</v>
      </c>
      <c r="R9" s="2">
        <v>0.98765432098765404</v>
      </c>
      <c r="S9" s="2">
        <v>0.76543209876543195</v>
      </c>
      <c r="T9" s="2">
        <v>0.97530864197530798</v>
      </c>
      <c r="U9" s="2">
        <v>1</v>
      </c>
      <c r="V9" s="2">
        <v>1</v>
      </c>
      <c r="W9" s="2">
        <v>0.11111111111111099</v>
      </c>
      <c r="X9" s="2">
        <v>1</v>
      </c>
      <c r="Y9" s="2">
        <v>0.97530864197530798</v>
      </c>
      <c r="Z9" s="2">
        <v>0.90123456790123402</v>
      </c>
      <c r="AA9" s="2">
        <v>0.44444444444444398</v>
      </c>
      <c r="AB9" s="2">
        <v>1</v>
      </c>
      <c r="AC9" s="2">
        <v>1</v>
      </c>
      <c r="AD9" s="2">
        <v>1</v>
      </c>
      <c r="AE9" s="2">
        <v>1</v>
      </c>
      <c r="AF9" s="2">
        <v>0.938271604938271</v>
      </c>
      <c r="AG9" s="2">
        <v>1</v>
      </c>
      <c r="AH9" s="2">
        <v>0.19565217391304299</v>
      </c>
      <c r="AI9" s="2" t="s">
        <v>120</v>
      </c>
    </row>
    <row r="10" spans="1:35" x14ac:dyDescent="0.35">
      <c r="A10" t="s">
        <v>188</v>
      </c>
      <c r="B10" s="2">
        <v>0.83333333333333304</v>
      </c>
      <c r="C10" s="2">
        <v>0.5</v>
      </c>
      <c r="D10" s="2">
        <v>0</v>
      </c>
      <c r="E10" s="2">
        <v>0.66666666666666596</v>
      </c>
      <c r="F10" s="2">
        <v>0</v>
      </c>
      <c r="G10" s="2">
        <v>1</v>
      </c>
      <c r="H10" s="2">
        <v>0.55555555555555503</v>
      </c>
      <c r="I10" s="2">
        <v>1</v>
      </c>
      <c r="J10" s="2">
        <v>0.5</v>
      </c>
      <c r="K10" s="2">
        <v>0</v>
      </c>
      <c r="L10" s="2">
        <v>0</v>
      </c>
      <c r="M10" s="2">
        <v>0</v>
      </c>
      <c r="N10" s="2">
        <v>1</v>
      </c>
      <c r="O10" s="2">
        <v>0.33333333333333298</v>
      </c>
      <c r="P10" s="2">
        <v>0</v>
      </c>
      <c r="Q10" s="2">
        <v>0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0</v>
      </c>
      <c r="AI10" s="2" t="s">
        <v>120</v>
      </c>
    </row>
    <row r="11" spans="1:35" x14ac:dyDescent="0.35">
      <c r="A11" t="s">
        <v>189</v>
      </c>
      <c r="B11" s="2">
        <v>0</v>
      </c>
      <c r="C11" s="2">
        <v>0.23765432098765399</v>
      </c>
      <c r="D11" s="2">
        <v>0.23899371069182301</v>
      </c>
      <c r="E11" s="2">
        <v>0.53703703703703698</v>
      </c>
      <c r="F11" s="2">
        <v>0.12757201646090499</v>
      </c>
      <c r="G11" s="2">
        <v>0.94805194805194803</v>
      </c>
      <c r="H11" s="2">
        <v>0.55692729766803795</v>
      </c>
      <c r="I11" s="2">
        <v>0.936708860759493</v>
      </c>
      <c r="J11" s="2">
        <v>0.407407407407407</v>
      </c>
      <c r="K11" s="2">
        <v>0.19478737997256501</v>
      </c>
      <c r="L11" s="2">
        <v>5.5555555555555497E-2</v>
      </c>
      <c r="M11" s="2">
        <v>0.158904109589041</v>
      </c>
      <c r="N11" s="2">
        <v>0.95061728395061695</v>
      </c>
      <c r="O11" s="2">
        <v>6.1728395061728301E-2</v>
      </c>
      <c r="P11" s="2">
        <v>0.189873417721519</v>
      </c>
      <c r="Q11" s="2">
        <v>0.32345679012345602</v>
      </c>
      <c r="R11" s="2">
        <v>0.98765432098765404</v>
      </c>
      <c r="S11" s="2">
        <v>0.76543209876543195</v>
      </c>
      <c r="T11" s="2">
        <v>0.97530864197530798</v>
      </c>
      <c r="U11" s="2">
        <v>1</v>
      </c>
      <c r="V11" s="2">
        <v>1</v>
      </c>
      <c r="W11" s="2">
        <v>0.11111111111111099</v>
      </c>
      <c r="X11" s="2">
        <v>1</v>
      </c>
      <c r="Y11" s="2">
        <v>0.97530864197530798</v>
      </c>
      <c r="Z11" s="2">
        <v>0.90123456790123402</v>
      </c>
      <c r="AA11" s="2">
        <v>0.44444444444444398</v>
      </c>
      <c r="AB11" s="2">
        <v>1</v>
      </c>
      <c r="AC11" s="2">
        <v>1</v>
      </c>
      <c r="AD11" s="2">
        <v>1</v>
      </c>
      <c r="AE11" s="2">
        <v>1</v>
      </c>
      <c r="AF11" s="2">
        <v>0.938271604938271</v>
      </c>
      <c r="AG11" s="2">
        <v>1</v>
      </c>
      <c r="AH11" s="2">
        <v>0.19565217391304299</v>
      </c>
      <c r="AI11" s="2" t="s">
        <v>120</v>
      </c>
    </row>
    <row r="12" spans="1:35" x14ac:dyDescent="0.35">
      <c r="A12" t="s">
        <v>190</v>
      </c>
      <c r="B12" s="2">
        <v>0.16666666666666599</v>
      </c>
      <c r="C12" s="2">
        <v>0.25</v>
      </c>
      <c r="D12" s="2">
        <v>0.23899371069182301</v>
      </c>
      <c r="E12" s="2">
        <v>0.66666666666666596</v>
      </c>
      <c r="F12" s="2">
        <v>1</v>
      </c>
      <c r="G12" s="2">
        <v>0.94805194805194803</v>
      </c>
      <c r="H12" s="2">
        <v>1</v>
      </c>
      <c r="I12" s="2">
        <v>0.936708860759493</v>
      </c>
      <c r="J12" s="2">
        <v>0</v>
      </c>
      <c r="K12" s="2">
        <v>0.55555555555555503</v>
      </c>
      <c r="L12" s="2">
        <v>0.5</v>
      </c>
      <c r="M12" s="2">
        <v>0.158904109589041</v>
      </c>
      <c r="N12" s="2">
        <v>1</v>
      </c>
      <c r="O12" s="2">
        <v>1</v>
      </c>
      <c r="P12" s="2">
        <v>0.189873417721519</v>
      </c>
      <c r="Q12" s="2">
        <v>0.4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 t="s">
        <v>120</v>
      </c>
    </row>
    <row r="13" spans="1:35" x14ac:dyDescent="0.35">
      <c r="A13" t="s">
        <v>191</v>
      </c>
      <c r="B13" s="2">
        <v>0.83333333333333304</v>
      </c>
      <c r="C13" s="2">
        <v>0</v>
      </c>
      <c r="D13" s="2">
        <v>0</v>
      </c>
      <c r="E13" s="2">
        <v>0.66666666666666596</v>
      </c>
      <c r="F13" s="2">
        <v>0</v>
      </c>
      <c r="G13" s="2">
        <v>1</v>
      </c>
      <c r="H13" s="2">
        <v>0.55555555555555503</v>
      </c>
      <c r="I13" s="2">
        <v>1</v>
      </c>
      <c r="J13" s="2">
        <v>1</v>
      </c>
      <c r="K13" s="2">
        <v>0</v>
      </c>
      <c r="L13" s="2">
        <v>0</v>
      </c>
      <c r="M13" s="2">
        <v>0.2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s="2">
        <v>0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0</v>
      </c>
      <c r="AI13" s="2" t="s">
        <v>120</v>
      </c>
    </row>
    <row r="14" spans="1:35" x14ac:dyDescent="0.35">
      <c r="A14" t="s">
        <v>192</v>
      </c>
      <c r="B14" s="2">
        <v>0.66666666666666596</v>
      </c>
      <c r="C14" s="2">
        <v>0.25</v>
      </c>
      <c r="D14" s="2">
        <v>0.23899371069182301</v>
      </c>
      <c r="E14" s="2">
        <v>0.66666666666666596</v>
      </c>
      <c r="F14" s="2">
        <v>0</v>
      </c>
      <c r="G14" s="2">
        <v>1</v>
      </c>
      <c r="H14" s="2">
        <v>0.55555555555555503</v>
      </c>
      <c r="I14" s="2">
        <v>1</v>
      </c>
      <c r="J14" s="2">
        <v>0.5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0.4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0.19565217391304299</v>
      </c>
      <c r="AI14" s="2" t="s">
        <v>120</v>
      </c>
    </row>
    <row r="15" spans="1:35" x14ac:dyDescent="0.35">
      <c r="A15" t="s">
        <v>193</v>
      </c>
      <c r="B15" s="2">
        <v>0.16666666666666599</v>
      </c>
      <c r="C15" s="2">
        <v>0.5</v>
      </c>
      <c r="D15" s="2">
        <v>0.23899371069182301</v>
      </c>
      <c r="E15" s="2">
        <v>0</v>
      </c>
      <c r="F15" s="2">
        <v>0</v>
      </c>
      <c r="G15" s="2">
        <v>1</v>
      </c>
      <c r="H15" s="2">
        <v>0.55555555555555503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0.4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0.19565217391304299</v>
      </c>
      <c r="AI15" s="2" t="s">
        <v>120</v>
      </c>
    </row>
    <row r="16" spans="1:35" x14ac:dyDescent="0.35">
      <c r="A16" t="s">
        <v>194</v>
      </c>
      <c r="B16" s="2">
        <v>0</v>
      </c>
      <c r="C16" s="2">
        <v>0.25</v>
      </c>
      <c r="D16" s="2">
        <v>0.23899371069182301</v>
      </c>
      <c r="E16" s="2">
        <v>0.66666666666666596</v>
      </c>
      <c r="F16" s="2">
        <v>0</v>
      </c>
      <c r="G16" s="2">
        <v>1</v>
      </c>
      <c r="H16" s="2">
        <v>0.55555555555555503</v>
      </c>
      <c r="I16" s="2">
        <v>1</v>
      </c>
      <c r="J16" s="2">
        <v>0</v>
      </c>
      <c r="K16" s="2">
        <v>0</v>
      </c>
      <c r="L16" s="2">
        <v>0</v>
      </c>
      <c r="M16" s="2">
        <v>0.2</v>
      </c>
      <c r="N16" s="2">
        <v>1</v>
      </c>
      <c r="O16" s="2">
        <v>0</v>
      </c>
      <c r="P16" s="2">
        <v>0</v>
      </c>
      <c r="Q16" s="2">
        <v>0.4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0.19565217391304299</v>
      </c>
      <c r="AI16" s="2" t="s">
        <v>120</v>
      </c>
    </row>
    <row r="17" spans="1:35" x14ac:dyDescent="0.35">
      <c r="A17" t="s">
        <v>196</v>
      </c>
      <c r="B17" s="2">
        <v>0.5</v>
      </c>
      <c r="C17" s="2">
        <v>0.25</v>
      </c>
      <c r="D17" s="2">
        <v>0.33333333333333298</v>
      </c>
      <c r="E17" s="2">
        <v>0.66666666666666596</v>
      </c>
      <c r="F17" s="2">
        <v>0</v>
      </c>
      <c r="G17" s="2">
        <v>1</v>
      </c>
      <c r="H17" s="2">
        <v>0.55555555555555503</v>
      </c>
      <c r="I17" s="2">
        <v>1</v>
      </c>
      <c r="J17" s="2">
        <v>0.5</v>
      </c>
      <c r="K17" s="2">
        <v>1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>
        <v>0.4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s="2">
        <v>0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0</v>
      </c>
      <c r="AI17" s="2" t="s">
        <v>120</v>
      </c>
    </row>
    <row r="18" spans="1:35" x14ac:dyDescent="0.35">
      <c r="A18" t="s">
        <v>197</v>
      </c>
      <c r="B18" s="2">
        <v>0.83333333333333304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0.55555555555555503</v>
      </c>
      <c r="I18" s="2">
        <v>1</v>
      </c>
      <c r="J18" s="2">
        <v>0.5</v>
      </c>
      <c r="K18" s="2">
        <v>1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0.4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s="2">
        <v>0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0</v>
      </c>
      <c r="AI18" s="2" t="s">
        <v>120</v>
      </c>
    </row>
    <row r="19" spans="1:35" x14ac:dyDescent="0.35">
      <c r="A19" t="s">
        <v>198</v>
      </c>
      <c r="B19" s="2">
        <v>0.16666666666666599</v>
      </c>
      <c r="C19" s="2">
        <v>0.25</v>
      </c>
      <c r="D19" s="2">
        <v>0.33333333333333298</v>
      </c>
      <c r="E19" s="2">
        <v>0.66666666666666596</v>
      </c>
      <c r="F19" s="2">
        <v>1</v>
      </c>
      <c r="G19" s="2">
        <v>0.94805194805194803</v>
      </c>
      <c r="H19" s="2">
        <v>0.55555555555555503</v>
      </c>
      <c r="I19" s="2">
        <v>1</v>
      </c>
      <c r="J19" s="2">
        <v>0.5</v>
      </c>
      <c r="K19" s="2">
        <v>1</v>
      </c>
      <c r="L19" s="2">
        <v>0</v>
      </c>
      <c r="M19" s="2">
        <v>0.2</v>
      </c>
      <c r="N19" s="2">
        <v>1</v>
      </c>
      <c r="O19" s="2">
        <v>0.33333333333333298</v>
      </c>
      <c r="P19" s="2">
        <v>0</v>
      </c>
      <c r="Q19" s="2">
        <v>0.4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s="2">
        <v>0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0</v>
      </c>
      <c r="AI19" s="2" t="s">
        <v>120</v>
      </c>
    </row>
    <row r="20" spans="1:35" x14ac:dyDescent="0.35">
      <c r="A20" t="s">
        <v>199</v>
      </c>
      <c r="B20" s="2">
        <v>0.66666666666666596</v>
      </c>
      <c r="C20" s="2">
        <v>0</v>
      </c>
      <c r="D20" s="2">
        <v>1</v>
      </c>
      <c r="E20" s="2">
        <v>0.66666666666666596</v>
      </c>
      <c r="F20" s="2">
        <v>0.33333333333333298</v>
      </c>
      <c r="G20" s="2">
        <v>1</v>
      </c>
      <c r="H20" s="2">
        <v>0.55555555555555503</v>
      </c>
      <c r="I20" s="2">
        <v>1</v>
      </c>
      <c r="J20" s="2">
        <v>0.5</v>
      </c>
      <c r="K20" s="2">
        <v>0</v>
      </c>
      <c r="L20" s="2">
        <v>0</v>
      </c>
      <c r="M20" s="2">
        <v>0</v>
      </c>
      <c r="N20" s="2">
        <v>1</v>
      </c>
      <c r="O20" s="2">
        <v>0.33333333333333298</v>
      </c>
      <c r="P20" s="2">
        <v>0</v>
      </c>
      <c r="Q20" s="2">
        <v>1</v>
      </c>
      <c r="R20" s="2">
        <v>1</v>
      </c>
      <c r="S20" s="2">
        <v>1</v>
      </c>
      <c r="T20" s="2">
        <v>0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s="2">
        <v>0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0</v>
      </c>
      <c r="AI20" s="2" t="s">
        <v>120</v>
      </c>
    </row>
    <row r="21" spans="1:35" x14ac:dyDescent="0.35">
      <c r="A21" t="s">
        <v>200</v>
      </c>
      <c r="B21" s="2">
        <v>0.66666666666666596</v>
      </c>
      <c r="C21" s="2">
        <v>0.25</v>
      </c>
      <c r="D21" s="2">
        <v>0.33333333333333298</v>
      </c>
      <c r="E21" s="2">
        <v>0</v>
      </c>
      <c r="F21" s="2">
        <v>0</v>
      </c>
      <c r="G21" s="2">
        <v>0</v>
      </c>
      <c r="H21" s="2">
        <v>0.55555555555555503</v>
      </c>
      <c r="I21" s="2">
        <v>0</v>
      </c>
      <c r="J21" s="2">
        <v>0.5</v>
      </c>
      <c r="K21" s="2">
        <v>0</v>
      </c>
      <c r="L21" s="2">
        <v>0</v>
      </c>
      <c r="M21" s="2">
        <v>0.2</v>
      </c>
      <c r="N21" s="2">
        <v>1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1</v>
      </c>
      <c r="AA21" s="2">
        <v>0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 t="s">
        <v>120</v>
      </c>
    </row>
    <row r="22" spans="1:35" x14ac:dyDescent="0.35">
      <c r="A22" t="s">
        <v>201</v>
      </c>
      <c r="B22" s="2">
        <v>0.33333333333333298</v>
      </c>
      <c r="C22" s="2">
        <v>0.5</v>
      </c>
      <c r="D22" s="2">
        <v>0.33333333333333298</v>
      </c>
      <c r="E22" s="2">
        <v>0</v>
      </c>
      <c r="F22" s="2">
        <v>0</v>
      </c>
      <c r="G22" s="2">
        <v>1</v>
      </c>
      <c r="H22" s="2">
        <v>0.55555555555555503</v>
      </c>
      <c r="I22" s="2">
        <v>1</v>
      </c>
      <c r="J22" s="2">
        <v>0.5</v>
      </c>
      <c r="K22" s="2">
        <v>0</v>
      </c>
      <c r="L22" s="2">
        <v>0</v>
      </c>
      <c r="M22" s="2">
        <v>0.2</v>
      </c>
      <c r="N22" s="2">
        <v>1</v>
      </c>
      <c r="O22" s="2">
        <v>0</v>
      </c>
      <c r="P22" s="2">
        <v>0</v>
      </c>
      <c r="Q22" s="2">
        <v>0.4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0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0</v>
      </c>
      <c r="AI22" s="2" t="s">
        <v>120</v>
      </c>
    </row>
    <row r="23" spans="1:35" x14ac:dyDescent="0.35">
      <c r="A23" t="s">
        <v>202</v>
      </c>
      <c r="B23" s="2">
        <v>0</v>
      </c>
      <c r="C23" s="2">
        <v>0</v>
      </c>
      <c r="D23" s="2">
        <v>0</v>
      </c>
      <c r="E23" s="2">
        <v>1</v>
      </c>
      <c r="F23" s="2">
        <v>0.33333333333333298</v>
      </c>
      <c r="G23" s="2">
        <v>1</v>
      </c>
      <c r="H23" s="2">
        <v>0.55555555555555503</v>
      </c>
      <c r="I23" s="2">
        <v>1</v>
      </c>
      <c r="J23" s="2">
        <v>0</v>
      </c>
      <c r="K23" s="2">
        <v>0.44444444444444398</v>
      </c>
      <c r="L23" s="2">
        <v>0</v>
      </c>
      <c r="M23" s="2">
        <v>0.2</v>
      </c>
      <c r="N23" s="2">
        <v>1</v>
      </c>
      <c r="O23" s="2">
        <v>0</v>
      </c>
      <c r="P23" s="2">
        <v>1</v>
      </c>
      <c r="Q23" s="2">
        <v>0.4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1</v>
      </c>
      <c r="AA23" s="2">
        <v>0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0</v>
      </c>
      <c r="AI23" s="2" t="s">
        <v>120</v>
      </c>
    </row>
    <row r="24" spans="1:35" x14ac:dyDescent="0.35">
      <c r="A24" t="s">
        <v>233</v>
      </c>
      <c r="B24" s="2">
        <v>0.33333333333333298</v>
      </c>
      <c r="C24" s="2">
        <v>0</v>
      </c>
      <c r="D24" s="2">
        <v>0</v>
      </c>
      <c r="E24" s="2">
        <v>1</v>
      </c>
      <c r="F24" s="2">
        <v>0.33333333333333298</v>
      </c>
      <c r="G24" s="2">
        <v>1</v>
      </c>
      <c r="H24" s="2">
        <v>0.55555555555555503</v>
      </c>
      <c r="I24" s="2">
        <v>1</v>
      </c>
      <c r="J24" s="2">
        <v>0</v>
      </c>
      <c r="K24" s="2">
        <v>0.44444444444444398</v>
      </c>
      <c r="L24" s="2">
        <v>0</v>
      </c>
      <c r="M24" s="2">
        <v>0.2</v>
      </c>
      <c r="N24" s="2">
        <v>1</v>
      </c>
      <c r="O24" s="2">
        <v>0</v>
      </c>
      <c r="P24" s="2">
        <v>1</v>
      </c>
      <c r="Q24" s="2">
        <v>0.4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s="2">
        <v>0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0</v>
      </c>
      <c r="AI24" s="2" t="s">
        <v>120</v>
      </c>
    </row>
    <row r="25" spans="1:35" x14ac:dyDescent="0.35">
      <c r="A25" t="s">
        <v>234</v>
      </c>
      <c r="B25" s="2">
        <v>0.66666666666666596</v>
      </c>
      <c r="C25" s="2">
        <v>0.25</v>
      </c>
      <c r="D25" s="2">
        <v>0.33333333333333298</v>
      </c>
      <c r="E25" s="2">
        <v>0.66666666666666596</v>
      </c>
      <c r="F25" s="2">
        <v>1</v>
      </c>
      <c r="G25" s="2">
        <v>0.94805194805194803</v>
      </c>
      <c r="H25" s="2">
        <v>0.55555555555555503</v>
      </c>
      <c r="I25" s="2">
        <v>1</v>
      </c>
      <c r="J25" s="2">
        <v>0.5</v>
      </c>
      <c r="K25" s="2">
        <v>1</v>
      </c>
      <c r="L25" s="2">
        <v>0</v>
      </c>
      <c r="M25" s="2">
        <v>0.2</v>
      </c>
      <c r="N25" s="2">
        <v>1</v>
      </c>
      <c r="O25" s="2">
        <v>0.33333333333333298</v>
      </c>
      <c r="P25" s="2">
        <v>0</v>
      </c>
      <c r="Q25" s="2">
        <v>0.4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1</v>
      </c>
      <c r="AA25" s="2">
        <v>0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0</v>
      </c>
      <c r="AI25" s="2" t="s">
        <v>120</v>
      </c>
    </row>
    <row r="26" spans="1:35" x14ac:dyDescent="0.35">
      <c r="A26" t="s">
        <v>235</v>
      </c>
      <c r="B26" s="2">
        <v>0.33333333333333298</v>
      </c>
      <c r="C26" s="2">
        <v>0</v>
      </c>
      <c r="D26" s="2">
        <v>0</v>
      </c>
      <c r="E26" s="2">
        <v>0.66666666666666596</v>
      </c>
      <c r="F26" s="2">
        <v>0</v>
      </c>
      <c r="G26" s="2">
        <v>1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0.4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0</v>
      </c>
      <c r="AI26" s="2" t="s">
        <v>120</v>
      </c>
    </row>
    <row r="27" spans="1:35" x14ac:dyDescent="0.35">
      <c r="A27" t="s">
        <v>236</v>
      </c>
      <c r="B27" s="2">
        <v>0.66666666666666596</v>
      </c>
      <c r="C27" s="2">
        <v>0</v>
      </c>
      <c r="D27" s="2">
        <v>0</v>
      </c>
      <c r="E27" s="2">
        <v>0.66666666666666596</v>
      </c>
      <c r="F27" s="2">
        <v>0</v>
      </c>
      <c r="G27" s="2">
        <v>1</v>
      </c>
      <c r="H27" s="2">
        <v>0.55555555555555503</v>
      </c>
      <c r="I27" s="2">
        <v>1</v>
      </c>
      <c r="J27" s="2">
        <v>0.5</v>
      </c>
      <c r="K27" s="2">
        <v>0.44444444444444398</v>
      </c>
      <c r="L27" s="2">
        <v>0</v>
      </c>
      <c r="M27" s="2">
        <v>0</v>
      </c>
      <c r="N27" s="2">
        <v>1</v>
      </c>
      <c r="O27" s="2">
        <v>0</v>
      </c>
      <c r="P27" s="2">
        <v>1</v>
      </c>
      <c r="Q27" s="2">
        <v>0.4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0</v>
      </c>
      <c r="AI27" s="2" t="s">
        <v>120</v>
      </c>
    </row>
    <row r="28" spans="1:35" x14ac:dyDescent="0.35">
      <c r="A28" t="s">
        <v>237</v>
      </c>
      <c r="B28" s="2">
        <v>0.5</v>
      </c>
      <c r="C28" s="2">
        <v>0.25</v>
      </c>
      <c r="D28" s="2">
        <v>0.33333333333333298</v>
      </c>
      <c r="E28" s="2">
        <v>0.66666666666666596</v>
      </c>
      <c r="F28" s="2">
        <v>0</v>
      </c>
      <c r="G28" s="2">
        <v>1</v>
      </c>
      <c r="H28" s="2">
        <v>0.55555555555555503</v>
      </c>
      <c r="I28" s="2">
        <v>0</v>
      </c>
      <c r="J28" s="2">
        <v>0.5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2">
        <v>1</v>
      </c>
      <c r="Z28" s="2">
        <v>1</v>
      </c>
      <c r="AA28" s="2">
        <v>0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0</v>
      </c>
      <c r="AI28" s="2" t="s">
        <v>120</v>
      </c>
    </row>
    <row r="29" spans="1:35" x14ac:dyDescent="0.35">
      <c r="A29" t="s">
        <v>238</v>
      </c>
      <c r="B29" s="2">
        <v>0.33333333333333298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0.55555555555555503</v>
      </c>
      <c r="I29" s="2">
        <v>1</v>
      </c>
      <c r="J29" s="2">
        <v>1</v>
      </c>
      <c r="K29" s="2">
        <v>0</v>
      </c>
      <c r="L29" s="2">
        <v>0</v>
      </c>
      <c r="M29" s="2">
        <v>0.2</v>
      </c>
      <c r="N29" s="2">
        <v>1</v>
      </c>
      <c r="O29" s="2">
        <v>0</v>
      </c>
      <c r="P29" s="2">
        <v>0</v>
      </c>
      <c r="Q29" s="2">
        <v>0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0</v>
      </c>
      <c r="X29" s="2">
        <v>1</v>
      </c>
      <c r="Y29" s="2">
        <v>1</v>
      </c>
      <c r="Z29" s="2">
        <v>0</v>
      </c>
      <c r="AA29" s="2">
        <v>0</v>
      </c>
      <c r="AB29" s="2">
        <v>1</v>
      </c>
      <c r="AC29" s="2">
        <v>1</v>
      </c>
      <c r="AD29" s="2">
        <v>1</v>
      </c>
      <c r="AE29" s="2">
        <v>1</v>
      </c>
      <c r="AF29" s="2">
        <v>0</v>
      </c>
      <c r="AG29" s="2">
        <v>1</v>
      </c>
      <c r="AH29" s="2">
        <v>1</v>
      </c>
      <c r="AI29" s="2" t="s">
        <v>120</v>
      </c>
    </row>
    <row r="30" spans="1:35" x14ac:dyDescent="0.35">
      <c r="A30" t="s">
        <v>239</v>
      </c>
      <c r="B30" s="2">
        <v>0.16666666666666599</v>
      </c>
      <c r="C30" s="2">
        <v>0</v>
      </c>
      <c r="D30" s="2">
        <v>0</v>
      </c>
      <c r="E30" s="2">
        <v>1</v>
      </c>
      <c r="F30" s="2">
        <v>0.33333333333333298</v>
      </c>
      <c r="G30" s="2">
        <v>1</v>
      </c>
      <c r="H30" s="2">
        <v>0.55555555555555503</v>
      </c>
      <c r="I30" s="2">
        <v>1</v>
      </c>
      <c r="J30" s="2">
        <v>0.5</v>
      </c>
      <c r="K30" s="2">
        <v>0</v>
      </c>
      <c r="L30" s="2">
        <v>0</v>
      </c>
      <c r="M30" s="2">
        <v>0.2</v>
      </c>
      <c r="N30" s="2">
        <v>1</v>
      </c>
      <c r="O30" s="2">
        <v>0</v>
      </c>
      <c r="P30" s="2">
        <v>0</v>
      </c>
      <c r="Q30" s="2">
        <v>0.6</v>
      </c>
      <c r="R30" s="2">
        <v>0</v>
      </c>
      <c r="S30" s="2">
        <v>0</v>
      </c>
      <c r="T30" s="2">
        <v>1</v>
      </c>
      <c r="U30" s="2">
        <v>1</v>
      </c>
      <c r="V30" s="2">
        <v>1</v>
      </c>
      <c r="W30" s="2">
        <v>0</v>
      </c>
      <c r="X30" s="2">
        <v>1</v>
      </c>
      <c r="Y30" s="2">
        <v>1</v>
      </c>
      <c r="Z30" s="2">
        <v>1</v>
      </c>
      <c r="AA30" s="2">
        <v>0</v>
      </c>
      <c r="AB30" s="2">
        <v>1</v>
      </c>
      <c r="AC30" s="2">
        <v>1</v>
      </c>
      <c r="AD30" s="2">
        <v>1</v>
      </c>
      <c r="AE30" s="2">
        <v>1</v>
      </c>
      <c r="AF30" s="2">
        <v>0</v>
      </c>
      <c r="AG30" s="2">
        <v>1</v>
      </c>
      <c r="AH30" s="2">
        <v>1</v>
      </c>
      <c r="AI30" s="2" t="s">
        <v>120</v>
      </c>
    </row>
    <row r="31" spans="1:35" x14ac:dyDescent="0.35">
      <c r="A31" t="s">
        <v>240</v>
      </c>
      <c r="B31" s="2">
        <v>0.5</v>
      </c>
      <c r="C31" s="2">
        <v>0.25</v>
      </c>
      <c r="D31" s="2">
        <v>0.23899371069182301</v>
      </c>
      <c r="E31" s="2">
        <v>0.66666666666666596</v>
      </c>
      <c r="F31" s="2">
        <v>0</v>
      </c>
      <c r="G31" s="2">
        <v>1</v>
      </c>
      <c r="H31" s="2">
        <v>0.55555555555555503</v>
      </c>
      <c r="I31" s="2">
        <v>1</v>
      </c>
      <c r="J31" s="2">
        <v>0.5</v>
      </c>
      <c r="K31" s="2">
        <v>0</v>
      </c>
      <c r="L31" s="2">
        <v>0</v>
      </c>
      <c r="M31" s="2">
        <v>0.2</v>
      </c>
      <c r="N31" s="2">
        <v>1</v>
      </c>
      <c r="O31" s="2">
        <v>0</v>
      </c>
      <c r="P31" s="2">
        <v>0</v>
      </c>
      <c r="Q31" s="2">
        <v>0.4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0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0.19565217391304299</v>
      </c>
      <c r="AI31" s="2" t="s">
        <v>120</v>
      </c>
    </row>
    <row r="32" spans="1:35" x14ac:dyDescent="0.35">
      <c r="A32" t="s">
        <v>241</v>
      </c>
      <c r="B32" s="2">
        <v>0.66666666666666596</v>
      </c>
      <c r="C32" s="2">
        <v>0.25</v>
      </c>
      <c r="D32" s="2">
        <v>0.23899371069182301</v>
      </c>
      <c r="E32" s="2">
        <v>0.66666666666666596</v>
      </c>
      <c r="F32" s="2">
        <v>0.33333333333333298</v>
      </c>
      <c r="G32" s="2">
        <v>1</v>
      </c>
      <c r="H32" s="2">
        <v>0.55555555555555503</v>
      </c>
      <c r="I32" s="2">
        <v>1</v>
      </c>
      <c r="J32" s="2">
        <v>0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0.4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0</v>
      </c>
      <c r="X32" s="2">
        <v>1</v>
      </c>
      <c r="Y32" s="2">
        <v>1</v>
      </c>
      <c r="Z32" s="2">
        <v>1</v>
      </c>
      <c r="AA32" s="2">
        <v>0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0.19565217391304299</v>
      </c>
      <c r="AI32" s="2" t="s">
        <v>120</v>
      </c>
    </row>
    <row r="33" spans="1:35" x14ac:dyDescent="0.35">
      <c r="A33" t="s">
        <v>242</v>
      </c>
      <c r="B33" s="2">
        <v>0.66666666666666596</v>
      </c>
      <c r="C33" s="2">
        <v>0.25</v>
      </c>
      <c r="D33" s="2">
        <v>0.23899371069182301</v>
      </c>
      <c r="E33" s="2">
        <v>0.66666666666666596</v>
      </c>
      <c r="F33" s="2">
        <v>0</v>
      </c>
      <c r="G33" s="2">
        <v>1</v>
      </c>
      <c r="H33" s="2">
        <v>0.55555555555555503</v>
      </c>
      <c r="I33" s="2">
        <v>1</v>
      </c>
      <c r="J33" s="2">
        <v>0.5</v>
      </c>
      <c r="K33" s="2">
        <v>0</v>
      </c>
      <c r="L33" s="2">
        <v>0</v>
      </c>
      <c r="M33" s="2">
        <v>0.2</v>
      </c>
      <c r="N33" s="2">
        <v>1</v>
      </c>
      <c r="O33" s="2">
        <v>0</v>
      </c>
      <c r="P33" s="2">
        <v>0</v>
      </c>
      <c r="Q33" s="2">
        <v>0.4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2">
        <v>0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0.19565217391304299</v>
      </c>
      <c r="AI33" s="2" t="s">
        <v>120</v>
      </c>
    </row>
    <row r="34" spans="1:35" x14ac:dyDescent="0.35">
      <c r="A34" t="s">
        <v>243</v>
      </c>
      <c r="B34" s="2">
        <v>0.66666666666666596</v>
      </c>
      <c r="C34" s="2">
        <v>0.25</v>
      </c>
      <c r="D34" s="2">
        <v>0.23899371069182301</v>
      </c>
      <c r="E34" s="2">
        <v>0.66666666666666596</v>
      </c>
      <c r="F34" s="2">
        <v>0</v>
      </c>
      <c r="G34" s="2">
        <v>1</v>
      </c>
      <c r="H34" s="2">
        <v>0.55555555555555503</v>
      </c>
      <c r="I34" s="2">
        <v>1</v>
      </c>
      <c r="J34" s="2">
        <v>0.5</v>
      </c>
      <c r="K34" s="2">
        <v>0</v>
      </c>
      <c r="L34" s="2">
        <v>0</v>
      </c>
      <c r="M34" s="2">
        <v>0.2</v>
      </c>
      <c r="N34" s="2">
        <v>1</v>
      </c>
      <c r="O34" s="2">
        <v>0</v>
      </c>
      <c r="P34" s="2">
        <v>0</v>
      </c>
      <c r="Q34" s="2">
        <v>0.4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0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0.19565217391304299</v>
      </c>
      <c r="AI34" s="2" t="s">
        <v>120</v>
      </c>
    </row>
    <row r="35" spans="1:35" x14ac:dyDescent="0.35">
      <c r="A35" t="s">
        <v>244</v>
      </c>
      <c r="B35" s="2">
        <v>1</v>
      </c>
      <c r="C35" s="2">
        <v>0.5</v>
      </c>
      <c r="D35" s="2">
        <v>0.23899371069182301</v>
      </c>
      <c r="E35" s="2">
        <v>0.66666666666666596</v>
      </c>
      <c r="F35" s="2">
        <v>0</v>
      </c>
      <c r="G35" s="2">
        <v>1</v>
      </c>
      <c r="H35" s="2">
        <v>0.55555555555555503</v>
      </c>
      <c r="I35" s="2">
        <v>1</v>
      </c>
      <c r="J35" s="2">
        <v>0.5</v>
      </c>
      <c r="K35" s="2">
        <v>0</v>
      </c>
      <c r="L35" s="2">
        <v>0</v>
      </c>
      <c r="M35" s="2">
        <v>0.2</v>
      </c>
      <c r="N35" s="2">
        <v>1</v>
      </c>
      <c r="O35" s="2">
        <v>0</v>
      </c>
      <c r="P35" s="2">
        <v>0</v>
      </c>
      <c r="Q35" s="2">
        <v>0.4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0</v>
      </c>
      <c r="X35" s="2">
        <v>1</v>
      </c>
      <c r="Y35" s="2">
        <v>1</v>
      </c>
      <c r="Z35" s="2">
        <v>1</v>
      </c>
      <c r="AA35" s="2">
        <v>0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0.19565217391304299</v>
      </c>
      <c r="AI35" s="2" t="s">
        <v>121</v>
      </c>
    </row>
    <row r="36" spans="1:35" x14ac:dyDescent="0.35">
      <c r="A36" t="s">
        <v>245</v>
      </c>
      <c r="B36" s="2">
        <v>0.66666666666666596</v>
      </c>
      <c r="C36" s="2">
        <v>0.5</v>
      </c>
      <c r="D36" s="2">
        <v>0.23899371069182301</v>
      </c>
      <c r="E36" s="2">
        <v>0.66666666666666596</v>
      </c>
      <c r="F36" s="2">
        <v>0.33333333333333298</v>
      </c>
      <c r="G36" s="2">
        <v>1</v>
      </c>
      <c r="H36" s="2">
        <v>0.55555555555555503</v>
      </c>
      <c r="I36" s="2">
        <v>1</v>
      </c>
      <c r="J36" s="2">
        <v>0.5</v>
      </c>
      <c r="K36" s="2">
        <v>0</v>
      </c>
      <c r="L36" s="2">
        <v>0</v>
      </c>
      <c r="M36" s="2">
        <v>0.2</v>
      </c>
      <c r="N36" s="2">
        <v>1</v>
      </c>
      <c r="O36" s="2">
        <v>0</v>
      </c>
      <c r="P36" s="2">
        <v>0</v>
      </c>
      <c r="Q36" s="2">
        <v>0.4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2">
        <v>0</v>
      </c>
      <c r="X36" s="2">
        <v>1</v>
      </c>
      <c r="Y36" s="2">
        <v>1</v>
      </c>
      <c r="Z36" s="2">
        <v>1</v>
      </c>
      <c r="AA36" s="2">
        <v>0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0.19565217391304299</v>
      </c>
      <c r="AI36" s="2" t="s">
        <v>120</v>
      </c>
    </row>
    <row r="37" spans="1:35" x14ac:dyDescent="0.35">
      <c r="A37" t="s">
        <v>246</v>
      </c>
      <c r="B37" s="2">
        <v>0.83333333333333304</v>
      </c>
      <c r="C37" s="2">
        <v>0.25</v>
      </c>
      <c r="D37" s="2">
        <v>0.23899371069182301</v>
      </c>
      <c r="E37" s="2">
        <v>0</v>
      </c>
      <c r="F37" s="2">
        <v>0</v>
      </c>
      <c r="G37" s="2">
        <v>1</v>
      </c>
      <c r="H37" s="2">
        <v>0.55555555555555503</v>
      </c>
      <c r="I37" s="2">
        <v>1</v>
      </c>
      <c r="J37" s="2">
        <v>0.5</v>
      </c>
      <c r="K37" s="2">
        <v>0</v>
      </c>
      <c r="L37" s="2">
        <v>1</v>
      </c>
      <c r="M37" s="2">
        <v>0.158904109589041</v>
      </c>
      <c r="N37" s="2">
        <v>1</v>
      </c>
      <c r="O37" s="2">
        <v>0</v>
      </c>
      <c r="P37" s="2">
        <v>0</v>
      </c>
      <c r="Q37" s="2">
        <v>0.4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0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0.19565217391304299</v>
      </c>
      <c r="AI37" s="2" t="s">
        <v>120</v>
      </c>
    </row>
    <row r="38" spans="1:35" x14ac:dyDescent="0.35">
      <c r="A38" t="s">
        <v>247</v>
      </c>
      <c r="B38" s="2">
        <v>0.5</v>
      </c>
      <c r="C38" s="2">
        <v>0.25</v>
      </c>
      <c r="D38" s="2">
        <v>0.33333333333333298</v>
      </c>
      <c r="E38" s="2">
        <v>0.66666666666666596</v>
      </c>
      <c r="F38" s="2">
        <v>0.33333333333333298</v>
      </c>
      <c r="G38" s="2">
        <v>1</v>
      </c>
      <c r="H38" s="2">
        <v>0.55555555555555503</v>
      </c>
      <c r="I38" s="2">
        <v>1</v>
      </c>
      <c r="J38" s="2">
        <v>0</v>
      </c>
      <c r="K38" s="2">
        <v>0</v>
      </c>
      <c r="L38" s="2">
        <v>0</v>
      </c>
      <c r="M38" s="2">
        <v>0.2</v>
      </c>
      <c r="N38" s="2">
        <v>1</v>
      </c>
      <c r="O38" s="2">
        <v>0</v>
      </c>
      <c r="P38" s="2">
        <v>0</v>
      </c>
      <c r="Q38" s="2">
        <v>0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0</v>
      </c>
      <c r="X38" s="2">
        <v>1</v>
      </c>
      <c r="Y38" s="2">
        <v>1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0</v>
      </c>
      <c r="AI38" s="2" t="s">
        <v>120</v>
      </c>
    </row>
    <row r="39" spans="1:35" x14ac:dyDescent="0.35">
      <c r="A39" t="s">
        <v>248</v>
      </c>
      <c r="B39" s="2">
        <v>0</v>
      </c>
      <c r="C39" s="2">
        <v>0.25</v>
      </c>
      <c r="D39" s="2">
        <v>0.33333333333333298</v>
      </c>
      <c r="E39" s="2">
        <v>1</v>
      </c>
      <c r="F39" s="2">
        <v>0.33333333333333298</v>
      </c>
      <c r="G39" s="2">
        <v>1</v>
      </c>
      <c r="H39" s="2">
        <v>0.55555555555555503</v>
      </c>
      <c r="I39" s="2">
        <v>1</v>
      </c>
      <c r="J39" s="2">
        <v>0.5</v>
      </c>
      <c r="K39" s="2">
        <v>1</v>
      </c>
      <c r="L39" s="2">
        <v>0</v>
      </c>
      <c r="M39" s="2">
        <v>0.2</v>
      </c>
      <c r="N39" s="2">
        <v>1</v>
      </c>
      <c r="O39" s="2">
        <v>0</v>
      </c>
      <c r="P39" s="2">
        <v>1</v>
      </c>
      <c r="Q39" s="2">
        <v>0.4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0</v>
      </c>
      <c r="X39" s="2">
        <v>1</v>
      </c>
      <c r="Y39" s="2">
        <v>1</v>
      </c>
      <c r="Z39" s="2">
        <v>1</v>
      </c>
      <c r="AA39" s="2">
        <v>0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0</v>
      </c>
      <c r="AI39" s="2" t="s">
        <v>120</v>
      </c>
    </row>
    <row r="40" spans="1:35" x14ac:dyDescent="0.35">
      <c r="A40" t="s">
        <v>249</v>
      </c>
      <c r="B40" s="2">
        <v>0.33333333333333298</v>
      </c>
      <c r="C40" s="2">
        <v>0</v>
      </c>
      <c r="D40" s="2">
        <v>0</v>
      </c>
      <c r="E40" s="2">
        <v>0.66666666666666596</v>
      </c>
      <c r="F40" s="2">
        <v>0</v>
      </c>
      <c r="G40" s="2">
        <v>1</v>
      </c>
      <c r="H40" s="2">
        <v>0.55555555555555503</v>
      </c>
      <c r="I40" s="2">
        <v>1</v>
      </c>
      <c r="J40" s="2">
        <v>0.5</v>
      </c>
      <c r="K40" s="2">
        <v>0</v>
      </c>
      <c r="L40" s="2">
        <v>0</v>
      </c>
      <c r="M40" s="2">
        <v>0.2</v>
      </c>
      <c r="N40" s="2">
        <v>0.5</v>
      </c>
      <c r="O40" s="2">
        <v>0</v>
      </c>
      <c r="P40" s="2">
        <v>0</v>
      </c>
      <c r="Q40" s="2">
        <v>0.4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0</v>
      </c>
      <c r="X40" s="2">
        <v>1</v>
      </c>
      <c r="Y40" s="2">
        <v>1</v>
      </c>
      <c r="Z40" s="2">
        <v>0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0.19565217391304299</v>
      </c>
      <c r="AI40" s="2" t="s">
        <v>120</v>
      </c>
    </row>
    <row r="41" spans="1:35" x14ac:dyDescent="0.35">
      <c r="A41" t="s">
        <v>250</v>
      </c>
      <c r="B41" s="2">
        <v>0.16666666666666599</v>
      </c>
      <c r="C41" s="2">
        <v>0.5</v>
      </c>
      <c r="D41" s="2">
        <v>0.23899371069182301</v>
      </c>
      <c r="E41" s="2">
        <v>1</v>
      </c>
      <c r="F41" s="2">
        <v>0.33333333333333298</v>
      </c>
      <c r="G41" s="2">
        <v>1</v>
      </c>
      <c r="H41" s="2">
        <v>0.55555555555555503</v>
      </c>
      <c r="I41" s="2">
        <v>1</v>
      </c>
      <c r="J41" s="2">
        <v>0</v>
      </c>
      <c r="K41" s="2">
        <v>0</v>
      </c>
      <c r="L41" s="2">
        <v>0</v>
      </c>
      <c r="M41" s="2">
        <v>0.2</v>
      </c>
      <c r="N41" s="2">
        <v>0.5</v>
      </c>
      <c r="O41" s="2">
        <v>0</v>
      </c>
      <c r="P41" s="2">
        <v>0</v>
      </c>
      <c r="Q41" s="2">
        <v>0.4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0.19565217391304299</v>
      </c>
      <c r="AI41" s="2" t="s">
        <v>120</v>
      </c>
    </row>
    <row r="42" spans="1:35" x14ac:dyDescent="0.35">
      <c r="A42" t="s">
        <v>251</v>
      </c>
      <c r="B42" s="2">
        <v>0</v>
      </c>
      <c r="C42" s="2">
        <v>0.23765432098765399</v>
      </c>
      <c r="D42" s="2">
        <v>0.23899371069182301</v>
      </c>
      <c r="E42" s="2">
        <v>0.53703703703703698</v>
      </c>
      <c r="F42" s="2">
        <v>0.12757201646090499</v>
      </c>
      <c r="G42" s="2">
        <v>0.94805194805194803</v>
      </c>
      <c r="H42" s="2">
        <v>0.55692729766803795</v>
      </c>
      <c r="I42" s="2">
        <v>0.936708860759493</v>
      </c>
      <c r="J42" s="2">
        <v>0.407407407407407</v>
      </c>
      <c r="K42" s="2">
        <v>0.19478737997256501</v>
      </c>
      <c r="L42" s="2">
        <v>5.5555555555555497E-2</v>
      </c>
      <c r="M42" s="2">
        <v>0.158904109589041</v>
      </c>
      <c r="N42" s="2">
        <v>0.95061728395061695</v>
      </c>
      <c r="O42" s="2">
        <v>6.1728395061728301E-2</v>
      </c>
      <c r="P42" s="2">
        <v>0.189873417721519</v>
      </c>
      <c r="Q42" s="2">
        <v>0.32345679012345602</v>
      </c>
      <c r="R42" s="2">
        <v>0.98765432098765404</v>
      </c>
      <c r="S42" s="2">
        <v>0.76543209876543195</v>
      </c>
      <c r="T42" s="2">
        <v>0.97530864197530798</v>
      </c>
      <c r="U42" s="2">
        <v>1</v>
      </c>
      <c r="V42" s="2">
        <v>1</v>
      </c>
      <c r="W42" s="2">
        <v>0.11111111111111099</v>
      </c>
      <c r="X42" s="2">
        <v>1</v>
      </c>
      <c r="Y42" s="2">
        <v>0.97530864197530798</v>
      </c>
      <c r="Z42" s="2">
        <v>0.90123456790123402</v>
      </c>
      <c r="AA42" s="2">
        <v>0.44444444444444398</v>
      </c>
      <c r="AB42" s="2">
        <v>1</v>
      </c>
      <c r="AC42" s="2">
        <v>1</v>
      </c>
      <c r="AD42" s="2">
        <v>1</v>
      </c>
      <c r="AE42" s="2">
        <v>1</v>
      </c>
      <c r="AF42" s="2">
        <v>0.938271604938271</v>
      </c>
      <c r="AG42" s="2">
        <v>1</v>
      </c>
      <c r="AH42" s="2">
        <v>0.19565217391304299</v>
      </c>
      <c r="AI42" s="2" t="s">
        <v>120</v>
      </c>
    </row>
    <row r="43" spans="1:35" x14ac:dyDescent="0.35">
      <c r="A43" t="s">
        <v>252</v>
      </c>
      <c r="B43" s="2">
        <v>0.5</v>
      </c>
      <c r="C43" s="2">
        <v>0.5</v>
      </c>
      <c r="D43" s="2">
        <v>0.23899371069182301</v>
      </c>
      <c r="E43" s="2">
        <v>0.66666666666666596</v>
      </c>
      <c r="F43" s="2">
        <v>0</v>
      </c>
      <c r="G43" s="2">
        <v>1</v>
      </c>
      <c r="H43" s="2">
        <v>0.55555555555555503</v>
      </c>
      <c r="I43" s="2">
        <v>1</v>
      </c>
      <c r="J43" s="2">
        <v>0</v>
      </c>
      <c r="K43" s="2">
        <v>0</v>
      </c>
      <c r="L43" s="2">
        <v>0.5</v>
      </c>
      <c r="M43" s="2">
        <v>0.158904109589041</v>
      </c>
      <c r="N43" s="2">
        <v>1</v>
      </c>
      <c r="O43" s="2">
        <v>0</v>
      </c>
      <c r="P43" s="2">
        <v>0</v>
      </c>
      <c r="Q43" s="2">
        <v>0.4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0</v>
      </c>
      <c r="X43" s="2">
        <v>1</v>
      </c>
      <c r="Y43" s="2">
        <v>1</v>
      </c>
      <c r="Z43" s="2">
        <v>1</v>
      </c>
      <c r="AA43" s="2">
        <v>0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0.19565217391304299</v>
      </c>
      <c r="AI43" s="2" t="s">
        <v>120</v>
      </c>
    </row>
    <row r="44" spans="1:35" x14ac:dyDescent="0.35">
      <c r="A44" t="s">
        <v>253</v>
      </c>
      <c r="B44" s="2">
        <v>0.33333333333333298</v>
      </c>
      <c r="C44" s="2">
        <v>0.23765432098765399</v>
      </c>
      <c r="D44" s="2">
        <v>0.23899371069182301</v>
      </c>
      <c r="E44" s="2">
        <v>0.53703703703703698</v>
      </c>
      <c r="F44" s="2">
        <v>0.12757201646090499</v>
      </c>
      <c r="G44" s="2">
        <v>0.94805194805194803</v>
      </c>
      <c r="H44" s="2">
        <v>0.55692729766803795</v>
      </c>
      <c r="I44" s="2">
        <v>0.936708860759493</v>
      </c>
      <c r="J44" s="2">
        <v>0.407407407407407</v>
      </c>
      <c r="K44" s="2">
        <v>0.19478737997256501</v>
      </c>
      <c r="L44" s="2">
        <v>5.5555555555555497E-2</v>
      </c>
      <c r="M44" s="2">
        <v>0.158904109589041</v>
      </c>
      <c r="N44" s="2">
        <v>0.95061728395061695</v>
      </c>
      <c r="O44" s="2">
        <v>6.1728395061728301E-2</v>
      </c>
      <c r="P44" s="2">
        <v>0.189873417721519</v>
      </c>
      <c r="Q44" s="2">
        <v>0.32345679012345602</v>
      </c>
      <c r="R44" s="2">
        <v>0.98765432098765404</v>
      </c>
      <c r="S44" s="2">
        <v>0.76543209876543195</v>
      </c>
      <c r="T44" s="2">
        <v>0.97530864197530798</v>
      </c>
      <c r="U44" s="2">
        <v>1</v>
      </c>
      <c r="V44" s="2">
        <v>1</v>
      </c>
      <c r="W44" s="2">
        <v>0.11111111111111099</v>
      </c>
      <c r="X44" s="2">
        <v>1</v>
      </c>
      <c r="Y44" s="2">
        <v>0.97530864197530798</v>
      </c>
      <c r="Z44" s="2">
        <v>0.90123456790123402</v>
      </c>
      <c r="AA44" s="2">
        <v>0.44444444444444398</v>
      </c>
      <c r="AB44" s="2">
        <v>1</v>
      </c>
      <c r="AC44" s="2">
        <v>1</v>
      </c>
      <c r="AD44" s="2">
        <v>1</v>
      </c>
      <c r="AE44" s="2">
        <v>1</v>
      </c>
      <c r="AF44" s="2">
        <v>0.938271604938271</v>
      </c>
      <c r="AG44" s="2">
        <v>1</v>
      </c>
      <c r="AH44" s="2">
        <v>0.19565217391304299</v>
      </c>
      <c r="AI44" s="2" t="s">
        <v>120</v>
      </c>
    </row>
    <row r="45" spans="1:35" x14ac:dyDescent="0.35">
      <c r="A45" t="s">
        <v>254</v>
      </c>
      <c r="B45" s="2">
        <v>0.5</v>
      </c>
      <c r="C45" s="2">
        <v>0.5</v>
      </c>
      <c r="D45" s="2">
        <v>0.23899371069182301</v>
      </c>
      <c r="E45" s="2">
        <v>0.66666666666666596</v>
      </c>
      <c r="F45" s="2">
        <v>0</v>
      </c>
      <c r="G45" s="2">
        <v>1</v>
      </c>
      <c r="H45" s="2">
        <v>0.55555555555555503</v>
      </c>
      <c r="I45" s="2">
        <v>1</v>
      </c>
      <c r="J45" s="2">
        <v>0.5</v>
      </c>
      <c r="K45" s="2">
        <v>0</v>
      </c>
      <c r="L45" s="2">
        <v>0</v>
      </c>
      <c r="M45" s="2">
        <v>0.2</v>
      </c>
      <c r="N45" s="2">
        <v>1</v>
      </c>
      <c r="O45" s="2">
        <v>0</v>
      </c>
      <c r="P45" s="2">
        <v>0</v>
      </c>
      <c r="Q45" s="2">
        <v>0.4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0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0.19565217391304299</v>
      </c>
      <c r="AI45" s="2" t="s">
        <v>120</v>
      </c>
    </row>
    <row r="46" spans="1:35" x14ac:dyDescent="0.35">
      <c r="A46" t="s">
        <v>255</v>
      </c>
      <c r="B46" s="2">
        <v>0.33333333333333298</v>
      </c>
      <c r="C46" s="2">
        <v>0.25</v>
      </c>
      <c r="D46" s="2">
        <v>0.23899371069182301</v>
      </c>
      <c r="E46" s="2">
        <v>0</v>
      </c>
      <c r="F46" s="2">
        <v>0</v>
      </c>
      <c r="G46" s="2">
        <v>1</v>
      </c>
      <c r="H46" s="2">
        <v>0.55555555555555503</v>
      </c>
      <c r="I46" s="2">
        <v>1</v>
      </c>
      <c r="J46" s="2">
        <v>0</v>
      </c>
      <c r="K46" s="2">
        <v>0</v>
      </c>
      <c r="L46" s="2">
        <v>0</v>
      </c>
      <c r="M46" s="2">
        <v>0.2</v>
      </c>
      <c r="N46" s="2">
        <v>0.5</v>
      </c>
      <c r="O46" s="2">
        <v>0</v>
      </c>
      <c r="P46" s="2">
        <v>0</v>
      </c>
      <c r="Q46" s="2">
        <v>0.4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0</v>
      </c>
      <c r="X46" s="2">
        <v>1</v>
      </c>
      <c r="Y46" s="2">
        <v>1</v>
      </c>
      <c r="Z46" s="2">
        <v>1</v>
      </c>
      <c r="AA46" s="2">
        <v>0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0.19565217391304299</v>
      </c>
      <c r="AI46" s="2" t="s">
        <v>120</v>
      </c>
    </row>
    <row r="47" spans="1:35" x14ac:dyDescent="0.35">
      <c r="A47" t="s">
        <v>256</v>
      </c>
      <c r="B47" s="2">
        <v>0.83333333333333304</v>
      </c>
      <c r="C47" s="2">
        <v>0.25</v>
      </c>
      <c r="D47" s="2">
        <v>0.33333333333333298</v>
      </c>
      <c r="E47" s="2">
        <v>1</v>
      </c>
      <c r="F47" s="2">
        <v>0.33333333333333298</v>
      </c>
      <c r="G47" s="2">
        <v>1</v>
      </c>
      <c r="H47" s="2">
        <v>0.55555555555555503</v>
      </c>
      <c r="I47" s="2">
        <v>1</v>
      </c>
      <c r="J47" s="2">
        <v>0.5</v>
      </c>
      <c r="K47" s="2">
        <v>1</v>
      </c>
      <c r="L47" s="2">
        <v>0</v>
      </c>
      <c r="M47" s="2">
        <v>0.2</v>
      </c>
      <c r="N47" s="2">
        <v>1</v>
      </c>
      <c r="O47" s="2">
        <v>0</v>
      </c>
      <c r="P47" s="2">
        <v>1</v>
      </c>
      <c r="Q47" s="2">
        <v>0.4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0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0</v>
      </c>
      <c r="AI47" s="2" t="s">
        <v>121</v>
      </c>
    </row>
    <row r="48" spans="1:35" x14ac:dyDescent="0.35">
      <c r="A48" t="s">
        <v>257</v>
      </c>
      <c r="B48" s="2">
        <v>0.83333333333333304</v>
      </c>
      <c r="C48" s="2">
        <v>0.25</v>
      </c>
      <c r="D48" s="2">
        <v>0.33333333333333298</v>
      </c>
      <c r="E48" s="2">
        <v>0.66666666666666596</v>
      </c>
      <c r="F48" s="2">
        <v>0</v>
      </c>
      <c r="G48" s="2">
        <v>1</v>
      </c>
      <c r="H48" s="2">
        <v>0.55555555555555503</v>
      </c>
      <c r="I48" s="2">
        <v>1</v>
      </c>
      <c r="J48" s="2">
        <v>0.5</v>
      </c>
      <c r="K48" s="2">
        <v>1</v>
      </c>
      <c r="L48" s="2">
        <v>0</v>
      </c>
      <c r="M48" s="2">
        <v>0.2</v>
      </c>
      <c r="N48" s="2">
        <v>1</v>
      </c>
      <c r="O48" s="2">
        <v>0</v>
      </c>
      <c r="P48" s="2">
        <v>1</v>
      </c>
      <c r="Q48" s="2">
        <v>0.2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0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0</v>
      </c>
      <c r="AI48" s="2" t="s">
        <v>121</v>
      </c>
    </row>
    <row r="49" spans="1:35" x14ac:dyDescent="0.35">
      <c r="A49" t="s">
        <v>258</v>
      </c>
      <c r="B49" s="2">
        <v>0</v>
      </c>
      <c r="C49" s="2">
        <v>0.25</v>
      </c>
      <c r="D49" s="2">
        <v>0.33333333333333298</v>
      </c>
      <c r="E49" s="2">
        <v>0.66666666666666596</v>
      </c>
      <c r="F49" s="2">
        <v>0</v>
      </c>
      <c r="G49" s="2">
        <v>1</v>
      </c>
      <c r="H49" s="2">
        <v>0.55555555555555503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0</v>
      </c>
      <c r="AI49" s="2" t="s">
        <v>120</v>
      </c>
    </row>
    <row r="50" spans="1:35" x14ac:dyDescent="0.35">
      <c r="A50" t="s">
        <v>259</v>
      </c>
      <c r="B50" s="2">
        <v>0.5</v>
      </c>
      <c r="C50" s="2">
        <v>0.25</v>
      </c>
      <c r="D50" s="2">
        <v>0.33333333333333298</v>
      </c>
      <c r="E50" s="2">
        <v>0.66666666666666596</v>
      </c>
      <c r="F50" s="2">
        <v>0.33333333333333298</v>
      </c>
      <c r="G50" s="2">
        <v>1</v>
      </c>
      <c r="H50" s="2">
        <v>0.55555555555555503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0.33333333333333298</v>
      </c>
      <c r="P50" s="2">
        <v>0</v>
      </c>
      <c r="Q50" s="2">
        <v>0.4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0</v>
      </c>
      <c r="AI50" s="2" t="s">
        <v>120</v>
      </c>
    </row>
    <row r="51" spans="1:35" x14ac:dyDescent="0.35">
      <c r="A51" t="s">
        <v>260</v>
      </c>
      <c r="B51" s="2">
        <v>0.83333333333333304</v>
      </c>
      <c r="C51" s="2">
        <v>0.25</v>
      </c>
      <c r="D51" s="2">
        <v>0.33333333333333298</v>
      </c>
      <c r="E51" s="2">
        <v>0.5</v>
      </c>
      <c r="F51" s="2">
        <v>0.33333333333333298</v>
      </c>
      <c r="G51" s="2">
        <v>1</v>
      </c>
      <c r="H51" s="2">
        <v>0.55555555555555503</v>
      </c>
      <c r="I51" s="2">
        <v>1</v>
      </c>
      <c r="J51" s="2">
        <v>0.5</v>
      </c>
      <c r="K51" s="2">
        <v>0</v>
      </c>
      <c r="L51" s="2">
        <v>0</v>
      </c>
      <c r="M51" s="2">
        <v>1</v>
      </c>
      <c r="N51" s="2">
        <v>1</v>
      </c>
      <c r="O51" s="2">
        <v>0</v>
      </c>
      <c r="P51" s="2">
        <v>1</v>
      </c>
      <c r="Q51" s="2">
        <v>0.4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0</v>
      </c>
      <c r="X51" s="2">
        <v>1</v>
      </c>
      <c r="Y51" s="2">
        <v>1</v>
      </c>
      <c r="Z51" s="2">
        <v>1</v>
      </c>
      <c r="AA51" s="2">
        <v>0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0</v>
      </c>
      <c r="AI51" s="2" t="s">
        <v>121</v>
      </c>
    </row>
    <row r="52" spans="1:35" x14ac:dyDescent="0.35">
      <c r="A52" t="s">
        <v>261</v>
      </c>
      <c r="B52" s="2">
        <v>0.5</v>
      </c>
      <c r="C52" s="2">
        <v>0.25</v>
      </c>
      <c r="D52" s="2">
        <v>0.33333333333333298</v>
      </c>
      <c r="E52" s="2">
        <v>0.66666666666666596</v>
      </c>
      <c r="F52" s="2">
        <v>0</v>
      </c>
      <c r="G52" s="2">
        <v>1</v>
      </c>
      <c r="H52" s="2">
        <v>0.55555555555555503</v>
      </c>
      <c r="I52" s="2">
        <v>1</v>
      </c>
      <c r="J52" s="2">
        <v>0.5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2">
        <v>0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0</v>
      </c>
      <c r="AI52" s="2" t="s">
        <v>120</v>
      </c>
    </row>
    <row r="53" spans="1:35" x14ac:dyDescent="0.35">
      <c r="A53" t="s">
        <v>262</v>
      </c>
      <c r="B53" s="2">
        <v>0.83333333333333304</v>
      </c>
      <c r="C53" s="2">
        <v>0</v>
      </c>
      <c r="D53" s="2">
        <v>0</v>
      </c>
      <c r="E53" s="2">
        <v>0.66666666666666596</v>
      </c>
      <c r="F53" s="2">
        <v>0</v>
      </c>
      <c r="G53" s="2">
        <v>1</v>
      </c>
      <c r="H53" s="2">
        <v>0.55555555555555503</v>
      </c>
      <c r="I53" s="2">
        <v>0</v>
      </c>
      <c r="J53" s="2">
        <v>0.5</v>
      </c>
      <c r="K53" s="2">
        <v>0</v>
      </c>
      <c r="L53" s="2">
        <v>0</v>
      </c>
      <c r="M53" s="2">
        <v>0.2</v>
      </c>
      <c r="N53" s="2">
        <v>1</v>
      </c>
      <c r="O53" s="2">
        <v>0</v>
      </c>
      <c r="P53" s="2">
        <v>1</v>
      </c>
      <c r="Q53" s="2">
        <v>0.4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0</v>
      </c>
      <c r="X53" s="2">
        <v>1</v>
      </c>
      <c r="Y53" s="2">
        <v>1</v>
      </c>
      <c r="Z53" s="2">
        <v>1</v>
      </c>
      <c r="AA53" s="2">
        <v>0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0</v>
      </c>
      <c r="AI53" s="2" t="s">
        <v>120</v>
      </c>
    </row>
    <row r="54" spans="1:35" x14ac:dyDescent="0.35">
      <c r="A54" t="s">
        <v>263</v>
      </c>
      <c r="B54" s="2">
        <v>0.66666666666666596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0.55555555555555503</v>
      </c>
      <c r="I54" s="2">
        <v>1</v>
      </c>
      <c r="J54" s="2">
        <v>1</v>
      </c>
      <c r="K54" s="2">
        <v>0</v>
      </c>
      <c r="L54" s="2">
        <v>0</v>
      </c>
      <c r="M54" s="2">
        <v>0.2</v>
      </c>
      <c r="N54" s="2">
        <v>1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2">
        <v>0</v>
      </c>
      <c r="X54" s="2">
        <v>1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1</v>
      </c>
      <c r="AE54" s="2">
        <v>1</v>
      </c>
      <c r="AF54" s="2">
        <v>0</v>
      </c>
      <c r="AG54" s="2">
        <v>1</v>
      </c>
      <c r="AH54" s="2">
        <v>0.5</v>
      </c>
      <c r="AI54" s="2" t="s">
        <v>120</v>
      </c>
    </row>
    <row r="55" spans="1:35" x14ac:dyDescent="0.35">
      <c r="A55" t="s">
        <v>264</v>
      </c>
      <c r="B55" s="2">
        <v>0.66666666666666596</v>
      </c>
      <c r="C55" s="2">
        <v>0.5</v>
      </c>
      <c r="D55" s="2">
        <v>0.23899371069182301</v>
      </c>
      <c r="E55" s="2">
        <v>0</v>
      </c>
      <c r="F55" s="2">
        <v>0</v>
      </c>
      <c r="G55" s="2">
        <v>1</v>
      </c>
      <c r="H55" s="2">
        <v>0.55555555555555503</v>
      </c>
      <c r="I55" s="2">
        <v>1</v>
      </c>
      <c r="J55" s="2">
        <v>0.5</v>
      </c>
      <c r="K55" s="2">
        <v>0</v>
      </c>
      <c r="L55" s="2">
        <v>0</v>
      </c>
      <c r="M55" s="2">
        <v>0.2</v>
      </c>
      <c r="N55" s="2">
        <v>1</v>
      </c>
      <c r="O55" s="2">
        <v>0</v>
      </c>
      <c r="P55" s="2">
        <v>0</v>
      </c>
      <c r="Q55" s="2">
        <v>0.4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0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0.19565217391304299</v>
      </c>
      <c r="AI55" s="2" t="s">
        <v>120</v>
      </c>
    </row>
    <row r="56" spans="1:35" x14ac:dyDescent="0.35">
      <c r="A56" t="s">
        <v>265</v>
      </c>
      <c r="B56" s="2">
        <v>0.33333333333333298</v>
      </c>
      <c r="C56" s="2">
        <v>1</v>
      </c>
      <c r="D56" s="2">
        <v>1</v>
      </c>
      <c r="E56" s="2">
        <v>0</v>
      </c>
      <c r="F56" s="2">
        <v>0</v>
      </c>
      <c r="G56" s="2">
        <v>1</v>
      </c>
      <c r="H56" s="2">
        <v>0.22222222222222199</v>
      </c>
      <c r="I56" s="2">
        <v>1</v>
      </c>
      <c r="J56" s="2">
        <v>0</v>
      </c>
      <c r="K56" s="2">
        <v>0</v>
      </c>
      <c r="L56" s="2">
        <v>0.5</v>
      </c>
      <c r="M56" s="2">
        <v>0.158904109589041</v>
      </c>
      <c r="N56" s="2">
        <v>1</v>
      </c>
      <c r="O56" s="2">
        <v>0.66666666666666596</v>
      </c>
      <c r="P56" s="2">
        <v>0</v>
      </c>
      <c r="Q56" s="2">
        <v>0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0</v>
      </c>
      <c r="X56" s="2">
        <v>1</v>
      </c>
      <c r="Y56" s="2">
        <v>1</v>
      </c>
      <c r="Z56" s="2">
        <v>0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 t="s">
        <v>120</v>
      </c>
    </row>
    <row r="57" spans="1:35" x14ac:dyDescent="0.35">
      <c r="A57" t="s">
        <v>266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0.55555555555555503</v>
      </c>
      <c r="I57" s="2">
        <v>1</v>
      </c>
      <c r="J57" s="2">
        <v>0</v>
      </c>
      <c r="K57" s="2">
        <v>0</v>
      </c>
      <c r="L57" s="2">
        <v>0.5</v>
      </c>
      <c r="M57" s="2">
        <v>0.158904109589041</v>
      </c>
      <c r="N57" s="2">
        <v>1</v>
      </c>
      <c r="O57" s="2">
        <v>0</v>
      </c>
      <c r="P57" s="2">
        <v>0</v>
      </c>
      <c r="Q57" s="2">
        <v>0.4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0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0.19565217391304299</v>
      </c>
      <c r="AI57" s="2" t="s">
        <v>120</v>
      </c>
    </row>
    <row r="58" spans="1:35" x14ac:dyDescent="0.35">
      <c r="A58" t="s">
        <v>267</v>
      </c>
      <c r="B58" s="2">
        <v>0.33333333333333298</v>
      </c>
      <c r="C58" s="2">
        <v>0.25</v>
      </c>
      <c r="D58" s="2">
        <v>0.23899371069182301</v>
      </c>
      <c r="E58" s="2">
        <v>0.66666666666666596</v>
      </c>
      <c r="F58" s="2">
        <v>0</v>
      </c>
      <c r="G58" s="2">
        <v>1</v>
      </c>
      <c r="H58" s="2">
        <v>0.55555555555555503</v>
      </c>
      <c r="I58" s="2">
        <v>1</v>
      </c>
      <c r="J58" s="2">
        <v>0.5</v>
      </c>
      <c r="K58" s="2">
        <v>0</v>
      </c>
      <c r="L58" s="2">
        <v>0</v>
      </c>
      <c r="M58" s="2">
        <v>0.2</v>
      </c>
      <c r="N58" s="2">
        <v>1</v>
      </c>
      <c r="O58" s="2">
        <v>0</v>
      </c>
      <c r="P58" s="2">
        <v>0</v>
      </c>
      <c r="Q58" s="2">
        <v>0.4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0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0.19565217391304299</v>
      </c>
      <c r="AI58" s="2" t="s">
        <v>120</v>
      </c>
    </row>
    <row r="59" spans="1:35" x14ac:dyDescent="0.35">
      <c r="A59" t="s">
        <v>268</v>
      </c>
      <c r="B59" s="2">
        <v>0.16666666666666599</v>
      </c>
      <c r="C59" s="2">
        <v>0.25</v>
      </c>
      <c r="D59" s="2">
        <v>0.23899371069182301</v>
      </c>
      <c r="E59" s="2">
        <v>0</v>
      </c>
      <c r="F59" s="2">
        <v>0</v>
      </c>
      <c r="G59" s="2">
        <v>1</v>
      </c>
      <c r="H59" s="2">
        <v>0.55555555555555503</v>
      </c>
      <c r="I59" s="2">
        <v>1</v>
      </c>
      <c r="J59" s="2">
        <v>0</v>
      </c>
      <c r="K59" s="2">
        <v>0</v>
      </c>
      <c r="L59" s="2">
        <v>0</v>
      </c>
      <c r="M59" s="2">
        <v>0.2</v>
      </c>
      <c r="N59" s="2">
        <v>1</v>
      </c>
      <c r="O59" s="2">
        <v>0</v>
      </c>
      <c r="P59" s="2">
        <v>0</v>
      </c>
      <c r="Q59" s="2">
        <v>0.4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0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0.19565217391304299</v>
      </c>
      <c r="AI59" s="2" t="s">
        <v>120</v>
      </c>
    </row>
    <row r="60" spans="1:35" x14ac:dyDescent="0.35">
      <c r="A60" t="s">
        <v>269</v>
      </c>
      <c r="B60" s="2">
        <v>0.66666666666666596</v>
      </c>
      <c r="C60" s="2">
        <v>0.5</v>
      </c>
      <c r="D60" s="2">
        <v>0.23899371069182301</v>
      </c>
      <c r="E60" s="2">
        <v>0</v>
      </c>
      <c r="F60" s="2">
        <v>0.33333333333333298</v>
      </c>
      <c r="G60" s="2">
        <v>1</v>
      </c>
      <c r="H60" s="2">
        <v>0.55555555555555503</v>
      </c>
      <c r="I60" s="2">
        <v>1</v>
      </c>
      <c r="J60" s="2">
        <v>0</v>
      </c>
      <c r="K60" s="2">
        <v>0</v>
      </c>
      <c r="L60" s="2">
        <v>0</v>
      </c>
      <c r="M60" s="2">
        <v>0.2</v>
      </c>
      <c r="N60" s="2">
        <v>1</v>
      </c>
      <c r="O60" s="2">
        <v>0</v>
      </c>
      <c r="P60" s="2">
        <v>0</v>
      </c>
      <c r="Q60" s="2">
        <v>0.4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0</v>
      </c>
      <c r="X60" s="2">
        <v>1</v>
      </c>
      <c r="Y60" s="2">
        <v>1</v>
      </c>
      <c r="Z60" s="2">
        <v>1</v>
      </c>
      <c r="AA60" s="2">
        <v>0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0.19565217391304299</v>
      </c>
      <c r="AI60" s="2" t="s">
        <v>120</v>
      </c>
    </row>
    <row r="61" spans="1:35" x14ac:dyDescent="0.35">
      <c r="A61" t="s">
        <v>270</v>
      </c>
      <c r="B61" s="2">
        <v>0.66666666666666596</v>
      </c>
      <c r="C61" s="2">
        <v>0.5</v>
      </c>
      <c r="D61" s="2">
        <v>0.23899371069182301</v>
      </c>
      <c r="E61" s="2">
        <v>0.66666666666666596</v>
      </c>
      <c r="F61" s="2">
        <v>0</v>
      </c>
      <c r="G61" s="2">
        <v>1</v>
      </c>
      <c r="H61" s="2">
        <v>0.55555555555555503</v>
      </c>
      <c r="I61" s="2">
        <v>1</v>
      </c>
      <c r="J61" s="2">
        <v>0</v>
      </c>
      <c r="K61" s="2">
        <v>0</v>
      </c>
      <c r="L61" s="2">
        <v>0.5</v>
      </c>
      <c r="M61" s="2">
        <v>0.158904109589041</v>
      </c>
      <c r="N61" s="2">
        <v>1</v>
      </c>
      <c r="O61" s="2">
        <v>0.33333333333333298</v>
      </c>
      <c r="P61" s="2">
        <v>0</v>
      </c>
      <c r="Q61" s="2">
        <v>0.4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0.19565217391304299</v>
      </c>
      <c r="AI61" s="2" t="s">
        <v>120</v>
      </c>
    </row>
    <row r="62" spans="1:35" x14ac:dyDescent="0.35">
      <c r="A62" t="s">
        <v>271</v>
      </c>
      <c r="B62" s="2">
        <v>0.16666666666666599</v>
      </c>
      <c r="C62" s="2">
        <v>0</v>
      </c>
      <c r="D62" s="2">
        <v>0</v>
      </c>
      <c r="E62" s="2">
        <v>0.66666666666666596</v>
      </c>
      <c r="F62" s="2">
        <v>0</v>
      </c>
      <c r="G62" s="2">
        <v>1</v>
      </c>
      <c r="H62" s="2">
        <v>0.55555555555555503</v>
      </c>
      <c r="I62" s="2">
        <v>1</v>
      </c>
      <c r="J62" s="2">
        <v>1</v>
      </c>
      <c r="K62" s="2">
        <v>0</v>
      </c>
      <c r="L62" s="2">
        <v>0</v>
      </c>
      <c r="M62" s="2">
        <v>0.2</v>
      </c>
      <c r="N62" s="2">
        <v>1</v>
      </c>
      <c r="O62" s="2">
        <v>0</v>
      </c>
      <c r="P62" s="2">
        <v>0</v>
      </c>
      <c r="Q62" s="2">
        <v>0.4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0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0.19565217391304299</v>
      </c>
      <c r="AI62" s="2" t="s">
        <v>120</v>
      </c>
    </row>
    <row r="63" spans="1:35" x14ac:dyDescent="0.35">
      <c r="A63" t="s">
        <v>272</v>
      </c>
      <c r="B63" s="2">
        <v>0.5</v>
      </c>
      <c r="C63" s="2">
        <v>0</v>
      </c>
      <c r="D63" s="2">
        <v>0</v>
      </c>
      <c r="E63" s="2">
        <v>1</v>
      </c>
      <c r="F63" s="2">
        <v>0.33333333333333298</v>
      </c>
      <c r="G63" s="2">
        <v>1</v>
      </c>
      <c r="H63" s="2">
        <v>0.55555555555555503</v>
      </c>
      <c r="I63" s="2">
        <v>1</v>
      </c>
      <c r="J63" s="2">
        <v>0.5</v>
      </c>
      <c r="K63" s="2">
        <v>0</v>
      </c>
      <c r="L63" s="2">
        <v>0</v>
      </c>
      <c r="M63" s="2">
        <v>0.2</v>
      </c>
      <c r="N63" s="2">
        <v>0.5</v>
      </c>
      <c r="O63" s="2">
        <v>0</v>
      </c>
      <c r="P63" s="2">
        <v>0</v>
      </c>
      <c r="Q63" s="2">
        <v>0.4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0.19565217391304299</v>
      </c>
      <c r="AI63" s="2" t="s">
        <v>120</v>
      </c>
    </row>
    <row r="64" spans="1:35" x14ac:dyDescent="0.35">
      <c r="A64" t="s">
        <v>273</v>
      </c>
      <c r="B64" s="38">
        <v>0.5</v>
      </c>
      <c r="C64" s="38">
        <v>0.25</v>
      </c>
      <c r="D64" s="38">
        <v>0.33333333333333298</v>
      </c>
      <c r="E64" s="38">
        <v>0</v>
      </c>
      <c r="F64" s="38">
        <v>0</v>
      </c>
      <c r="G64" s="38">
        <v>1</v>
      </c>
      <c r="H64" s="38">
        <v>0.55555555555555503</v>
      </c>
      <c r="I64" s="38">
        <v>1</v>
      </c>
      <c r="J64" s="38">
        <v>0.5</v>
      </c>
      <c r="K64" s="38">
        <v>0</v>
      </c>
      <c r="L64" s="38">
        <v>0</v>
      </c>
      <c r="M64" s="38">
        <v>0.2</v>
      </c>
      <c r="N64" s="38">
        <v>1</v>
      </c>
      <c r="O64" s="38">
        <v>0</v>
      </c>
      <c r="P64" s="38">
        <v>0</v>
      </c>
      <c r="Q64" s="38">
        <v>0</v>
      </c>
      <c r="R64" s="38">
        <v>1</v>
      </c>
      <c r="S64" s="38">
        <v>0</v>
      </c>
      <c r="T64" s="38">
        <v>1</v>
      </c>
      <c r="U64" s="38">
        <v>1</v>
      </c>
      <c r="V64" s="38">
        <v>1</v>
      </c>
      <c r="W64" s="38">
        <v>0</v>
      </c>
      <c r="X64" s="38">
        <v>1</v>
      </c>
      <c r="Y64" s="38">
        <v>1</v>
      </c>
      <c r="Z64" s="38">
        <v>0</v>
      </c>
      <c r="AA64" s="38">
        <v>0</v>
      </c>
      <c r="AB64" s="38">
        <v>1</v>
      </c>
      <c r="AC64" s="38">
        <v>1</v>
      </c>
      <c r="AD64" s="38">
        <v>1</v>
      </c>
      <c r="AE64" s="38">
        <v>1</v>
      </c>
      <c r="AF64" s="38">
        <v>1</v>
      </c>
      <c r="AG64" s="38">
        <v>1</v>
      </c>
      <c r="AH64" s="38">
        <v>0</v>
      </c>
      <c r="AI64" s="38" t="s">
        <v>195</v>
      </c>
    </row>
    <row r="65" spans="1:35" x14ac:dyDescent="0.35">
      <c r="A65" t="s">
        <v>274</v>
      </c>
      <c r="B65" s="38">
        <v>0</v>
      </c>
      <c r="C65" s="38">
        <v>0.23765432098765399</v>
      </c>
      <c r="D65" s="38">
        <v>0.23899371069182301</v>
      </c>
      <c r="E65" s="38">
        <v>0.53703703703703698</v>
      </c>
      <c r="F65" s="38">
        <v>0.12757201646090499</v>
      </c>
      <c r="G65" s="38">
        <v>0.94805194805194803</v>
      </c>
      <c r="H65" s="38">
        <v>0.55692729766803795</v>
      </c>
      <c r="I65" s="38">
        <v>0.936708860759493</v>
      </c>
      <c r="J65" s="38">
        <v>0.407407407407407</v>
      </c>
      <c r="K65" s="38">
        <v>0.19478737997256501</v>
      </c>
      <c r="L65" s="38">
        <v>5.5555555555555497E-2</v>
      </c>
      <c r="M65" s="38">
        <v>0.158904109589041</v>
      </c>
      <c r="N65" s="38">
        <v>0.95061728395061695</v>
      </c>
      <c r="O65" s="38">
        <v>6.1728395061728301E-2</v>
      </c>
      <c r="P65" s="38">
        <v>0.189873417721519</v>
      </c>
      <c r="Q65" s="38">
        <v>0.32345679012345602</v>
      </c>
      <c r="R65" s="38">
        <v>0.98765432098765404</v>
      </c>
      <c r="S65" s="38">
        <v>0.76543209876543195</v>
      </c>
      <c r="T65" s="38">
        <v>0.97530864197530798</v>
      </c>
      <c r="U65" s="38">
        <v>1</v>
      </c>
      <c r="V65" s="38">
        <v>1</v>
      </c>
      <c r="W65" s="38">
        <v>0.11111111111111099</v>
      </c>
      <c r="X65" s="38">
        <v>1</v>
      </c>
      <c r="Y65" s="38">
        <v>0.97530864197530798</v>
      </c>
      <c r="Z65" s="38">
        <v>0.90123456790123402</v>
      </c>
      <c r="AA65" s="38">
        <v>0.44444444444444398</v>
      </c>
      <c r="AB65" s="38">
        <v>1</v>
      </c>
      <c r="AC65" s="38">
        <v>1</v>
      </c>
      <c r="AD65" s="38">
        <v>1</v>
      </c>
      <c r="AE65" s="38">
        <v>1</v>
      </c>
      <c r="AF65" s="38">
        <v>0.938271604938271</v>
      </c>
      <c r="AG65" s="38">
        <v>1</v>
      </c>
      <c r="AH65" s="38">
        <v>0.19565217391304299</v>
      </c>
      <c r="AI65" s="38" t="s">
        <v>195</v>
      </c>
    </row>
    <row r="66" spans="1:35" x14ac:dyDescent="0.35">
      <c r="A66" t="s">
        <v>275</v>
      </c>
      <c r="B66" s="38">
        <v>0</v>
      </c>
      <c r="C66" s="38">
        <v>0.23765432098765399</v>
      </c>
      <c r="D66" s="38">
        <v>0.23899371069182301</v>
      </c>
      <c r="E66" s="38">
        <v>0.53703703703703698</v>
      </c>
      <c r="F66" s="38">
        <v>0.12757201646090499</v>
      </c>
      <c r="G66" s="38">
        <v>0.94805194805194803</v>
      </c>
      <c r="H66" s="38">
        <v>0.55692729766803795</v>
      </c>
      <c r="I66" s="38">
        <v>0.936708860759493</v>
      </c>
      <c r="J66" s="38">
        <v>0.407407407407407</v>
      </c>
      <c r="K66" s="38">
        <v>0.19478737997256501</v>
      </c>
      <c r="L66" s="38">
        <v>5.5555555555555497E-2</v>
      </c>
      <c r="M66" s="38">
        <v>0.158904109589041</v>
      </c>
      <c r="N66" s="38">
        <v>0.95061728395061695</v>
      </c>
      <c r="O66" s="38">
        <v>6.1728395061728301E-2</v>
      </c>
      <c r="P66" s="38">
        <v>0.189873417721519</v>
      </c>
      <c r="Q66" s="38">
        <v>0.32345679012345602</v>
      </c>
      <c r="R66" s="38">
        <v>0.98765432098765404</v>
      </c>
      <c r="S66" s="38">
        <v>0.76543209876543195</v>
      </c>
      <c r="T66" s="38">
        <v>0.97530864197530798</v>
      </c>
      <c r="U66" s="38">
        <v>1</v>
      </c>
      <c r="V66" s="38">
        <v>1</v>
      </c>
      <c r="W66" s="38">
        <v>0.11111111111111099</v>
      </c>
      <c r="X66" s="38">
        <v>1</v>
      </c>
      <c r="Y66" s="38">
        <v>0.97530864197530798</v>
      </c>
      <c r="Z66" s="38">
        <v>0.90123456790123402</v>
      </c>
      <c r="AA66" s="38">
        <v>0.44444444444444398</v>
      </c>
      <c r="AB66" s="38">
        <v>1</v>
      </c>
      <c r="AC66" s="38">
        <v>1</v>
      </c>
      <c r="AD66" s="38">
        <v>1</v>
      </c>
      <c r="AE66" s="38">
        <v>1</v>
      </c>
      <c r="AF66" s="38">
        <v>0.938271604938271</v>
      </c>
      <c r="AG66" s="38">
        <v>1</v>
      </c>
      <c r="AH66" s="38">
        <v>0.19565217391304299</v>
      </c>
      <c r="AI66" s="38" t="s">
        <v>195</v>
      </c>
    </row>
    <row r="67" spans="1:35" x14ac:dyDescent="0.35">
      <c r="A67" t="s">
        <v>276</v>
      </c>
      <c r="B67" s="38">
        <v>0</v>
      </c>
      <c r="C67" s="38">
        <v>0.23765432098765399</v>
      </c>
      <c r="D67" s="38">
        <v>0.23899371069182301</v>
      </c>
      <c r="E67" s="38">
        <v>0.53703703703703698</v>
      </c>
      <c r="F67" s="38">
        <v>0.12757201646090499</v>
      </c>
      <c r="G67" s="38">
        <v>0.94805194805194803</v>
      </c>
      <c r="H67" s="38">
        <v>0.55692729766803795</v>
      </c>
      <c r="I67" s="38">
        <v>0.936708860759493</v>
      </c>
      <c r="J67" s="38">
        <v>0.407407407407407</v>
      </c>
      <c r="K67" s="38">
        <v>0.19478737997256501</v>
      </c>
      <c r="L67" s="38">
        <v>5.5555555555555497E-2</v>
      </c>
      <c r="M67" s="38">
        <v>0.158904109589041</v>
      </c>
      <c r="N67" s="38">
        <v>0.95061728395061695</v>
      </c>
      <c r="O67" s="38">
        <v>6.1728395061728301E-2</v>
      </c>
      <c r="P67" s="38">
        <v>0.189873417721519</v>
      </c>
      <c r="Q67" s="38">
        <v>0.32345679012345602</v>
      </c>
      <c r="R67" s="38">
        <v>0.98765432098765404</v>
      </c>
      <c r="S67" s="38">
        <v>0.76543209876543195</v>
      </c>
      <c r="T67" s="38">
        <v>0.97530864197530798</v>
      </c>
      <c r="U67" s="38">
        <v>1</v>
      </c>
      <c r="V67" s="38">
        <v>1</v>
      </c>
      <c r="W67" s="38">
        <v>0.11111111111111099</v>
      </c>
      <c r="X67" s="38">
        <v>1</v>
      </c>
      <c r="Y67" s="38">
        <v>0.97530864197530798</v>
      </c>
      <c r="Z67" s="38">
        <v>0.90123456790123402</v>
      </c>
      <c r="AA67" s="38">
        <v>0.44444444444444398</v>
      </c>
      <c r="AB67" s="38">
        <v>1</v>
      </c>
      <c r="AC67" s="38">
        <v>1</v>
      </c>
      <c r="AD67" s="38">
        <v>1</v>
      </c>
      <c r="AE67" s="38">
        <v>1</v>
      </c>
      <c r="AF67" s="38">
        <v>0.938271604938271</v>
      </c>
      <c r="AG67" s="38">
        <v>1</v>
      </c>
      <c r="AH67" s="38">
        <v>0.19565217391304299</v>
      </c>
      <c r="AI67" s="38" t="s">
        <v>195</v>
      </c>
    </row>
    <row r="68" spans="1:35" x14ac:dyDescent="0.35">
      <c r="A68" t="s">
        <v>277</v>
      </c>
      <c r="B68" s="38">
        <v>0</v>
      </c>
      <c r="C68" s="38">
        <v>0.23765432098765399</v>
      </c>
      <c r="D68" s="38">
        <v>0.23899371069182301</v>
      </c>
      <c r="E68" s="38">
        <v>0.53703703703703698</v>
      </c>
      <c r="F68" s="38">
        <v>0.12757201646090499</v>
      </c>
      <c r="G68" s="38">
        <v>0.94805194805194803</v>
      </c>
      <c r="H68" s="38">
        <v>0.55692729766803795</v>
      </c>
      <c r="I68" s="38">
        <v>0.936708860759493</v>
      </c>
      <c r="J68" s="38">
        <v>0.407407407407407</v>
      </c>
      <c r="K68" s="38">
        <v>0.19478737997256501</v>
      </c>
      <c r="L68" s="38">
        <v>5.5555555555555497E-2</v>
      </c>
      <c r="M68" s="38">
        <v>0.158904109589041</v>
      </c>
      <c r="N68" s="38">
        <v>0.95061728395061695</v>
      </c>
      <c r="O68" s="38">
        <v>6.1728395061728301E-2</v>
      </c>
      <c r="P68" s="38">
        <v>0.189873417721519</v>
      </c>
      <c r="Q68" s="38">
        <v>0.32345679012345602</v>
      </c>
      <c r="R68" s="38">
        <v>0.98765432098765404</v>
      </c>
      <c r="S68" s="38">
        <v>0.76543209876543195</v>
      </c>
      <c r="T68" s="38">
        <v>0.97530864197530798</v>
      </c>
      <c r="U68" s="38">
        <v>1</v>
      </c>
      <c r="V68" s="38">
        <v>1</v>
      </c>
      <c r="W68" s="38">
        <v>0.11111111111111099</v>
      </c>
      <c r="X68" s="38">
        <v>1</v>
      </c>
      <c r="Y68" s="38">
        <v>0.97530864197530798</v>
      </c>
      <c r="Z68" s="38">
        <v>0.90123456790123402</v>
      </c>
      <c r="AA68" s="38">
        <v>0.44444444444444398</v>
      </c>
      <c r="AB68" s="38">
        <v>1</v>
      </c>
      <c r="AC68" s="38">
        <v>1</v>
      </c>
      <c r="AD68" s="38">
        <v>1</v>
      </c>
      <c r="AE68" s="38">
        <v>1</v>
      </c>
      <c r="AF68" s="38">
        <v>0.938271604938271</v>
      </c>
      <c r="AG68" s="38">
        <v>1</v>
      </c>
      <c r="AH68" s="38">
        <v>0.19565217391304299</v>
      </c>
      <c r="AI68" s="38" t="s">
        <v>195</v>
      </c>
    </row>
    <row r="69" spans="1:35" x14ac:dyDescent="0.35">
      <c r="A69" t="s">
        <v>278</v>
      </c>
      <c r="B69" s="38">
        <v>0</v>
      </c>
      <c r="C69" s="38">
        <v>0.23765432098765399</v>
      </c>
      <c r="D69" s="38">
        <v>0.23899371069182301</v>
      </c>
      <c r="E69" s="38">
        <v>0.53703703703703698</v>
      </c>
      <c r="F69" s="38">
        <v>0.12757201646090499</v>
      </c>
      <c r="G69" s="38">
        <v>0.94805194805194803</v>
      </c>
      <c r="H69" s="38">
        <v>0.55692729766803795</v>
      </c>
      <c r="I69" s="38">
        <v>0.936708860759493</v>
      </c>
      <c r="J69" s="38">
        <v>0.407407407407407</v>
      </c>
      <c r="K69" s="38">
        <v>0.19478737997256501</v>
      </c>
      <c r="L69" s="38">
        <v>5.5555555555555497E-2</v>
      </c>
      <c r="M69" s="38">
        <v>0.158904109589041</v>
      </c>
      <c r="N69" s="38">
        <v>0.95061728395061695</v>
      </c>
      <c r="O69" s="38">
        <v>6.1728395061728301E-2</v>
      </c>
      <c r="P69" s="38">
        <v>0.189873417721519</v>
      </c>
      <c r="Q69" s="38">
        <v>0.32345679012345602</v>
      </c>
      <c r="R69" s="38">
        <v>0.98765432098765404</v>
      </c>
      <c r="S69" s="38">
        <v>0.76543209876543195</v>
      </c>
      <c r="T69" s="38">
        <v>0.97530864197530798</v>
      </c>
      <c r="U69" s="38">
        <v>1</v>
      </c>
      <c r="V69" s="38">
        <v>1</v>
      </c>
      <c r="W69" s="38">
        <v>0.11111111111111099</v>
      </c>
      <c r="X69" s="38">
        <v>1</v>
      </c>
      <c r="Y69" s="38">
        <v>0.97530864197530798</v>
      </c>
      <c r="Z69" s="38">
        <v>0.90123456790123402</v>
      </c>
      <c r="AA69" s="38">
        <v>0.44444444444444398</v>
      </c>
      <c r="AB69" s="38">
        <v>1</v>
      </c>
      <c r="AC69" s="38">
        <v>1</v>
      </c>
      <c r="AD69" s="38">
        <v>1</v>
      </c>
      <c r="AE69" s="38">
        <v>1</v>
      </c>
      <c r="AF69" s="38">
        <v>0.938271604938271</v>
      </c>
      <c r="AG69" s="38">
        <v>1</v>
      </c>
      <c r="AH69" s="38">
        <v>0.19565217391304299</v>
      </c>
      <c r="AI69" s="38" t="s">
        <v>195</v>
      </c>
    </row>
    <row r="70" spans="1:35" x14ac:dyDescent="0.35">
      <c r="A70" t="s">
        <v>279</v>
      </c>
      <c r="B70" s="38">
        <v>0</v>
      </c>
      <c r="C70" s="38">
        <v>0.23765432098765399</v>
      </c>
      <c r="D70" s="38">
        <v>0.23899371069182301</v>
      </c>
      <c r="E70" s="38">
        <v>0.53703703703703698</v>
      </c>
      <c r="F70" s="38">
        <v>0.12757201646090499</v>
      </c>
      <c r="G70" s="38">
        <v>0.94805194805194803</v>
      </c>
      <c r="H70" s="38">
        <v>0.55692729766803795</v>
      </c>
      <c r="I70" s="38">
        <v>0.936708860759493</v>
      </c>
      <c r="J70" s="38">
        <v>0.407407407407407</v>
      </c>
      <c r="K70" s="38">
        <v>0.19478737997256501</v>
      </c>
      <c r="L70" s="38">
        <v>5.5555555555555497E-2</v>
      </c>
      <c r="M70" s="38">
        <v>0.158904109589041</v>
      </c>
      <c r="N70" s="38">
        <v>0.95061728395061695</v>
      </c>
      <c r="O70" s="38">
        <v>6.1728395061728301E-2</v>
      </c>
      <c r="P70" s="38">
        <v>0.189873417721519</v>
      </c>
      <c r="Q70" s="38">
        <v>0.32345679012345602</v>
      </c>
      <c r="R70" s="38">
        <v>0.98765432098765404</v>
      </c>
      <c r="S70" s="38">
        <v>0.76543209876543195</v>
      </c>
      <c r="T70" s="38">
        <v>0.97530864197530798</v>
      </c>
      <c r="U70" s="38">
        <v>1</v>
      </c>
      <c r="V70" s="38">
        <v>1</v>
      </c>
      <c r="W70" s="38">
        <v>0.11111111111111099</v>
      </c>
      <c r="X70" s="38">
        <v>1</v>
      </c>
      <c r="Y70" s="38">
        <v>0.97530864197530798</v>
      </c>
      <c r="Z70" s="38">
        <v>0.90123456790123402</v>
      </c>
      <c r="AA70" s="38">
        <v>0.44444444444444398</v>
      </c>
      <c r="AB70" s="38">
        <v>1</v>
      </c>
      <c r="AC70" s="38">
        <v>1</v>
      </c>
      <c r="AD70" s="38">
        <v>1</v>
      </c>
      <c r="AE70" s="38">
        <v>1</v>
      </c>
      <c r="AF70" s="38">
        <v>0.938271604938271</v>
      </c>
      <c r="AG70" s="38">
        <v>1</v>
      </c>
      <c r="AH70" s="38">
        <v>0.19565217391304299</v>
      </c>
      <c r="AI70" s="38" t="s">
        <v>195</v>
      </c>
    </row>
    <row r="71" spans="1:35" x14ac:dyDescent="0.35">
      <c r="A71" t="s">
        <v>280</v>
      </c>
      <c r="B71" s="38">
        <v>0</v>
      </c>
      <c r="C71" s="38">
        <v>0.25</v>
      </c>
      <c r="D71" s="38">
        <v>0.23899371069182301</v>
      </c>
      <c r="E71" s="38">
        <v>0.66666666666666596</v>
      </c>
      <c r="F71" s="38">
        <v>1</v>
      </c>
      <c r="G71" s="38">
        <v>0.94805194805194803</v>
      </c>
      <c r="H71" s="38">
        <v>1</v>
      </c>
      <c r="I71" s="38">
        <v>0.936708860759493</v>
      </c>
      <c r="J71" s="38">
        <v>0.5</v>
      </c>
      <c r="K71" s="38">
        <v>0.55555555555555503</v>
      </c>
      <c r="L71" s="38">
        <v>0.5</v>
      </c>
      <c r="M71" s="38">
        <v>0.158904109589041</v>
      </c>
      <c r="N71" s="38">
        <v>1</v>
      </c>
      <c r="O71" s="38">
        <v>1</v>
      </c>
      <c r="P71" s="38">
        <v>0.189873417721519</v>
      </c>
      <c r="Q71" s="38">
        <v>0.4</v>
      </c>
      <c r="R71" s="38">
        <v>1</v>
      </c>
      <c r="S71" s="38">
        <v>1</v>
      </c>
      <c r="T71" s="38">
        <v>1</v>
      </c>
      <c r="U71" s="38">
        <v>1</v>
      </c>
      <c r="V71" s="38">
        <v>1</v>
      </c>
      <c r="W71" s="38">
        <v>1</v>
      </c>
      <c r="X71" s="38">
        <v>1</v>
      </c>
      <c r="Y71" s="38">
        <v>1</v>
      </c>
      <c r="Z71" s="38">
        <v>1</v>
      </c>
      <c r="AA71" s="38">
        <v>1</v>
      </c>
      <c r="AB71" s="38">
        <v>1</v>
      </c>
      <c r="AC71" s="38">
        <v>1</v>
      </c>
      <c r="AD71" s="38">
        <v>1</v>
      </c>
      <c r="AE71" s="38">
        <v>1</v>
      </c>
      <c r="AF71" s="38">
        <v>1</v>
      </c>
      <c r="AG71" s="38">
        <v>1</v>
      </c>
      <c r="AH71" s="38">
        <v>1</v>
      </c>
      <c r="AI71" s="38" t="s">
        <v>195</v>
      </c>
    </row>
    <row r="72" spans="1:35" x14ac:dyDescent="0.35">
      <c r="A72" t="s">
        <v>281</v>
      </c>
      <c r="B72" s="38">
        <v>0.66666666666666596</v>
      </c>
      <c r="C72" s="38">
        <v>0.25</v>
      </c>
      <c r="D72" s="38">
        <v>0.23899371069182301</v>
      </c>
      <c r="E72" s="38">
        <v>0.66666666666666596</v>
      </c>
      <c r="F72" s="38">
        <v>0</v>
      </c>
      <c r="G72" s="38">
        <v>1</v>
      </c>
      <c r="H72" s="38">
        <v>0.55555555555555503</v>
      </c>
      <c r="I72" s="38">
        <v>1</v>
      </c>
      <c r="J72" s="38">
        <v>0</v>
      </c>
      <c r="K72" s="38">
        <v>0</v>
      </c>
      <c r="L72" s="38">
        <v>0</v>
      </c>
      <c r="M72" s="38">
        <v>0.2</v>
      </c>
      <c r="N72" s="38">
        <v>1</v>
      </c>
      <c r="O72" s="38">
        <v>0</v>
      </c>
      <c r="P72" s="38">
        <v>0</v>
      </c>
      <c r="Q72" s="38">
        <v>0.4</v>
      </c>
      <c r="R72" s="38">
        <v>1</v>
      </c>
      <c r="S72" s="38">
        <v>1</v>
      </c>
      <c r="T72" s="38">
        <v>1</v>
      </c>
      <c r="U72" s="38">
        <v>1</v>
      </c>
      <c r="V72" s="38">
        <v>1</v>
      </c>
      <c r="W72" s="38">
        <v>0</v>
      </c>
      <c r="X72" s="38">
        <v>1</v>
      </c>
      <c r="Y72" s="38">
        <v>1</v>
      </c>
      <c r="Z72" s="38">
        <v>1</v>
      </c>
      <c r="AA72" s="38">
        <v>1</v>
      </c>
      <c r="AB72" s="38">
        <v>1</v>
      </c>
      <c r="AC72" s="38">
        <v>1</v>
      </c>
      <c r="AD72" s="38">
        <v>1</v>
      </c>
      <c r="AE72" s="38">
        <v>1</v>
      </c>
      <c r="AF72" s="38">
        <v>1</v>
      </c>
      <c r="AG72" s="38">
        <v>1</v>
      </c>
      <c r="AH72" s="38">
        <v>0.19565217391304299</v>
      </c>
      <c r="AI72" s="38" t="s">
        <v>195</v>
      </c>
    </row>
    <row r="73" spans="1:35" x14ac:dyDescent="0.35">
      <c r="A73" t="s">
        <v>282</v>
      </c>
      <c r="B73" s="38">
        <v>0.5</v>
      </c>
      <c r="C73" s="38">
        <v>0.5</v>
      </c>
      <c r="D73" s="38">
        <v>0.23899371069182301</v>
      </c>
      <c r="E73" s="38">
        <v>0.66666666666666596</v>
      </c>
      <c r="F73" s="38">
        <v>0</v>
      </c>
      <c r="G73" s="38">
        <v>1</v>
      </c>
      <c r="H73" s="38">
        <v>0.55555555555555503</v>
      </c>
      <c r="I73" s="38">
        <v>1</v>
      </c>
      <c r="J73" s="38">
        <v>0</v>
      </c>
      <c r="K73" s="38">
        <v>0</v>
      </c>
      <c r="L73" s="38">
        <v>0</v>
      </c>
      <c r="M73" s="38">
        <v>0.2</v>
      </c>
      <c r="N73" s="38">
        <v>1</v>
      </c>
      <c r="O73" s="38">
        <v>0</v>
      </c>
      <c r="P73" s="38">
        <v>0</v>
      </c>
      <c r="Q73" s="38">
        <v>0.4</v>
      </c>
      <c r="R73" s="38">
        <v>1</v>
      </c>
      <c r="S73" s="38">
        <v>1</v>
      </c>
      <c r="T73" s="38">
        <v>1</v>
      </c>
      <c r="U73" s="38">
        <v>1</v>
      </c>
      <c r="V73" s="38">
        <v>1</v>
      </c>
      <c r="W73" s="38">
        <v>0</v>
      </c>
      <c r="X73" s="38">
        <v>1</v>
      </c>
      <c r="Y73" s="38">
        <v>1</v>
      </c>
      <c r="Z73" s="38">
        <v>1</v>
      </c>
      <c r="AA73" s="38">
        <v>0</v>
      </c>
      <c r="AB73" s="38">
        <v>1</v>
      </c>
      <c r="AC73" s="38">
        <v>1</v>
      </c>
      <c r="AD73" s="38">
        <v>1</v>
      </c>
      <c r="AE73" s="38">
        <v>1</v>
      </c>
      <c r="AF73" s="38">
        <v>1</v>
      </c>
      <c r="AG73" s="38">
        <v>1</v>
      </c>
      <c r="AH73" s="38">
        <v>0.19565217391304299</v>
      </c>
      <c r="AI73" s="38" t="s">
        <v>195</v>
      </c>
    </row>
    <row r="74" spans="1:35" x14ac:dyDescent="0.35">
      <c r="A74" t="s">
        <v>283</v>
      </c>
      <c r="B74" s="38">
        <v>0.66666666666666596</v>
      </c>
      <c r="C74" s="38">
        <v>0.25</v>
      </c>
      <c r="D74" s="38">
        <v>0.23899371069182301</v>
      </c>
      <c r="E74" s="38">
        <v>0</v>
      </c>
      <c r="F74" s="38">
        <v>0</v>
      </c>
      <c r="G74" s="38">
        <v>1</v>
      </c>
      <c r="H74" s="38">
        <v>0.66666666666666596</v>
      </c>
      <c r="I74" s="38">
        <v>1</v>
      </c>
      <c r="J74" s="38">
        <v>1</v>
      </c>
      <c r="K74" s="38">
        <v>0</v>
      </c>
      <c r="L74" s="38">
        <v>0</v>
      </c>
      <c r="M74" s="38">
        <v>0.2</v>
      </c>
      <c r="N74" s="38">
        <v>1</v>
      </c>
      <c r="O74" s="38">
        <v>0</v>
      </c>
      <c r="P74" s="38">
        <v>0</v>
      </c>
      <c r="Q74" s="38">
        <v>0.4</v>
      </c>
      <c r="R74" s="38">
        <v>1</v>
      </c>
      <c r="S74" s="38">
        <v>1</v>
      </c>
      <c r="T74" s="38">
        <v>1</v>
      </c>
      <c r="U74" s="38">
        <v>1</v>
      </c>
      <c r="V74" s="38">
        <v>1</v>
      </c>
      <c r="W74" s="38">
        <v>0</v>
      </c>
      <c r="X74" s="38">
        <v>1</v>
      </c>
      <c r="Y74" s="38">
        <v>1</v>
      </c>
      <c r="Z74" s="38">
        <v>1</v>
      </c>
      <c r="AA74" s="38">
        <v>0</v>
      </c>
      <c r="AB74" s="38">
        <v>1</v>
      </c>
      <c r="AC74" s="38">
        <v>1</v>
      </c>
      <c r="AD74" s="38">
        <v>1</v>
      </c>
      <c r="AE74" s="38">
        <v>1</v>
      </c>
      <c r="AF74" s="38">
        <v>1</v>
      </c>
      <c r="AG74" s="38">
        <v>1</v>
      </c>
      <c r="AH74" s="38">
        <v>0.19565217391304299</v>
      </c>
      <c r="AI74" s="38" t="s">
        <v>195</v>
      </c>
    </row>
    <row r="75" spans="1:35" x14ac:dyDescent="0.35">
      <c r="A75" t="s">
        <v>284</v>
      </c>
      <c r="B75" s="38">
        <v>0.33333333333333298</v>
      </c>
      <c r="C75" s="38">
        <v>0.25</v>
      </c>
      <c r="D75" s="38">
        <v>0.33333333333333298</v>
      </c>
      <c r="E75" s="38">
        <v>0.66666666666666596</v>
      </c>
      <c r="F75" s="38">
        <v>0</v>
      </c>
      <c r="G75" s="38">
        <v>1</v>
      </c>
      <c r="H75" s="38">
        <v>0.55555555555555503</v>
      </c>
      <c r="I75" s="38">
        <v>1</v>
      </c>
      <c r="J75" s="38">
        <v>0.5</v>
      </c>
      <c r="K75" s="38">
        <v>0</v>
      </c>
      <c r="L75" s="38">
        <v>0</v>
      </c>
      <c r="M75" s="38">
        <v>0.2</v>
      </c>
      <c r="N75" s="38">
        <v>1</v>
      </c>
      <c r="O75" s="38">
        <v>0</v>
      </c>
      <c r="P75" s="38">
        <v>0</v>
      </c>
      <c r="Q75" s="38">
        <v>0.4</v>
      </c>
      <c r="R75" s="38">
        <v>1</v>
      </c>
      <c r="S75" s="38">
        <v>0</v>
      </c>
      <c r="T75" s="38">
        <v>1</v>
      </c>
      <c r="U75" s="38">
        <v>1</v>
      </c>
      <c r="V75" s="38">
        <v>1</v>
      </c>
      <c r="W75" s="38">
        <v>0</v>
      </c>
      <c r="X75" s="38">
        <v>1</v>
      </c>
      <c r="Y75" s="38">
        <v>1</v>
      </c>
      <c r="Z75" s="38">
        <v>1</v>
      </c>
      <c r="AA75" s="38">
        <v>1</v>
      </c>
      <c r="AB75" s="38">
        <v>1</v>
      </c>
      <c r="AC75" s="38">
        <v>1</v>
      </c>
      <c r="AD75" s="38">
        <v>1</v>
      </c>
      <c r="AE75" s="38">
        <v>1</v>
      </c>
      <c r="AF75" s="38">
        <v>1</v>
      </c>
      <c r="AG75" s="38">
        <v>1</v>
      </c>
      <c r="AH75" s="38">
        <v>0</v>
      </c>
      <c r="AI75" s="38" t="s">
        <v>195</v>
      </c>
    </row>
    <row r="76" spans="1:35" x14ac:dyDescent="0.35">
      <c r="A76" t="s">
        <v>285</v>
      </c>
      <c r="B76" s="38">
        <v>0.5</v>
      </c>
      <c r="C76" s="38">
        <v>0.25</v>
      </c>
      <c r="D76" s="38">
        <v>0.33333333333333298</v>
      </c>
      <c r="E76" s="38">
        <v>0.66666666666666596</v>
      </c>
      <c r="F76" s="38">
        <v>0</v>
      </c>
      <c r="G76" s="38">
        <v>1</v>
      </c>
      <c r="H76" s="38">
        <v>0.55555555555555503</v>
      </c>
      <c r="I76" s="38">
        <v>1</v>
      </c>
      <c r="J76" s="38">
        <v>0.5</v>
      </c>
      <c r="K76" s="38">
        <v>0</v>
      </c>
      <c r="L76" s="38">
        <v>0</v>
      </c>
      <c r="M76" s="38">
        <v>0</v>
      </c>
      <c r="N76" s="38">
        <v>1</v>
      </c>
      <c r="O76" s="38">
        <v>0</v>
      </c>
      <c r="P76" s="38">
        <v>0</v>
      </c>
      <c r="Q76" s="38">
        <v>0.4</v>
      </c>
      <c r="R76" s="38">
        <v>1</v>
      </c>
      <c r="S76" s="38">
        <v>0</v>
      </c>
      <c r="T76" s="38">
        <v>1</v>
      </c>
      <c r="U76" s="38">
        <v>1</v>
      </c>
      <c r="V76" s="38">
        <v>1</v>
      </c>
      <c r="W76" s="38">
        <v>0</v>
      </c>
      <c r="X76" s="38">
        <v>1</v>
      </c>
      <c r="Y76" s="38">
        <v>1</v>
      </c>
      <c r="Z76" s="38">
        <v>1</v>
      </c>
      <c r="AA76" s="38">
        <v>0</v>
      </c>
      <c r="AB76" s="38">
        <v>1</v>
      </c>
      <c r="AC76" s="38">
        <v>1</v>
      </c>
      <c r="AD76" s="38">
        <v>1</v>
      </c>
      <c r="AE76" s="38">
        <v>1</v>
      </c>
      <c r="AF76" s="38">
        <v>1</v>
      </c>
      <c r="AG76" s="38">
        <v>1</v>
      </c>
      <c r="AH76" s="38">
        <v>0</v>
      </c>
      <c r="AI76" s="38" t="s">
        <v>195</v>
      </c>
    </row>
    <row r="77" spans="1:35" x14ac:dyDescent="0.35">
      <c r="A77" t="s">
        <v>286</v>
      </c>
      <c r="B77" s="38">
        <v>0.16666666666666599</v>
      </c>
      <c r="C77" s="38">
        <v>0.25</v>
      </c>
      <c r="D77" s="38">
        <v>0.33333333333333298</v>
      </c>
      <c r="E77" s="38">
        <v>0.66666666666666596</v>
      </c>
      <c r="F77" s="38">
        <v>0</v>
      </c>
      <c r="G77" s="38">
        <v>1</v>
      </c>
      <c r="H77" s="38">
        <v>0.55555555555555503</v>
      </c>
      <c r="I77" s="38">
        <v>1</v>
      </c>
      <c r="J77" s="38">
        <v>0.5</v>
      </c>
      <c r="K77" s="38">
        <v>0</v>
      </c>
      <c r="L77" s="38">
        <v>0</v>
      </c>
      <c r="M77" s="38">
        <v>0.2</v>
      </c>
      <c r="N77" s="38">
        <v>1</v>
      </c>
      <c r="O77" s="38">
        <v>0</v>
      </c>
      <c r="P77" s="38">
        <v>0</v>
      </c>
      <c r="Q77" s="38">
        <v>0.4</v>
      </c>
      <c r="R77" s="38">
        <v>1</v>
      </c>
      <c r="S77" s="38">
        <v>0</v>
      </c>
      <c r="T77" s="38">
        <v>1</v>
      </c>
      <c r="U77" s="38">
        <v>1</v>
      </c>
      <c r="V77" s="38">
        <v>1</v>
      </c>
      <c r="W77" s="38">
        <v>0</v>
      </c>
      <c r="X77" s="38">
        <v>1</v>
      </c>
      <c r="Y77" s="38">
        <v>1</v>
      </c>
      <c r="Z77" s="38">
        <v>1</v>
      </c>
      <c r="AA77" s="38">
        <v>0</v>
      </c>
      <c r="AB77" s="38">
        <v>1</v>
      </c>
      <c r="AC77" s="38">
        <v>1</v>
      </c>
      <c r="AD77" s="38">
        <v>1</v>
      </c>
      <c r="AE77" s="38">
        <v>1</v>
      </c>
      <c r="AF77" s="38">
        <v>1</v>
      </c>
      <c r="AG77" s="38">
        <v>1</v>
      </c>
      <c r="AH77" s="38">
        <v>0</v>
      </c>
      <c r="AI77" s="38" t="s">
        <v>195</v>
      </c>
    </row>
    <row r="78" spans="1:35" x14ac:dyDescent="0.35">
      <c r="A78" t="s">
        <v>287</v>
      </c>
      <c r="B78" s="38">
        <v>0.33333333333333298</v>
      </c>
      <c r="C78" s="38">
        <v>0.25</v>
      </c>
      <c r="D78" s="38">
        <v>0.33333333333333298</v>
      </c>
      <c r="E78" s="38">
        <v>0</v>
      </c>
      <c r="F78" s="38">
        <v>0</v>
      </c>
      <c r="G78" s="38">
        <v>1</v>
      </c>
      <c r="H78" s="38">
        <v>0.55555555555555503</v>
      </c>
      <c r="I78" s="38">
        <v>1</v>
      </c>
      <c r="J78" s="38">
        <v>0</v>
      </c>
      <c r="K78" s="38">
        <v>0</v>
      </c>
      <c r="L78" s="38">
        <v>0</v>
      </c>
      <c r="M78" s="38">
        <v>0.4</v>
      </c>
      <c r="N78" s="38">
        <v>1</v>
      </c>
      <c r="O78" s="38">
        <v>0</v>
      </c>
      <c r="P78" s="38">
        <v>0</v>
      </c>
      <c r="Q78" s="38">
        <v>0.4</v>
      </c>
      <c r="R78" s="38">
        <v>1</v>
      </c>
      <c r="S78" s="38">
        <v>1</v>
      </c>
      <c r="T78" s="38">
        <v>1</v>
      </c>
      <c r="U78" s="38">
        <v>1</v>
      </c>
      <c r="V78" s="38">
        <v>1</v>
      </c>
      <c r="W78" s="38">
        <v>0</v>
      </c>
      <c r="X78" s="38">
        <v>1</v>
      </c>
      <c r="Y78" s="38">
        <v>1</v>
      </c>
      <c r="Z78" s="38">
        <v>1</v>
      </c>
      <c r="AA78" s="38">
        <v>0</v>
      </c>
      <c r="AB78" s="38">
        <v>1</v>
      </c>
      <c r="AC78" s="38">
        <v>1</v>
      </c>
      <c r="AD78" s="38">
        <v>1</v>
      </c>
      <c r="AE78" s="38">
        <v>1</v>
      </c>
      <c r="AF78" s="38">
        <v>1</v>
      </c>
      <c r="AG78" s="38">
        <v>1</v>
      </c>
      <c r="AH78" s="38">
        <v>0</v>
      </c>
      <c r="AI78" s="38" t="s">
        <v>195</v>
      </c>
    </row>
    <row r="79" spans="1:35" x14ac:dyDescent="0.35">
      <c r="A79" t="s">
        <v>288</v>
      </c>
      <c r="B79" s="38">
        <v>0.16666666666666599</v>
      </c>
      <c r="C79" s="38">
        <v>0.5</v>
      </c>
      <c r="D79" s="38">
        <v>1</v>
      </c>
      <c r="E79" s="38">
        <v>0</v>
      </c>
      <c r="F79" s="38">
        <v>0</v>
      </c>
      <c r="G79" s="38">
        <v>1</v>
      </c>
      <c r="H79" s="38">
        <v>0.55555555555555503</v>
      </c>
      <c r="I79" s="38">
        <v>1</v>
      </c>
      <c r="J79" s="38">
        <v>0.5</v>
      </c>
      <c r="K79" s="38">
        <v>0</v>
      </c>
      <c r="L79" s="38">
        <v>0</v>
      </c>
      <c r="M79" s="38">
        <v>0.2</v>
      </c>
      <c r="N79" s="38">
        <v>1</v>
      </c>
      <c r="O79" s="38">
        <v>0</v>
      </c>
      <c r="P79" s="38">
        <v>0</v>
      </c>
      <c r="Q79" s="38">
        <v>0.4</v>
      </c>
      <c r="R79" s="38">
        <v>1</v>
      </c>
      <c r="S79" s="38">
        <v>0</v>
      </c>
      <c r="T79" s="38">
        <v>1</v>
      </c>
      <c r="U79" s="38">
        <v>1</v>
      </c>
      <c r="V79" s="38">
        <v>1</v>
      </c>
      <c r="W79" s="38">
        <v>0</v>
      </c>
      <c r="X79" s="38">
        <v>1</v>
      </c>
      <c r="Y79" s="38">
        <v>1</v>
      </c>
      <c r="Z79" s="38">
        <v>0</v>
      </c>
      <c r="AA79" s="38">
        <v>0</v>
      </c>
      <c r="AB79" s="38">
        <v>1</v>
      </c>
      <c r="AC79" s="38">
        <v>1</v>
      </c>
      <c r="AD79" s="38">
        <v>1</v>
      </c>
      <c r="AE79" s="38">
        <v>1</v>
      </c>
      <c r="AF79" s="38">
        <v>1</v>
      </c>
      <c r="AG79" s="38">
        <v>1</v>
      </c>
      <c r="AH79" s="38">
        <v>0</v>
      </c>
      <c r="AI79" s="38" t="s">
        <v>195</v>
      </c>
    </row>
    <row r="80" spans="1:35" x14ac:dyDescent="0.35">
      <c r="A80" t="s">
        <v>289</v>
      </c>
      <c r="B80" s="38">
        <v>0.16666666666666599</v>
      </c>
      <c r="C80" s="38">
        <v>0</v>
      </c>
      <c r="D80" s="38">
        <v>0</v>
      </c>
      <c r="E80" s="38">
        <v>0.66666666666666596</v>
      </c>
      <c r="F80" s="38">
        <v>0</v>
      </c>
      <c r="G80" s="38">
        <v>1</v>
      </c>
      <c r="H80" s="38">
        <v>0.55555555555555503</v>
      </c>
      <c r="I80" s="38">
        <v>1</v>
      </c>
      <c r="J80" s="38">
        <v>0.5</v>
      </c>
      <c r="K80" s="38">
        <v>0</v>
      </c>
      <c r="L80" s="38">
        <v>0</v>
      </c>
      <c r="M80" s="38">
        <v>0.2</v>
      </c>
      <c r="N80" s="38">
        <v>1</v>
      </c>
      <c r="O80" s="38">
        <v>0</v>
      </c>
      <c r="P80" s="38">
        <v>0</v>
      </c>
      <c r="Q80" s="38">
        <v>0.4</v>
      </c>
      <c r="R80" s="38">
        <v>1</v>
      </c>
      <c r="S80" s="38">
        <v>1</v>
      </c>
      <c r="T80" s="38">
        <v>1</v>
      </c>
      <c r="U80" s="38">
        <v>1</v>
      </c>
      <c r="V80" s="38">
        <v>1</v>
      </c>
      <c r="W80" s="38">
        <v>0</v>
      </c>
      <c r="X80" s="38">
        <v>1</v>
      </c>
      <c r="Y80" s="38">
        <v>1</v>
      </c>
      <c r="Z80" s="38">
        <v>1</v>
      </c>
      <c r="AA80" s="38">
        <v>1</v>
      </c>
      <c r="AB80" s="38">
        <v>1</v>
      </c>
      <c r="AC80" s="38">
        <v>1</v>
      </c>
      <c r="AD80" s="38">
        <v>1</v>
      </c>
      <c r="AE80" s="38">
        <v>1</v>
      </c>
      <c r="AF80" s="38">
        <v>1</v>
      </c>
      <c r="AG80" s="38">
        <v>1</v>
      </c>
      <c r="AH80" s="38">
        <v>0.19565217391304299</v>
      </c>
      <c r="AI80" s="38" t="s">
        <v>195</v>
      </c>
    </row>
    <row r="81" spans="1:35" x14ac:dyDescent="0.35">
      <c r="A81" t="s">
        <v>290</v>
      </c>
      <c r="B81" s="38">
        <v>0.66666666666666596</v>
      </c>
      <c r="C81" s="38">
        <v>0.5</v>
      </c>
      <c r="D81" s="38">
        <v>0.23899371069182301</v>
      </c>
      <c r="E81" s="38">
        <v>0.66666666666666596</v>
      </c>
      <c r="F81" s="38">
        <v>0</v>
      </c>
      <c r="G81" s="38">
        <v>1</v>
      </c>
      <c r="H81" s="38">
        <v>0.55555555555555503</v>
      </c>
      <c r="I81" s="38">
        <v>1</v>
      </c>
      <c r="J81" s="38">
        <v>0.5</v>
      </c>
      <c r="K81" s="38">
        <v>0</v>
      </c>
      <c r="L81" s="38">
        <v>0.5</v>
      </c>
      <c r="M81" s="38">
        <v>0.158904109589041</v>
      </c>
      <c r="N81" s="38">
        <v>1</v>
      </c>
      <c r="O81" s="38">
        <v>0</v>
      </c>
      <c r="P81" s="38">
        <v>0</v>
      </c>
      <c r="Q81" s="38">
        <v>0.4</v>
      </c>
      <c r="R81" s="38">
        <v>1</v>
      </c>
      <c r="S81" s="38">
        <v>1</v>
      </c>
      <c r="T81" s="38">
        <v>1</v>
      </c>
      <c r="U81" s="38">
        <v>1</v>
      </c>
      <c r="V81" s="38">
        <v>1</v>
      </c>
      <c r="W81" s="38">
        <v>0</v>
      </c>
      <c r="X81" s="38">
        <v>1</v>
      </c>
      <c r="Y81" s="38">
        <v>1</v>
      </c>
      <c r="Z81" s="38">
        <v>1</v>
      </c>
      <c r="AA81" s="38">
        <v>0</v>
      </c>
      <c r="AB81" s="38">
        <v>1</v>
      </c>
      <c r="AC81" s="38">
        <v>1</v>
      </c>
      <c r="AD81" s="38">
        <v>1</v>
      </c>
      <c r="AE81" s="38">
        <v>1</v>
      </c>
      <c r="AF81" s="38">
        <v>1</v>
      </c>
      <c r="AG81" s="38">
        <v>1</v>
      </c>
      <c r="AH81" s="38">
        <v>0.19565217391304299</v>
      </c>
      <c r="AI81" s="38" t="s">
        <v>195</v>
      </c>
    </row>
    <row r="82" spans="1:35" x14ac:dyDescent="0.35">
      <c r="A82" t="s">
        <v>291</v>
      </c>
      <c r="B82" s="38">
        <v>0.33333333333333298</v>
      </c>
      <c r="C82" s="38">
        <v>0.25</v>
      </c>
      <c r="D82" s="38">
        <v>0.33333333333333298</v>
      </c>
      <c r="E82" s="38">
        <v>0.66666666666666596</v>
      </c>
      <c r="F82" s="38">
        <v>0</v>
      </c>
      <c r="G82" s="38">
        <v>1</v>
      </c>
      <c r="H82" s="38">
        <v>0.55555555555555503</v>
      </c>
      <c r="I82" s="38">
        <v>1</v>
      </c>
      <c r="J82" s="38">
        <v>0.5</v>
      </c>
      <c r="K82" s="38">
        <v>1</v>
      </c>
      <c r="L82" s="38">
        <v>0</v>
      </c>
      <c r="M82" s="38">
        <v>0</v>
      </c>
      <c r="N82" s="38">
        <v>1</v>
      </c>
      <c r="O82" s="38">
        <v>0</v>
      </c>
      <c r="P82" s="38">
        <v>1</v>
      </c>
      <c r="Q82" s="38">
        <v>0.4</v>
      </c>
      <c r="R82" s="38">
        <v>1</v>
      </c>
      <c r="S82" s="38">
        <v>1</v>
      </c>
      <c r="T82" s="38">
        <v>1</v>
      </c>
      <c r="U82" s="38">
        <v>1</v>
      </c>
      <c r="V82" s="38">
        <v>1</v>
      </c>
      <c r="W82" s="38">
        <v>0</v>
      </c>
      <c r="X82" s="38">
        <v>1</v>
      </c>
      <c r="Y82" s="38">
        <v>1</v>
      </c>
      <c r="Z82" s="38">
        <v>1</v>
      </c>
      <c r="AA82" s="38">
        <v>0</v>
      </c>
      <c r="AB82" s="38">
        <v>1</v>
      </c>
      <c r="AC82" s="38">
        <v>1</v>
      </c>
      <c r="AD82" s="38">
        <v>1</v>
      </c>
      <c r="AE82" s="38">
        <v>1</v>
      </c>
      <c r="AF82" s="38">
        <v>1</v>
      </c>
      <c r="AG82" s="38">
        <v>1</v>
      </c>
      <c r="AH82" s="38">
        <v>0</v>
      </c>
      <c r="AI82" s="38" t="s">
        <v>195</v>
      </c>
    </row>
    <row r="83" spans="1:35" x14ac:dyDescent="0.35">
      <c r="A83" t="s">
        <v>292</v>
      </c>
      <c r="B83" s="38">
        <v>0.33333333333333298</v>
      </c>
      <c r="C83" s="38">
        <v>0</v>
      </c>
      <c r="D83" s="38">
        <v>0</v>
      </c>
      <c r="E83" s="38">
        <v>0.66666666666666596</v>
      </c>
      <c r="F83" s="38">
        <v>0</v>
      </c>
      <c r="G83" s="38">
        <v>1</v>
      </c>
      <c r="H83" s="38">
        <v>0.55555555555555503</v>
      </c>
      <c r="I83" s="38">
        <v>1</v>
      </c>
      <c r="J83" s="38">
        <v>0.5</v>
      </c>
      <c r="K83" s="38">
        <v>1</v>
      </c>
      <c r="L83" s="38">
        <v>0</v>
      </c>
      <c r="M83" s="38">
        <v>0.2</v>
      </c>
      <c r="N83" s="38">
        <v>1</v>
      </c>
      <c r="O83" s="38">
        <v>0</v>
      </c>
      <c r="P83" s="38">
        <v>1</v>
      </c>
      <c r="Q83" s="38">
        <v>0.4</v>
      </c>
      <c r="R83" s="38">
        <v>1</v>
      </c>
      <c r="S83" s="38">
        <v>1</v>
      </c>
      <c r="T83" s="38">
        <v>1</v>
      </c>
      <c r="U83" s="38">
        <v>1</v>
      </c>
      <c r="V83" s="38">
        <v>1</v>
      </c>
      <c r="W83" s="38">
        <v>0</v>
      </c>
      <c r="X83" s="38">
        <v>1</v>
      </c>
      <c r="Y83" s="38">
        <v>1</v>
      </c>
      <c r="Z83" s="38">
        <v>1</v>
      </c>
      <c r="AA83" s="38">
        <v>0</v>
      </c>
      <c r="AB83" s="38">
        <v>1</v>
      </c>
      <c r="AC83" s="38">
        <v>1</v>
      </c>
      <c r="AD83" s="38">
        <v>1</v>
      </c>
      <c r="AE83" s="38">
        <v>1</v>
      </c>
      <c r="AF83" s="38">
        <v>1</v>
      </c>
      <c r="AG83" s="38">
        <v>1</v>
      </c>
      <c r="AH83" s="38">
        <v>0</v>
      </c>
      <c r="AI83" s="38" t="s">
        <v>195</v>
      </c>
    </row>
    <row r="84" spans="1:35" x14ac:dyDescent="0.35">
      <c r="A84" t="s">
        <v>293</v>
      </c>
      <c r="B84" s="38">
        <v>0.33333333333333298</v>
      </c>
      <c r="C84" s="38">
        <v>0</v>
      </c>
      <c r="D84" s="38">
        <v>0.33333333333333298</v>
      </c>
      <c r="E84" s="38">
        <v>0.66666666666666596</v>
      </c>
      <c r="F84" s="38">
        <v>0.33333333333333298</v>
      </c>
      <c r="G84" s="38">
        <v>1</v>
      </c>
      <c r="H84" s="38">
        <v>0.55555555555555503</v>
      </c>
      <c r="I84" s="38">
        <v>1</v>
      </c>
      <c r="J84" s="38">
        <v>0</v>
      </c>
      <c r="K84" s="38">
        <v>0</v>
      </c>
      <c r="L84" s="38">
        <v>0</v>
      </c>
      <c r="M84" s="38">
        <v>0.2</v>
      </c>
      <c r="N84" s="38">
        <v>1</v>
      </c>
      <c r="O84" s="38">
        <v>0</v>
      </c>
      <c r="P84" s="38">
        <v>0</v>
      </c>
      <c r="Q84" s="38">
        <v>0.4</v>
      </c>
      <c r="R84" s="38">
        <v>1</v>
      </c>
      <c r="S84" s="38">
        <v>1</v>
      </c>
      <c r="T84" s="38">
        <v>1</v>
      </c>
      <c r="U84" s="38">
        <v>1</v>
      </c>
      <c r="V84" s="38">
        <v>1</v>
      </c>
      <c r="W84" s="38">
        <v>0</v>
      </c>
      <c r="X84" s="38">
        <v>1</v>
      </c>
      <c r="Y84" s="38">
        <v>1</v>
      </c>
      <c r="Z84" s="38">
        <v>0</v>
      </c>
      <c r="AA84" s="38">
        <v>1</v>
      </c>
      <c r="AB84" s="38">
        <v>1</v>
      </c>
      <c r="AC84" s="38">
        <v>1</v>
      </c>
      <c r="AD84" s="38">
        <v>1</v>
      </c>
      <c r="AE84" s="38">
        <v>1</v>
      </c>
      <c r="AF84" s="38">
        <v>1</v>
      </c>
      <c r="AG84" s="38">
        <v>1</v>
      </c>
      <c r="AH84" s="38">
        <v>0.19565217391304299</v>
      </c>
      <c r="AI84" s="38" t="s">
        <v>195</v>
      </c>
    </row>
    <row r="85" spans="1:35" x14ac:dyDescent="0.35">
      <c r="A85" t="s">
        <v>294</v>
      </c>
      <c r="B85" s="38">
        <v>0.5</v>
      </c>
      <c r="C85" s="38">
        <v>0</v>
      </c>
      <c r="D85" s="38">
        <v>0</v>
      </c>
      <c r="E85" s="38">
        <v>0.66666666666666596</v>
      </c>
      <c r="F85" s="38">
        <v>0</v>
      </c>
      <c r="G85" s="38">
        <v>1</v>
      </c>
      <c r="H85" s="38">
        <v>0.55555555555555503</v>
      </c>
      <c r="I85" s="38">
        <v>1</v>
      </c>
      <c r="J85" s="38">
        <v>0.5</v>
      </c>
      <c r="K85" s="38">
        <v>0</v>
      </c>
      <c r="L85" s="38">
        <v>0</v>
      </c>
      <c r="M85" s="38">
        <v>0</v>
      </c>
      <c r="N85" s="38">
        <v>1</v>
      </c>
      <c r="O85" s="38">
        <v>0</v>
      </c>
      <c r="P85" s="38">
        <v>0</v>
      </c>
      <c r="Q85" s="38">
        <v>0.4</v>
      </c>
      <c r="R85" s="38">
        <v>1</v>
      </c>
      <c r="S85" s="38">
        <v>1</v>
      </c>
      <c r="T85" s="38">
        <v>1</v>
      </c>
      <c r="U85" s="38">
        <v>1</v>
      </c>
      <c r="V85" s="38">
        <v>1</v>
      </c>
      <c r="W85" s="38">
        <v>0</v>
      </c>
      <c r="X85" s="38">
        <v>1</v>
      </c>
      <c r="Y85" s="38">
        <v>1</v>
      </c>
      <c r="Z85" s="38">
        <v>1</v>
      </c>
      <c r="AA85" s="38">
        <v>1</v>
      </c>
      <c r="AB85" s="38">
        <v>1</v>
      </c>
      <c r="AC85" s="38">
        <v>1</v>
      </c>
      <c r="AD85" s="38">
        <v>1</v>
      </c>
      <c r="AE85" s="38">
        <v>1</v>
      </c>
      <c r="AF85" s="38">
        <v>1</v>
      </c>
      <c r="AG85" s="38">
        <v>1</v>
      </c>
      <c r="AH85" s="38">
        <v>0.19565217391304299</v>
      </c>
      <c r="AI85" s="38" t="s">
        <v>195</v>
      </c>
    </row>
    <row r="86" spans="1:35" x14ac:dyDescent="0.35">
      <c r="A86" t="s">
        <v>295</v>
      </c>
      <c r="B86" s="38">
        <v>0</v>
      </c>
      <c r="C86" s="38">
        <v>0.23765432098765399</v>
      </c>
      <c r="D86" s="38">
        <v>0.23899371069182301</v>
      </c>
      <c r="E86" s="38">
        <v>0.53703703703703698</v>
      </c>
      <c r="F86" s="38">
        <v>0.12757201646090499</v>
      </c>
      <c r="G86" s="38">
        <v>0.94805194805194803</v>
      </c>
      <c r="H86" s="38">
        <v>0.55692729766803795</v>
      </c>
      <c r="I86" s="38">
        <v>0.936708860759493</v>
      </c>
      <c r="J86" s="38">
        <v>0.407407407407407</v>
      </c>
      <c r="K86" s="38">
        <v>0.19478737997256501</v>
      </c>
      <c r="L86" s="38">
        <v>5.5555555555555497E-2</v>
      </c>
      <c r="M86" s="38">
        <v>0.158904109589041</v>
      </c>
      <c r="N86" s="38">
        <v>0.95061728395061695</v>
      </c>
      <c r="O86" s="38">
        <v>6.1728395061728301E-2</v>
      </c>
      <c r="P86" s="38">
        <v>0.189873417721519</v>
      </c>
      <c r="Q86" s="38">
        <v>0.32345679012345602</v>
      </c>
      <c r="R86" s="38">
        <v>0.98765432098765404</v>
      </c>
      <c r="S86" s="38">
        <v>0.76543209876543195</v>
      </c>
      <c r="T86" s="38">
        <v>0.97530864197530798</v>
      </c>
      <c r="U86" s="38">
        <v>1</v>
      </c>
      <c r="V86" s="38">
        <v>1</v>
      </c>
      <c r="W86" s="38">
        <v>0.11111111111111099</v>
      </c>
      <c r="X86" s="38">
        <v>1</v>
      </c>
      <c r="Y86" s="38">
        <v>0.97530864197530798</v>
      </c>
      <c r="Z86" s="38">
        <v>0.90123456790123402</v>
      </c>
      <c r="AA86" s="38">
        <v>0.44444444444444398</v>
      </c>
      <c r="AB86" s="38">
        <v>1</v>
      </c>
      <c r="AC86" s="38">
        <v>1</v>
      </c>
      <c r="AD86" s="38">
        <v>1</v>
      </c>
      <c r="AE86" s="38">
        <v>1</v>
      </c>
      <c r="AF86" s="38">
        <v>0.938271604938271</v>
      </c>
      <c r="AG86" s="38">
        <v>1</v>
      </c>
      <c r="AH86" s="38">
        <v>0.19565217391304299</v>
      </c>
      <c r="AI86" s="38" t="s">
        <v>195</v>
      </c>
    </row>
    <row r="87" spans="1:35" x14ac:dyDescent="0.35">
      <c r="A87" t="s">
        <v>296</v>
      </c>
      <c r="B87" s="38">
        <v>0</v>
      </c>
      <c r="C87" s="38">
        <v>0.23765432098765399</v>
      </c>
      <c r="D87" s="38">
        <v>0.23899371069182301</v>
      </c>
      <c r="E87" s="38">
        <v>0.53703703703703698</v>
      </c>
      <c r="F87" s="38">
        <v>0.12757201646090499</v>
      </c>
      <c r="G87" s="38">
        <v>0.94805194805194803</v>
      </c>
      <c r="H87" s="38">
        <v>0.55692729766803795</v>
      </c>
      <c r="I87" s="38">
        <v>0.936708860759493</v>
      </c>
      <c r="J87" s="38">
        <v>0.407407407407407</v>
      </c>
      <c r="K87" s="38">
        <v>0.19478737997256501</v>
      </c>
      <c r="L87" s="38">
        <v>5.5555555555555497E-2</v>
      </c>
      <c r="M87" s="38">
        <v>0.158904109589041</v>
      </c>
      <c r="N87" s="38">
        <v>0.95061728395061695</v>
      </c>
      <c r="O87" s="38">
        <v>6.1728395061728301E-2</v>
      </c>
      <c r="P87" s="38">
        <v>0.189873417721519</v>
      </c>
      <c r="Q87" s="38">
        <v>0.32345679012345602</v>
      </c>
      <c r="R87" s="38">
        <v>0.98765432098765404</v>
      </c>
      <c r="S87" s="38">
        <v>0.76543209876543195</v>
      </c>
      <c r="T87" s="38">
        <v>0.97530864197530798</v>
      </c>
      <c r="U87" s="38">
        <v>1</v>
      </c>
      <c r="V87" s="38">
        <v>1</v>
      </c>
      <c r="W87" s="38">
        <v>0.11111111111111099</v>
      </c>
      <c r="X87" s="38">
        <v>1</v>
      </c>
      <c r="Y87" s="38">
        <v>0.97530864197530798</v>
      </c>
      <c r="Z87" s="38">
        <v>0.90123456790123402</v>
      </c>
      <c r="AA87" s="38">
        <v>0.44444444444444398</v>
      </c>
      <c r="AB87" s="38">
        <v>1</v>
      </c>
      <c r="AC87" s="38">
        <v>1</v>
      </c>
      <c r="AD87" s="38">
        <v>1</v>
      </c>
      <c r="AE87" s="38">
        <v>1</v>
      </c>
      <c r="AF87" s="38">
        <v>0.938271604938271</v>
      </c>
      <c r="AG87" s="38">
        <v>1</v>
      </c>
      <c r="AH87" s="38">
        <v>0.19565217391304299</v>
      </c>
      <c r="AI87" s="38" t="s">
        <v>195</v>
      </c>
    </row>
    <row r="88" spans="1:35" x14ac:dyDescent="0.35">
      <c r="A88" t="s">
        <v>297</v>
      </c>
      <c r="B88" s="38">
        <v>0</v>
      </c>
      <c r="C88" s="38">
        <v>0.23765432098765399</v>
      </c>
      <c r="D88" s="38">
        <v>0.23899371069182301</v>
      </c>
      <c r="E88" s="38">
        <v>0.53703703703703698</v>
      </c>
      <c r="F88" s="38">
        <v>0.12757201646090499</v>
      </c>
      <c r="G88" s="38">
        <v>0.94805194805194803</v>
      </c>
      <c r="H88" s="38">
        <v>0.55692729766803795</v>
      </c>
      <c r="I88" s="38">
        <v>0.936708860759493</v>
      </c>
      <c r="J88" s="38">
        <v>0.407407407407407</v>
      </c>
      <c r="K88" s="38">
        <v>0.19478737997256501</v>
      </c>
      <c r="L88" s="38">
        <v>5.5555555555555497E-2</v>
      </c>
      <c r="M88" s="38">
        <v>0.158904109589041</v>
      </c>
      <c r="N88" s="38">
        <v>0.95061728395061695</v>
      </c>
      <c r="O88" s="38">
        <v>6.1728395061728301E-2</v>
      </c>
      <c r="P88" s="38">
        <v>0.189873417721519</v>
      </c>
      <c r="Q88" s="38">
        <v>0.32345679012345602</v>
      </c>
      <c r="R88" s="38">
        <v>0.98765432098765404</v>
      </c>
      <c r="S88" s="38">
        <v>0.76543209876543195</v>
      </c>
      <c r="T88" s="38">
        <v>0.97530864197530798</v>
      </c>
      <c r="U88" s="38">
        <v>1</v>
      </c>
      <c r="V88" s="38">
        <v>1</v>
      </c>
      <c r="W88" s="38">
        <v>0.11111111111111099</v>
      </c>
      <c r="X88" s="38">
        <v>1</v>
      </c>
      <c r="Y88" s="38">
        <v>0.97530864197530798</v>
      </c>
      <c r="Z88" s="38">
        <v>0.90123456790123402</v>
      </c>
      <c r="AA88" s="38">
        <v>0.44444444444444398</v>
      </c>
      <c r="AB88" s="38">
        <v>1</v>
      </c>
      <c r="AC88" s="38">
        <v>1</v>
      </c>
      <c r="AD88" s="38">
        <v>1</v>
      </c>
      <c r="AE88" s="38">
        <v>1</v>
      </c>
      <c r="AF88" s="38">
        <v>0.938271604938271</v>
      </c>
      <c r="AG88" s="38">
        <v>1</v>
      </c>
      <c r="AH88" s="38">
        <v>0.19565217391304299</v>
      </c>
      <c r="AI88" s="38" t="s">
        <v>195</v>
      </c>
    </row>
    <row r="89" spans="1:35" x14ac:dyDescent="0.35">
      <c r="A89" t="s">
        <v>298</v>
      </c>
      <c r="B89" s="38">
        <v>0.33333333333333298</v>
      </c>
      <c r="C89" s="38">
        <v>0.25</v>
      </c>
      <c r="D89" s="38">
        <v>0.33333333333333298</v>
      </c>
      <c r="E89" s="38">
        <v>0.66666666666666596</v>
      </c>
      <c r="F89" s="38">
        <v>0</v>
      </c>
      <c r="G89" s="38">
        <v>1</v>
      </c>
      <c r="H89" s="38">
        <v>0.55555555555555503</v>
      </c>
      <c r="I89" s="38">
        <v>1</v>
      </c>
      <c r="J89" s="38">
        <v>0</v>
      </c>
      <c r="K89" s="38">
        <v>0</v>
      </c>
      <c r="L89" s="38">
        <v>0</v>
      </c>
      <c r="M89" s="38">
        <v>0.2</v>
      </c>
      <c r="N89" s="38">
        <v>1</v>
      </c>
      <c r="O89" s="38">
        <v>0</v>
      </c>
      <c r="P89" s="38">
        <v>0</v>
      </c>
      <c r="Q89" s="38">
        <v>0</v>
      </c>
      <c r="R89" s="38">
        <v>1</v>
      </c>
      <c r="S89" s="38">
        <v>1</v>
      </c>
      <c r="T89" s="38">
        <v>1</v>
      </c>
      <c r="U89" s="38">
        <v>1</v>
      </c>
      <c r="V89" s="38">
        <v>1</v>
      </c>
      <c r="W89" s="38">
        <v>0</v>
      </c>
      <c r="X89" s="38">
        <v>1</v>
      </c>
      <c r="Y89" s="38">
        <v>1</v>
      </c>
      <c r="Z89" s="38">
        <v>1</v>
      </c>
      <c r="AA89" s="38">
        <v>1</v>
      </c>
      <c r="AB89" s="38">
        <v>1</v>
      </c>
      <c r="AC89" s="38">
        <v>1</v>
      </c>
      <c r="AD89" s="38">
        <v>1</v>
      </c>
      <c r="AE89" s="38">
        <v>1</v>
      </c>
      <c r="AF89" s="38">
        <v>1</v>
      </c>
      <c r="AG89" s="38">
        <v>1</v>
      </c>
      <c r="AH89" s="38">
        <v>0</v>
      </c>
      <c r="AI89" s="38" t="s">
        <v>195</v>
      </c>
    </row>
    <row r="90" spans="1:35" x14ac:dyDescent="0.35">
      <c r="A90" t="s">
        <v>299</v>
      </c>
      <c r="B90" s="38">
        <v>0.66666666666666596</v>
      </c>
      <c r="C90" s="38">
        <v>0.25</v>
      </c>
      <c r="D90" s="38">
        <v>0.23899371069182301</v>
      </c>
      <c r="E90" s="38">
        <v>1</v>
      </c>
      <c r="F90" s="38">
        <v>0.33333333333333298</v>
      </c>
      <c r="G90" s="38">
        <v>1</v>
      </c>
      <c r="H90" s="38">
        <v>0.55555555555555503</v>
      </c>
      <c r="I90" s="38">
        <v>1</v>
      </c>
      <c r="J90" s="38">
        <v>0.5</v>
      </c>
      <c r="K90" s="38">
        <v>0</v>
      </c>
      <c r="L90" s="38">
        <v>0</v>
      </c>
      <c r="M90" s="38">
        <v>0.2</v>
      </c>
      <c r="N90" s="38">
        <v>0.5</v>
      </c>
      <c r="O90" s="38">
        <v>0</v>
      </c>
      <c r="P90" s="38">
        <v>0</v>
      </c>
      <c r="Q90" s="38">
        <v>0.4</v>
      </c>
      <c r="R90" s="38">
        <v>1</v>
      </c>
      <c r="S90" s="38">
        <v>1</v>
      </c>
      <c r="T90" s="38">
        <v>1</v>
      </c>
      <c r="U90" s="38">
        <v>1</v>
      </c>
      <c r="V90" s="38">
        <v>1</v>
      </c>
      <c r="W90" s="38">
        <v>0</v>
      </c>
      <c r="X90" s="38">
        <v>1</v>
      </c>
      <c r="Y90" s="38">
        <v>1</v>
      </c>
      <c r="Z90" s="38">
        <v>1</v>
      </c>
      <c r="AA90" s="38">
        <v>0</v>
      </c>
      <c r="AB90" s="38">
        <v>1</v>
      </c>
      <c r="AC90" s="38">
        <v>1</v>
      </c>
      <c r="AD90" s="38">
        <v>1</v>
      </c>
      <c r="AE90" s="38">
        <v>1</v>
      </c>
      <c r="AF90" s="38">
        <v>1</v>
      </c>
      <c r="AG90" s="38">
        <v>1</v>
      </c>
      <c r="AH90" s="38">
        <v>0.19565217391304299</v>
      </c>
      <c r="AI90" s="38" t="s">
        <v>195</v>
      </c>
    </row>
    <row r="91" spans="1:35" x14ac:dyDescent="0.35">
      <c r="A91" t="s">
        <v>300</v>
      </c>
      <c r="B91" s="38">
        <v>0.83333333333333304</v>
      </c>
      <c r="C91" s="38">
        <v>0.25</v>
      </c>
      <c r="D91" s="38">
        <v>0.33333333333333298</v>
      </c>
      <c r="E91" s="38">
        <v>0.66666666666666596</v>
      </c>
      <c r="F91" s="38">
        <v>0</v>
      </c>
      <c r="G91" s="38">
        <v>1</v>
      </c>
      <c r="H91" s="38">
        <v>0.55555555555555503</v>
      </c>
      <c r="I91" s="38">
        <v>1</v>
      </c>
      <c r="J91" s="38">
        <v>0.5</v>
      </c>
      <c r="K91" s="38">
        <v>1</v>
      </c>
      <c r="L91" s="38">
        <v>0</v>
      </c>
      <c r="M91" s="38">
        <v>0.2</v>
      </c>
      <c r="N91" s="38">
        <v>1</v>
      </c>
      <c r="O91" s="38">
        <v>0</v>
      </c>
      <c r="P91" s="38">
        <v>1</v>
      </c>
      <c r="Q91" s="38">
        <v>0.4</v>
      </c>
      <c r="R91" s="38">
        <v>1</v>
      </c>
      <c r="S91" s="38">
        <v>1</v>
      </c>
      <c r="T91" s="38">
        <v>1</v>
      </c>
      <c r="U91" s="38">
        <v>1</v>
      </c>
      <c r="V91" s="38">
        <v>1</v>
      </c>
      <c r="W91" s="38">
        <v>0</v>
      </c>
      <c r="X91" s="38">
        <v>1</v>
      </c>
      <c r="Y91" s="38">
        <v>1</v>
      </c>
      <c r="Z91" s="38">
        <v>1</v>
      </c>
      <c r="AA91" s="38">
        <v>0</v>
      </c>
      <c r="AB91" s="38">
        <v>1</v>
      </c>
      <c r="AC91" s="38">
        <v>1</v>
      </c>
      <c r="AD91" s="38">
        <v>1</v>
      </c>
      <c r="AE91" s="38">
        <v>1</v>
      </c>
      <c r="AF91" s="38">
        <v>1</v>
      </c>
      <c r="AG91" s="38">
        <v>1</v>
      </c>
      <c r="AH91" s="38">
        <v>0</v>
      </c>
      <c r="AI91" s="38" t="s">
        <v>195</v>
      </c>
    </row>
    <row r="92" spans="1:35" x14ac:dyDescent="0.35">
      <c r="A92" t="s">
        <v>301</v>
      </c>
      <c r="B92" s="38">
        <v>0.66666666666666596</v>
      </c>
      <c r="C92" s="38">
        <v>0.25</v>
      </c>
      <c r="D92" s="38">
        <v>0.33333333333333298</v>
      </c>
      <c r="E92" s="38">
        <v>0.66666666666666596</v>
      </c>
      <c r="F92" s="38">
        <v>0.33333333333333298</v>
      </c>
      <c r="G92" s="38">
        <v>1</v>
      </c>
      <c r="H92" s="38">
        <v>0.55555555555555503</v>
      </c>
      <c r="I92" s="38">
        <v>1</v>
      </c>
      <c r="J92" s="38">
        <v>0</v>
      </c>
      <c r="K92" s="38">
        <v>0</v>
      </c>
      <c r="L92" s="38">
        <v>0</v>
      </c>
      <c r="M92" s="38">
        <v>0</v>
      </c>
      <c r="N92" s="38">
        <v>1</v>
      </c>
      <c r="O92" s="38">
        <v>0</v>
      </c>
      <c r="P92" s="38">
        <v>0</v>
      </c>
      <c r="Q92" s="38">
        <v>0</v>
      </c>
      <c r="R92" s="38">
        <v>1</v>
      </c>
      <c r="S92" s="38">
        <v>0</v>
      </c>
      <c r="T92" s="38">
        <v>1</v>
      </c>
      <c r="U92" s="38">
        <v>1</v>
      </c>
      <c r="V92" s="38">
        <v>1</v>
      </c>
      <c r="W92" s="38">
        <v>0</v>
      </c>
      <c r="X92" s="38">
        <v>1</v>
      </c>
      <c r="Y92" s="38">
        <v>1</v>
      </c>
      <c r="Z92" s="38">
        <v>1</v>
      </c>
      <c r="AA92" s="38">
        <v>0</v>
      </c>
      <c r="AB92" s="38">
        <v>1</v>
      </c>
      <c r="AC92" s="38">
        <v>1</v>
      </c>
      <c r="AD92" s="38">
        <v>1</v>
      </c>
      <c r="AE92" s="38">
        <v>1</v>
      </c>
      <c r="AF92" s="38">
        <v>1</v>
      </c>
      <c r="AG92" s="38">
        <v>1</v>
      </c>
      <c r="AH92" s="38">
        <v>1</v>
      </c>
      <c r="AI92" s="38" t="s">
        <v>195</v>
      </c>
    </row>
    <row r="93" spans="1:35" x14ac:dyDescent="0.35">
      <c r="A93" t="s">
        <v>302</v>
      </c>
      <c r="B93" s="38">
        <v>0.16666666666666599</v>
      </c>
      <c r="C93" s="38">
        <v>0</v>
      </c>
      <c r="D93" s="38">
        <v>0</v>
      </c>
      <c r="E93" s="38">
        <v>0</v>
      </c>
      <c r="F93" s="38">
        <v>0</v>
      </c>
      <c r="G93" s="38">
        <v>1</v>
      </c>
      <c r="H93" s="38">
        <v>0.55555555555555503</v>
      </c>
      <c r="I93" s="38">
        <v>1</v>
      </c>
      <c r="J93" s="38">
        <v>1</v>
      </c>
      <c r="K93" s="38">
        <v>0.33333333333333298</v>
      </c>
      <c r="L93" s="38">
        <v>0</v>
      </c>
      <c r="M93" s="38">
        <v>0.2</v>
      </c>
      <c r="N93" s="38">
        <v>1</v>
      </c>
      <c r="O93" s="38">
        <v>0</v>
      </c>
      <c r="P93" s="38">
        <v>0</v>
      </c>
      <c r="Q93" s="38">
        <v>0</v>
      </c>
      <c r="R93" s="38">
        <v>1</v>
      </c>
      <c r="S93" s="38">
        <v>0</v>
      </c>
      <c r="T93" s="38">
        <v>1</v>
      </c>
      <c r="U93" s="38">
        <v>1</v>
      </c>
      <c r="V93" s="38">
        <v>1</v>
      </c>
      <c r="W93" s="38">
        <v>0</v>
      </c>
      <c r="X93" s="38">
        <v>1</v>
      </c>
      <c r="Y93" s="38">
        <v>1</v>
      </c>
      <c r="Z93" s="38">
        <v>1</v>
      </c>
      <c r="AA93" s="38">
        <v>1</v>
      </c>
      <c r="AB93" s="38">
        <v>1</v>
      </c>
      <c r="AC93" s="38">
        <v>1</v>
      </c>
      <c r="AD93" s="38">
        <v>1</v>
      </c>
      <c r="AE93" s="38">
        <v>1</v>
      </c>
      <c r="AF93" s="38">
        <v>0</v>
      </c>
      <c r="AG93" s="38">
        <v>1</v>
      </c>
      <c r="AH93" s="38">
        <v>0.5</v>
      </c>
      <c r="AI93" s="38" t="s">
        <v>195</v>
      </c>
    </row>
    <row r="94" spans="1:35" x14ac:dyDescent="0.35">
      <c r="A94" t="s">
        <v>303</v>
      </c>
      <c r="B94" s="38">
        <v>1</v>
      </c>
      <c r="C94" s="38">
        <v>0.25</v>
      </c>
      <c r="D94" s="38">
        <v>0.23899371069182301</v>
      </c>
      <c r="E94" s="38">
        <v>0.66666666666666596</v>
      </c>
      <c r="F94" s="38">
        <v>0</v>
      </c>
      <c r="G94" s="38">
        <v>1</v>
      </c>
      <c r="H94" s="38">
        <v>0.55555555555555503</v>
      </c>
      <c r="I94" s="38">
        <v>1</v>
      </c>
      <c r="J94" s="38">
        <v>0.5</v>
      </c>
      <c r="K94" s="38">
        <v>0</v>
      </c>
      <c r="L94" s="38">
        <v>0</v>
      </c>
      <c r="M94" s="38">
        <v>0.2</v>
      </c>
      <c r="N94" s="38">
        <v>1</v>
      </c>
      <c r="O94" s="38">
        <v>0</v>
      </c>
      <c r="P94" s="38">
        <v>0</v>
      </c>
      <c r="Q94" s="38">
        <v>0.4</v>
      </c>
      <c r="R94" s="38">
        <v>1</v>
      </c>
      <c r="S94" s="38">
        <v>1</v>
      </c>
      <c r="T94" s="38">
        <v>1</v>
      </c>
      <c r="U94" s="38">
        <v>1</v>
      </c>
      <c r="V94" s="38">
        <v>1</v>
      </c>
      <c r="W94" s="38">
        <v>1</v>
      </c>
      <c r="X94" s="38">
        <v>1</v>
      </c>
      <c r="Y94" s="38">
        <v>1</v>
      </c>
      <c r="Z94" s="38">
        <v>1</v>
      </c>
      <c r="AA94" s="38">
        <v>1</v>
      </c>
      <c r="AB94" s="38">
        <v>1</v>
      </c>
      <c r="AC94" s="38">
        <v>1</v>
      </c>
      <c r="AD94" s="38">
        <v>1</v>
      </c>
      <c r="AE94" s="38">
        <v>1</v>
      </c>
      <c r="AF94" s="38">
        <v>1</v>
      </c>
      <c r="AG94" s="38">
        <v>1</v>
      </c>
      <c r="AH94" s="38">
        <v>0.19565217391304299</v>
      </c>
      <c r="AI94" s="38" t="s">
        <v>195</v>
      </c>
    </row>
    <row r="95" spans="1:35" x14ac:dyDescent="0.35">
      <c r="A95" t="s">
        <v>304</v>
      </c>
      <c r="B95" s="38">
        <v>0</v>
      </c>
      <c r="C95" s="38">
        <v>0</v>
      </c>
      <c r="D95" s="38">
        <v>0</v>
      </c>
      <c r="E95" s="38">
        <v>0.66666666666666596</v>
      </c>
      <c r="F95" s="38">
        <v>0</v>
      </c>
      <c r="G95" s="38">
        <v>1</v>
      </c>
      <c r="H95" s="38">
        <v>0.55555555555555503</v>
      </c>
      <c r="I95" s="38">
        <v>1</v>
      </c>
      <c r="J95" s="38">
        <v>1</v>
      </c>
      <c r="K95" s="38">
        <v>0</v>
      </c>
      <c r="L95" s="38">
        <v>0</v>
      </c>
      <c r="M95" s="38">
        <v>0</v>
      </c>
      <c r="N95" s="38">
        <v>1</v>
      </c>
      <c r="O95" s="38">
        <v>0</v>
      </c>
      <c r="P95" s="38">
        <v>0</v>
      </c>
      <c r="Q95" s="38">
        <v>0</v>
      </c>
      <c r="R95" s="38">
        <v>1</v>
      </c>
      <c r="S95" s="38">
        <v>0</v>
      </c>
      <c r="T95" s="38">
        <v>1</v>
      </c>
      <c r="U95" s="38">
        <v>1</v>
      </c>
      <c r="V95" s="38">
        <v>1</v>
      </c>
      <c r="W95" s="38">
        <v>0</v>
      </c>
      <c r="X95" s="38">
        <v>1</v>
      </c>
      <c r="Y95" s="38">
        <v>1</v>
      </c>
      <c r="Z95" s="38">
        <v>1</v>
      </c>
      <c r="AA95" s="38">
        <v>1</v>
      </c>
      <c r="AB95" s="38">
        <v>1</v>
      </c>
      <c r="AC95" s="38">
        <v>1</v>
      </c>
      <c r="AD95" s="38">
        <v>1</v>
      </c>
      <c r="AE95" s="38">
        <v>1</v>
      </c>
      <c r="AF95" s="38">
        <v>0</v>
      </c>
      <c r="AG95" s="38">
        <v>1</v>
      </c>
      <c r="AH95" s="38">
        <v>1</v>
      </c>
      <c r="AI95" s="38" t="s">
        <v>195</v>
      </c>
    </row>
    <row r="96" spans="1:35" x14ac:dyDescent="0.35">
      <c r="A96" t="s">
        <v>305</v>
      </c>
      <c r="B96" s="38">
        <v>0</v>
      </c>
      <c r="C96" s="38">
        <v>0</v>
      </c>
      <c r="D96" s="38">
        <v>0.33333333333333298</v>
      </c>
      <c r="E96" s="38">
        <v>1</v>
      </c>
      <c r="F96" s="38">
        <v>0.33333333333333298</v>
      </c>
      <c r="G96" s="38">
        <v>1</v>
      </c>
      <c r="H96" s="38">
        <v>0.55555555555555503</v>
      </c>
      <c r="I96" s="38">
        <v>1</v>
      </c>
      <c r="J96" s="38">
        <v>0</v>
      </c>
      <c r="K96" s="38">
        <v>0</v>
      </c>
      <c r="L96" s="38">
        <v>0</v>
      </c>
      <c r="M96" s="38">
        <v>0.2</v>
      </c>
      <c r="N96" s="38">
        <v>1</v>
      </c>
      <c r="O96" s="38">
        <v>0.33333333333333298</v>
      </c>
      <c r="P96" s="38">
        <v>0</v>
      </c>
      <c r="Q96" s="38">
        <v>0.4</v>
      </c>
      <c r="R96" s="38">
        <v>1</v>
      </c>
      <c r="S96" s="38">
        <v>1</v>
      </c>
      <c r="T96" s="38">
        <v>1</v>
      </c>
      <c r="U96" s="38">
        <v>1</v>
      </c>
      <c r="V96" s="38">
        <v>1</v>
      </c>
      <c r="W96" s="38">
        <v>0</v>
      </c>
      <c r="X96" s="38">
        <v>1</v>
      </c>
      <c r="Y96" s="38">
        <v>1</v>
      </c>
      <c r="Z96" s="38">
        <v>1</v>
      </c>
      <c r="AA96" s="38">
        <v>1</v>
      </c>
      <c r="AB96" s="38">
        <v>1</v>
      </c>
      <c r="AC96" s="38">
        <v>1</v>
      </c>
      <c r="AD96" s="38">
        <v>1</v>
      </c>
      <c r="AE96" s="38">
        <v>1</v>
      </c>
      <c r="AF96" s="38">
        <v>1</v>
      </c>
      <c r="AG96" s="38">
        <v>1</v>
      </c>
      <c r="AH96" s="38">
        <v>0.19565217391304299</v>
      </c>
      <c r="AI96" s="38" t="s">
        <v>195</v>
      </c>
    </row>
    <row r="97" spans="1:36" x14ac:dyDescent="0.35">
      <c r="A97" t="s">
        <v>306</v>
      </c>
      <c r="B97" s="38">
        <v>0.66666666666666596</v>
      </c>
      <c r="C97" s="38">
        <v>0</v>
      </c>
      <c r="D97" s="38">
        <v>0</v>
      </c>
      <c r="E97" s="38">
        <v>0</v>
      </c>
      <c r="F97" s="38">
        <v>0</v>
      </c>
      <c r="G97" s="38">
        <v>0</v>
      </c>
      <c r="H97" s="38">
        <v>0.55555555555555503</v>
      </c>
      <c r="I97" s="38">
        <v>1</v>
      </c>
      <c r="J97" s="38">
        <v>1</v>
      </c>
      <c r="K97" s="38">
        <v>0</v>
      </c>
      <c r="L97" s="38">
        <v>0</v>
      </c>
      <c r="M97" s="38">
        <v>0.2</v>
      </c>
      <c r="N97" s="38">
        <v>1</v>
      </c>
      <c r="O97" s="38">
        <v>0</v>
      </c>
      <c r="P97" s="38">
        <v>0</v>
      </c>
      <c r="Q97" s="38">
        <v>0</v>
      </c>
      <c r="R97" s="38">
        <v>1</v>
      </c>
      <c r="S97" s="38">
        <v>0</v>
      </c>
      <c r="T97" s="38">
        <v>0</v>
      </c>
      <c r="U97" s="38">
        <v>1</v>
      </c>
      <c r="V97" s="38">
        <v>1</v>
      </c>
      <c r="W97" s="38">
        <v>0</v>
      </c>
      <c r="X97" s="38">
        <v>1</v>
      </c>
      <c r="Y97" s="38">
        <v>0</v>
      </c>
      <c r="Z97" s="38">
        <v>1</v>
      </c>
      <c r="AA97" s="38">
        <v>0</v>
      </c>
      <c r="AB97" s="38">
        <v>1</v>
      </c>
      <c r="AC97" s="38">
        <v>1</v>
      </c>
      <c r="AD97" s="38">
        <v>1</v>
      </c>
      <c r="AE97" s="38">
        <v>1</v>
      </c>
      <c r="AF97" s="38">
        <v>1</v>
      </c>
      <c r="AG97" s="38">
        <v>1</v>
      </c>
      <c r="AH97" s="38">
        <v>0</v>
      </c>
      <c r="AI97" s="38" t="s">
        <v>195</v>
      </c>
    </row>
    <row r="98" spans="1:36" x14ac:dyDescent="0.35">
      <c r="A98" t="s">
        <v>307</v>
      </c>
      <c r="B98" s="38">
        <v>0.5</v>
      </c>
      <c r="C98" s="38">
        <v>0</v>
      </c>
      <c r="D98" s="38">
        <v>0</v>
      </c>
      <c r="E98" s="38">
        <v>0</v>
      </c>
      <c r="F98" s="38">
        <v>0</v>
      </c>
      <c r="G98" s="38">
        <v>0</v>
      </c>
      <c r="H98" s="38">
        <v>0.55555555555555503</v>
      </c>
      <c r="I98" s="38">
        <v>0</v>
      </c>
      <c r="J98" s="38">
        <v>0.5</v>
      </c>
      <c r="K98" s="38">
        <v>0</v>
      </c>
      <c r="L98" s="38">
        <v>0</v>
      </c>
      <c r="M98" s="38">
        <v>0</v>
      </c>
      <c r="N98" s="38">
        <v>1</v>
      </c>
      <c r="O98" s="38">
        <v>0</v>
      </c>
      <c r="P98" s="38">
        <v>0</v>
      </c>
      <c r="Q98" s="38">
        <v>0</v>
      </c>
      <c r="R98" s="38">
        <v>1</v>
      </c>
      <c r="S98" s="38">
        <v>0</v>
      </c>
      <c r="T98" s="38">
        <v>1</v>
      </c>
      <c r="U98" s="38">
        <v>1</v>
      </c>
      <c r="V98" s="38">
        <v>1</v>
      </c>
      <c r="W98" s="38">
        <v>0</v>
      </c>
      <c r="X98" s="38">
        <v>1</v>
      </c>
      <c r="Y98" s="38">
        <v>0</v>
      </c>
      <c r="Z98" s="38">
        <v>1</v>
      </c>
      <c r="AA98" s="38">
        <v>0</v>
      </c>
      <c r="AB98" s="38">
        <v>1</v>
      </c>
      <c r="AC98" s="38">
        <v>1</v>
      </c>
      <c r="AD98" s="38">
        <v>1</v>
      </c>
      <c r="AE98" s="38">
        <v>1</v>
      </c>
      <c r="AF98" s="38">
        <v>1</v>
      </c>
      <c r="AG98" s="38">
        <v>1</v>
      </c>
      <c r="AH98" s="38">
        <v>0</v>
      </c>
      <c r="AI98" s="38" t="s">
        <v>195</v>
      </c>
    </row>
    <row r="99" spans="1:36" x14ac:dyDescent="0.35">
      <c r="A99" t="s">
        <v>308</v>
      </c>
      <c r="B99" s="38">
        <v>0</v>
      </c>
      <c r="C99" s="38">
        <v>0.23765432098765399</v>
      </c>
      <c r="D99" s="38">
        <v>0.23899371069182301</v>
      </c>
      <c r="E99" s="38">
        <v>0.53703703703703698</v>
      </c>
      <c r="F99" s="38">
        <v>0.12757201646090499</v>
      </c>
      <c r="G99" s="38">
        <v>0.94805194805194803</v>
      </c>
      <c r="H99" s="38">
        <v>0.55692729766803795</v>
      </c>
      <c r="I99" s="38">
        <v>0.936708860759493</v>
      </c>
      <c r="J99" s="38">
        <v>0.407407407407407</v>
      </c>
      <c r="K99" s="38">
        <v>0.19478737997256501</v>
      </c>
      <c r="L99" s="38">
        <v>5.5555555555555497E-2</v>
      </c>
      <c r="M99" s="38">
        <v>0.158904109589041</v>
      </c>
      <c r="N99" s="38">
        <v>0.95061728395061695</v>
      </c>
      <c r="O99" s="38">
        <v>6.1728395061728301E-2</v>
      </c>
      <c r="P99" s="38">
        <v>0.189873417721519</v>
      </c>
      <c r="Q99" s="38">
        <v>0.32345679012345602</v>
      </c>
      <c r="R99" s="38">
        <v>0.98765432098765404</v>
      </c>
      <c r="S99" s="38">
        <v>0.76543209876543195</v>
      </c>
      <c r="T99" s="38">
        <v>0.97530864197530798</v>
      </c>
      <c r="U99" s="38">
        <v>1</v>
      </c>
      <c r="V99" s="38">
        <v>1</v>
      </c>
      <c r="W99" s="38">
        <v>0.11111111111111099</v>
      </c>
      <c r="X99" s="38">
        <v>1</v>
      </c>
      <c r="Y99" s="38">
        <v>0.97530864197530798</v>
      </c>
      <c r="Z99" s="38">
        <v>0.90123456790123402</v>
      </c>
      <c r="AA99" s="38">
        <v>0.44444444444444398</v>
      </c>
      <c r="AB99" s="38">
        <v>1</v>
      </c>
      <c r="AC99" s="38">
        <v>1</v>
      </c>
      <c r="AD99" s="38">
        <v>1</v>
      </c>
      <c r="AE99" s="38">
        <v>1</v>
      </c>
      <c r="AF99" s="38">
        <v>0.938271604938271</v>
      </c>
      <c r="AG99" s="38">
        <v>1</v>
      </c>
      <c r="AH99" s="38">
        <v>0.19565217391304299</v>
      </c>
      <c r="AI99" s="38" t="s">
        <v>195</v>
      </c>
    </row>
    <row r="100" spans="1:36" x14ac:dyDescent="0.35">
      <c r="A100" t="s">
        <v>309</v>
      </c>
      <c r="B100" s="38">
        <v>0</v>
      </c>
      <c r="C100" s="38">
        <v>0.23765432098765399</v>
      </c>
      <c r="D100" s="38">
        <v>0.23899371069182301</v>
      </c>
      <c r="E100" s="38">
        <v>0.53703703703703698</v>
      </c>
      <c r="F100" s="38">
        <v>0.12757201646090499</v>
      </c>
      <c r="G100" s="38">
        <v>0.94805194805194803</v>
      </c>
      <c r="H100" s="38">
        <v>0.55692729766803795</v>
      </c>
      <c r="I100" s="38">
        <v>0.936708860759493</v>
      </c>
      <c r="J100" s="38">
        <v>0.407407407407407</v>
      </c>
      <c r="K100" s="38">
        <v>0.19478737997256501</v>
      </c>
      <c r="L100" s="38">
        <v>5.5555555555555497E-2</v>
      </c>
      <c r="M100" s="38">
        <v>0.158904109589041</v>
      </c>
      <c r="N100" s="38">
        <v>0.95061728395061695</v>
      </c>
      <c r="O100" s="38">
        <v>6.1728395061728301E-2</v>
      </c>
      <c r="P100" s="38">
        <v>0.189873417721519</v>
      </c>
      <c r="Q100" s="38">
        <v>0.32345679012345602</v>
      </c>
      <c r="R100" s="38">
        <v>0.98765432098765404</v>
      </c>
      <c r="S100" s="38">
        <v>0.76543209876543195</v>
      </c>
      <c r="T100" s="38">
        <v>0.97530864197530798</v>
      </c>
      <c r="U100" s="38">
        <v>1</v>
      </c>
      <c r="V100" s="38">
        <v>1</v>
      </c>
      <c r="W100" s="38">
        <v>0.11111111111111099</v>
      </c>
      <c r="X100" s="38">
        <v>1</v>
      </c>
      <c r="Y100" s="38">
        <v>0.97530864197530798</v>
      </c>
      <c r="Z100" s="38">
        <v>0.90123456790123402</v>
      </c>
      <c r="AA100" s="38">
        <v>0.44444444444444398</v>
      </c>
      <c r="AB100" s="38">
        <v>1</v>
      </c>
      <c r="AC100" s="38">
        <v>1</v>
      </c>
      <c r="AD100" s="38">
        <v>1</v>
      </c>
      <c r="AE100" s="38">
        <v>1</v>
      </c>
      <c r="AF100" s="38">
        <v>0.938271604938271</v>
      </c>
      <c r="AG100" s="38">
        <v>1</v>
      </c>
      <c r="AH100" s="38">
        <v>0.19565217391304299</v>
      </c>
      <c r="AI100" s="38" t="s">
        <v>195</v>
      </c>
    </row>
    <row r="101" spans="1:36" x14ac:dyDescent="0.35">
      <c r="A101" t="s">
        <v>310</v>
      </c>
      <c r="B101" s="38">
        <v>0</v>
      </c>
      <c r="C101" s="38">
        <v>0.23765432098765399</v>
      </c>
      <c r="D101" s="38">
        <v>0.23899371069182301</v>
      </c>
      <c r="E101" s="38">
        <v>0.53703703703703698</v>
      </c>
      <c r="F101" s="38">
        <v>0.12757201646090499</v>
      </c>
      <c r="G101" s="38">
        <v>0.94805194805194803</v>
      </c>
      <c r="H101" s="38">
        <v>0.55692729766803795</v>
      </c>
      <c r="I101" s="38">
        <v>0.936708860759493</v>
      </c>
      <c r="J101" s="38">
        <v>0.407407407407407</v>
      </c>
      <c r="K101" s="38">
        <v>0.19478737997256501</v>
      </c>
      <c r="L101" s="38">
        <v>5.5555555555555497E-2</v>
      </c>
      <c r="M101" s="38">
        <v>0.158904109589041</v>
      </c>
      <c r="N101" s="38">
        <v>0.95061728395061695</v>
      </c>
      <c r="O101" s="38">
        <v>6.1728395061728301E-2</v>
      </c>
      <c r="P101" s="38">
        <v>0.189873417721519</v>
      </c>
      <c r="Q101" s="38">
        <v>0.32345679012345602</v>
      </c>
      <c r="R101" s="38">
        <v>0.98765432098765404</v>
      </c>
      <c r="S101" s="38">
        <v>0.76543209876543195</v>
      </c>
      <c r="T101" s="38">
        <v>0.97530864197530798</v>
      </c>
      <c r="U101" s="38">
        <v>1</v>
      </c>
      <c r="V101" s="38">
        <v>1</v>
      </c>
      <c r="W101" s="38">
        <v>0.11111111111111099</v>
      </c>
      <c r="X101" s="38">
        <v>1</v>
      </c>
      <c r="Y101" s="38">
        <v>0.97530864197530798</v>
      </c>
      <c r="Z101" s="38">
        <v>0.90123456790123402</v>
      </c>
      <c r="AA101" s="38">
        <v>0.44444444444444398</v>
      </c>
      <c r="AB101" s="38">
        <v>1</v>
      </c>
      <c r="AC101" s="38">
        <v>1</v>
      </c>
      <c r="AD101" s="38">
        <v>1</v>
      </c>
      <c r="AE101" s="38">
        <v>1</v>
      </c>
      <c r="AF101" s="38">
        <v>0.938271604938271</v>
      </c>
      <c r="AG101" s="38">
        <v>1</v>
      </c>
      <c r="AH101" s="38">
        <v>0.19565217391304299</v>
      </c>
      <c r="AI101" s="38" t="s">
        <v>195</v>
      </c>
    </row>
    <row r="102" spans="1:36" x14ac:dyDescent="0.35">
      <c r="A102" t="s">
        <v>311</v>
      </c>
      <c r="B102" s="38">
        <v>0</v>
      </c>
      <c r="C102" s="38">
        <v>0.23765432098765399</v>
      </c>
      <c r="D102" s="38">
        <v>0.23899371069182301</v>
      </c>
      <c r="E102" s="38">
        <v>0.53703703703703698</v>
      </c>
      <c r="F102" s="38">
        <v>0.12757201646090499</v>
      </c>
      <c r="G102" s="38">
        <v>0.94805194805194803</v>
      </c>
      <c r="H102" s="38">
        <v>0.55692729766803795</v>
      </c>
      <c r="I102" s="38">
        <v>0.936708860759493</v>
      </c>
      <c r="J102" s="38">
        <v>0.407407407407407</v>
      </c>
      <c r="K102" s="38">
        <v>0.19478737997256501</v>
      </c>
      <c r="L102" s="38">
        <v>5.5555555555555497E-2</v>
      </c>
      <c r="M102" s="38">
        <v>0.158904109589041</v>
      </c>
      <c r="N102" s="38">
        <v>0.95061728395061695</v>
      </c>
      <c r="O102" s="38">
        <v>6.1728395061728301E-2</v>
      </c>
      <c r="P102" s="38">
        <v>0.189873417721519</v>
      </c>
      <c r="Q102" s="38">
        <v>0.32345679012345602</v>
      </c>
      <c r="R102" s="38">
        <v>0.98765432098765404</v>
      </c>
      <c r="S102" s="38">
        <v>0.76543209876543195</v>
      </c>
      <c r="T102" s="38">
        <v>0.97530864197530798</v>
      </c>
      <c r="U102" s="38">
        <v>1</v>
      </c>
      <c r="V102" s="38">
        <v>1</v>
      </c>
      <c r="W102" s="38">
        <v>0.11111111111111099</v>
      </c>
      <c r="X102" s="38">
        <v>1</v>
      </c>
      <c r="Y102" s="38">
        <v>0.97530864197530798</v>
      </c>
      <c r="Z102" s="38">
        <v>0.90123456790123402</v>
      </c>
      <c r="AA102" s="38">
        <v>0.44444444444444398</v>
      </c>
      <c r="AB102" s="38">
        <v>1</v>
      </c>
      <c r="AC102" s="38">
        <v>1</v>
      </c>
      <c r="AD102" s="38">
        <v>1</v>
      </c>
      <c r="AE102" s="38">
        <v>1</v>
      </c>
      <c r="AF102" s="38">
        <v>0.938271604938271</v>
      </c>
      <c r="AG102" s="38">
        <v>1</v>
      </c>
      <c r="AH102" s="38">
        <v>0.19565217391304299</v>
      </c>
      <c r="AI102" s="38" t="s">
        <v>195</v>
      </c>
    </row>
    <row r="103" spans="1:36" x14ac:dyDescent="0.35">
      <c r="A103" t="s">
        <v>312</v>
      </c>
      <c r="B103" s="38">
        <v>0.5</v>
      </c>
      <c r="C103" s="38">
        <v>0</v>
      </c>
      <c r="D103" s="38">
        <v>0</v>
      </c>
      <c r="E103" s="38">
        <v>0.66666666666666596</v>
      </c>
      <c r="F103" s="38">
        <v>0</v>
      </c>
      <c r="G103" s="38">
        <v>1</v>
      </c>
      <c r="H103" s="38">
        <v>0.55555555555555503</v>
      </c>
      <c r="I103" s="38">
        <v>1</v>
      </c>
      <c r="J103" s="38">
        <v>0.5</v>
      </c>
      <c r="K103" s="38">
        <v>1</v>
      </c>
      <c r="L103" s="38">
        <v>0</v>
      </c>
      <c r="M103" s="38">
        <v>0</v>
      </c>
      <c r="N103" s="38">
        <v>1</v>
      </c>
      <c r="O103" s="38">
        <v>0</v>
      </c>
      <c r="P103" s="38">
        <v>1</v>
      </c>
      <c r="Q103" s="38">
        <v>0.4</v>
      </c>
      <c r="R103" s="38">
        <v>1</v>
      </c>
      <c r="S103" s="38">
        <v>1</v>
      </c>
      <c r="T103" s="38">
        <v>1</v>
      </c>
      <c r="U103" s="38">
        <v>1</v>
      </c>
      <c r="V103" s="38">
        <v>1</v>
      </c>
      <c r="W103" s="38">
        <v>0</v>
      </c>
      <c r="X103" s="38">
        <v>1</v>
      </c>
      <c r="Y103" s="38">
        <v>1</v>
      </c>
      <c r="Z103" s="38">
        <v>1</v>
      </c>
      <c r="AA103" s="38">
        <v>0</v>
      </c>
      <c r="AB103" s="38">
        <v>1</v>
      </c>
      <c r="AC103" s="38">
        <v>1</v>
      </c>
      <c r="AD103" s="38">
        <v>1</v>
      </c>
      <c r="AE103" s="38">
        <v>1</v>
      </c>
      <c r="AF103" s="38">
        <v>1</v>
      </c>
      <c r="AG103" s="38">
        <v>1</v>
      </c>
      <c r="AH103" s="38">
        <v>0</v>
      </c>
      <c r="AI103" s="38" t="s">
        <v>195</v>
      </c>
    </row>
    <row r="106" spans="1:36" ht="14.25" customHeight="1" x14ac:dyDescent="0.35">
      <c r="A106" s="10" t="s">
        <v>203</v>
      </c>
      <c r="B106" s="11" t="s">
        <v>121</v>
      </c>
      <c r="C106" s="11" t="s">
        <v>120</v>
      </c>
      <c r="D106" s="11" t="s">
        <v>204</v>
      </c>
      <c r="AJ106" s="7"/>
    </row>
    <row r="107" spans="1:36" x14ac:dyDescent="0.35">
      <c r="A107" s="10" t="s">
        <v>205</v>
      </c>
      <c r="B107" s="12">
        <f>COUNTIFS(AI4:AI63,"YES")</f>
        <v>4</v>
      </c>
      <c r="C107" s="12">
        <f>COUNTIFS(AI4:AI63,"NO")</f>
        <v>56</v>
      </c>
      <c r="D107" s="13">
        <f>SUM(B107:C107)</f>
        <v>60</v>
      </c>
      <c r="AJ107" s="7"/>
    </row>
    <row r="108" spans="1:36" x14ac:dyDescent="0.35">
      <c r="A108" s="14" t="s">
        <v>206</v>
      </c>
      <c r="B108" s="12">
        <f>B107/D107</f>
        <v>6.6666666666666666E-2</v>
      </c>
      <c r="C108" s="12">
        <f>C107/D107</f>
        <v>0.93333333333333335</v>
      </c>
      <c r="D108" s="13"/>
      <c r="AJ108" s="7"/>
    </row>
    <row r="109" spans="1:36" x14ac:dyDescent="0.35">
      <c r="AJ109" s="7"/>
    </row>
    <row r="110" spans="1:36" x14ac:dyDescent="0.35">
      <c r="A110" s="15"/>
      <c r="B110" s="16" t="s">
        <v>122</v>
      </c>
      <c r="C110" s="16" t="s">
        <v>123</v>
      </c>
      <c r="D110" s="16" t="s">
        <v>124</v>
      </c>
      <c r="E110" s="16" t="s">
        <v>125</v>
      </c>
      <c r="F110" s="16" t="s">
        <v>126</v>
      </c>
      <c r="G110" s="16" t="s">
        <v>127</v>
      </c>
      <c r="H110" s="16" t="s">
        <v>128</v>
      </c>
      <c r="I110" s="16" t="s">
        <v>129</v>
      </c>
      <c r="J110" s="16" t="s">
        <v>130</v>
      </c>
      <c r="K110" s="16" t="s">
        <v>131</v>
      </c>
      <c r="L110" s="16" t="s">
        <v>132</v>
      </c>
      <c r="M110" s="16" t="s">
        <v>133</v>
      </c>
      <c r="N110" s="16" t="s">
        <v>134</v>
      </c>
      <c r="O110" s="16" t="s">
        <v>135</v>
      </c>
      <c r="P110" s="16" t="s">
        <v>136</v>
      </c>
      <c r="Q110" s="16" t="s">
        <v>137</v>
      </c>
      <c r="R110" s="16" t="s">
        <v>138</v>
      </c>
      <c r="S110" s="16" t="s">
        <v>139</v>
      </c>
      <c r="T110" s="16" t="s">
        <v>140</v>
      </c>
      <c r="U110" s="16" t="s">
        <v>141</v>
      </c>
      <c r="V110" s="16" t="s">
        <v>142</v>
      </c>
      <c r="W110" s="16" t="s">
        <v>143</v>
      </c>
      <c r="X110" s="16" t="s">
        <v>144</v>
      </c>
      <c r="Y110" s="16" t="s">
        <v>145</v>
      </c>
      <c r="Z110" s="16" t="s">
        <v>146</v>
      </c>
      <c r="AA110" s="16" t="s">
        <v>147</v>
      </c>
      <c r="AB110" s="16" t="s">
        <v>148</v>
      </c>
      <c r="AC110" s="16" t="s">
        <v>149</v>
      </c>
      <c r="AD110" s="16" t="s">
        <v>150</v>
      </c>
      <c r="AE110" s="16" t="s">
        <v>151</v>
      </c>
      <c r="AF110" s="16" t="s">
        <v>152</v>
      </c>
      <c r="AG110" s="16" t="s">
        <v>153</v>
      </c>
      <c r="AH110" s="16" t="s">
        <v>154</v>
      </c>
      <c r="AI110" s="16"/>
      <c r="AJ110" s="7"/>
    </row>
    <row r="111" spans="1:36" x14ac:dyDescent="0.35">
      <c r="A111" s="9" t="s">
        <v>273</v>
      </c>
      <c r="B111" s="38">
        <v>0.5</v>
      </c>
      <c r="C111" s="38">
        <v>0.25</v>
      </c>
      <c r="D111" s="38">
        <v>0.33333333333333298</v>
      </c>
      <c r="E111" s="38">
        <v>0</v>
      </c>
      <c r="F111" s="38">
        <v>0</v>
      </c>
      <c r="G111" s="38">
        <v>1</v>
      </c>
      <c r="H111" s="38">
        <v>0.55555555555555503</v>
      </c>
      <c r="I111" s="38">
        <v>1</v>
      </c>
      <c r="J111" s="38">
        <v>0.5</v>
      </c>
      <c r="K111" s="38">
        <v>0</v>
      </c>
      <c r="L111" s="38">
        <v>0</v>
      </c>
      <c r="M111" s="38">
        <v>0.2</v>
      </c>
      <c r="N111" s="38">
        <v>1</v>
      </c>
      <c r="O111" s="38">
        <v>0</v>
      </c>
      <c r="P111" s="38">
        <v>0</v>
      </c>
      <c r="Q111" s="38">
        <v>0</v>
      </c>
      <c r="R111" s="38">
        <v>1</v>
      </c>
      <c r="S111" s="38">
        <v>0</v>
      </c>
      <c r="T111" s="38">
        <v>1</v>
      </c>
      <c r="U111" s="38">
        <v>1</v>
      </c>
      <c r="V111" s="38">
        <v>1</v>
      </c>
      <c r="W111" s="38">
        <v>0</v>
      </c>
      <c r="X111" s="38">
        <v>1</v>
      </c>
      <c r="Y111" s="38">
        <v>1</v>
      </c>
      <c r="Z111" s="38">
        <v>0</v>
      </c>
      <c r="AA111" s="38">
        <v>0</v>
      </c>
      <c r="AB111" s="38">
        <v>1</v>
      </c>
      <c r="AC111" s="38">
        <v>1</v>
      </c>
      <c r="AD111" s="38">
        <v>1</v>
      </c>
      <c r="AE111" s="38">
        <v>1</v>
      </c>
      <c r="AF111" s="38">
        <v>1</v>
      </c>
      <c r="AG111" s="38">
        <v>1</v>
      </c>
      <c r="AH111" s="38">
        <v>0</v>
      </c>
      <c r="AI111" s="9" t="s">
        <v>195</v>
      </c>
      <c r="AJ111" s="7"/>
    </row>
    <row r="112" spans="1:36" x14ac:dyDescent="0.35">
      <c r="AJ112" s="7"/>
    </row>
    <row r="113" spans="1:36" x14ac:dyDescent="0.35">
      <c r="A113" s="17" t="s">
        <v>207</v>
      </c>
      <c r="B113" s="17"/>
      <c r="C113" s="18" t="s">
        <v>122</v>
      </c>
      <c r="D113" s="18" t="s">
        <v>123</v>
      </c>
      <c r="E113" s="18" t="s">
        <v>124</v>
      </c>
      <c r="F113" s="18" t="s">
        <v>125</v>
      </c>
      <c r="G113" s="18" t="s">
        <v>126</v>
      </c>
      <c r="H113" s="18" t="s">
        <v>127</v>
      </c>
      <c r="I113" s="18" t="s">
        <v>128</v>
      </c>
      <c r="J113" s="18" t="s">
        <v>129</v>
      </c>
      <c r="K113" s="18" t="s">
        <v>130</v>
      </c>
      <c r="L113" s="18" t="s">
        <v>131</v>
      </c>
      <c r="M113" s="18" t="s">
        <v>132</v>
      </c>
      <c r="N113" s="18" t="s">
        <v>133</v>
      </c>
      <c r="O113" s="18" t="s">
        <v>134</v>
      </c>
      <c r="P113" s="18" t="s">
        <v>135</v>
      </c>
      <c r="Q113" s="18" t="s">
        <v>136</v>
      </c>
      <c r="R113" s="18" t="s">
        <v>137</v>
      </c>
      <c r="S113" s="18" t="s">
        <v>138</v>
      </c>
      <c r="T113" s="18" t="s">
        <v>139</v>
      </c>
      <c r="U113" s="18" t="s">
        <v>140</v>
      </c>
      <c r="V113" s="18" t="s">
        <v>141</v>
      </c>
      <c r="W113" s="18" t="s">
        <v>142</v>
      </c>
      <c r="X113" s="18" t="s">
        <v>143</v>
      </c>
      <c r="Y113" s="18" t="s">
        <v>144</v>
      </c>
      <c r="Z113" s="18" t="s">
        <v>145</v>
      </c>
      <c r="AA113" s="18" t="s">
        <v>146</v>
      </c>
      <c r="AB113" s="18" t="s">
        <v>147</v>
      </c>
      <c r="AC113" s="18" t="s">
        <v>148</v>
      </c>
      <c r="AD113" s="18" t="s">
        <v>149</v>
      </c>
      <c r="AE113" s="18" t="s">
        <v>150</v>
      </c>
      <c r="AF113" s="18" t="s">
        <v>151</v>
      </c>
      <c r="AG113" s="18" t="s">
        <v>152</v>
      </c>
      <c r="AH113" s="18" t="s">
        <v>153</v>
      </c>
      <c r="AI113" s="18" t="s">
        <v>154</v>
      </c>
      <c r="AJ113" s="7"/>
    </row>
    <row r="114" spans="1:36" x14ac:dyDescent="0.35">
      <c r="A114" s="17" t="s">
        <v>208</v>
      </c>
      <c r="B114" s="17"/>
      <c r="C114" s="19">
        <f>COUNTIFS(B$4:B$63,B111,$AI$4:$AI$63,"YES")</f>
        <v>0</v>
      </c>
      <c r="D114" s="19">
        <f>COUNTIFS(C$4:C$63,C111,$AI$4:$AI$63,"YES")</f>
        <v>3</v>
      </c>
      <c r="E114" s="19">
        <f t="shared" ref="D114:AI114" si="0">COUNTIFS(D$4:D$63,D111,$AI$4:$AI$63,"YES")</f>
        <v>3</v>
      </c>
      <c r="F114" s="19">
        <f t="shared" si="0"/>
        <v>0</v>
      </c>
      <c r="G114" s="19">
        <f t="shared" si="0"/>
        <v>2</v>
      </c>
      <c r="H114" s="19">
        <f t="shared" si="0"/>
        <v>4</v>
      </c>
      <c r="I114" s="19">
        <f t="shared" si="0"/>
        <v>4</v>
      </c>
      <c r="J114" s="19">
        <f t="shared" si="0"/>
        <v>4</v>
      </c>
      <c r="K114" s="19">
        <f t="shared" si="0"/>
        <v>4</v>
      </c>
      <c r="L114" s="19">
        <f t="shared" si="0"/>
        <v>2</v>
      </c>
      <c r="M114" s="19">
        <f t="shared" si="0"/>
        <v>4</v>
      </c>
      <c r="N114" s="19">
        <f t="shared" si="0"/>
        <v>3</v>
      </c>
      <c r="O114" s="19">
        <f t="shared" si="0"/>
        <v>4</v>
      </c>
      <c r="P114" s="19">
        <f t="shared" si="0"/>
        <v>4</v>
      </c>
      <c r="Q114" s="19">
        <f t="shared" si="0"/>
        <v>1</v>
      </c>
      <c r="R114" s="19">
        <f t="shared" si="0"/>
        <v>0</v>
      </c>
      <c r="S114" s="19">
        <f t="shared" si="0"/>
        <v>4</v>
      </c>
      <c r="T114" s="19">
        <f t="shared" si="0"/>
        <v>0</v>
      </c>
      <c r="U114" s="19">
        <f t="shared" si="0"/>
        <v>4</v>
      </c>
      <c r="V114" s="19">
        <f t="shared" si="0"/>
        <v>4</v>
      </c>
      <c r="W114" s="19">
        <f t="shared" si="0"/>
        <v>4</v>
      </c>
      <c r="X114" s="19">
        <f t="shared" si="0"/>
        <v>4</v>
      </c>
      <c r="Y114" s="19">
        <f t="shared" si="0"/>
        <v>4</v>
      </c>
      <c r="Z114" s="19">
        <f t="shared" si="0"/>
        <v>4</v>
      </c>
      <c r="AA114" s="19">
        <f t="shared" si="0"/>
        <v>0</v>
      </c>
      <c r="AB114" s="19">
        <f t="shared" si="0"/>
        <v>4</v>
      </c>
      <c r="AC114" s="19">
        <f t="shared" si="0"/>
        <v>4</v>
      </c>
      <c r="AD114" s="19">
        <f t="shared" si="0"/>
        <v>4</v>
      </c>
      <c r="AE114" s="19">
        <f t="shared" si="0"/>
        <v>4</v>
      </c>
      <c r="AF114" s="19">
        <f t="shared" si="0"/>
        <v>4</v>
      </c>
      <c r="AG114" s="19">
        <f t="shared" si="0"/>
        <v>4</v>
      </c>
      <c r="AH114" s="19">
        <f t="shared" si="0"/>
        <v>4</v>
      </c>
      <c r="AI114" s="19">
        <f t="shared" si="0"/>
        <v>3</v>
      </c>
      <c r="AJ114" s="20"/>
    </row>
    <row r="115" spans="1:36" x14ac:dyDescent="0.35">
      <c r="A115" s="17" t="s">
        <v>209</v>
      </c>
      <c r="B115" s="17"/>
      <c r="C115" s="19">
        <f>COUNTIFS(B$4:B$63,B111,$AI$4:$AI$63,"NO")</f>
        <v>9</v>
      </c>
      <c r="D115" s="19">
        <f t="shared" ref="D115:AI115" si="1">COUNTIFS(C$4:C$63,C111,$AI$4:$AI$63,"NO")</f>
        <v>22</v>
      </c>
      <c r="E115" s="19">
        <f t="shared" si="1"/>
        <v>12</v>
      </c>
      <c r="F115" s="19">
        <f t="shared" si="1"/>
        <v>13</v>
      </c>
      <c r="G115" s="19">
        <f t="shared" si="1"/>
        <v>34</v>
      </c>
      <c r="H115" s="19">
        <f t="shared" si="1"/>
        <v>45</v>
      </c>
      <c r="I115" s="19">
        <f t="shared" si="1"/>
        <v>47</v>
      </c>
      <c r="J115" s="19">
        <f t="shared" si="1"/>
        <v>45</v>
      </c>
      <c r="K115" s="19">
        <f t="shared" si="1"/>
        <v>28</v>
      </c>
      <c r="L115" s="19">
        <f t="shared" si="1"/>
        <v>39</v>
      </c>
      <c r="M115" s="19">
        <f t="shared" si="1"/>
        <v>44</v>
      </c>
      <c r="N115" s="19">
        <f t="shared" si="1"/>
        <v>31</v>
      </c>
      <c r="O115" s="19">
        <f t="shared" si="1"/>
        <v>44</v>
      </c>
      <c r="P115" s="19">
        <f t="shared" si="1"/>
        <v>42</v>
      </c>
      <c r="Q115" s="19">
        <f t="shared" si="1"/>
        <v>41</v>
      </c>
      <c r="R115" s="19">
        <f t="shared" si="1"/>
        <v>10</v>
      </c>
      <c r="S115" s="19">
        <f t="shared" si="1"/>
        <v>49</v>
      </c>
      <c r="T115" s="19">
        <f t="shared" si="1"/>
        <v>9</v>
      </c>
      <c r="U115" s="19">
        <f t="shared" si="1"/>
        <v>49</v>
      </c>
      <c r="V115" s="19">
        <f t="shared" si="1"/>
        <v>56</v>
      </c>
      <c r="W115" s="19">
        <f t="shared" si="1"/>
        <v>56</v>
      </c>
      <c r="X115" s="19">
        <f t="shared" si="1"/>
        <v>43</v>
      </c>
      <c r="Y115" s="19">
        <f t="shared" si="1"/>
        <v>56</v>
      </c>
      <c r="Z115" s="19">
        <f t="shared" si="1"/>
        <v>50</v>
      </c>
      <c r="AA115" s="19">
        <f t="shared" si="1"/>
        <v>5</v>
      </c>
      <c r="AB115" s="19">
        <f t="shared" si="1"/>
        <v>25</v>
      </c>
      <c r="AC115" s="19">
        <f t="shared" si="1"/>
        <v>56</v>
      </c>
      <c r="AD115" s="19">
        <f t="shared" si="1"/>
        <v>56</v>
      </c>
      <c r="AE115" s="19">
        <f t="shared" si="1"/>
        <v>56</v>
      </c>
      <c r="AF115" s="19">
        <f t="shared" si="1"/>
        <v>56</v>
      </c>
      <c r="AG115" s="19">
        <f t="shared" si="1"/>
        <v>47</v>
      </c>
      <c r="AH115" s="19">
        <f t="shared" si="1"/>
        <v>56</v>
      </c>
      <c r="AI115" s="19">
        <f t="shared" si="1"/>
        <v>20</v>
      </c>
      <c r="AJ115" s="20"/>
    </row>
    <row r="116" spans="1:36" x14ac:dyDescent="0.35">
      <c r="A116" s="17" t="s">
        <v>210</v>
      </c>
      <c r="B116" s="18" t="s">
        <v>208</v>
      </c>
      <c r="C116" s="19">
        <f>C114/$B$108</f>
        <v>0</v>
      </c>
      <c r="D116" s="19">
        <f t="shared" ref="D116:AI116" si="2">D114/$B$108</f>
        <v>45</v>
      </c>
      <c r="E116" s="19">
        <f t="shared" si="2"/>
        <v>45</v>
      </c>
      <c r="F116" s="19">
        <f t="shared" si="2"/>
        <v>0</v>
      </c>
      <c r="G116" s="19">
        <f t="shared" si="2"/>
        <v>30</v>
      </c>
      <c r="H116" s="19">
        <f t="shared" si="2"/>
        <v>60</v>
      </c>
      <c r="I116" s="19">
        <f t="shared" si="2"/>
        <v>60</v>
      </c>
      <c r="J116" s="19">
        <f t="shared" si="2"/>
        <v>60</v>
      </c>
      <c r="K116" s="19">
        <f t="shared" si="2"/>
        <v>60</v>
      </c>
      <c r="L116" s="19">
        <f t="shared" si="2"/>
        <v>30</v>
      </c>
      <c r="M116" s="19">
        <f t="shared" si="2"/>
        <v>60</v>
      </c>
      <c r="N116" s="19">
        <f t="shared" si="2"/>
        <v>45</v>
      </c>
      <c r="O116" s="19">
        <f t="shared" si="2"/>
        <v>60</v>
      </c>
      <c r="P116" s="19">
        <f t="shared" si="2"/>
        <v>60</v>
      </c>
      <c r="Q116" s="19">
        <f t="shared" si="2"/>
        <v>15</v>
      </c>
      <c r="R116" s="19">
        <f t="shared" si="2"/>
        <v>0</v>
      </c>
      <c r="S116" s="19">
        <f t="shared" si="2"/>
        <v>60</v>
      </c>
      <c r="T116" s="19">
        <f t="shared" si="2"/>
        <v>0</v>
      </c>
      <c r="U116" s="19">
        <f t="shared" si="2"/>
        <v>60</v>
      </c>
      <c r="V116" s="19">
        <f t="shared" si="2"/>
        <v>60</v>
      </c>
      <c r="W116" s="19">
        <f t="shared" si="2"/>
        <v>60</v>
      </c>
      <c r="X116" s="19">
        <f t="shared" si="2"/>
        <v>60</v>
      </c>
      <c r="Y116" s="19">
        <f t="shared" si="2"/>
        <v>60</v>
      </c>
      <c r="Z116" s="19">
        <f t="shared" si="2"/>
        <v>60</v>
      </c>
      <c r="AA116" s="19">
        <f t="shared" si="2"/>
        <v>0</v>
      </c>
      <c r="AB116" s="19">
        <f t="shared" si="2"/>
        <v>60</v>
      </c>
      <c r="AC116" s="19">
        <f t="shared" si="2"/>
        <v>60</v>
      </c>
      <c r="AD116" s="19">
        <f t="shared" si="2"/>
        <v>60</v>
      </c>
      <c r="AE116" s="19">
        <f t="shared" si="2"/>
        <v>60</v>
      </c>
      <c r="AF116" s="19">
        <f t="shared" si="2"/>
        <v>60</v>
      </c>
      <c r="AG116" s="19">
        <f t="shared" si="2"/>
        <v>60</v>
      </c>
      <c r="AH116" s="19">
        <f t="shared" si="2"/>
        <v>60</v>
      </c>
      <c r="AI116" s="19">
        <f t="shared" si="2"/>
        <v>45</v>
      </c>
      <c r="AJ116" s="19">
        <f>C116*D116*E116*F116*G116*H116*I116*J116*K116*L116*M116*N116*O116*P116*Q116*R116*S116*T116*U116*V116*W116*X116*Y116*Z116*AA116*AB116*AC116*AD116*AE116*AF116*AG116*AH116*AI116</f>
        <v>0</v>
      </c>
    </row>
    <row r="117" spans="1:36" x14ac:dyDescent="0.35">
      <c r="A117" s="17"/>
      <c r="B117" s="18" t="s">
        <v>209</v>
      </c>
      <c r="C117" s="19">
        <f>C115/$C$108</f>
        <v>9.6428571428571423</v>
      </c>
      <c r="D117" s="19">
        <f t="shared" ref="D117:AI117" si="3">D115/$C$108</f>
        <v>23.571428571428569</v>
      </c>
      <c r="E117" s="19">
        <f t="shared" si="3"/>
        <v>12.857142857142858</v>
      </c>
      <c r="F117" s="19">
        <f t="shared" si="3"/>
        <v>13.928571428571429</v>
      </c>
      <c r="G117" s="19">
        <f t="shared" si="3"/>
        <v>36.428571428571431</v>
      </c>
      <c r="H117" s="19">
        <f t="shared" si="3"/>
        <v>48.214285714285715</v>
      </c>
      <c r="I117" s="19">
        <f t="shared" si="3"/>
        <v>50.357142857142854</v>
      </c>
      <c r="J117" s="19">
        <f t="shared" si="3"/>
        <v>48.214285714285715</v>
      </c>
      <c r="K117" s="19">
        <f t="shared" si="3"/>
        <v>30</v>
      </c>
      <c r="L117" s="19">
        <f t="shared" si="3"/>
        <v>41.785714285714285</v>
      </c>
      <c r="M117" s="19">
        <f t="shared" si="3"/>
        <v>47.142857142857139</v>
      </c>
      <c r="N117" s="19">
        <f t="shared" si="3"/>
        <v>33.214285714285715</v>
      </c>
      <c r="O117" s="19">
        <f t="shared" si="3"/>
        <v>47.142857142857139</v>
      </c>
      <c r="P117" s="19">
        <f t="shared" si="3"/>
        <v>45</v>
      </c>
      <c r="Q117" s="19">
        <f t="shared" si="3"/>
        <v>43.928571428571431</v>
      </c>
      <c r="R117" s="19">
        <f t="shared" si="3"/>
        <v>10.714285714285714</v>
      </c>
      <c r="S117" s="19">
        <f t="shared" si="3"/>
        <v>52.5</v>
      </c>
      <c r="T117" s="19">
        <f t="shared" si="3"/>
        <v>9.6428571428571423</v>
      </c>
      <c r="U117" s="19">
        <f t="shared" si="3"/>
        <v>52.5</v>
      </c>
      <c r="V117" s="19">
        <f t="shared" si="3"/>
        <v>60</v>
      </c>
      <c r="W117" s="19">
        <f t="shared" si="3"/>
        <v>60</v>
      </c>
      <c r="X117" s="19">
        <f t="shared" si="3"/>
        <v>46.071428571428569</v>
      </c>
      <c r="Y117" s="19">
        <f t="shared" si="3"/>
        <v>60</v>
      </c>
      <c r="Z117" s="19">
        <f t="shared" si="3"/>
        <v>53.571428571428569</v>
      </c>
      <c r="AA117" s="19">
        <f t="shared" si="3"/>
        <v>5.3571428571428568</v>
      </c>
      <c r="AB117" s="19">
        <f t="shared" si="3"/>
        <v>26.785714285714285</v>
      </c>
      <c r="AC117" s="19">
        <f t="shared" si="3"/>
        <v>60</v>
      </c>
      <c r="AD117" s="19">
        <f t="shared" si="3"/>
        <v>60</v>
      </c>
      <c r="AE117" s="19">
        <f t="shared" si="3"/>
        <v>60</v>
      </c>
      <c r="AF117" s="19">
        <f t="shared" si="3"/>
        <v>60</v>
      </c>
      <c r="AG117" s="19">
        <f t="shared" si="3"/>
        <v>50.357142857142854</v>
      </c>
      <c r="AH117" s="19">
        <f t="shared" si="3"/>
        <v>60</v>
      </c>
      <c r="AI117" s="19">
        <f t="shared" si="3"/>
        <v>21.428571428571427</v>
      </c>
      <c r="AJ117" s="19">
        <f>C117*D117*E117*F117*G117*H117*I117*J117*K117*L117*M117*N117*O117*P117*Q117*R117*S117*T117*U117*V117*W117*X117*Y117*Z117*AA117*AB117*AC117*AD117*AE117*AF117*AG117*AH117*AI117</f>
        <v>5.8038476927982081E+50</v>
      </c>
    </row>
    <row r="118" spans="1:36" x14ac:dyDescent="0.35">
      <c r="A118" s="21"/>
      <c r="B118" s="21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20"/>
    </row>
    <row r="119" spans="1:36" x14ac:dyDescent="0.35">
      <c r="A119" s="22" t="s">
        <v>211</v>
      </c>
      <c r="B119" s="23"/>
      <c r="C119" s="24" t="s">
        <v>212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20"/>
    </row>
    <row r="120" spans="1:36" x14ac:dyDescent="0.35">
      <c r="A120" s="25" t="s">
        <v>208</v>
      </c>
      <c r="B120" s="26">
        <f>AJ116*$B$108</f>
        <v>0</v>
      </c>
      <c r="C120" s="27" t="str">
        <f>IF(B120&gt;B121,A120,A121)</f>
        <v>No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20"/>
    </row>
    <row r="121" spans="1:36" x14ac:dyDescent="0.35">
      <c r="A121" s="25" t="s">
        <v>209</v>
      </c>
      <c r="B121" s="26">
        <f>AJ117*$C$108</f>
        <v>5.4169245132783275E+50</v>
      </c>
      <c r="C121" s="28"/>
      <c r="D121" s="20"/>
      <c r="E121" s="20"/>
      <c r="F121" s="20"/>
      <c r="G121" s="20"/>
      <c r="H121" s="20"/>
      <c r="I121" s="20"/>
      <c r="J121" s="20"/>
      <c r="K121" s="20"/>
      <c r="L121" s="2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20"/>
    </row>
    <row r="122" spans="1:36" x14ac:dyDescent="0.35">
      <c r="AJ122" s="7"/>
    </row>
    <row r="123" spans="1:36" x14ac:dyDescent="0.35">
      <c r="A123" s="15"/>
      <c r="B123" s="16" t="s">
        <v>122</v>
      </c>
      <c r="C123" s="16" t="s">
        <v>123</v>
      </c>
      <c r="D123" s="16" t="s">
        <v>124</v>
      </c>
      <c r="E123" s="16" t="s">
        <v>125</v>
      </c>
      <c r="F123" s="16" t="s">
        <v>126</v>
      </c>
      <c r="G123" s="16" t="s">
        <v>127</v>
      </c>
      <c r="H123" s="16" t="s">
        <v>128</v>
      </c>
      <c r="I123" s="16" t="s">
        <v>129</v>
      </c>
      <c r="J123" s="16" t="s">
        <v>130</v>
      </c>
      <c r="K123" s="16" t="s">
        <v>131</v>
      </c>
      <c r="L123" s="16" t="s">
        <v>132</v>
      </c>
      <c r="M123" s="16" t="s">
        <v>133</v>
      </c>
      <c r="N123" s="16" t="s">
        <v>134</v>
      </c>
      <c r="O123" s="16" t="s">
        <v>135</v>
      </c>
      <c r="P123" s="16" t="s">
        <v>136</v>
      </c>
      <c r="Q123" s="16" t="s">
        <v>137</v>
      </c>
      <c r="R123" s="16" t="s">
        <v>138</v>
      </c>
      <c r="S123" s="16" t="s">
        <v>139</v>
      </c>
      <c r="T123" s="16" t="s">
        <v>140</v>
      </c>
      <c r="U123" s="16" t="s">
        <v>141</v>
      </c>
      <c r="V123" s="16" t="s">
        <v>142</v>
      </c>
      <c r="W123" s="16" t="s">
        <v>143</v>
      </c>
      <c r="X123" s="16" t="s">
        <v>144</v>
      </c>
      <c r="Y123" s="16" t="s">
        <v>145</v>
      </c>
      <c r="Z123" s="16" t="s">
        <v>146</v>
      </c>
      <c r="AA123" s="16" t="s">
        <v>147</v>
      </c>
      <c r="AB123" s="16" t="s">
        <v>148</v>
      </c>
      <c r="AC123" s="16" t="s">
        <v>149</v>
      </c>
      <c r="AD123" s="16" t="s">
        <v>150</v>
      </c>
      <c r="AE123" s="16" t="s">
        <v>151</v>
      </c>
      <c r="AF123" s="16" t="s">
        <v>152</v>
      </c>
      <c r="AG123" s="16" t="s">
        <v>153</v>
      </c>
      <c r="AH123" s="16" t="s">
        <v>154</v>
      </c>
      <c r="AI123" s="16"/>
      <c r="AJ123" s="7"/>
    </row>
    <row r="124" spans="1:36" x14ac:dyDescent="0.35">
      <c r="A124" s="9" t="s">
        <v>274</v>
      </c>
      <c r="B124" s="38">
        <v>0</v>
      </c>
      <c r="C124" s="38">
        <v>0.23765432098765399</v>
      </c>
      <c r="D124" s="38">
        <v>0.23899371069182301</v>
      </c>
      <c r="E124" s="38">
        <v>0.53703703703703698</v>
      </c>
      <c r="F124" s="38">
        <v>0.12757201646090499</v>
      </c>
      <c r="G124" s="38">
        <v>0.94805194805194803</v>
      </c>
      <c r="H124" s="38">
        <v>0.55692729766803795</v>
      </c>
      <c r="I124" s="38">
        <v>0.936708860759493</v>
      </c>
      <c r="J124" s="38">
        <v>0.407407407407407</v>
      </c>
      <c r="K124" s="38">
        <v>0.19478737997256501</v>
      </c>
      <c r="L124" s="38">
        <v>5.5555555555555497E-2</v>
      </c>
      <c r="M124" s="38">
        <v>0.158904109589041</v>
      </c>
      <c r="N124" s="38">
        <v>0.95061728395061695</v>
      </c>
      <c r="O124" s="38">
        <v>6.1728395061728301E-2</v>
      </c>
      <c r="P124" s="38">
        <v>0.189873417721519</v>
      </c>
      <c r="Q124" s="38">
        <v>0.32345679012345602</v>
      </c>
      <c r="R124" s="38">
        <v>0.98765432098765404</v>
      </c>
      <c r="S124" s="38">
        <v>0.76543209876543195</v>
      </c>
      <c r="T124" s="38">
        <v>0.97530864197530798</v>
      </c>
      <c r="U124" s="38">
        <v>1</v>
      </c>
      <c r="V124" s="38">
        <v>1</v>
      </c>
      <c r="W124" s="38">
        <v>0.11111111111111099</v>
      </c>
      <c r="X124" s="38">
        <v>1</v>
      </c>
      <c r="Y124" s="38">
        <v>0.97530864197530798</v>
      </c>
      <c r="Z124" s="38">
        <v>0.90123456790123402</v>
      </c>
      <c r="AA124" s="38">
        <v>0.44444444444444398</v>
      </c>
      <c r="AB124" s="38">
        <v>1</v>
      </c>
      <c r="AC124" s="38">
        <v>1</v>
      </c>
      <c r="AD124" s="38">
        <v>1</v>
      </c>
      <c r="AE124" s="38">
        <v>1</v>
      </c>
      <c r="AF124" s="38">
        <v>0.938271604938271</v>
      </c>
      <c r="AG124" s="38">
        <v>1</v>
      </c>
      <c r="AH124" s="38">
        <v>0.19565217391304299</v>
      </c>
      <c r="AI124" s="38" t="s">
        <v>195</v>
      </c>
      <c r="AJ124" s="7"/>
    </row>
    <row r="125" spans="1:36" x14ac:dyDescent="0.35">
      <c r="AJ125" s="7"/>
    </row>
    <row r="126" spans="1:36" x14ac:dyDescent="0.35">
      <c r="A126" s="17" t="s">
        <v>207</v>
      </c>
      <c r="B126" s="17"/>
      <c r="C126" s="18" t="s">
        <v>122</v>
      </c>
      <c r="D126" s="18" t="s">
        <v>123</v>
      </c>
      <c r="E126" s="18" t="s">
        <v>124</v>
      </c>
      <c r="F126" s="18" t="s">
        <v>125</v>
      </c>
      <c r="G126" s="18" t="s">
        <v>126</v>
      </c>
      <c r="H126" s="18" t="s">
        <v>127</v>
      </c>
      <c r="I126" s="18" t="s">
        <v>128</v>
      </c>
      <c r="J126" s="18" t="s">
        <v>129</v>
      </c>
      <c r="K126" s="18" t="s">
        <v>130</v>
      </c>
      <c r="L126" s="18" t="s">
        <v>131</v>
      </c>
      <c r="M126" s="18" t="s">
        <v>132</v>
      </c>
      <c r="N126" s="18" t="s">
        <v>133</v>
      </c>
      <c r="O126" s="18" t="s">
        <v>134</v>
      </c>
      <c r="P126" s="18" t="s">
        <v>135</v>
      </c>
      <c r="Q126" s="18" t="s">
        <v>136</v>
      </c>
      <c r="R126" s="18" t="s">
        <v>137</v>
      </c>
      <c r="S126" s="18" t="s">
        <v>138</v>
      </c>
      <c r="T126" s="18" t="s">
        <v>139</v>
      </c>
      <c r="U126" s="18" t="s">
        <v>140</v>
      </c>
      <c r="V126" s="18" t="s">
        <v>141</v>
      </c>
      <c r="W126" s="18" t="s">
        <v>142</v>
      </c>
      <c r="X126" s="18" t="s">
        <v>143</v>
      </c>
      <c r="Y126" s="18" t="s">
        <v>144</v>
      </c>
      <c r="Z126" s="18" t="s">
        <v>145</v>
      </c>
      <c r="AA126" s="18" t="s">
        <v>146</v>
      </c>
      <c r="AB126" s="18" t="s">
        <v>147</v>
      </c>
      <c r="AC126" s="18" t="s">
        <v>148</v>
      </c>
      <c r="AD126" s="18" t="s">
        <v>149</v>
      </c>
      <c r="AE126" s="18" t="s">
        <v>150</v>
      </c>
      <c r="AF126" s="18" t="s">
        <v>151</v>
      </c>
      <c r="AG126" s="18" t="s">
        <v>152</v>
      </c>
      <c r="AH126" s="18" t="s">
        <v>153</v>
      </c>
      <c r="AI126" s="18" t="s">
        <v>154</v>
      </c>
      <c r="AJ126" s="7"/>
    </row>
    <row r="127" spans="1:36" x14ac:dyDescent="0.35">
      <c r="A127" s="17" t="s">
        <v>208</v>
      </c>
      <c r="B127" s="17"/>
      <c r="C127" s="19">
        <f>COUNTIFS(B$4:B$63,B124,$AI$4:$AI$63,"YES")</f>
        <v>0</v>
      </c>
      <c r="D127" s="19">
        <f>COUNTIFS(C$4:C$63,C124,$AI$4:$AI$63,"YES")</f>
        <v>0</v>
      </c>
      <c r="E127" s="19">
        <f t="shared" ref="E127:AJ127" si="4">COUNTIFS(D$4:D$63,D124,$AI$4:$AI$63,"YES")</f>
        <v>1</v>
      </c>
      <c r="F127" s="19">
        <f t="shared" si="4"/>
        <v>0</v>
      </c>
      <c r="G127" s="19">
        <f t="shared" si="4"/>
        <v>0</v>
      </c>
      <c r="H127" s="19">
        <f t="shared" si="4"/>
        <v>0</v>
      </c>
      <c r="I127" s="19">
        <f t="shared" si="4"/>
        <v>0</v>
      </c>
      <c r="J127" s="19">
        <f t="shared" si="4"/>
        <v>0</v>
      </c>
      <c r="K127" s="19">
        <f t="shared" si="4"/>
        <v>0</v>
      </c>
      <c r="L127" s="19">
        <f t="shared" si="4"/>
        <v>0</v>
      </c>
      <c r="M127" s="19">
        <f t="shared" si="4"/>
        <v>0</v>
      </c>
      <c r="N127" s="19">
        <f t="shared" si="4"/>
        <v>0</v>
      </c>
      <c r="O127" s="19">
        <f t="shared" si="4"/>
        <v>0</v>
      </c>
      <c r="P127" s="19">
        <f t="shared" si="4"/>
        <v>0</v>
      </c>
      <c r="Q127" s="19">
        <f t="shared" si="4"/>
        <v>0</v>
      </c>
      <c r="R127" s="19">
        <f t="shared" si="4"/>
        <v>0</v>
      </c>
      <c r="S127" s="19">
        <f t="shared" si="4"/>
        <v>0</v>
      </c>
      <c r="T127" s="19">
        <f t="shared" si="4"/>
        <v>0</v>
      </c>
      <c r="U127" s="19">
        <f t="shared" si="4"/>
        <v>0</v>
      </c>
      <c r="V127" s="19">
        <f t="shared" si="4"/>
        <v>4</v>
      </c>
      <c r="W127" s="19">
        <f t="shared" si="4"/>
        <v>4</v>
      </c>
      <c r="X127" s="19">
        <f t="shared" si="4"/>
        <v>0</v>
      </c>
      <c r="Y127" s="19">
        <f t="shared" si="4"/>
        <v>4</v>
      </c>
      <c r="Z127" s="19">
        <f t="shared" si="4"/>
        <v>0</v>
      </c>
      <c r="AA127" s="19">
        <f t="shared" si="4"/>
        <v>0</v>
      </c>
      <c r="AB127" s="19">
        <f t="shared" si="4"/>
        <v>0</v>
      </c>
      <c r="AC127" s="19">
        <f t="shared" si="4"/>
        <v>4</v>
      </c>
      <c r="AD127" s="19">
        <f t="shared" si="4"/>
        <v>4</v>
      </c>
      <c r="AE127" s="19">
        <f t="shared" si="4"/>
        <v>4</v>
      </c>
      <c r="AF127" s="19">
        <f t="shared" si="4"/>
        <v>4</v>
      </c>
      <c r="AG127" s="19">
        <f t="shared" si="4"/>
        <v>0</v>
      </c>
      <c r="AH127" s="19">
        <f t="shared" si="4"/>
        <v>4</v>
      </c>
      <c r="AI127" s="19">
        <f t="shared" si="4"/>
        <v>1</v>
      </c>
      <c r="AJ127" s="20"/>
    </row>
    <row r="128" spans="1:36" x14ac:dyDescent="0.35">
      <c r="A128" s="17" t="s">
        <v>209</v>
      </c>
      <c r="B128" s="17"/>
      <c r="C128" s="19">
        <f>COUNTIFS(B$4:B$63,B124,$AI$4:$AI$63,"NO")</f>
        <v>10</v>
      </c>
      <c r="D128" s="19">
        <f t="shared" ref="D128:AI128" si="5">COUNTIFS(C$4:C$63,C124,$AI$4:$AI$63,"NO")</f>
        <v>6</v>
      </c>
      <c r="E128" s="19">
        <f t="shared" si="5"/>
        <v>26</v>
      </c>
      <c r="F128" s="19">
        <f t="shared" si="5"/>
        <v>6</v>
      </c>
      <c r="G128" s="19">
        <f t="shared" si="5"/>
        <v>6</v>
      </c>
      <c r="H128" s="19">
        <f t="shared" si="5"/>
        <v>9</v>
      </c>
      <c r="I128" s="19">
        <f t="shared" si="5"/>
        <v>6</v>
      </c>
      <c r="J128" s="19">
        <f t="shared" si="5"/>
        <v>7</v>
      </c>
      <c r="K128" s="19">
        <f t="shared" si="5"/>
        <v>6</v>
      </c>
      <c r="L128" s="19">
        <f t="shared" si="5"/>
        <v>6</v>
      </c>
      <c r="M128" s="19">
        <f t="shared" si="5"/>
        <v>6</v>
      </c>
      <c r="N128" s="19">
        <f t="shared" si="5"/>
        <v>12</v>
      </c>
      <c r="O128" s="19">
        <f t="shared" si="5"/>
        <v>6</v>
      </c>
      <c r="P128" s="19">
        <f t="shared" si="5"/>
        <v>6</v>
      </c>
      <c r="Q128" s="19">
        <f t="shared" si="5"/>
        <v>7</v>
      </c>
      <c r="R128" s="19">
        <f t="shared" si="5"/>
        <v>6</v>
      </c>
      <c r="S128" s="19">
        <f t="shared" si="5"/>
        <v>6</v>
      </c>
      <c r="T128" s="19">
        <f t="shared" si="5"/>
        <v>6</v>
      </c>
      <c r="U128" s="19">
        <f t="shared" si="5"/>
        <v>6</v>
      </c>
      <c r="V128" s="19">
        <f t="shared" si="5"/>
        <v>56</v>
      </c>
      <c r="W128" s="19">
        <f t="shared" si="5"/>
        <v>56</v>
      </c>
      <c r="X128" s="19">
        <f t="shared" si="5"/>
        <v>6</v>
      </c>
      <c r="Y128" s="19">
        <f t="shared" si="5"/>
        <v>56</v>
      </c>
      <c r="Z128" s="19">
        <f t="shared" si="5"/>
        <v>6</v>
      </c>
      <c r="AA128" s="19">
        <f t="shared" si="5"/>
        <v>6</v>
      </c>
      <c r="AB128" s="19">
        <f t="shared" si="5"/>
        <v>6</v>
      </c>
      <c r="AC128" s="19">
        <f t="shared" si="5"/>
        <v>56</v>
      </c>
      <c r="AD128" s="19">
        <f t="shared" si="5"/>
        <v>56</v>
      </c>
      <c r="AE128" s="19">
        <f t="shared" si="5"/>
        <v>56</v>
      </c>
      <c r="AF128" s="19">
        <f t="shared" si="5"/>
        <v>56</v>
      </c>
      <c r="AG128" s="19">
        <f t="shared" si="5"/>
        <v>6</v>
      </c>
      <c r="AH128" s="19">
        <f t="shared" si="5"/>
        <v>56</v>
      </c>
      <c r="AI128" s="19">
        <f t="shared" si="5"/>
        <v>30</v>
      </c>
      <c r="AJ128" s="20"/>
    </row>
    <row r="129" spans="1:36" x14ac:dyDescent="0.35">
      <c r="A129" s="17" t="s">
        <v>210</v>
      </c>
      <c r="B129" s="18" t="s">
        <v>208</v>
      </c>
      <c r="C129" s="19">
        <f>C127/$B$108</f>
        <v>0</v>
      </c>
      <c r="D129" s="19">
        <f t="shared" ref="D129:AI129" si="6">D127/$B$108</f>
        <v>0</v>
      </c>
      <c r="E129" s="19">
        <f t="shared" si="6"/>
        <v>15</v>
      </c>
      <c r="F129" s="19">
        <f t="shared" si="6"/>
        <v>0</v>
      </c>
      <c r="G129" s="19">
        <f t="shared" si="6"/>
        <v>0</v>
      </c>
      <c r="H129" s="19">
        <f t="shared" si="6"/>
        <v>0</v>
      </c>
      <c r="I129" s="19">
        <f t="shared" si="6"/>
        <v>0</v>
      </c>
      <c r="J129" s="19">
        <f t="shared" si="6"/>
        <v>0</v>
      </c>
      <c r="K129" s="19">
        <f t="shared" si="6"/>
        <v>0</v>
      </c>
      <c r="L129" s="19">
        <f t="shared" si="6"/>
        <v>0</v>
      </c>
      <c r="M129" s="19">
        <f t="shared" si="6"/>
        <v>0</v>
      </c>
      <c r="N129" s="19">
        <f t="shared" si="6"/>
        <v>0</v>
      </c>
      <c r="O129" s="19">
        <f t="shared" si="6"/>
        <v>0</v>
      </c>
      <c r="P129" s="19">
        <f t="shared" si="6"/>
        <v>0</v>
      </c>
      <c r="Q129" s="19">
        <f t="shared" si="6"/>
        <v>0</v>
      </c>
      <c r="R129" s="19">
        <f t="shared" si="6"/>
        <v>0</v>
      </c>
      <c r="S129" s="19">
        <f t="shared" si="6"/>
        <v>0</v>
      </c>
      <c r="T129" s="19">
        <f t="shared" si="6"/>
        <v>0</v>
      </c>
      <c r="U129" s="19">
        <f t="shared" si="6"/>
        <v>0</v>
      </c>
      <c r="V129" s="19">
        <f t="shared" si="6"/>
        <v>60</v>
      </c>
      <c r="W129" s="19">
        <f t="shared" si="6"/>
        <v>60</v>
      </c>
      <c r="X129" s="19">
        <f t="shared" si="6"/>
        <v>0</v>
      </c>
      <c r="Y129" s="19">
        <f t="shared" si="6"/>
        <v>60</v>
      </c>
      <c r="Z129" s="19">
        <f t="shared" si="6"/>
        <v>0</v>
      </c>
      <c r="AA129" s="19">
        <f t="shared" si="6"/>
        <v>0</v>
      </c>
      <c r="AB129" s="19">
        <f t="shared" si="6"/>
        <v>0</v>
      </c>
      <c r="AC129" s="19">
        <f t="shared" si="6"/>
        <v>60</v>
      </c>
      <c r="AD129" s="19">
        <f t="shared" si="6"/>
        <v>60</v>
      </c>
      <c r="AE129" s="19">
        <f t="shared" si="6"/>
        <v>60</v>
      </c>
      <c r="AF129" s="19">
        <f t="shared" si="6"/>
        <v>60</v>
      </c>
      <c r="AG129" s="19">
        <f t="shared" si="6"/>
        <v>0</v>
      </c>
      <c r="AH129" s="19">
        <f t="shared" si="6"/>
        <v>60</v>
      </c>
      <c r="AI129" s="19">
        <f t="shared" si="6"/>
        <v>15</v>
      </c>
      <c r="AJ129" s="19">
        <f>C129*D129*E129*F129*G129*H129*I129*J129*K129*L129*M129*N129*O129*P129*Q129*R129*S129*T129*U129*V129*W129*X129*Y129*Z129*AA129*AB129*AC129*AD129*AE129*AF129*AG129*AH129*AI129</f>
        <v>0</v>
      </c>
    </row>
    <row r="130" spans="1:36" x14ac:dyDescent="0.35">
      <c r="A130" s="17"/>
      <c r="B130" s="18" t="s">
        <v>209</v>
      </c>
      <c r="C130" s="19">
        <f>C128/$C$108</f>
        <v>10.714285714285714</v>
      </c>
      <c r="D130" s="19">
        <f t="shared" ref="D130:AI130" si="7">D128/$C$108</f>
        <v>6.4285714285714288</v>
      </c>
      <c r="E130" s="19">
        <f t="shared" si="7"/>
        <v>27.857142857142858</v>
      </c>
      <c r="F130" s="19">
        <f t="shared" si="7"/>
        <v>6.4285714285714288</v>
      </c>
      <c r="G130" s="19">
        <f t="shared" si="7"/>
        <v>6.4285714285714288</v>
      </c>
      <c r="H130" s="19">
        <f t="shared" si="7"/>
        <v>9.6428571428571423</v>
      </c>
      <c r="I130" s="19">
        <f t="shared" si="7"/>
        <v>6.4285714285714288</v>
      </c>
      <c r="J130" s="19">
        <f t="shared" si="7"/>
        <v>7.5</v>
      </c>
      <c r="K130" s="19">
        <f t="shared" si="7"/>
        <v>6.4285714285714288</v>
      </c>
      <c r="L130" s="19">
        <f t="shared" si="7"/>
        <v>6.4285714285714288</v>
      </c>
      <c r="M130" s="19">
        <f t="shared" si="7"/>
        <v>6.4285714285714288</v>
      </c>
      <c r="N130" s="19">
        <f t="shared" si="7"/>
        <v>12.857142857142858</v>
      </c>
      <c r="O130" s="19">
        <f t="shared" si="7"/>
        <v>6.4285714285714288</v>
      </c>
      <c r="P130" s="19">
        <f t="shared" si="7"/>
        <v>6.4285714285714288</v>
      </c>
      <c r="Q130" s="19">
        <f t="shared" si="7"/>
        <v>7.5</v>
      </c>
      <c r="R130" s="19">
        <f t="shared" si="7"/>
        <v>6.4285714285714288</v>
      </c>
      <c r="S130" s="19">
        <f t="shared" si="7"/>
        <v>6.4285714285714288</v>
      </c>
      <c r="T130" s="19">
        <f t="shared" si="7"/>
        <v>6.4285714285714288</v>
      </c>
      <c r="U130" s="19">
        <f t="shared" si="7"/>
        <v>6.4285714285714288</v>
      </c>
      <c r="V130" s="19">
        <f t="shared" si="7"/>
        <v>60</v>
      </c>
      <c r="W130" s="19">
        <f t="shared" si="7"/>
        <v>60</v>
      </c>
      <c r="X130" s="19">
        <f t="shared" si="7"/>
        <v>6.4285714285714288</v>
      </c>
      <c r="Y130" s="19">
        <f t="shared" si="7"/>
        <v>60</v>
      </c>
      <c r="Z130" s="19">
        <f t="shared" si="7"/>
        <v>6.4285714285714288</v>
      </c>
      <c r="AA130" s="19">
        <f t="shared" si="7"/>
        <v>6.4285714285714288</v>
      </c>
      <c r="AB130" s="19">
        <f t="shared" si="7"/>
        <v>6.4285714285714288</v>
      </c>
      <c r="AC130" s="19">
        <f t="shared" si="7"/>
        <v>60</v>
      </c>
      <c r="AD130" s="19">
        <f t="shared" si="7"/>
        <v>60</v>
      </c>
      <c r="AE130" s="19">
        <f t="shared" si="7"/>
        <v>60</v>
      </c>
      <c r="AF130" s="19">
        <f t="shared" si="7"/>
        <v>60</v>
      </c>
      <c r="AG130" s="19">
        <f t="shared" si="7"/>
        <v>6.4285714285714288</v>
      </c>
      <c r="AH130" s="19">
        <f t="shared" si="7"/>
        <v>60</v>
      </c>
      <c r="AI130" s="19">
        <f t="shared" si="7"/>
        <v>32.142857142857139</v>
      </c>
      <c r="AJ130" s="19">
        <f>C130*D130*E130*F130*G130*H130*I130*J130*K130*L130*M130*N130*O130*P130*Q130*R130*S130*T130*U130*V130*W130*X130*Y130*Z130*AA130*AB130*AC130*AD130*AE130*AF130*AG130*AH130*AI130</f>
        <v>3.9511865301379321E+36</v>
      </c>
    </row>
    <row r="131" spans="1:36" x14ac:dyDescent="0.35">
      <c r="A131" s="21"/>
      <c r="B131" s="21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20"/>
    </row>
    <row r="132" spans="1:36" x14ac:dyDescent="0.35">
      <c r="A132" s="22" t="s">
        <v>211</v>
      </c>
      <c r="B132" s="23"/>
      <c r="C132" s="24" t="s">
        <v>212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20"/>
    </row>
    <row r="133" spans="1:36" x14ac:dyDescent="0.35">
      <c r="A133" s="25" t="s">
        <v>208</v>
      </c>
      <c r="B133" s="26">
        <f>AJ129*$B$108</f>
        <v>0</v>
      </c>
      <c r="C133" s="27" t="str">
        <f>IF(B133&gt;B134,A133,A134)</f>
        <v>No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20"/>
    </row>
    <row r="134" spans="1:36" x14ac:dyDescent="0.35">
      <c r="A134" s="25" t="s">
        <v>209</v>
      </c>
      <c r="B134" s="26">
        <f>AJ130*$C$108</f>
        <v>3.6877740947954033E+36</v>
      </c>
      <c r="C134" s="28"/>
      <c r="D134" s="20"/>
      <c r="E134" s="20"/>
      <c r="F134" s="20"/>
      <c r="G134" s="20"/>
      <c r="H134" s="20"/>
      <c r="I134" s="20"/>
      <c r="J134" s="20"/>
      <c r="K134" s="20"/>
      <c r="L134" s="2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20"/>
    </row>
    <row r="135" spans="1:36" x14ac:dyDescent="0.35">
      <c r="AJ135" s="7"/>
    </row>
    <row r="136" spans="1:36" x14ac:dyDescent="0.35">
      <c r="A136" s="15"/>
      <c r="B136" s="16" t="s">
        <v>122</v>
      </c>
      <c r="C136" s="16" t="s">
        <v>123</v>
      </c>
      <c r="D136" s="16" t="s">
        <v>124</v>
      </c>
      <c r="E136" s="16" t="s">
        <v>125</v>
      </c>
      <c r="F136" s="16" t="s">
        <v>126</v>
      </c>
      <c r="G136" s="16" t="s">
        <v>127</v>
      </c>
      <c r="H136" s="16" t="s">
        <v>128</v>
      </c>
      <c r="I136" s="16" t="s">
        <v>129</v>
      </c>
      <c r="J136" s="16" t="s">
        <v>130</v>
      </c>
      <c r="K136" s="16" t="s">
        <v>131</v>
      </c>
      <c r="L136" s="16" t="s">
        <v>132</v>
      </c>
      <c r="M136" s="16" t="s">
        <v>133</v>
      </c>
      <c r="N136" s="16" t="s">
        <v>134</v>
      </c>
      <c r="O136" s="16" t="s">
        <v>135</v>
      </c>
      <c r="P136" s="16" t="s">
        <v>136</v>
      </c>
      <c r="Q136" s="16" t="s">
        <v>137</v>
      </c>
      <c r="R136" s="16" t="s">
        <v>138</v>
      </c>
      <c r="S136" s="16" t="s">
        <v>139</v>
      </c>
      <c r="T136" s="16" t="s">
        <v>140</v>
      </c>
      <c r="U136" s="16" t="s">
        <v>141</v>
      </c>
      <c r="V136" s="16" t="s">
        <v>142</v>
      </c>
      <c r="W136" s="16" t="s">
        <v>143</v>
      </c>
      <c r="X136" s="16" t="s">
        <v>144</v>
      </c>
      <c r="Y136" s="16" t="s">
        <v>145</v>
      </c>
      <c r="Z136" s="16" t="s">
        <v>146</v>
      </c>
      <c r="AA136" s="16" t="s">
        <v>147</v>
      </c>
      <c r="AB136" s="16" t="s">
        <v>148</v>
      </c>
      <c r="AC136" s="16" t="s">
        <v>149</v>
      </c>
      <c r="AD136" s="16" t="s">
        <v>150</v>
      </c>
      <c r="AE136" s="16" t="s">
        <v>151</v>
      </c>
      <c r="AF136" s="16" t="s">
        <v>152</v>
      </c>
      <c r="AG136" s="16" t="s">
        <v>153</v>
      </c>
      <c r="AH136" s="16" t="s">
        <v>154</v>
      </c>
      <c r="AI136" s="16"/>
      <c r="AJ136" s="7"/>
    </row>
    <row r="137" spans="1:36" x14ac:dyDescent="0.35">
      <c r="A137" s="9" t="s">
        <v>275</v>
      </c>
      <c r="B137" s="38">
        <v>0</v>
      </c>
      <c r="C137" s="38">
        <v>0.23765432098765399</v>
      </c>
      <c r="D137" s="38">
        <v>0.23899371069182301</v>
      </c>
      <c r="E137" s="38">
        <v>0.53703703703703698</v>
      </c>
      <c r="F137" s="38">
        <v>0.12757201646090499</v>
      </c>
      <c r="G137" s="38">
        <v>0.94805194805194803</v>
      </c>
      <c r="H137" s="38">
        <v>0.55692729766803795</v>
      </c>
      <c r="I137" s="38">
        <v>0.936708860759493</v>
      </c>
      <c r="J137" s="38">
        <v>0.407407407407407</v>
      </c>
      <c r="K137" s="38">
        <v>0.19478737997256501</v>
      </c>
      <c r="L137" s="38">
        <v>5.5555555555555497E-2</v>
      </c>
      <c r="M137" s="38">
        <v>0.158904109589041</v>
      </c>
      <c r="N137" s="38">
        <v>0.95061728395061695</v>
      </c>
      <c r="O137" s="38">
        <v>6.1728395061728301E-2</v>
      </c>
      <c r="P137" s="38">
        <v>0.189873417721519</v>
      </c>
      <c r="Q137" s="38">
        <v>0.32345679012345602</v>
      </c>
      <c r="R137" s="38">
        <v>0.98765432098765404</v>
      </c>
      <c r="S137" s="38">
        <v>0.76543209876543195</v>
      </c>
      <c r="T137" s="38">
        <v>0.97530864197530798</v>
      </c>
      <c r="U137" s="38">
        <v>1</v>
      </c>
      <c r="V137" s="38">
        <v>1</v>
      </c>
      <c r="W137" s="38">
        <v>0.11111111111111099</v>
      </c>
      <c r="X137" s="38">
        <v>1</v>
      </c>
      <c r="Y137" s="38">
        <v>0.97530864197530798</v>
      </c>
      <c r="Z137" s="38">
        <v>0.90123456790123402</v>
      </c>
      <c r="AA137" s="38">
        <v>0.44444444444444398</v>
      </c>
      <c r="AB137" s="38">
        <v>1</v>
      </c>
      <c r="AC137" s="38">
        <v>1</v>
      </c>
      <c r="AD137" s="38">
        <v>1</v>
      </c>
      <c r="AE137" s="38">
        <v>1</v>
      </c>
      <c r="AF137" s="38">
        <v>0.938271604938271</v>
      </c>
      <c r="AG137" s="38">
        <v>1</v>
      </c>
      <c r="AH137" s="38">
        <v>0.19565217391304299</v>
      </c>
      <c r="AI137" s="38" t="s">
        <v>195</v>
      </c>
      <c r="AJ137" s="7"/>
    </row>
    <row r="138" spans="1:36" x14ac:dyDescent="0.35">
      <c r="AJ138" s="7"/>
    </row>
    <row r="139" spans="1:36" x14ac:dyDescent="0.35">
      <c r="A139" s="17" t="s">
        <v>207</v>
      </c>
      <c r="B139" s="17"/>
      <c r="C139" s="18" t="s">
        <v>122</v>
      </c>
      <c r="D139" s="18" t="s">
        <v>123</v>
      </c>
      <c r="E139" s="18" t="s">
        <v>124</v>
      </c>
      <c r="F139" s="18" t="s">
        <v>125</v>
      </c>
      <c r="G139" s="18" t="s">
        <v>126</v>
      </c>
      <c r="H139" s="18" t="s">
        <v>127</v>
      </c>
      <c r="I139" s="18" t="s">
        <v>128</v>
      </c>
      <c r="J139" s="18" t="s">
        <v>129</v>
      </c>
      <c r="K139" s="18" t="s">
        <v>130</v>
      </c>
      <c r="L139" s="18" t="s">
        <v>131</v>
      </c>
      <c r="M139" s="18" t="s">
        <v>132</v>
      </c>
      <c r="N139" s="18" t="s">
        <v>133</v>
      </c>
      <c r="O139" s="18" t="s">
        <v>134</v>
      </c>
      <c r="P139" s="18" t="s">
        <v>135</v>
      </c>
      <c r="Q139" s="18" t="s">
        <v>136</v>
      </c>
      <c r="R139" s="18" t="s">
        <v>137</v>
      </c>
      <c r="S139" s="18" t="s">
        <v>138</v>
      </c>
      <c r="T139" s="18" t="s">
        <v>139</v>
      </c>
      <c r="U139" s="18" t="s">
        <v>140</v>
      </c>
      <c r="V139" s="18" t="s">
        <v>141</v>
      </c>
      <c r="W139" s="18" t="s">
        <v>142</v>
      </c>
      <c r="X139" s="18" t="s">
        <v>143</v>
      </c>
      <c r="Y139" s="18" t="s">
        <v>144</v>
      </c>
      <c r="Z139" s="18" t="s">
        <v>145</v>
      </c>
      <c r="AA139" s="18" t="s">
        <v>146</v>
      </c>
      <c r="AB139" s="18" t="s">
        <v>147</v>
      </c>
      <c r="AC139" s="18" t="s">
        <v>148</v>
      </c>
      <c r="AD139" s="18" t="s">
        <v>149</v>
      </c>
      <c r="AE139" s="18" t="s">
        <v>150</v>
      </c>
      <c r="AF139" s="18" t="s">
        <v>151</v>
      </c>
      <c r="AG139" s="18" t="s">
        <v>152</v>
      </c>
      <c r="AH139" s="18" t="s">
        <v>153</v>
      </c>
      <c r="AI139" s="18" t="s">
        <v>154</v>
      </c>
      <c r="AJ139" s="7"/>
    </row>
    <row r="140" spans="1:36" x14ac:dyDescent="0.35">
      <c r="A140" s="17" t="s">
        <v>208</v>
      </c>
      <c r="B140" s="17"/>
      <c r="C140" s="19">
        <f>COUNTIFS(B$4:B$63,B137,$AI$4:$AI$63,"YES")</f>
        <v>0</v>
      </c>
      <c r="D140" s="19">
        <f>COUNTIFS(C$4:C$63,C137,$AI$4:$AI$63,"YES")</f>
        <v>0</v>
      </c>
      <c r="E140" s="19">
        <f t="shared" ref="E140:AJ140" si="8">COUNTIFS(D$4:D$63,D137,$AI$4:$AI$63,"YES")</f>
        <v>1</v>
      </c>
      <c r="F140" s="19">
        <f t="shared" si="8"/>
        <v>0</v>
      </c>
      <c r="G140" s="19">
        <f t="shared" si="8"/>
        <v>0</v>
      </c>
      <c r="H140" s="19">
        <f t="shared" si="8"/>
        <v>0</v>
      </c>
      <c r="I140" s="19">
        <f t="shared" si="8"/>
        <v>0</v>
      </c>
      <c r="J140" s="19">
        <f t="shared" si="8"/>
        <v>0</v>
      </c>
      <c r="K140" s="19">
        <f t="shared" si="8"/>
        <v>0</v>
      </c>
      <c r="L140" s="19">
        <f t="shared" si="8"/>
        <v>0</v>
      </c>
      <c r="M140" s="19">
        <f t="shared" si="8"/>
        <v>0</v>
      </c>
      <c r="N140" s="19">
        <f t="shared" si="8"/>
        <v>0</v>
      </c>
      <c r="O140" s="19">
        <f t="shared" si="8"/>
        <v>0</v>
      </c>
      <c r="P140" s="19">
        <f t="shared" si="8"/>
        <v>0</v>
      </c>
      <c r="Q140" s="19">
        <f t="shared" si="8"/>
        <v>0</v>
      </c>
      <c r="R140" s="19">
        <f t="shared" si="8"/>
        <v>0</v>
      </c>
      <c r="S140" s="19">
        <f t="shared" si="8"/>
        <v>0</v>
      </c>
      <c r="T140" s="19">
        <f t="shared" si="8"/>
        <v>0</v>
      </c>
      <c r="U140" s="19">
        <f t="shared" si="8"/>
        <v>0</v>
      </c>
      <c r="V140" s="19">
        <f t="shared" si="8"/>
        <v>4</v>
      </c>
      <c r="W140" s="19">
        <f t="shared" si="8"/>
        <v>4</v>
      </c>
      <c r="X140" s="19">
        <f t="shared" si="8"/>
        <v>0</v>
      </c>
      <c r="Y140" s="19">
        <f t="shared" si="8"/>
        <v>4</v>
      </c>
      <c r="Z140" s="19">
        <f t="shared" si="8"/>
        <v>0</v>
      </c>
      <c r="AA140" s="19">
        <f t="shared" si="8"/>
        <v>0</v>
      </c>
      <c r="AB140" s="19">
        <f t="shared" si="8"/>
        <v>0</v>
      </c>
      <c r="AC140" s="19">
        <f t="shared" si="8"/>
        <v>4</v>
      </c>
      <c r="AD140" s="19">
        <f t="shared" si="8"/>
        <v>4</v>
      </c>
      <c r="AE140" s="19">
        <f t="shared" si="8"/>
        <v>4</v>
      </c>
      <c r="AF140" s="19">
        <f t="shared" si="8"/>
        <v>4</v>
      </c>
      <c r="AG140" s="19">
        <f t="shared" si="8"/>
        <v>0</v>
      </c>
      <c r="AH140" s="19">
        <f t="shared" si="8"/>
        <v>4</v>
      </c>
      <c r="AI140" s="19">
        <f t="shared" si="8"/>
        <v>1</v>
      </c>
      <c r="AJ140" s="20"/>
    </row>
    <row r="141" spans="1:36" x14ac:dyDescent="0.35">
      <c r="A141" s="17" t="s">
        <v>209</v>
      </c>
      <c r="B141" s="17"/>
      <c r="C141" s="19">
        <f>COUNTIFS(B$4:B$63,B137,$AI$4:$AI$63,"NO")</f>
        <v>10</v>
      </c>
      <c r="D141" s="19">
        <f t="shared" ref="D141:AI141" si="9">COUNTIFS(C$4:C$63,C137,$AI$4:$AI$63,"NO")</f>
        <v>6</v>
      </c>
      <c r="E141" s="19">
        <f t="shared" si="9"/>
        <v>26</v>
      </c>
      <c r="F141" s="19">
        <f t="shared" si="9"/>
        <v>6</v>
      </c>
      <c r="G141" s="19">
        <f t="shared" si="9"/>
        <v>6</v>
      </c>
      <c r="H141" s="19">
        <f t="shared" si="9"/>
        <v>9</v>
      </c>
      <c r="I141" s="19">
        <f t="shared" si="9"/>
        <v>6</v>
      </c>
      <c r="J141" s="19">
        <f t="shared" si="9"/>
        <v>7</v>
      </c>
      <c r="K141" s="19">
        <f t="shared" si="9"/>
        <v>6</v>
      </c>
      <c r="L141" s="19">
        <f t="shared" si="9"/>
        <v>6</v>
      </c>
      <c r="M141" s="19">
        <f t="shared" si="9"/>
        <v>6</v>
      </c>
      <c r="N141" s="19">
        <f t="shared" si="9"/>
        <v>12</v>
      </c>
      <c r="O141" s="19">
        <f t="shared" si="9"/>
        <v>6</v>
      </c>
      <c r="P141" s="19">
        <f t="shared" si="9"/>
        <v>6</v>
      </c>
      <c r="Q141" s="19">
        <f t="shared" si="9"/>
        <v>7</v>
      </c>
      <c r="R141" s="19">
        <f t="shared" si="9"/>
        <v>6</v>
      </c>
      <c r="S141" s="19">
        <f t="shared" si="9"/>
        <v>6</v>
      </c>
      <c r="T141" s="19">
        <f t="shared" si="9"/>
        <v>6</v>
      </c>
      <c r="U141" s="19">
        <f t="shared" si="9"/>
        <v>6</v>
      </c>
      <c r="V141" s="19">
        <f t="shared" si="9"/>
        <v>56</v>
      </c>
      <c r="W141" s="19">
        <f t="shared" si="9"/>
        <v>56</v>
      </c>
      <c r="X141" s="19">
        <f t="shared" si="9"/>
        <v>6</v>
      </c>
      <c r="Y141" s="19">
        <f t="shared" si="9"/>
        <v>56</v>
      </c>
      <c r="Z141" s="19">
        <f t="shared" si="9"/>
        <v>6</v>
      </c>
      <c r="AA141" s="19">
        <f t="shared" si="9"/>
        <v>6</v>
      </c>
      <c r="AB141" s="19">
        <f t="shared" si="9"/>
        <v>6</v>
      </c>
      <c r="AC141" s="19">
        <f t="shared" si="9"/>
        <v>56</v>
      </c>
      <c r="AD141" s="19">
        <f t="shared" si="9"/>
        <v>56</v>
      </c>
      <c r="AE141" s="19">
        <f t="shared" si="9"/>
        <v>56</v>
      </c>
      <c r="AF141" s="19">
        <f t="shared" si="9"/>
        <v>56</v>
      </c>
      <c r="AG141" s="19">
        <f t="shared" si="9"/>
        <v>6</v>
      </c>
      <c r="AH141" s="19">
        <f t="shared" si="9"/>
        <v>56</v>
      </c>
      <c r="AI141" s="19">
        <f t="shared" si="9"/>
        <v>30</v>
      </c>
      <c r="AJ141" s="20"/>
    </row>
    <row r="142" spans="1:36" x14ac:dyDescent="0.35">
      <c r="A142" s="17" t="s">
        <v>210</v>
      </c>
      <c r="B142" s="18" t="s">
        <v>208</v>
      </c>
      <c r="C142" s="19">
        <f>C140/$B$108</f>
        <v>0</v>
      </c>
      <c r="D142" s="19">
        <f t="shared" ref="D142:AI142" si="10">D140/$B$108</f>
        <v>0</v>
      </c>
      <c r="E142" s="19">
        <f t="shared" si="10"/>
        <v>15</v>
      </c>
      <c r="F142" s="19">
        <f t="shared" si="10"/>
        <v>0</v>
      </c>
      <c r="G142" s="19">
        <f t="shared" si="10"/>
        <v>0</v>
      </c>
      <c r="H142" s="19">
        <f t="shared" si="10"/>
        <v>0</v>
      </c>
      <c r="I142" s="19">
        <f t="shared" si="10"/>
        <v>0</v>
      </c>
      <c r="J142" s="19">
        <f t="shared" si="10"/>
        <v>0</v>
      </c>
      <c r="K142" s="19">
        <f t="shared" si="10"/>
        <v>0</v>
      </c>
      <c r="L142" s="19">
        <f t="shared" si="10"/>
        <v>0</v>
      </c>
      <c r="M142" s="19">
        <f t="shared" si="10"/>
        <v>0</v>
      </c>
      <c r="N142" s="19">
        <f t="shared" si="10"/>
        <v>0</v>
      </c>
      <c r="O142" s="19">
        <f t="shared" si="10"/>
        <v>0</v>
      </c>
      <c r="P142" s="19">
        <f t="shared" si="10"/>
        <v>0</v>
      </c>
      <c r="Q142" s="19">
        <f t="shared" si="10"/>
        <v>0</v>
      </c>
      <c r="R142" s="19">
        <f t="shared" si="10"/>
        <v>0</v>
      </c>
      <c r="S142" s="19">
        <f t="shared" si="10"/>
        <v>0</v>
      </c>
      <c r="T142" s="19">
        <f t="shared" si="10"/>
        <v>0</v>
      </c>
      <c r="U142" s="19">
        <f t="shared" si="10"/>
        <v>0</v>
      </c>
      <c r="V142" s="19">
        <f t="shared" si="10"/>
        <v>60</v>
      </c>
      <c r="W142" s="19">
        <f t="shared" si="10"/>
        <v>60</v>
      </c>
      <c r="X142" s="19">
        <f t="shared" si="10"/>
        <v>0</v>
      </c>
      <c r="Y142" s="19">
        <f t="shared" si="10"/>
        <v>60</v>
      </c>
      <c r="Z142" s="19">
        <f t="shared" si="10"/>
        <v>0</v>
      </c>
      <c r="AA142" s="19">
        <f t="shared" si="10"/>
        <v>0</v>
      </c>
      <c r="AB142" s="19">
        <f t="shared" si="10"/>
        <v>0</v>
      </c>
      <c r="AC142" s="19">
        <f t="shared" si="10"/>
        <v>60</v>
      </c>
      <c r="AD142" s="19">
        <f t="shared" si="10"/>
        <v>60</v>
      </c>
      <c r="AE142" s="19">
        <f t="shared" si="10"/>
        <v>60</v>
      </c>
      <c r="AF142" s="19">
        <f t="shared" si="10"/>
        <v>60</v>
      </c>
      <c r="AG142" s="19">
        <f t="shared" si="10"/>
        <v>0</v>
      </c>
      <c r="AH142" s="19">
        <f t="shared" si="10"/>
        <v>60</v>
      </c>
      <c r="AI142" s="19">
        <f t="shared" si="10"/>
        <v>15</v>
      </c>
      <c r="AJ142" s="19">
        <f>C142*D142*E142*F142*G142*H142*I142*J142*K142*L142*M142*N142*O142*P142*Q142*R142*S142*T142*U142*V142*W142*X142*Y142*Z142*AA142*AB142*AC142*AD142*AE142*AF142*AG142*AH142*AI142</f>
        <v>0</v>
      </c>
    </row>
    <row r="143" spans="1:36" x14ac:dyDescent="0.35">
      <c r="A143" s="17"/>
      <c r="B143" s="18" t="s">
        <v>209</v>
      </c>
      <c r="C143" s="19">
        <f>C141/$C$108</f>
        <v>10.714285714285714</v>
      </c>
      <c r="D143" s="19">
        <f t="shared" ref="D143:AI143" si="11">D141/$C$108</f>
        <v>6.4285714285714288</v>
      </c>
      <c r="E143" s="19">
        <f t="shared" si="11"/>
        <v>27.857142857142858</v>
      </c>
      <c r="F143" s="19">
        <f t="shared" si="11"/>
        <v>6.4285714285714288</v>
      </c>
      <c r="G143" s="19">
        <f t="shared" si="11"/>
        <v>6.4285714285714288</v>
      </c>
      <c r="H143" s="19">
        <f t="shared" si="11"/>
        <v>9.6428571428571423</v>
      </c>
      <c r="I143" s="19">
        <f t="shared" si="11"/>
        <v>6.4285714285714288</v>
      </c>
      <c r="J143" s="19">
        <f t="shared" si="11"/>
        <v>7.5</v>
      </c>
      <c r="K143" s="19">
        <f t="shared" si="11"/>
        <v>6.4285714285714288</v>
      </c>
      <c r="L143" s="19">
        <f t="shared" si="11"/>
        <v>6.4285714285714288</v>
      </c>
      <c r="M143" s="19">
        <f t="shared" si="11"/>
        <v>6.4285714285714288</v>
      </c>
      <c r="N143" s="19">
        <f t="shared" si="11"/>
        <v>12.857142857142858</v>
      </c>
      <c r="O143" s="19">
        <f t="shared" si="11"/>
        <v>6.4285714285714288</v>
      </c>
      <c r="P143" s="19">
        <f t="shared" si="11"/>
        <v>6.4285714285714288</v>
      </c>
      <c r="Q143" s="19">
        <f t="shared" si="11"/>
        <v>7.5</v>
      </c>
      <c r="R143" s="19">
        <f t="shared" si="11"/>
        <v>6.4285714285714288</v>
      </c>
      <c r="S143" s="19">
        <f t="shared" si="11"/>
        <v>6.4285714285714288</v>
      </c>
      <c r="T143" s="19">
        <f t="shared" si="11"/>
        <v>6.4285714285714288</v>
      </c>
      <c r="U143" s="19">
        <f t="shared" si="11"/>
        <v>6.4285714285714288</v>
      </c>
      <c r="V143" s="19">
        <f t="shared" si="11"/>
        <v>60</v>
      </c>
      <c r="W143" s="19">
        <f t="shared" si="11"/>
        <v>60</v>
      </c>
      <c r="X143" s="19">
        <f t="shared" si="11"/>
        <v>6.4285714285714288</v>
      </c>
      <c r="Y143" s="19">
        <f t="shared" si="11"/>
        <v>60</v>
      </c>
      <c r="Z143" s="19">
        <f t="shared" si="11"/>
        <v>6.4285714285714288</v>
      </c>
      <c r="AA143" s="19">
        <f t="shared" si="11"/>
        <v>6.4285714285714288</v>
      </c>
      <c r="AB143" s="19">
        <f t="shared" si="11"/>
        <v>6.4285714285714288</v>
      </c>
      <c r="AC143" s="19">
        <f t="shared" si="11"/>
        <v>60</v>
      </c>
      <c r="AD143" s="19">
        <f t="shared" si="11"/>
        <v>60</v>
      </c>
      <c r="AE143" s="19">
        <f t="shared" si="11"/>
        <v>60</v>
      </c>
      <c r="AF143" s="19">
        <f t="shared" si="11"/>
        <v>60</v>
      </c>
      <c r="AG143" s="19">
        <f t="shared" si="11"/>
        <v>6.4285714285714288</v>
      </c>
      <c r="AH143" s="19">
        <f t="shared" si="11"/>
        <v>60</v>
      </c>
      <c r="AI143" s="19">
        <f t="shared" si="11"/>
        <v>32.142857142857139</v>
      </c>
      <c r="AJ143" s="19">
        <f>C143*D143*E143*F143*G143*H143*I143*J143*K143*L143*M143*N143*O143*P143*Q143*R143*S143*T143*U143*V143*W143*X143*Y143*Z143*AA143*AB143*AC143*AD143*AE143*AF143*AG143*AH143*AI143</f>
        <v>3.9511865301379321E+36</v>
      </c>
    </row>
    <row r="144" spans="1:36" x14ac:dyDescent="0.35">
      <c r="A144" s="21"/>
      <c r="B144" s="21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20"/>
    </row>
    <row r="145" spans="1:36" x14ac:dyDescent="0.35">
      <c r="A145" s="22" t="s">
        <v>211</v>
      </c>
      <c r="B145" s="23"/>
      <c r="C145" s="24" t="s">
        <v>212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20"/>
    </row>
    <row r="146" spans="1:36" x14ac:dyDescent="0.35">
      <c r="A146" s="25" t="s">
        <v>208</v>
      </c>
      <c r="B146" s="26">
        <f>AJ142*$B$108</f>
        <v>0</v>
      </c>
      <c r="C146" s="27" t="str">
        <f>IF(B146&gt;B147,A146,A147)</f>
        <v>No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20"/>
    </row>
    <row r="147" spans="1:36" x14ac:dyDescent="0.35">
      <c r="A147" s="25" t="s">
        <v>209</v>
      </c>
      <c r="B147" s="26">
        <f>AJ143*$C$108</f>
        <v>3.6877740947954033E+36</v>
      </c>
      <c r="C147" s="28"/>
      <c r="D147" s="20"/>
      <c r="E147" s="20"/>
      <c r="F147" s="20"/>
      <c r="G147" s="20"/>
      <c r="H147" s="20"/>
      <c r="I147" s="20"/>
      <c r="J147" s="20"/>
      <c r="K147" s="20"/>
      <c r="L147" s="2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20"/>
    </row>
    <row r="148" spans="1:36" x14ac:dyDescent="0.35">
      <c r="AJ148" s="7"/>
    </row>
    <row r="149" spans="1:36" x14ac:dyDescent="0.35">
      <c r="A149" s="15"/>
      <c r="B149" s="16" t="s">
        <v>122</v>
      </c>
      <c r="C149" s="16" t="s">
        <v>123</v>
      </c>
      <c r="D149" s="16" t="s">
        <v>124</v>
      </c>
      <c r="E149" s="16" t="s">
        <v>125</v>
      </c>
      <c r="F149" s="16" t="s">
        <v>126</v>
      </c>
      <c r="G149" s="16" t="s">
        <v>127</v>
      </c>
      <c r="H149" s="16" t="s">
        <v>128</v>
      </c>
      <c r="I149" s="16" t="s">
        <v>129</v>
      </c>
      <c r="J149" s="16" t="s">
        <v>130</v>
      </c>
      <c r="K149" s="16" t="s">
        <v>131</v>
      </c>
      <c r="L149" s="16" t="s">
        <v>132</v>
      </c>
      <c r="M149" s="16" t="s">
        <v>133</v>
      </c>
      <c r="N149" s="16" t="s">
        <v>134</v>
      </c>
      <c r="O149" s="16" t="s">
        <v>135</v>
      </c>
      <c r="P149" s="16" t="s">
        <v>136</v>
      </c>
      <c r="Q149" s="16" t="s">
        <v>137</v>
      </c>
      <c r="R149" s="16" t="s">
        <v>138</v>
      </c>
      <c r="S149" s="16" t="s">
        <v>139</v>
      </c>
      <c r="T149" s="16" t="s">
        <v>140</v>
      </c>
      <c r="U149" s="16" t="s">
        <v>141</v>
      </c>
      <c r="V149" s="16" t="s">
        <v>142</v>
      </c>
      <c r="W149" s="16" t="s">
        <v>143</v>
      </c>
      <c r="X149" s="16" t="s">
        <v>144</v>
      </c>
      <c r="Y149" s="16" t="s">
        <v>145</v>
      </c>
      <c r="Z149" s="16" t="s">
        <v>146</v>
      </c>
      <c r="AA149" s="16" t="s">
        <v>147</v>
      </c>
      <c r="AB149" s="16" t="s">
        <v>148</v>
      </c>
      <c r="AC149" s="16" t="s">
        <v>149</v>
      </c>
      <c r="AD149" s="16" t="s">
        <v>150</v>
      </c>
      <c r="AE149" s="16" t="s">
        <v>151</v>
      </c>
      <c r="AF149" s="16" t="s">
        <v>152</v>
      </c>
      <c r="AG149" s="16" t="s">
        <v>153</v>
      </c>
      <c r="AH149" s="16" t="s">
        <v>154</v>
      </c>
      <c r="AI149" s="16"/>
      <c r="AJ149" s="7"/>
    </row>
    <row r="150" spans="1:36" x14ac:dyDescent="0.35">
      <c r="A150" s="9" t="s">
        <v>276</v>
      </c>
      <c r="B150" s="38">
        <v>0</v>
      </c>
      <c r="C150" s="38">
        <v>0.23765432098765399</v>
      </c>
      <c r="D150" s="38">
        <v>0.23899371069182301</v>
      </c>
      <c r="E150" s="38">
        <v>0.53703703703703698</v>
      </c>
      <c r="F150" s="38">
        <v>0.12757201646090499</v>
      </c>
      <c r="G150" s="38">
        <v>0.94805194805194803</v>
      </c>
      <c r="H150" s="38">
        <v>0.55692729766803795</v>
      </c>
      <c r="I150" s="38">
        <v>0.936708860759493</v>
      </c>
      <c r="J150" s="38">
        <v>0.407407407407407</v>
      </c>
      <c r="K150" s="38">
        <v>0.19478737997256501</v>
      </c>
      <c r="L150" s="38">
        <v>5.5555555555555497E-2</v>
      </c>
      <c r="M150" s="38">
        <v>0.158904109589041</v>
      </c>
      <c r="N150" s="38">
        <v>0.95061728395061695</v>
      </c>
      <c r="O150" s="38">
        <v>6.1728395061728301E-2</v>
      </c>
      <c r="P150" s="38">
        <v>0.189873417721519</v>
      </c>
      <c r="Q150" s="38">
        <v>0.32345679012345602</v>
      </c>
      <c r="R150" s="38">
        <v>0.98765432098765404</v>
      </c>
      <c r="S150" s="38">
        <v>0.76543209876543195</v>
      </c>
      <c r="T150" s="38">
        <v>0.97530864197530798</v>
      </c>
      <c r="U150" s="38">
        <v>1</v>
      </c>
      <c r="V150" s="38">
        <v>1</v>
      </c>
      <c r="W150" s="38">
        <v>0.11111111111111099</v>
      </c>
      <c r="X150" s="38">
        <v>1</v>
      </c>
      <c r="Y150" s="38">
        <v>0.97530864197530798</v>
      </c>
      <c r="Z150" s="38">
        <v>0.90123456790123402</v>
      </c>
      <c r="AA150" s="38">
        <v>0.44444444444444398</v>
      </c>
      <c r="AB150" s="38">
        <v>1</v>
      </c>
      <c r="AC150" s="38">
        <v>1</v>
      </c>
      <c r="AD150" s="38">
        <v>1</v>
      </c>
      <c r="AE150" s="38">
        <v>1</v>
      </c>
      <c r="AF150" s="38">
        <v>0.938271604938271</v>
      </c>
      <c r="AG150" s="38">
        <v>1</v>
      </c>
      <c r="AH150" s="38">
        <v>0.19565217391304299</v>
      </c>
      <c r="AI150" s="38" t="s">
        <v>195</v>
      </c>
      <c r="AJ150" s="7"/>
    </row>
    <row r="151" spans="1:36" x14ac:dyDescent="0.35">
      <c r="AJ151" s="7"/>
    </row>
    <row r="152" spans="1:36" x14ac:dyDescent="0.35">
      <c r="A152" s="17" t="s">
        <v>207</v>
      </c>
      <c r="B152" s="17"/>
      <c r="C152" s="18" t="s">
        <v>122</v>
      </c>
      <c r="D152" s="18" t="s">
        <v>123</v>
      </c>
      <c r="E152" s="18" t="s">
        <v>124</v>
      </c>
      <c r="F152" s="18" t="s">
        <v>125</v>
      </c>
      <c r="G152" s="18" t="s">
        <v>126</v>
      </c>
      <c r="H152" s="18" t="s">
        <v>127</v>
      </c>
      <c r="I152" s="18" t="s">
        <v>128</v>
      </c>
      <c r="J152" s="18" t="s">
        <v>129</v>
      </c>
      <c r="K152" s="18" t="s">
        <v>130</v>
      </c>
      <c r="L152" s="18" t="s">
        <v>131</v>
      </c>
      <c r="M152" s="18" t="s">
        <v>132</v>
      </c>
      <c r="N152" s="18" t="s">
        <v>133</v>
      </c>
      <c r="O152" s="18" t="s">
        <v>134</v>
      </c>
      <c r="P152" s="18" t="s">
        <v>135</v>
      </c>
      <c r="Q152" s="18" t="s">
        <v>136</v>
      </c>
      <c r="R152" s="18" t="s">
        <v>137</v>
      </c>
      <c r="S152" s="18" t="s">
        <v>138</v>
      </c>
      <c r="T152" s="18" t="s">
        <v>139</v>
      </c>
      <c r="U152" s="18" t="s">
        <v>140</v>
      </c>
      <c r="V152" s="18" t="s">
        <v>141</v>
      </c>
      <c r="W152" s="18" t="s">
        <v>142</v>
      </c>
      <c r="X152" s="18" t="s">
        <v>143</v>
      </c>
      <c r="Y152" s="18" t="s">
        <v>144</v>
      </c>
      <c r="Z152" s="18" t="s">
        <v>145</v>
      </c>
      <c r="AA152" s="18" t="s">
        <v>146</v>
      </c>
      <c r="AB152" s="18" t="s">
        <v>147</v>
      </c>
      <c r="AC152" s="18" t="s">
        <v>148</v>
      </c>
      <c r="AD152" s="18" t="s">
        <v>149</v>
      </c>
      <c r="AE152" s="18" t="s">
        <v>150</v>
      </c>
      <c r="AF152" s="18" t="s">
        <v>151</v>
      </c>
      <c r="AG152" s="18" t="s">
        <v>152</v>
      </c>
      <c r="AH152" s="18" t="s">
        <v>153</v>
      </c>
      <c r="AI152" s="18" t="s">
        <v>154</v>
      </c>
      <c r="AJ152" s="7"/>
    </row>
    <row r="153" spans="1:36" x14ac:dyDescent="0.35">
      <c r="A153" s="17" t="s">
        <v>208</v>
      </c>
      <c r="B153" s="17"/>
      <c r="C153" s="19">
        <f>COUNTIFS(B$4:B$63,B150,$AI$4:$AI$63,"YES")</f>
        <v>0</v>
      </c>
      <c r="D153" s="19">
        <f>COUNTIFS(C$4:C$63,C150,$AI$4:$AI$63,"YES")</f>
        <v>0</v>
      </c>
      <c r="E153" s="19">
        <f t="shared" ref="E153:AJ153" si="12">COUNTIFS(D$4:D$63,D150,$AI$4:$AI$63,"YES")</f>
        <v>1</v>
      </c>
      <c r="F153" s="19">
        <f t="shared" si="12"/>
        <v>0</v>
      </c>
      <c r="G153" s="19">
        <f t="shared" si="12"/>
        <v>0</v>
      </c>
      <c r="H153" s="19">
        <f t="shared" si="12"/>
        <v>0</v>
      </c>
      <c r="I153" s="19">
        <f t="shared" si="12"/>
        <v>0</v>
      </c>
      <c r="J153" s="19">
        <f t="shared" si="12"/>
        <v>0</v>
      </c>
      <c r="K153" s="19">
        <f t="shared" si="12"/>
        <v>0</v>
      </c>
      <c r="L153" s="19">
        <f t="shared" si="12"/>
        <v>0</v>
      </c>
      <c r="M153" s="19">
        <f t="shared" si="12"/>
        <v>0</v>
      </c>
      <c r="N153" s="19">
        <f t="shared" si="12"/>
        <v>0</v>
      </c>
      <c r="O153" s="19">
        <f t="shared" si="12"/>
        <v>0</v>
      </c>
      <c r="P153" s="19">
        <f t="shared" si="12"/>
        <v>0</v>
      </c>
      <c r="Q153" s="19">
        <f t="shared" si="12"/>
        <v>0</v>
      </c>
      <c r="R153" s="19">
        <f t="shared" si="12"/>
        <v>0</v>
      </c>
      <c r="S153" s="19">
        <f t="shared" si="12"/>
        <v>0</v>
      </c>
      <c r="T153" s="19">
        <f t="shared" si="12"/>
        <v>0</v>
      </c>
      <c r="U153" s="19">
        <f t="shared" si="12"/>
        <v>0</v>
      </c>
      <c r="V153" s="19">
        <f t="shared" si="12"/>
        <v>4</v>
      </c>
      <c r="W153" s="19">
        <f t="shared" si="12"/>
        <v>4</v>
      </c>
      <c r="X153" s="19">
        <f t="shared" si="12"/>
        <v>0</v>
      </c>
      <c r="Y153" s="19">
        <f t="shared" si="12"/>
        <v>4</v>
      </c>
      <c r="Z153" s="19">
        <f t="shared" si="12"/>
        <v>0</v>
      </c>
      <c r="AA153" s="19">
        <f t="shared" si="12"/>
        <v>0</v>
      </c>
      <c r="AB153" s="19">
        <f t="shared" si="12"/>
        <v>0</v>
      </c>
      <c r="AC153" s="19">
        <f t="shared" si="12"/>
        <v>4</v>
      </c>
      <c r="AD153" s="19">
        <f t="shared" si="12"/>
        <v>4</v>
      </c>
      <c r="AE153" s="19">
        <f t="shared" si="12"/>
        <v>4</v>
      </c>
      <c r="AF153" s="19">
        <f t="shared" si="12"/>
        <v>4</v>
      </c>
      <c r="AG153" s="19">
        <f t="shared" si="12"/>
        <v>0</v>
      </c>
      <c r="AH153" s="19">
        <f t="shared" si="12"/>
        <v>4</v>
      </c>
      <c r="AI153" s="19">
        <f t="shared" si="12"/>
        <v>1</v>
      </c>
      <c r="AJ153" s="20"/>
    </row>
    <row r="154" spans="1:36" x14ac:dyDescent="0.35">
      <c r="A154" s="17" t="s">
        <v>209</v>
      </c>
      <c r="B154" s="17"/>
      <c r="C154" s="19">
        <f>COUNTIFS(B$4:B$63,B150,$AI$4:$AI$63,"NO")</f>
        <v>10</v>
      </c>
      <c r="D154" s="19">
        <f t="shared" ref="D154:AI154" si="13">COUNTIFS(C$4:C$63,C150,$AI$4:$AI$63,"NO")</f>
        <v>6</v>
      </c>
      <c r="E154" s="19">
        <f t="shared" si="13"/>
        <v>26</v>
      </c>
      <c r="F154" s="19">
        <f t="shared" si="13"/>
        <v>6</v>
      </c>
      <c r="G154" s="19">
        <f t="shared" si="13"/>
        <v>6</v>
      </c>
      <c r="H154" s="19">
        <f t="shared" si="13"/>
        <v>9</v>
      </c>
      <c r="I154" s="19">
        <f t="shared" si="13"/>
        <v>6</v>
      </c>
      <c r="J154" s="19">
        <f t="shared" si="13"/>
        <v>7</v>
      </c>
      <c r="K154" s="19">
        <f t="shared" si="13"/>
        <v>6</v>
      </c>
      <c r="L154" s="19">
        <f t="shared" si="13"/>
        <v>6</v>
      </c>
      <c r="M154" s="19">
        <f t="shared" si="13"/>
        <v>6</v>
      </c>
      <c r="N154" s="19">
        <f t="shared" si="13"/>
        <v>12</v>
      </c>
      <c r="O154" s="19">
        <f t="shared" si="13"/>
        <v>6</v>
      </c>
      <c r="P154" s="19">
        <f t="shared" si="13"/>
        <v>6</v>
      </c>
      <c r="Q154" s="19">
        <f t="shared" si="13"/>
        <v>7</v>
      </c>
      <c r="R154" s="19">
        <f t="shared" si="13"/>
        <v>6</v>
      </c>
      <c r="S154" s="19">
        <f t="shared" si="13"/>
        <v>6</v>
      </c>
      <c r="T154" s="19">
        <f t="shared" si="13"/>
        <v>6</v>
      </c>
      <c r="U154" s="19">
        <f t="shared" si="13"/>
        <v>6</v>
      </c>
      <c r="V154" s="19">
        <f t="shared" si="13"/>
        <v>56</v>
      </c>
      <c r="W154" s="19">
        <f t="shared" si="13"/>
        <v>56</v>
      </c>
      <c r="X154" s="19">
        <f t="shared" si="13"/>
        <v>6</v>
      </c>
      <c r="Y154" s="19">
        <f t="shared" si="13"/>
        <v>56</v>
      </c>
      <c r="Z154" s="19">
        <f t="shared" si="13"/>
        <v>6</v>
      </c>
      <c r="AA154" s="19">
        <f t="shared" si="13"/>
        <v>6</v>
      </c>
      <c r="AB154" s="19">
        <f t="shared" si="13"/>
        <v>6</v>
      </c>
      <c r="AC154" s="19">
        <f t="shared" si="13"/>
        <v>56</v>
      </c>
      <c r="AD154" s="19">
        <f t="shared" si="13"/>
        <v>56</v>
      </c>
      <c r="AE154" s="19">
        <f t="shared" si="13"/>
        <v>56</v>
      </c>
      <c r="AF154" s="19">
        <f t="shared" si="13"/>
        <v>56</v>
      </c>
      <c r="AG154" s="19">
        <f t="shared" si="13"/>
        <v>6</v>
      </c>
      <c r="AH154" s="19">
        <f t="shared" si="13"/>
        <v>56</v>
      </c>
      <c r="AI154" s="19">
        <f t="shared" si="13"/>
        <v>30</v>
      </c>
      <c r="AJ154" s="20"/>
    </row>
    <row r="155" spans="1:36" x14ac:dyDescent="0.35">
      <c r="A155" s="17" t="s">
        <v>210</v>
      </c>
      <c r="B155" s="18" t="s">
        <v>208</v>
      </c>
      <c r="C155" s="19">
        <f>C153/$B$108</f>
        <v>0</v>
      </c>
      <c r="D155" s="19">
        <f t="shared" ref="D155:AI155" si="14">D153/$B$108</f>
        <v>0</v>
      </c>
      <c r="E155" s="19">
        <f t="shared" si="14"/>
        <v>15</v>
      </c>
      <c r="F155" s="19">
        <f t="shared" si="14"/>
        <v>0</v>
      </c>
      <c r="G155" s="19">
        <f t="shared" si="14"/>
        <v>0</v>
      </c>
      <c r="H155" s="19">
        <f t="shared" si="14"/>
        <v>0</v>
      </c>
      <c r="I155" s="19">
        <f t="shared" si="14"/>
        <v>0</v>
      </c>
      <c r="J155" s="19">
        <f t="shared" si="14"/>
        <v>0</v>
      </c>
      <c r="K155" s="19">
        <f t="shared" si="14"/>
        <v>0</v>
      </c>
      <c r="L155" s="19">
        <f t="shared" si="14"/>
        <v>0</v>
      </c>
      <c r="M155" s="19">
        <f t="shared" si="14"/>
        <v>0</v>
      </c>
      <c r="N155" s="19">
        <f t="shared" si="14"/>
        <v>0</v>
      </c>
      <c r="O155" s="19">
        <f t="shared" si="14"/>
        <v>0</v>
      </c>
      <c r="P155" s="19">
        <f t="shared" si="14"/>
        <v>0</v>
      </c>
      <c r="Q155" s="19">
        <f t="shared" si="14"/>
        <v>0</v>
      </c>
      <c r="R155" s="19">
        <f t="shared" si="14"/>
        <v>0</v>
      </c>
      <c r="S155" s="19">
        <f t="shared" si="14"/>
        <v>0</v>
      </c>
      <c r="T155" s="19">
        <f t="shared" si="14"/>
        <v>0</v>
      </c>
      <c r="U155" s="19">
        <f t="shared" si="14"/>
        <v>0</v>
      </c>
      <c r="V155" s="19">
        <f t="shared" si="14"/>
        <v>60</v>
      </c>
      <c r="W155" s="19">
        <f t="shared" si="14"/>
        <v>60</v>
      </c>
      <c r="X155" s="19">
        <f t="shared" si="14"/>
        <v>0</v>
      </c>
      <c r="Y155" s="19">
        <f t="shared" si="14"/>
        <v>60</v>
      </c>
      <c r="Z155" s="19">
        <f t="shared" si="14"/>
        <v>0</v>
      </c>
      <c r="AA155" s="19">
        <f t="shared" si="14"/>
        <v>0</v>
      </c>
      <c r="AB155" s="19">
        <f t="shared" si="14"/>
        <v>0</v>
      </c>
      <c r="AC155" s="19">
        <f t="shared" si="14"/>
        <v>60</v>
      </c>
      <c r="AD155" s="19">
        <f t="shared" si="14"/>
        <v>60</v>
      </c>
      <c r="AE155" s="19">
        <f t="shared" si="14"/>
        <v>60</v>
      </c>
      <c r="AF155" s="19">
        <f t="shared" si="14"/>
        <v>60</v>
      </c>
      <c r="AG155" s="19">
        <f t="shared" si="14"/>
        <v>0</v>
      </c>
      <c r="AH155" s="19">
        <f t="shared" si="14"/>
        <v>60</v>
      </c>
      <c r="AI155" s="19">
        <f t="shared" si="14"/>
        <v>15</v>
      </c>
      <c r="AJ155" s="19">
        <f>C155*D155*E155*F155*G155*H155*I155*J155*K155*L155*M155*N155*O155*P155*Q155*R155*S155*T155*U155*V155*W155*X155*Y155*Z155*AA155*AB155*AC155*AD155*AE155*AF155*AG155*AH155*AI155</f>
        <v>0</v>
      </c>
    </row>
    <row r="156" spans="1:36" x14ac:dyDescent="0.35">
      <c r="A156" s="17"/>
      <c r="B156" s="18" t="s">
        <v>209</v>
      </c>
      <c r="C156" s="19">
        <f>C154/$C$108</f>
        <v>10.714285714285714</v>
      </c>
      <c r="D156" s="19">
        <f t="shared" ref="D156:AI156" si="15">D154/$C$108</f>
        <v>6.4285714285714288</v>
      </c>
      <c r="E156" s="19">
        <f t="shared" si="15"/>
        <v>27.857142857142858</v>
      </c>
      <c r="F156" s="19">
        <f t="shared" si="15"/>
        <v>6.4285714285714288</v>
      </c>
      <c r="G156" s="19">
        <f t="shared" si="15"/>
        <v>6.4285714285714288</v>
      </c>
      <c r="H156" s="19">
        <f t="shared" si="15"/>
        <v>9.6428571428571423</v>
      </c>
      <c r="I156" s="19">
        <f t="shared" si="15"/>
        <v>6.4285714285714288</v>
      </c>
      <c r="J156" s="19">
        <f t="shared" si="15"/>
        <v>7.5</v>
      </c>
      <c r="K156" s="19">
        <f t="shared" si="15"/>
        <v>6.4285714285714288</v>
      </c>
      <c r="L156" s="19">
        <f t="shared" si="15"/>
        <v>6.4285714285714288</v>
      </c>
      <c r="M156" s="19">
        <f t="shared" si="15"/>
        <v>6.4285714285714288</v>
      </c>
      <c r="N156" s="19">
        <f t="shared" si="15"/>
        <v>12.857142857142858</v>
      </c>
      <c r="O156" s="19">
        <f t="shared" si="15"/>
        <v>6.4285714285714288</v>
      </c>
      <c r="P156" s="19">
        <f t="shared" si="15"/>
        <v>6.4285714285714288</v>
      </c>
      <c r="Q156" s="19">
        <f t="shared" si="15"/>
        <v>7.5</v>
      </c>
      <c r="R156" s="19">
        <f t="shared" si="15"/>
        <v>6.4285714285714288</v>
      </c>
      <c r="S156" s="19">
        <f t="shared" si="15"/>
        <v>6.4285714285714288</v>
      </c>
      <c r="T156" s="19">
        <f t="shared" si="15"/>
        <v>6.4285714285714288</v>
      </c>
      <c r="U156" s="19">
        <f t="shared" si="15"/>
        <v>6.4285714285714288</v>
      </c>
      <c r="V156" s="19">
        <f t="shared" si="15"/>
        <v>60</v>
      </c>
      <c r="W156" s="19">
        <f t="shared" si="15"/>
        <v>60</v>
      </c>
      <c r="X156" s="19">
        <f t="shared" si="15"/>
        <v>6.4285714285714288</v>
      </c>
      <c r="Y156" s="19">
        <f t="shared" si="15"/>
        <v>60</v>
      </c>
      <c r="Z156" s="19">
        <f t="shared" si="15"/>
        <v>6.4285714285714288</v>
      </c>
      <c r="AA156" s="19">
        <f t="shared" si="15"/>
        <v>6.4285714285714288</v>
      </c>
      <c r="AB156" s="19">
        <f t="shared" si="15"/>
        <v>6.4285714285714288</v>
      </c>
      <c r="AC156" s="19">
        <f t="shared" si="15"/>
        <v>60</v>
      </c>
      <c r="AD156" s="19">
        <f t="shared" si="15"/>
        <v>60</v>
      </c>
      <c r="AE156" s="19">
        <f t="shared" si="15"/>
        <v>60</v>
      </c>
      <c r="AF156" s="19">
        <f t="shared" si="15"/>
        <v>60</v>
      </c>
      <c r="AG156" s="19">
        <f t="shared" si="15"/>
        <v>6.4285714285714288</v>
      </c>
      <c r="AH156" s="19">
        <f t="shared" si="15"/>
        <v>60</v>
      </c>
      <c r="AI156" s="19">
        <f t="shared" si="15"/>
        <v>32.142857142857139</v>
      </c>
      <c r="AJ156" s="19">
        <f>C156*D156*E156*F156*G156*H156*I156*J156*K156*L156*M156*N156*O156*P156*Q156*R156*S156*T156*U156*V156*W156*X156*Y156*Z156*AA156*AB156*AC156*AD156*AE156*AF156*AG156*AH156*AI156</f>
        <v>3.9511865301379321E+36</v>
      </c>
    </row>
    <row r="157" spans="1:36" x14ac:dyDescent="0.35">
      <c r="A157" s="21"/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20"/>
    </row>
    <row r="158" spans="1:36" x14ac:dyDescent="0.35">
      <c r="A158" s="22" t="s">
        <v>211</v>
      </c>
      <c r="B158" s="23"/>
      <c r="C158" s="24" t="s">
        <v>212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20"/>
    </row>
    <row r="159" spans="1:36" x14ac:dyDescent="0.35">
      <c r="A159" s="25" t="s">
        <v>208</v>
      </c>
      <c r="B159" s="26">
        <f>AJ155*$B$108</f>
        <v>0</v>
      </c>
      <c r="C159" s="27" t="str">
        <f>IF(B159&gt;B160,A159,A160)</f>
        <v>No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20"/>
    </row>
    <row r="160" spans="1:36" x14ac:dyDescent="0.35">
      <c r="A160" s="25" t="s">
        <v>209</v>
      </c>
      <c r="B160" s="26">
        <f>AJ156*$C$108</f>
        <v>3.6877740947954033E+36</v>
      </c>
      <c r="C160" s="28"/>
      <c r="D160" s="20"/>
      <c r="E160" s="20"/>
      <c r="F160" s="20"/>
      <c r="G160" s="20"/>
      <c r="H160" s="20"/>
      <c r="I160" s="20"/>
      <c r="J160" s="20"/>
      <c r="K160" s="20"/>
      <c r="L160" s="2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20"/>
    </row>
    <row r="161" spans="1:36" x14ac:dyDescent="0.35">
      <c r="AJ161" s="7"/>
    </row>
    <row r="162" spans="1:36" x14ac:dyDescent="0.35">
      <c r="A162" s="15"/>
      <c r="B162" s="16" t="s">
        <v>122</v>
      </c>
      <c r="C162" s="16" t="s">
        <v>123</v>
      </c>
      <c r="D162" s="16" t="s">
        <v>124</v>
      </c>
      <c r="E162" s="16" t="s">
        <v>125</v>
      </c>
      <c r="F162" s="16" t="s">
        <v>126</v>
      </c>
      <c r="G162" s="16" t="s">
        <v>127</v>
      </c>
      <c r="H162" s="16" t="s">
        <v>128</v>
      </c>
      <c r="I162" s="16" t="s">
        <v>129</v>
      </c>
      <c r="J162" s="16" t="s">
        <v>130</v>
      </c>
      <c r="K162" s="16" t="s">
        <v>131</v>
      </c>
      <c r="L162" s="16" t="s">
        <v>132</v>
      </c>
      <c r="M162" s="16" t="s">
        <v>133</v>
      </c>
      <c r="N162" s="16" t="s">
        <v>134</v>
      </c>
      <c r="O162" s="16" t="s">
        <v>135</v>
      </c>
      <c r="P162" s="16" t="s">
        <v>136</v>
      </c>
      <c r="Q162" s="16" t="s">
        <v>137</v>
      </c>
      <c r="R162" s="16" t="s">
        <v>138</v>
      </c>
      <c r="S162" s="16" t="s">
        <v>139</v>
      </c>
      <c r="T162" s="16" t="s">
        <v>140</v>
      </c>
      <c r="U162" s="16" t="s">
        <v>141</v>
      </c>
      <c r="V162" s="16" t="s">
        <v>142</v>
      </c>
      <c r="W162" s="16" t="s">
        <v>143</v>
      </c>
      <c r="X162" s="16" t="s">
        <v>144</v>
      </c>
      <c r="Y162" s="16" t="s">
        <v>145</v>
      </c>
      <c r="Z162" s="16" t="s">
        <v>146</v>
      </c>
      <c r="AA162" s="16" t="s">
        <v>147</v>
      </c>
      <c r="AB162" s="16" t="s">
        <v>148</v>
      </c>
      <c r="AC162" s="16" t="s">
        <v>149</v>
      </c>
      <c r="AD162" s="16" t="s">
        <v>150</v>
      </c>
      <c r="AE162" s="16" t="s">
        <v>151</v>
      </c>
      <c r="AF162" s="16" t="s">
        <v>152</v>
      </c>
      <c r="AG162" s="16" t="s">
        <v>153</v>
      </c>
      <c r="AH162" s="16" t="s">
        <v>154</v>
      </c>
      <c r="AI162" s="16"/>
      <c r="AJ162" s="7"/>
    </row>
    <row r="163" spans="1:36" x14ac:dyDescent="0.35">
      <c r="A163" s="9" t="s">
        <v>277</v>
      </c>
      <c r="B163" s="38">
        <v>0</v>
      </c>
      <c r="C163" s="38">
        <v>0.23765432098765399</v>
      </c>
      <c r="D163" s="38">
        <v>0.23899371069182301</v>
      </c>
      <c r="E163" s="38">
        <v>0.53703703703703698</v>
      </c>
      <c r="F163" s="38">
        <v>0.12757201646090499</v>
      </c>
      <c r="G163" s="38">
        <v>0.94805194805194803</v>
      </c>
      <c r="H163" s="38">
        <v>0.55692729766803795</v>
      </c>
      <c r="I163" s="38">
        <v>0.936708860759493</v>
      </c>
      <c r="J163" s="38">
        <v>0.407407407407407</v>
      </c>
      <c r="K163" s="38">
        <v>0.19478737997256501</v>
      </c>
      <c r="L163" s="38">
        <v>5.5555555555555497E-2</v>
      </c>
      <c r="M163" s="38">
        <v>0.158904109589041</v>
      </c>
      <c r="N163" s="38">
        <v>0.95061728395061695</v>
      </c>
      <c r="O163" s="38">
        <v>6.1728395061728301E-2</v>
      </c>
      <c r="P163" s="38">
        <v>0.189873417721519</v>
      </c>
      <c r="Q163" s="38">
        <v>0.32345679012345602</v>
      </c>
      <c r="R163" s="38">
        <v>0.98765432098765404</v>
      </c>
      <c r="S163" s="38">
        <v>0.76543209876543195</v>
      </c>
      <c r="T163" s="38">
        <v>0.97530864197530798</v>
      </c>
      <c r="U163" s="38">
        <v>1</v>
      </c>
      <c r="V163" s="38">
        <v>1</v>
      </c>
      <c r="W163" s="38">
        <v>0.11111111111111099</v>
      </c>
      <c r="X163" s="38">
        <v>1</v>
      </c>
      <c r="Y163" s="38">
        <v>0.97530864197530798</v>
      </c>
      <c r="Z163" s="38">
        <v>0.90123456790123402</v>
      </c>
      <c r="AA163" s="38">
        <v>0.44444444444444398</v>
      </c>
      <c r="AB163" s="38">
        <v>1</v>
      </c>
      <c r="AC163" s="38">
        <v>1</v>
      </c>
      <c r="AD163" s="38">
        <v>1</v>
      </c>
      <c r="AE163" s="38">
        <v>1</v>
      </c>
      <c r="AF163" s="38">
        <v>0.938271604938271</v>
      </c>
      <c r="AG163" s="38">
        <v>1</v>
      </c>
      <c r="AH163" s="38">
        <v>0.19565217391304299</v>
      </c>
      <c r="AI163" s="38" t="s">
        <v>195</v>
      </c>
      <c r="AJ163" s="7"/>
    </row>
    <row r="164" spans="1:36" x14ac:dyDescent="0.35">
      <c r="AJ164" s="7"/>
    </row>
    <row r="165" spans="1:36" x14ac:dyDescent="0.35">
      <c r="A165" s="17" t="s">
        <v>207</v>
      </c>
      <c r="B165" s="17"/>
      <c r="C165" s="18" t="s">
        <v>122</v>
      </c>
      <c r="D165" s="18" t="s">
        <v>123</v>
      </c>
      <c r="E165" s="18" t="s">
        <v>124</v>
      </c>
      <c r="F165" s="18" t="s">
        <v>125</v>
      </c>
      <c r="G165" s="18" t="s">
        <v>126</v>
      </c>
      <c r="H165" s="18" t="s">
        <v>127</v>
      </c>
      <c r="I165" s="18" t="s">
        <v>128</v>
      </c>
      <c r="J165" s="18" t="s">
        <v>129</v>
      </c>
      <c r="K165" s="18" t="s">
        <v>130</v>
      </c>
      <c r="L165" s="18" t="s">
        <v>131</v>
      </c>
      <c r="M165" s="18" t="s">
        <v>132</v>
      </c>
      <c r="N165" s="18" t="s">
        <v>133</v>
      </c>
      <c r="O165" s="18" t="s">
        <v>134</v>
      </c>
      <c r="P165" s="18" t="s">
        <v>135</v>
      </c>
      <c r="Q165" s="18" t="s">
        <v>136</v>
      </c>
      <c r="R165" s="18" t="s">
        <v>137</v>
      </c>
      <c r="S165" s="18" t="s">
        <v>138</v>
      </c>
      <c r="T165" s="18" t="s">
        <v>139</v>
      </c>
      <c r="U165" s="18" t="s">
        <v>140</v>
      </c>
      <c r="V165" s="18" t="s">
        <v>141</v>
      </c>
      <c r="W165" s="18" t="s">
        <v>142</v>
      </c>
      <c r="X165" s="18" t="s">
        <v>143</v>
      </c>
      <c r="Y165" s="18" t="s">
        <v>144</v>
      </c>
      <c r="Z165" s="18" t="s">
        <v>145</v>
      </c>
      <c r="AA165" s="18" t="s">
        <v>146</v>
      </c>
      <c r="AB165" s="18" t="s">
        <v>147</v>
      </c>
      <c r="AC165" s="18" t="s">
        <v>148</v>
      </c>
      <c r="AD165" s="18" t="s">
        <v>149</v>
      </c>
      <c r="AE165" s="18" t="s">
        <v>150</v>
      </c>
      <c r="AF165" s="18" t="s">
        <v>151</v>
      </c>
      <c r="AG165" s="18" t="s">
        <v>152</v>
      </c>
      <c r="AH165" s="18" t="s">
        <v>153</v>
      </c>
      <c r="AI165" s="18" t="s">
        <v>154</v>
      </c>
      <c r="AJ165" s="7"/>
    </row>
    <row r="166" spans="1:36" x14ac:dyDescent="0.35">
      <c r="A166" s="17" t="s">
        <v>208</v>
      </c>
      <c r="B166" s="17"/>
      <c r="C166" s="19">
        <f>COUNTIFS(B$4:B$63,B163,$AI$4:$AI$63,"YES")</f>
        <v>0</v>
      </c>
      <c r="D166" s="19">
        <f>COUNTIFS(C$4:C$63,C163,$AI$4:$AI$63,"YES")</f>
        <v>0</v>
      </c>
      <c r="E166" s="19">
        <f t="shared" ref="E166:AJ166" si="16">COUNTIFS(D$4:D$63,D163,$AI$4:$AI$63,"YES")</f>
        <v>1</v>
      </c>
      <c r="F166" s="19">
        <f t="shared" si="16"/>
        <v>0</v>
      </c>
      <c r="G166" s="19">
        <f t="shared" si="16"/>
        <v>0</v>
      </c>
      <c r="H166" s="19">
        <f t="shared" si="16"/>
        <v>0</v>
      </c>
      <c r="I166" s="19">
        <f t="shared" si="16"/>
        <v>0</v>
      </c>
      <c r="J166" s="19">
        <f t="shared" si="16"/>
        <v>0</v>
      </c>
      <c r="K166" s="19">
        <f t="shared" si="16"/>
        <v>0</v>
      </c>
      <c r="L166" s="19">
        <f t="shared" si="16"/>
        <v>0</v>
      </c>
      <c r="M166" s="19">
        <f t="shared" si="16"/>
        <v>0</v>
      </c>
      <c r="N166" s="19">
        <f t="shared" si="16"/>
        <v>0</v>
      </c>
      <c r="O166" s="19">
        <f t="shared" si="16"/>
        <v>0</v>
      </c>
      <c r="P166" s="19">
        <f t="shared" si="16"/>
        <v>0</v>
      </c>
      <c r="Q166" s="19">
        <f t="shared" si="16"/>
        <v>0</v>
      </c>
      <c r="R166" s="19">
        <f t="shared" si="16"/>
        <v>0</v>
      </c>
      <c r="S166" s="19">
        <f t="shared" si="16"/>
        <v>0</v>
      </c>
      <c r="T166" s="19">
        <f t="shared" si="16"/>
        <v>0</v>
      </c>
      <c r="U166" s="19">
        <f t="shared" si="16"/>
        <v>0</v>
      </c>
      <c r="V166" s="19">
        <f t="shared" si="16"/>
        <v>4</v>
      </c>
      <c r="W166" s="19">
        <f t="shared" si="16"/>
        <v>4</v>
      </c>
      <c r="X166" s="19">
        <f t="shared" si="16"/>
        <v>0</v>
      </c>
      <c r="Y166" s="19">
        <f t="shared" si="16"/>
        <v>4</v>
      </c>
      <c r="Z166" s="19">
        <f t="shared" si="16"/>
        <v>0</v>
      </c>
      <c r="AA166" s="19">
        <f t="shared" si="16"/>
        <v>0</v>
      </c>
      <c r="AB166" s="19">
        <f t="shared" si="16"/>
        <v>0</v>
      </c>
      <c r="AC166" s="19">
        <f t="shared" si="16"/>
        <v>4</v>
      </c>
      <c r="AD166" s="19">
        <f t="shared" si="16"/>
        <v>4</v>
      </c>
      <c r="AE166" s="19">
        <f t="shared" si="16"/>
        <v>4</v>
      </c>
      <c r="AF166" s="19">
        <f t="shared" si="16"/>
        <v>4</v>
      </c>
      <c r="AG166" s="19">
        <f t="shared" si="16"/>
        <v>0</v>
      </c>
      <c r="AH166" s="19">
        <f t="shared" si="16"/>
        <v>4</v>
      </c>
      <c r="AI166" s="19">
        <f t="shared" si="16"/>
        <v>1</v>
      </c>
      <c r="AJ166" s="20"/>
    </row>
    <row r="167" spans="1:36" x14ac:dyDescent="0.35">
      <c r="A167" s="17" t="s">
        <v>209</v>
      </c>
      <c r="B167" s="17"/>
      <c r="C167" s="19">
        <f>COUNTIFS(B$4:B$63,B163,$AI$4:$AI$63,"NO")</f>
        <v>10</v>
      </c>
      <c r="D167" s="19">
        <f t="shared" ref="D167:AI167" si="17">COUNTIFS(C$4:C$63,C163,$AI$4:$AI$63,"NO")</f>
        <v>6</v>
      </c>
      <c r="E167" s="19">
        <f t="shared" si="17"/>
        <v>26</v>
      </c>
      <c r="F167" s="19">
        <f t="shared" si="17"/>
        <v>6</v>
      </c>
      <c r="G167" s="19">
        <f t="shared" si="17"/>
        <v>6</v>
      </c>
      <c r="H167" s="19">
        <f t="shared" si="17"/>
        <v>9</v>
      </c>
      <c r="I167" s="19">
        <f t="shared" si="17"/>
        <v>6</v>
      </c>
      <c r="J167" s="19">
        <f t="shared" si="17"/>
        <v>7</v>
      </c>
      <c r="K167" s="19">
        <f t="shared" si="17"/>
        <v>6</v>
      </c>
      <c r="L167" s="19">
        <f t="shared" si="17"/>
        <v>6</v>
      </c>
      <c r="M167" s="19">
        <f t="shared" si="17"/>
        <v>6</v>
      </c>
      <c r="N167" s="19">
        <f t="shared" si="17"/>
        <v>12</v>
      </c>
      <c r="O167" s="19">
        <f t="shared" si="17"/>
        <v>6</v>
      </c>
      <c r="P167" s="19">
        <f t="shared" si="17"/>
        <v>6</v>
      </c>
      <c r="Q167" s="19">
        <f t="shared" si="17"/>
        <v>7</v>
      </c>
      <c r="R167" s="19">
        <f t="shared" si="17"/>
        <v>6</v>
      </c>
      <c r="S167" s="19">
        <f t="shared" si="17"/>
        <v>6</v>
      </c>
      <c r="T167" s="19">
        <f t="shared" si="17"/>
        <v>6</v>
      </c>
      <c r="U167" s="19">
        <f t="shared" si="17"/>
        <v>6</v>
      </c>
      <c r="V167" s="19">
        <f t="shared" si="17"/>
        <v>56</v>
      </c>
      <c r="W167" s="19">
        <f t="shared" si="17"/>
        <v>56</v>
      </c>
      <c r="X167" s="19">
        <f t="shared" si="17"/>
        <v>6</v>
      </c>
      <c r="Y167" s="19">
        <f t="shared" si="17"/>
        <v>56</v>
      </c>
      <c r="Z167" s="19">
        <f t="shared" si="17"/>
        <v>6</v>
      </c>
      <c r="AA167" s="19">
        <f t="shared" si="17"/>
        <v>6</v>
      </c>
      <c r="AB167" s="19">
        <f t="shared" si="17"/>
        <v>6</v>
      </c>
      <c r="AC167" s="19">
        <f t="shared" si="17"/>
        <v>56</v>
      </c>
      <c r="AD167" s="19">
        <f t="shared" si="17"/>
        <v>56</v>
      </c>
      <c r="AE167" s="19">
        <f t="shared" si="17"/>
        <v>56</v>
      </c>
      <c r="AF167" s="19">
        <f t="shared" si="17"/>
        <v>56</v>
      </c>
      <c r="AG167" s="19">
        <f t="shared" si="17"/>
        <v>6</v>
      </c>
      <c r="AH167" s="19">
        <f t="shared" si="17"/>
        <v>56</v>
      </c>
      <c r="AI167" s="19">
        <f t="shared" si="17"/>
        <v>30</v>
      </c>
      <c r="AJ167" s="20"/>
    </row>
    <row r="168" spans="1:36" x14ac:dyDescent="0.35">
      <c r="A168" s="17" t="s">
        <v>210</v>
      </c>
      <c r="B168" s="18" t="s">
        <v>208</v>
      </c>
      <c r="C168" s="19">
        <f>C166/$B$108</f>
        <v>0</v>
      </c>
      <c r="D168" s="19">
        <f t="shared" ref="D168:AI168" si="18">D166/$B$108</f>
        <v>0</v>
      </c>
      <c r="E168" s="19">
        <f t="shared" si="18"/>
        <v>15</v>
      </c>
      <c r="F168" s="19">
        <f t="shared" si="18"/>
        <v>0</v>
      </c>
      <c r="G168" s="19">
        <f t="shared" si="18"/>
        <v>0</v>
      </c>
      <c r="H168" s="19">
        <f t="shared" si="18"/>
        <v>0</v>
      </c>
      <c r="I168" s="19">
        <f t="shared" si="18"/>
        <v>0</v>
      </c>
      <c r="J168" s="19">
        <f t="shared" si="18"/>
        <v>0</v>
      </c>
      <c r="K168" s="19">
        <f t="shared" si="18"/>
        <v>0</v>
      </c>
      <c r="L168" s="19">
        <f t="shared" si="18"/>
        <v>0</v>
      </c>
      <c r="M168" s="19">
        <f t="shared" si="18"/>
        <v>0</v>
      </c>
      <c r="N168" s="19">
        <f t="shared" si="18"/>
        <v>0</v>
      </c>
      <c r="O168" s="19">
        <f t="shared" si="18"/>
        <v>0</v>
      </c>
      <c r="P168" s="19">
        <f t="shared" si="18"/>
        <v>0</v>
      </c>
      <c r="Q168" s="19">
        <f t="shared" si="18"/>
        <v>0</v>
      </c>
      <c r="R168" s="19">
        <f t="shared" si="18"/>
        <v>0</v>
      </c>
      <c r="S168" s="19">
        <f t="shared" si="18"/>
        <v>0</v>
      </c>
      <c r="T168" s="19">
        <f t="shared" si="18"/>
        <v>0</v>
      </c>
      <c r="U168" s="19">
        <f t="shared" si="18"/>
        <v>0</v>
      </c>
      <c r="V168" s="19">
        <f t="shared" si="18"/>
        <v>60</v>
      </c>
      <c r="W168" s="19">
        <f t="shared" si="18"/>
        <v>60</v>
      </c>
      <c r="X168" s="19">
        <f t="shared" si="18"/>
        <v>0</v>
      </c>
      <c r="Y168" s="19">
        <f t="shared" si="18"/>
        <v>60</v>
      </c>
      <c r="Z168" s="19">
        <f t="shared" si="18"/>
        <v>0</v>
      </c>
      <c r="AA168" s="19">
        <f t="shared" si="18"/>
        <v>0</v>
      </c>
      <c r="AB168" s="19">
        <f t="shared" si="18"/>
        <v>0</v>
      </c>
      <c r="AC168" s="19">
        <f t="shared" si="18"/>
        <v>60</v>
      </c>
      <c r="AD168" s="19">
        <f t="shared" si="18"/>
        <v>60</v>
      </c>
      <c r="AE168" s="19">
        <f t="shared" si="18"/>
        <v>60</v>
      </c>
      <c r="AF168" s="19">
        <f t="shared" si="18"/>
        <v>60</v>
      </c>
      <c r="AG168" s="19">
        <f t="shared" si="18"/>
        <v>0</v>
      </c>
      <c r="AH168" s="19">
        <f t="shared" si="18"/>
        <v>60</v>
      </c>
      <c r="AI168" s="19">
        <f t="shared" si="18"/>
        <v>15</v>
      </c>
      <c r="AJ168" s="19">
        <f>C168*D168*E168*F168*G168*H168*I168*J168*K168*L168*M168*N168*O168*P168*Q168*R168*S168*T168*U168*V168*W168*X168*Y168*Z168*AA168*AB168*AC168*AD168*AE168*AF168*AG168*AH168*AI168</f>
        <v>0</v>
      </c>
    </row>
    <row r="169" spans="1:36" x14ac:dyDescent="0.35">
      <c r="A169" s="17"/>
      <c r="B169" s="18" t="s">
        <v>209</v>
      </c>
      <c r="C169" s="19">
        <f>C167/$C$108</f>
        <v>10.714285714285714</v>
      </c>
      <c r="D169" s="19">
        <f t="shared" ref="D169:AI169" si="19">D167/$C$108</f>
        <v>6.4285714285714288</v>
      </c>
      <c r="E169" s="19">
        <f t="shared" si="19"/>
        <v>27.857142857142858</v>
      </c>
      <c r="F169" s="19">
        <f t="shared" si="19"/>
        <v>6.4285714285714288</v>
      </c>
      <c r="G169" s="19">
        <f t="shared" si="19"/>
        <v>6.4285714285714288</v>
      </c>
      <c r="H169" s="19">
        <f t="shared" si="19"/>
        <v>9.6428571428571423</v>
      </c>
      <c r="I169" s="19">
        <f t="shared" si="19"/>
        <v>6.4285714285714288</v>
      </c>
      <c r="J169" s="19">
        <f t="shared" si="19"/>
        <v>7.5</v>
      </c>
      <c r="K169" s="19">
        <f t="shared" si="19"/>
        <v>6.4285714285714288</v>
      </c>
      <c r="L169" s="19">
        <f t="shared" si="19"/>
        <v>6.4285714285714288</v>
      </c>
      <c r="M169" s="19">
        <f t="shared" si="19"/>
        <v>6.4285714285714288</v>
      </c>
      <c r="N169" s="19">
        <f t="shared" si="19"/>
        <v>12.857142857142858</v>
      </c>
      <c r="O169" s="19">
        <f t="shared" si="19"/>
        <v>6.4285714285714288</v>
      </c>
      <c r="P169" s="19">
        <f t="shared" si="19"/>
        <v>6.4285714285714288</v>
      </c>
      <c r="Q169" s="19">
        <f t="shared" si="19"/>
        <v>7.5</v>
      </c>
      <c r="R169" s="19">
        <f t="shared" si="19"/>
        <v>6.4285714285714288</v>
      </c>
      <c r="S169" s="19">
        <f t="shared" si="19"/>
        <v>6.4285714285714288</v>
      </c>
      <c r="T169" s="19">
        <f t="shared" si="19"/>
        <v>6.4285714285714288</v>
      </c>
      <c r="U169" s="19">
        <f t="shared" si="19"/>
        <v>6.4285714285714288</v>
      </c>
      <c r="V169" s="19">
        <f t="shared" si="19"/>
        <v>60</v>
      </c>
      <c r="W169" s="19">
        <f t="shared" si="19"/>
        <v>60</v>
      </c>
      <c r="X169" s="19">
        <f t="shared" si="19"/>
        <v>6.4285714285714288</v>
      </c>
      <c r="Y169" s="19">
        <f t="shared" si="19"/>
        <v>60</v>
      </c>
      <c r="Z169" s="19">
        <f t="shared" si="19"/>
        <v>6.4285714285714288</v>
      </c>
      <c r="AA169" s="19">
        <f t="shared" si="19"/>
        <v>6.4285714285714288</v>
      </c>
      <c r="AB169" s="19">
        <f t="shared" si="19"/>
        <v>6.4285714285714288</v>
      </c>
      <c r="AC169" s="19">
        <f t="shared" si="19"/>
        <v>60</v>
      </c>
      <c r="AD169" s="19">
        <f t="shared" si="19"/>
        <v>60</v>
      </c>
      <c r="AE169" s="19">
        <f t="shared" si="19"/>
        <v>60</v>
      </c>
      <c r="AF169" s="19">
        <f t="shared" si="19"/>
        <v>60</v>
      </c>
      <c r="AG169" s="19">
        <f t="shared" si="19"/>
        <v>6.4285714285714288</v>
      </c>
      <c r="AH169" s="19">
        <f t="shared" si="19"/>
        <v>60</v>
      </c>
      <c r="AI169" s="19">
        <f t="shared" si="19"/>
        <v>32.142857142857139</v>
      </c>
      <c r="AJ169" s="19">
        <f>C169*D169*E169*F169*G169*H169*I169*J169*K169*L169*M169*N169*O169*P169*Q169*R169*S169*T169*U169*V169*W169*X169*Y169*Z169*AA169*AB169*AC169*AD169*AE169*AF169*AG169*AH169*AI169</f>
        <v>3.9511865301379321E+36</v>
      </c>
    </row>
    <row r="170" spans="1:36" x14ac:dyDescent="0.35">
      <c r="A170" s="21"/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20"/>
    </row>
    <row r="171" spans="1:36" x14ac:dyDescent="0.35">
      <c r="A171" s="22" t="s">
        <v>211</v>
      </c>
      <c r="B171" s="23"/>
      <c r="C171" s="24" t="s">
        <v>212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20"/>
    </row>
    <row r="172" spans="1:36" x14ac:dyDescent="0.35">
      <c r="A172" s="25" t="s">
        <v>208</v>
      </c>
      <c r="B172" s="26">
        <f>AJ168*$B$108</f>
        <v>0</v>
      </c>
      <c r="C172" s="27" t="str">
        <f>IF(B172&gt;B173,A172,A173)</f>
        <v>No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20"/>
    </row>
    <row r="173" spans="1:36" x14ac:dyDescent="0.35">
      <c r="A173" s="25" t="s">
        <v>209</v>
      </c>
      <c r="B173" s="26">
        <f>AJ169*$C$108</f>
        <v>3.6877740947954033E+36</v>
      </c>
      <c r="C173" s="28"/>
      <c r="D173" s="20"/>
      <c r="E173" s="20"/>
      <c r="F173" s="20"/>
      <c r="G173" s="20"/>
      <c r="H173" s="20"/>
      <c r="I173" s="20"/>
      <c r="J173" s="20"/>
      <c r="K173" s="20"/>
      <c r="L173" s="2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20"/>
    </row>
    <row r="174" spans="1:36" x14ac:dyDescent="0.35">
      <c r="AJ174" s="7"/>
    </row>
    <row r="175" spans="1:36" x14ac:dyDescent="0.35">
      <c r="A175" s="15"/>
      <c r="B175" s="16" t="s">
        <v>122</v>
      </c>
      <c r="C175" s="16" t="s">
        <v>123</v>
      </c>
      <c r="D175" s="16" t="s">
        <v>124</v>
      </c>
      <c r="E175" s="16" t="s">
        <v>125</v>
      </c>
      <c r="F175" s="16" t="s">
        <v>126</v>
      </c>
      <c r="G175" s="16" t="s">
        <v>127</v>
      </c>
      <c r="H175" s="16" t="s">
        <v>128</v>
      </c>
      <c r="I175" s="16" t="s">
        <v>129</v>
      </c>
      <c r="J175" s="16" t="s">
        <v>130</v>
      </c>
      <c r="K175" s="16" t="s">
        <v>131</v>
      </c>
      <c r="L175" s="16" t="s">
        <v>132</v>
      </c>
      <c r="M175" s="16" t="s">
        <v>133</v>
      </c>
      <c r="N175" s="16" t="s">
        <v>134</v>
      </c>
      <c r="O175" s="16" t="s">
        <v>135</v>
      </c>
      <c r="P175" s="16" t="s">
        <v>136</v>
      </c>
      <c r="Q175" s="16" t="s">
        <v>137</v>
      </c>
      <c r="R175" s="16" t="s">
        <v>138</v>
      </c>
      <c r="S175" s="16" t="s">
        <v>139</v>
      </c>
      <c r="T175" s="16" t="s">
        <v>140</v>
      </c>
      <c r="U175" s="16" t="s">
        <v>141</v>
      </c>
      <c r="V175" s="16" t="s">
        <v>142</v>
      </c>
      <c r="W175" s="16" t="s">
        <v>143</v>
      </c>
      <c r="X175" s="16" t="s">
        <v>144</v>
      </c>
      <c r="Y175" s="16" t="s">
        <v>145</v>
      </c>
      <c r="Z175" s="16" t="s">
        <v>146</v>
      </c>
      <c r="AA175" s="16" t="s">
        <v>147</v>
      </c>
      <c r="AB175" s="16" t="s">
        <v>148</v>
      </c>
      <c r="AC175" s="16" t="s">
        <v>149</v>
      </c>
      <c r="AD175" s="16" t="s">
        <v>150</v>
      </c>
      <c r="AE175" s="16" t="s">
        <v>151</v>
      </c>
      <c r="AF175" s="16" t="s">
        <v>152</v>
      </c>
      <c r="AG175" s="16" t="s">
        <v>153</v>
      </c>
      <c r="AH175" s="16" t="s">
        <v>154</v>
      </c>
      <c r="AI175" s="16"/>
      <c r="AJ175" s="7"/>
    </row>
    <row r="176" spans="1:36" x14ac:dyDescent="0.35">
      <c r="A176" s="9" t="s">
        <v>278</v>
      </c>
      <c r="B176" s="38">
        <v>0</v>
      </c>
      <c r="C176" s="38">
        <v>0.23765432098765399</v>
      </c>
      <c r="D176" s="38">
        <v>0.23899371069182301</v>
      </c>
      <c r="E176" s="38">
        <v>0.53703703703703698</v>
      </c>
      <c r="F176" s="38">
        <v>0.12757201646090499</v>
      </c>
      <c r="G176" s="38">
        <v>0.94805194805194803</v>
      </c>
      <c r="H176" s="38">
        <v>0.55692729766803795</v>
      </c>
      <c r="I176" s="38">
        <v>0.936708860759493</v>
      </c>
      <c r="J176" s="38">
        <v>0.407407407407407</v>
      </c>
      <c r="K176" s="38">
        <v>0.19478737997256501</v>
      </c>
      <c r="L176" s="38">
        <v>5.5555555555555497E-2</v>
      </c>
      <c r="M176" s="38">
        <v>0.158904109589041</v>
      </c>
      <c r="N176" s="38">
        <v>0.95061728395061695</v>
      </c>
      <c r="O176" s="38">
        <v>6.1728395061728301E-2</v>
      </c>
      <c r="P176" s="38">
        <v>0.189873417721519</v>
      </c>
      <c r="Q176" s="38">
        <v>0.32345679012345602</v>
      </c>
      <c r="R176" s="38">
        <v>0.98765432098765404</v>
      </c>
      <c r="S176" s="38">
        <v>0.76543209876543195</v>
      </c>
      <c r="T176" s="38">
        <v>0.97530864197530798</v>
      </c>
      <c r="U176" s="38">
        <v>1</v>
      </c>
      <c r="V176" s="38">
        <v>1</v>
      </c>
      <c r="W176" s="38">
        <v>0.11111111111111099</v>
      </c>
      <c r="X176" s="38">
        <v>1</v>
      </c>
      <c r="Y176" s="38">
        <v>0.97530864197530798</v>
      </c>
      <c r="Z176" s="38">
        <v>0.90123456790123402</v>
      </c>
      <c r="AA176" s="38">
        <v>0.44444444444444398</v>
      </c>
      <c r="AB176" s="38">
        <v>1</v>
      </c>
      <c r="AC176" s="38">
        <v>1</v>
      </c>
      <c r="AD176" s="38">
        <v>1</v>
      </c>
      <c r="AE176" s="38">
        <v>1</v>
      </c>
      <c r="AF176" s="38">
        <v>0.938271604938271</v>
      </c>
      <c r="AG176" s="38">
        <v>1</v>
      </c>
      <c r="AH176" s="38">
        <v>0.19565217391304299</v>
      </c>
      <c r="AI176" s="38" t="s">
        <v>195</v>
      </c>
      <c r="AJ176" s="7"/>
    </row>
    <row r="177" spans="1:36" x14ac:dyDescent="0.35">
      <c r="AJ177" s="7"/>
    </row>
    <row r="178" spans="1:36" x14ac:dyDescent="0.35">
      <c r="A178" s="17" t="s">
        <v>207</v>
      </c>
      <c r="B178" s="17"/>
      <c r="C178" s="18" t="s">
        <v>122</v>
      </c>
      <c r="D178" s="18" t="s">
        <v>123</v>
      </c>
      <c r="E178" s="18" t="s">
        <v>124</v>
      </c>
      <c r="F178" s="18" t="s">
        <v>125</v>
      </c>
      <c r="G178" s="18" t="s">
        <v>126</v>
      </c>
      <c r="H178" s="18" t="s">
        <v>127</v>
      </c>
      <c r="I178" s="18" t="s">
        <v>128</v>
      </c>
      <c r="J178" s="18" t="s">
        <v>129</v>
      </c>
      <c r="K178" s="18" t="s">
        <v>130</v>
      </c>
      <c r="L178" s="18" t="s">
        <v>131</v>
      </c>
      <c r="M178" s="18" t="s">
        <v>132</v>
      </c>
      <c r="N178" s="18" t="s">
        <v>133</v>
      </c>
      <c r="O178" s="18" t="s">
        <v>134</v>
      </c>
      <c r="P178" s="18" t="s">
        <v>135</v>
      </c>
      <c r="Q178" s="18" t="s">
        <v>136</v>
      </c>
      <c r="R178" s="18" t="s">
        <v>137</v>
      </c>
      <c r="S178" s="18" t="s">
        <v>138</v>
      </c>
      <c r="T178" s="18" t="s">
        <v>139</v>
      </c>
      <c r="U178" s="18" t="s">
        <v>140</v>
      </c>
      <c r="V178" s="18" t="s">
        <v>141</v>
      </c>
      <c r="W178" s="18" t="s">
        <v>142</v>
      </c>
      <c r="X178" s="18" t="s">
        <v>143</v>
      </c>
      <c r="Y178" s="18" t="s">
        <v>144</v>
      </c>
      <c r="Z178" s="18" t="s">
        <v>145</v>
      </c>
      <c r="AA178" s="18" t="s">
        <v>146</v>
      </c>
      <c r="AB178" s="18" t="s">
        <v>147</v>
      </c>
      <c r="AC178" s="18" t="s">
        <v>148</v>
      </c>
      <c r="AD178" s="18" t="s">
        <v>149</v>
      </c>
      <c r="AE178" s="18" t="s">
        <v>150</v>
      </c>
      <c r="AF178" s="18" t="s">
        <v>151</v>
      </c>
      <c r="AG178" s="18" t="s">
        <v>152</v>
      </c>
      <c r="AH178" s="18" t="s">
        <v>153</v>
      </c>
      <c r="AI178" s="18" t="s">
        <v>154</v>
      </c>
      <c r="AJ178" s="7"/>
    </row>
    <row r="179" spans="1:36" x14ac:dyDescent="0.35">
      <c r="A179" s="17" t="s">
        <v>208</v>
      </c>
      <c r="B179" s="17"/>
      <c r="C179" s="19">
        <f>COUNTIFS(B$4:B$63,B176,$AI$4:$AI$63,"YES")</f>
        <v>0</v>
      </c>
      <c r="D179" s="19">
        <f>COUNTIFS(C$4:C$63,C176,$AI$4:$AI$63,"YES")</f>
        <v>0</v>
      </c>
      <c r="E179" s="19">
        <f t="shared" ref="E179:AJ179" si="20">COUNTIFS(D$4:D$63,D176,$AI$4:$AI$63,"YES")</f>
        <v>1</v>
      </c>
      <c r="F179" s="19">
        <f t="shared" si="20"/>
        <v>0</v>
      </c>
      <c r="G179" s="19">
        <f t="shared" si="20"/>
        <v>0</v>
      </c>
      <c r="H179" s="19">
        <f t="shared" si="20"/>
        <v>0</v>
      </c>
      <c r="I179" s="19">
        <f t="shared" si="20"/>
        <v>0</v>
      </c>
      <c r="J179" s="19">
        <f t="shared" si="20"/>
        <v>0</v>
      </c>
      <c r="K179" s="19">
        <f t="shared" si="20"/>
        <v>0</v>
      </c>
      <c r="L179" s="19">
        <f t="shared" si="20"/>
        <v>0</v>
      </c>
      <c r="M179" s="19">
        <f t="shared" si="20"/>
        <v>0</v>
      </c>
      <c r="N179" s="19">
        <f t="shared" si="20"/>
        <v>0</v>
      </c>
      <c r="O179" s="19">
        <f t="shared" si="20"/>
        <v>0</v>
      </c>
      <c r="P179" s="19">
        <f t="shared" si="20"/>
        <v>0</v>
      </c>
      <c r="Q179" s="19">
        <f t="shared" si="20"/>
        <v>0</v>
      </c>
      <c r="R179" s="19">
        <f t="shared" si="20"/>
        <v>0</v>
      </c>
      <c r="S179" s="19">
        <f t="shared" si="20"/>
        <v>0</v>
      </c>
      <c r="T179" s="19">
        <f t="shared" si="20"/>
        <v>0</v>
      </c>
      <c r="U179" s="19">
        <f t="shared" si="20"/>
        <v>0</v>
      </c>
      <c r="V179" s="19">
        <f t="shared" si="20"/>
        <v>4</v>
      </c>
      <c r="W179" s="19">
        <f t="shared" si="20"/>
        <v>4</v>
      </c>
      <c r="X179" s="19">
        <f t="shared" si="20"/>
        <v>0</v>
      </c>
      <c r="Y179" s="19">
        <f t="shared" si="20"/>
        <v>4</v>
      </c>
      <c r="Z179" s="19">
        <f t="shared" si="20"/>
        <v>0</v>
      </c>
      <c r="AA179" s="19">
        <f t="shared" si="20"/>
        <v>0</v>
      </c>
      <c r="AB179" s="19">
        <f t="shared" si="20"/>
        <v>0</v>
      </c>
      <c r="AC179" s="19">
        <f t="shared" si="20"/>
        <v>4</v>
      </c>
      <c r="AD179" s="19">
        <f t="shared" si="20"/>
        <v>4</v>
      </c>
      <c r="AE179" s="19">
        <f t="shared" si="20"/>
        <v>4</v>
      </c>
      <c r="AF179" s="19">
        <f t="shared" si="20"/>
        <v>4</v>
      </c>
      <c r="AG179" s="19">
        <f t="shared" si="20"/>
        <v>0</v>
      </c>
      <c r="AH179" s="19">
        <f t="shared" si="20"/>
        <v>4</v>
      </c>
      <c r="AI179" s="19">
        <f t="shared" si="20"/>
        <v>1</v>
      </c>
      <c r="AJ179" s="20"/>
    </row>
    <row r="180" spans="1:36" x14ac:dyDescent="0.35">
      <c r="A180" s="17" t="s">
        <v>209</v>
      </c>
      <c r="B180" s="17"/>
      <c r="C180" s="19">
        <f>COUNTIFS(B$4:B$63,B176,$AI$4:$AI$63,"NO")</f>
        <v>10</v>
      </c>
      <c r="D180" s="19">
        <f t="shared" ref="D180:AI180" si="21">COUNTIFS(C$4:C$63,C176,$AI$4:$AI$63,"NO")</f>
        <v>6</v>
      </c>
      <c r="E180" s="19">
        <f t="shared" si="21"/>
        <v>26</v>
      </c>
      <c r="F180" s="19">
        <f t="shared" si="21"/>
        <v>6</v>
      </c>
      <c r="G180" s="19">
        <f t="shared" si="21"/>
        <v>6</v>
      </c>
      <c r="H180" s="19">
        <f t="shared" si="21"/>
        <v>9</v>
      </c>
      <c r="I180" s="19">
        <f t="shared" si="21"/>
        <v>6</v>
      </c>
      <c r="J180" s="19">
        <f t="shared" si="21"/>
        <v>7</v>
      </c>
      <c r="K180" s="19">
        <f t="shared" si="21"/>
        <v>6</v>
      </c>
      <c r="L180" s="19">
        <f t="shared" si="21"/>
        <v>6</v>
      </c>
      <c r="M180" s="19">
        <f t="shared" si="21"/>
        <v>6</v>
      </c>
      <c r="N180" s="19">
        <f t="shared" si="21"/>
        <v>12</v>
      </c>
      <c r="O180" s="19">
        <f t="shared" si="21"/>
        <v>6</v>
      </c>
      <c r="P180" s="19">
        <f t="shared" si="21"/>
        <v>6</v>
      </c>
      <c r="Q180" s="19">
        <f t="shared" si="21"/>
        <v>7</v>
      </c>
      <c r="R180" s="19">
        <f t="shared" si="21"/>
        <v>6</v>
      </c>
      <c r="S180" s="19">
        <f t="shared" si="21"/>
        <v>6</v>
      </c>
      <c r="T180" s="19">
        <f t="shared" si="21"/>
        <v>6</v>
      </c>
      <c r="U180" s="19">
        <f t="shared" si="21"/>
        <v>6</v>
      </c>
      <c r="V180" s="19">
        <f t="shared" si="21"/>
        <v>56</v>
      </c>
      <c r="W180" s="19">
        <f t="shared" si="21"/>
        <v>56</v>
      </c>
      <c r="X180" s="19">
        <f t="shared" si="21"/>
        <v>6</v>
      </c>
      <c r="Y180" s="19">
        <f t="shared" si="21"/>
        <v>56</v>
      </c>
      <c r="Z180" s="19">
        <f t="shared" si="21"/>
        <v>6</v>
      </c>
      <c r="AA180" s="19">
        <f t="shared" si="21"/>
        <v>6</v>
      </c>
      <c r="AB180" s="19">
        <f t="shared" si="21"/>
        <v>6</v>
      </c>
      <c r="AC180" s="19">
        <f t="shared" si="21"/>
        <v>56</v>
      </c>
      <c r="AD180" s="19">
        <f t="shared" si="21"/>
        <v>56</v>
      </c>
      <c r="AE180" s="19">
        <f t="shared" si="21"/>
        <v>56</v>
      </c>
      <c r="AF180" s="19">
        <f t="shared" si="21"/>
        <v>56</v>
      </c>
      <c r="AG180" s="19">
        <f t="shared" si="21"/>
        <v>6</v>
      </c>
      <c r="AH180" s="19">
        <f t="shared" si="21"/>
        <v>56</v>
      </c>
      <c r="AI180" s="19">
        <f t="shared" si="21"/>
        <v>30</v>
      </c>
      <c r="AJ180" s="20"/>
    </row>
    <row r="181" spans="1:36" x14ac:dyDescent="0.35">
      <c r="A181" s="17" t="s">
        <v>210</v>
      </c>
      <c r="B181" s="18" t="s">
        <v>208</v>
      </c>
      <c r="C181" s="19">
        <f>C179/$B$108</f>
        <v>0</v>
      </c>
      <c r="D181" s="19">
        <f t="shared" ref="D181:AI181" si="22">D179/$B$108</f>
        <v>0</v>
      </c>
      <c r="E181" s="19">
        <f t="shared" si="22"/>
        <v>15</v>
      </c>
      <c r="F181" s="19">
        <f t="shared" si="22"/>
        <v>0</v>
      </c>
      <c r="G181" s="19">
        <f t="shared" si="22"/>
        <v>0</v>
      </c>
      <c r="H181" s="19">
        <f t="shared" si="22"/>
        <v>0</v>
      </c>
      <c r="I181" s="19">
        <f t="shared" si="22"/>
        <v>0</v>
      </c>
      <c r="J181" s="19">
        <f t="shared" si="22"/>
        <v>0</v>
      </c>
      <c r="K181" s="19">
        <f t="shared" si="22"/>
        <v>0</v>
      </c>
      <c r="L181" s="19">
        <f t="shared" si="22"/>
        <v>0</v>
      </c>
      <c r="M181" s="19">
        <f t="shared" si="22"/>
        <v>0</v>
      </c>
      <c r="N181" s="19">
        <f t="shared" si="22"/>
        <v>0</v>
      </c>
      <c r="O181" s="19">
        <f t="shared" si="22"/>
        <v>0</v>
      </c>
      <c r="P181" s="19">
        <f t="shared" si="22"/>
        <v>0</v>
      </c>
      <c r="Q181" s="19">
        <f t="shared" si="22"/>
        <v>0</v>
      </c>
      <c r="R181" s="19">
        <f t="shared" si="22"/>
        <v>0</v>
      </c>
      <c r="S181" s="19">
        <f t="shared" si="22"/>
        <v>0</v>
      </c>
      <c r="T181" s="19">
        <f t="shared" si="22"/>
        <v>0</v>
      </c>
      <c r="U181" s="19">
        <f t="shared" si="22"/>
        <v>0</v>
      </c>
      <c r="V181" s="19">
        <f t="shared" si="22"/>
        <v>60</v>
      </c>
      <c r="W181" s="19">
        <f t="shared" si="22"/>
        <v>60</v>
      </c>
      <c r="X181" s="19">
        <f t="shared" si="22"/>
        <v>0</v>
      </c>
      <c r="Y181" s="19">
        <f t="shared" si="22"/>
        <v>60</v>
      </c>
      <c r="Z181" s="19">
        <f t="shared" si="22"/>
        <v>0</v>
      </c>
      <c r="AA181" s="19">
        <f t="shared" si="22"/>
        <v>0</v>
      </c>
      <c r="AB181" s="19">
        <f t="shared" si="22"/>
        <v>0</v>
      </c>
      <c r="AC181" s="19">
        <f t="shared" si="22"/>
        <v>60</v>
      </c>
      <c r="AD181" s="19">
        <f t="shared" si="22"/>
        <v>60</v>
      </c>
      <c r="AE181" s="19">
        <f t="shared" si="22"/>
        <v>60</v>
      </c>
      <c r="AF181" s="19">
        <f t="shared" si="22"/>
        <v>60</v>
      </c>
      <c r="AG181" s="19">
        <f t="shared" si="22"/>
        <v>0</v>
      </c>
      <c r="AH181" s="19">
        <f t="shared" si="22"/>
        <v>60</v>
      </c>
      <c r="AI181" s="19">
        <f t="shared" si="22"/>
        <v>15</v>
      </c>
      <c r="AJ181" s="19">
        <f>C181*D181*E181*F181*G181*H181*I181*J181*K181*L181*M181*N181*O181*P181*Q181*R181*S181*T181*U181*V181*W181*X181*Y181*Z181*AA181*AB181*AC181*AD181*AE181*AF181*AG181*AH181*AI181</f>
        <v>0</v>
      </c>
    </row>
    <row r="182" spans="1:36" x14ac:dyDescent="0.35">
      <c r="A182" s="17"/>
      <c r="B182" s="18" t="s">
        <v>209</v>
      </c>
      <c r="C182" s="19">
        <f>C180/$C$108</f>
        <v>10.714285714285714</v>
      </c>
      <c r="D182" s="19">
        <f t="shared" ref="D182:AI182" si="23">D180/$C$108</f>
        <v>6.4285714285714288</v>
      </c>
      <c r="E182" s="19">
        <f t="shared" si="23"/>
        <v>27.857142857142858</v>
      </c>
      <c r="F182" s="19">
        <f t="shared" si="23"/>
        <v>6.4285714285714288</v>
      </c>
      <c r="G182" s="19">
        <f t="shared" si="23"/>
        <v>6.4285714285714288</v>
      </c>
      <c r="H182" s="19">
        <f t="shared" si="23"/>
        <v>9.6428571428571423</v>
      </c>
      <c r="I182" s="19">
        <f t="shared" si="23"/>
        <v>6.4285714285714288</v>
      </c>
      <c r="J182" s="19">
        <f t="shared" si="23"/>
        <v>7.5</v>
      </c>
      <c r="K182" s="19">
        <f t="shared" si="23"/>
        <v>6.4285714285714288</v>
      </c>
      <c r="L182" s="19">
        <f t="shared" si="23"/>
        <v>6.4285714285714288</v>
      </c>
      <c r="M182" s="19">
        <f t="shared" si="23"/>
        <v>6.4285714285714288</v>
      </c>
      <c r="N182" s="19">
        <f t="shared" si="23"/>
        <v>12.857142857142858</v>
      </c>
      <c r="O182" s="19">
        <f t="shared" si="23"/>
        <v>6.4285714285714288</v>
      </c>
      <c r="P182" s="19">
        <f t="shared" si="23"/>
        <v>6.4285714285714288</v>
      </c>
      <c r="Q182" s="19">
        <f t="shared" si="23"/>
        <v>7.5</v>
      </c>
      <c r="R182" s="19">
        <f t="shared" si="23"/>
        <v>6.4285714285714288</v>
      </c>
      <c r="S182" s="19">
        <f t="shared" si="23"/>
        <v>6.4285714285714288</v>
      </c>
      <c r="T182" s="19">
        <f t="shared" si="23"/>
        <v>6.4285714285714288</v>
      </c>
      <c r="U182" s="19">
        <f t="shared" si="23"/>
        <v>6.4285714285714288</v>
      </c>
      <c r="V182" s="19">
        <f t="shared" si="23"/>
        <v>60</v>
      </c>
      <c r="W182" s="19">
        <f t="shared" si="23"/>
        <v>60</v>
      </c>
      <c r="X182" s="19">
        <f t="shared" si="23"/>
        <v>6.4285714285714288</v>
      </c>
      <c r="Y182" s="19">
        <f t="shared" si="23"/>
        <v>60</v>
      </c>
      <c r="Z182" s="19">
        <f t="shared" si="23"/>
        <v>6.4285714285714288</v>
      </c>
      <c r="AA182" s="19">
        <f t="shared" si="23"/>
        <v>6.4285714285714288</v>
      </c>
      <c r="AB182" s="19">
        <f t="shared" si="23"/>
        <v>6.4285714285714288</v>
      </c>
      <c r="AC182" s="19">
        <f t="shared" si="23"/>
        <v>60</v>
      </c>
      <c r="AD182" s="19">
        <f t="shared" si="23"/>
        <v>60</v>
      </c>
      <c r="AE182" s="19">
        <f t="shared" si="23"/>
        <v>60</v>
      </c>
      <c r="AF182" s="19">
        <f t="shared" si="23"/>
        <v>60</v>
      </c>
      <c r="AG182" s="19">
        <f t="shared" si="23"/>
        <v>6.4285714285714288</v>
      </c>
      <c r="AH182" s="19">
        <f t="shared" si="23"/>
        <v>60</v>
      </c>
      <c r="AI182" s="19">
        <f t="shared" si="23"/>
        <v>32.142857142857139</v>
      </c>
      <c r="AJ182" s="19">
        <f>C182*D182*E182*F182*G182*H182*I182*J182*K182*L182*M182*N182*O182*P182*Q182*R182*S182*T182*U182*V182*W182*X182*Y182*Z182*AA182*AB182*AC182*AD182*AE182*AF182*AG182*AH182*AI182</f>
        <v>3.9511865301379321E+36</v>
      </c>
    </row>
    <row r="183" spans="1:36" x14ac:dyDescent="0.35">
      <c r="A183" s="21"/>
      <c r="B183" s="21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20"/>
    </row>
    <row r="184" spans="1:36" x14ac:dyDescent="0.35">
      <c r="A184" s="22" t="s">
        <v>211</v>
      </c>
      <c r="B184" s="23"/>
      <c r="C184" s="24" t="s">
        <v>212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20"/>
    </row>
    <row r="185" spans="1:36" x14ac:dyDescent="0.35">
      <c r="A185" s="25" t="s">
        <v>208</v>
      </c>
      <c r="B185" s="26">
        <f>AJ181*$B$108</f>
        <v>0</v>
      </c>
      <c r="C185" s="27" t="str">
        <f>IF(B185&gt;B186,A185,A186)</f>
        <v>No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20"/>
    </row>
    <row r="186" spans="1:36" x14ac:dyDescent="0.35">
      <c r="A186" s="25" t="s">
        <v>209</v>
      </c>
      <c r="B186" s="26">
        <f>AJ182*$C$108</f>
        <v>3.6877740947954033E+36</v>
      </c>
      <c r="C186" s="28"/>
      <c r="D186" s="20"/>
      <c r="E186" s="20"/>
      <c r="F186" s="20"/>
      <c r="G186" s="20"/>
      <c r="H186" s="20"/>
      <c r="I186" s="20"/>
      <c r="J186" s="20"/>
      <c r="K186" s="20"/>
      <c r="L186" s="2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20"/>
    </row>
    <row r="187" spans="1:36" x14ac:dyDescent="0.35">
      <c r="AJ187" s="7"/>
    </row>
    <row r="188" spans="1:36" x14ac:dyDescent="0.35">
      <c r="A188" s="15"/>
      <c r="B188" s="16" t="s">
        <v>122</v>
      </c>
      <c r="C188" s="16" t="s">
        <v>123</v>
      </c>
      <c r="D188" s="16" t="s">
        <v>124</v>
      </c>
      <c r="E188" s="16" t="s">
        <v>125</v>
      </c>
      <c r="F188" s="16" t="s">
        <v>126</v>
      </c>
      <c r="G188" s="16" t="s">
        <v>127</v>
      </c>
      <c r="H188" s="16" t="s">
        <v>128</v>
      </c>
      <c r="I188" s="16" t="s">
        <v>129</v>
      </c>
      <c r="J188" s="16" t="s">
        <v>130</v>
      </c>
      <c r="K188" s="16" t="s">
        <v>131</v>
      </c>
      <c r="L188" s="16" t="s">
        <v>132</v>
      </c>
      <c r="M188" s="16" t="s">
        <v>133</v>
      </c>
      <c r="N188" s="16" t="s">
        <v>134</v>
      </c>
      <c r="O188" s="16" t="s">
        <v>135</v>
      </c>
      <c r="P188" s="16" t="s">
        <v>136</v>
      </c>
      <c r="Q188" s="16" t="s">
        <v>137</v>
      </c>
      <c r="R188" s="16" t="s">
        <v>138</v>
      </c>
      <c r="S188" s="16" t="s">
        <v>139</v>
      </c>
      <c r="T188" s="16" t="s">
        <v>140</v>
      </c>
      <c r="U188" s="16" t="s">
        <v>141</v>
      </c>
      <c r="V188" s="16" t="s">
        <v>142</v>
      </c>
      <c r="W188" s="16" t="s">
        <v>143</v>
      </c>
      <c r="X188" s="16" t="s">
        <v>144</v>
      </c>
      <c r="Y188" s="16" t="s">
        <v>145</v>
      </c>
      <c r="Z188" s="16" t="s">
        <v>146</v>
      </c>
      <c r="AA188" s="16" t="s">
        <v>147</v>
      </c>
      <c r="AB188" s="16" t="s">
        <v>148</v>
      </c>
      <c r="AC188" s="16" t="s">
        <v>149</v>
      </c>
      <c r="AD188" s="16" t="s">
        <v>150</v>
      </c>
      <c r="AE188" s="16" t="s">
        <v>151</v>
      </c>
      <c r="AF188" s="16" t="s">
        <v>152</v>
      </c>
      <c r="AG188" s="16" t="s">
        <v>153</v>
      </c>
      <c r="AH188" s="16" t="s">
        <v>154</v>
      </c>
      <c r="AI188" s="16"/>
      <c r="AJ188" s="7"/>
    </row>
    <row r="189" spans="1:36" x14ac:dyDescent="0.35">
      <c r="A189" s="9" t="s">
        <v>279</v>
      </c>
      <c r="B189" s="38">
        <v>0</v>
      </c>
      <c r="C189" s="38">
        <v>0.23765432098765399</v>
      </c>
      <c r="D189" s="38">
        <v>0.23899371069182301</v>
      </c>
      <c r="E189" s="38">
        <v>0.53703703703703698</v>
      </c>
      <c r="F189" s="38">
        <v>0.12757201646090499</v>
      </c>
      <c r="G189" s="38">
        <v>0.94805194805194803</v>
      </c>
      <c r="H189" s="38">
        <v>0.55692729766803795</v>
      </c>
      <c r="I189" s="38">
        <v>0.936708860759493</v>
      </c>
      <c r="J189" s="38">
        <v>0.407407407407407</v>
      </c>
      <c r="K189" s="38">
        <v>0.19478737997256501</v>
      </c>
      <c r="L189" s="38">
        <v>5.5555555555555497E-2</v>
      </c>
      <c r="M189" s="38">
        <v>0.158904109589041</v>
      </c>
      <c r="N189" s="38">
        <v>0.95061728395061695</v>
      </c>
      <c r="O189" s="38">
        <v>6.1728395061728301E-2</v>
      </c>
      <c r="P189" s="38">
        <v>0.189873417721519</v>
      </c>
      <c r="Q189" s="38">
        <v>0.32345679012345602</v>
      </c>
      <c r="R189" s="38">
        <v>0.98765432098765404</v>
      </c>
      <c r="S189" s="38">
        <v>0.76543209876543195</v>
      </c>
      <c r="T189" s="38">
        <v>0.97530864197530798</v>
      </c>
      <c r="U189" s="38">
        <v>1</v>
      </c>
      <c r="V189" s="38">
        <v>1</v>
      </c>
      <c r="W189" s="38">
        <v>0.11111111111111099</v>
      </c>
      <c r="X189" s="38">
        <v>1</v>
      </c>
      <c r="Y189" s="38">
        <v>0.97530864197530798</v>
      </c>
      <c r="Z189" s="38">
        <v>0.90123456790123402</v>
      </c>
      <c r="AA189" s="38">
        <v>0.44444444444444398</v>
      </c>
      <c r="AB189" s="38">
        <v>1</v>
      </c>
      <c r="AC189" s="38">
        <v>1</v>
      </c>
      <c r="AD189" s="38">
        <v>1</v>
      </c>
      <c r="AE189" s="38">
        <v>1</v>
      </c>
      <c r="AF189" s="38">
        <v>0.938271604938271</v>
      </c>
      <c r="AG189" s="38">
        <v>1</v>
      </c>
      <c r="AH189" s="38">
        <v>0.19565217391304299</v>
      </c>
      <c r="AI189" s="38" t="s">
        <v>195</v>
      </c>
      <c r="AJ189" s="7"/>
    </row>
    <row r="190" spans="1:36" x14ac:dyDescent="0.35">
      <c r="AJ190" s="7"/>
    </row>
    <row r="191" spans="1:36" x14ac:dyDescent="0.35">
      <c r="A191" s="17" t="s">
        <v>207</v>
      </c>
      <c r="B191" s="17"/>
      <c r="C191" s="18" t="s">
        <v>122</v>
      </c>
      <c r="D191" s="18" t="s">
        <v>123</v>
      </c>
      <c r="E191" s="18" t="s">
        <v>124</v>
      </c>
      <c r="F191" s="18" t="s">
        <v>125</v>
      </c>
      <c r="G191" s="18" t="s">
        <v>126</v>
      </c>
      <c r="H191" s="18" t="s">
        <v>127</v>
      </c>
      <c r="I191" s="18" t="s">
        <v>128</v>
      </c>
      <c r="J191" s="18" t="s">
        <v>129</v>
      </c>
      <c r="K191" s="18" t="s">
        <v>130</v>
      </c>
      <c r="L191" s="18" t="s">
        <v>131</v>
      </c>
      <c r="M191" s="18" t="s">
        <v>132</v>
      </c>
      <c r="N191" s="18" t="s">
        <v>133</v>
      </c>
      <c r="O191" s="18" t="s">
        <v>134</v>
      </c>
      <c r="P191" s="18" t="s">
        <v>135</v>
      </c>
      <c r="Q191" s="18" t="s">
        <v>136</v>
      </c>
      <c r="R191" s="18" t="s">
        <v>137</v>
      </c>
      <c r="S191" s="18" t="s">
        <v>138</v>
      </c>
      <c r="T191" s="18" t="s">
        <v>139</v>
      </c>
      <c r="U191" s="18" t="s">
        <v>140</v>
      </c>
      <c r="V191" s="18" t="s">
        <v>141</v>
      </c>
      <c r="W191" s="18" t="s">
        <v>142</v>
      </c>
      <c r="X191" s="18" t="s">
        <v>143</v>
      </c>
      <c r="Y191" s="18" t="s">
        <v>144</v>
      </c>
      <c r="Z191" s="18" t="s">
        <v>145</v>
      </c>
      <c r="AA191" s="18" t="s">
        <v>146</v>
      </c>
      <c r="AB191" s="18" t="s">
        <v>147</v>
      </c>
      <c r="AC191" s="18" t="s">
        <v>148</v>
      </c>
      <c r="AD191" s="18" t="s">
        <v>149</v>
      </c>
      <c r="AE191" s="18" t="s">
        <v>150</v>
      </c>
      <c r="AF191" s="18" t="s">
        <v>151</v>
      </c>
      <c r="AG191" s="18" t="s">
        <v>152</v>
      </c>
      <c r="AH191" s="18" t="s">
        <v>153</v>
      </c>
      <c r="AI191" s="18" t="s">
        <v>154</v>
      </c>
      <c r="AJ191" s="7"/>
    </row>
    <row r="192" spans="1:36" x14ac:dyDescent="0.35">
      <c r="A192" s="17" t="s">
        <v>208</v>
      </c>
      <c r="B192" s="17"/>
      <c r="C192" s="19">
        <f>COUNTIFS(B$4:B$63,B189,$AI$4:$AI$63,"YES")</f>
        <v>0</v>
      </c>
      <c r="D192" s="19">
        <f>COUNTIFS(C$4:C$63,C189,$AI$4:$AI$63,"YES")</f>
        <v>0</v>
      </c>
      <c r="E192" s="19">
        <f t="shared" ref="E192:AJ192" si="24">COUNTIFS(D$4:D$63,D189,$AI$4:$AI$63,"YES")</f>
        <v>1</v>
      </c>
      <c r="F192" s="19">
        <f t="shared" si="24"/>
        <v>0</v>
      </c>
      <c r="G192" s="19">
        <f t="shared" si="24"/>
        <v>0</v>
      </c>
      <c r="H192" s="19">
        <f t="shared" si="24"/>
        <v>0</v>
      </c>
      <c r="I192" s="19">
        <f t="shared" si="24"/>
        <v>0</v>
      </c>
      <c r="J192" s="19">
        <f t="shared" si="24"/>
        <v>0</v>
      </c>
      <c r="K192" s="19">
        <f t="shared" si="24"/>
        <v>0</v>
      </c>
      <c r="L192" s="19">
        <f t="shared" si="24"/>
        <v>0</v>
      </c>
      <c r="M192" s="19">
        <f t="shared" si="24"/>
        <v>0</v>
      </c>
      <c r="N192" s="19">
        <f t="shared" si="24"/>
        <v>0</v>
      </c>
      <c r="O192" s="19">
        <f t="shared" si="24"/>
        <v>0</v>
      </c>
      <c r="P192" s="19">
        <f t="shared" si="24"/>
        <v>0</v>
      </c>
      <c r="Q192" s="19">
        <f t="shared" si="24"/>
        <v>0</v>
      </c>
      <c r="R192" s="19">
        <f t="shared" si="24"/>
        <v>0</v>
      </c>
      <c r="S192" s="19">
        <f t="shared" si="24"/>
        <v>0</v>
      </c>
      <c r="T192" s="19">
        <f t="shared" si="24"/>
        <v>0</v>
      </c>
      <c r="U192" s="19">
        <f t="shared" si="24"/>
        <v>0</v>
      </c>
      <c r="V192" s="19">
        <f t="shared" si="24"/>
        <v>4</v>
      </c>
      <c r="W192" s="19">
        <f t="shared" si="24"/>
        <v>4</v>
      </c>
      <c r="X192" s="19">
        <f t="shared" si="24"/>
        <v>0</v>
      </c>
      <c r="Y192" s="19">
        <f t="shared" si="24"/>
        <v>4</v>
      </c>
      <c r="Z192" s="19">
        <f t="shared" si="24"/>
        <v>0</v>
      </c>
      <c r="AA192" s="19">
        <f t="shared" si="24"/>
        <v>0</v>
      </c>
      <c r="AB192" s="19">
        <f t="shared" si="24"/>
        <v>0</v>
      </c>
      <c r="AC192" s="19">
        <f t="shared" si="24"/>
        <v>4</v>
      </c>
      <c r="AD192" s="19">
        <f t="shared" si="24"/>
        <v>4</v>
      </c>
      <c r="AE192" s="19">
        <f t="shared" si="24"/>
        <v>4</v>
      </c>
      <c r="AF192" s="19">
        <f t="shared" si="24"/>
        <v>4</v>
      </c>
      <c r="AG192" s="19">
        <f t="shared" si="24"/>
        <v>0</v>
      </c>
      <c r="AH192" s="19">
        <f t="shared" si="24"/>
        <v>4</v>
      </c>
      <c r="AI192" s="19">
        <f t="shared" si="24"/>
        <v>1</v>
      </c>
      <c r="AJ192" s="20"/>
    </row>
    <row r="193" spans="1:36" x14ac:dyDescent="0.35">
      <c r="A193" s="17" t="s">
        <v>209</v>
      </c>
      <c r="B193" s="17"/>
      <c r="C193" s="19">
        <f>COUNTIFS(B$4:B$63,B189,$AI$4:$AI$63,"NO")</f>
        <v>10</v>
      </c>
      <c r="D193" s="19">
        <f t="shared" ref="D193:AI193" si="25">COUNTIFS(C$4:C$63,C189,$AI$4:$AI$63,"NO")</f>
        <v>6</v>
      </c>
      <c r="E193" s="19">
        <f t="shared" si="25"/>
        <v>26</v>
      </c>
      <c r="F193" s="19">
        <f t="shared" si="25"/>
        <v>6</v>
      </c>
      <c r="G193" s="19">
        <f t="shared" si="25"/>
        <v>6</v>
      </c>
      <c r="H193" s="19">
        <f t="shared" si="25"/>
        <v>9</v>
      </c>
      <c r="I193" s="19">
        <f t="shared" si="25"/>
        <v>6</v>
      </c>
      <c r="J193" s="19">
        <f t="shared" si="25"/>
        <v>7</v>
      </c>
      <c r="K193" s="19">
        <f t="shared" si="25"/>
        <v>6</v>
      </c>
      <c r="L193" s="19">
        <f t="shared" si="25"/>
        <v>6</v>
      </c>
      <c r="M193" s="19">
        <f t="shared" si="25"/>
        <v>6</v>
      </c>
      <c r="N193" s="19">
        <f t="shared" si="25"/>
        <v>12</v>
      </c>
      <c r="O193" s="19">
        <f t="shared" si="25"/>
        <v>6</v>
      </c>
      <c r="P193" s="19">
        <f t="shared" si="25"/>
        <v>6</v>
      </c>
      <c r="Q193" s="19">
        <f t="shared" si="25"/>
        <v>7</v>
      </c>
      <c r="R193" s="19">
        <f t="shared" si="25"/>
        <v>6</v>
      </c>
      <c r="S193" s="19">
        <f t="shared" si="25"/>
        <v>6</v>
      </c>
      <c r="T193" s="19">
        <f t="shared" si="25"/>
        <v>6</v>
      </c>
      <c r="U193" s="19">
        <f t="shared" si="25"/>
        <v>6</v>
      </c>
      <c r="V193" s="19">
        <f t="shared" si="25"/>
        <v>56</v>
      </c>
      <c r="W193" s="19">
        <f t="shared" si="25"/>
        <v>56</v>
      </c>
      <c r="X193" s="19">
        <f t="shared" si="25"/>
        <v>6</v>
      </c>
      <c r="Y193" s="19">
        <f t="shared" si="25"/>
        <v>56</v>
      </c>
      <c r="Z193" s="19">
        <f t="shared" si="25"/>
        <v>6</v>
      </c>
      <c r="AA193" s="19">
        <f t="shared" si="25"/>
        <v>6</v>
      </c>
      <c r="AB193" s="19">
        <f t="shared" si="25"/>
        <v>6</v>
      </c>
      <c r="AC193" s="19">
        <f t="shared" si="25"/>
        <v>56</v>
      </c>
      <c r="AD193" s="19">
        <f t="shared" si="25"/>
        <v>56</v>
      </c>
      <c r="AE193" s="19">
        <f t="shared" si="25"/>
        <v>56</v>
      </c>
      <c r="AF193" s="19">
        <f t="shared" si="25"/>
        <v>56</v>
      </c>
      <c r="AG193" s="19">
        <f t="shared" si="25"/>
        <v>6</v>
      </c>
      <c r="AH193" s="19">
        <f t="shared" si="25"/>
        <v>56</v>
      </c>
      <c r="AI193" s="19">
        <f t="shared" si="25"/>
        <v>30</v>
      </c>
      <c r="AJ193" s="20"/>
    </row>
    <row r="194" spans="1:36" x14ac:dyDescent="0.35">
      <c r="A194" s="17" t="s">
        <v>210</v>
      </c>
      <c r="B194" s="18" t="s">
        <v>208</v>
      </c>
      <c r="C194" s="19">
        <f>C192/$B$108</f>
        <v>0</v>
      </c>
      <c r="D194" s="19">
        <f t="shared" ref="D194:AI194" si="26">D192/$B$108</f>
        <v>0</v>
      </c>
      <c r="E194" s="19">
        <f t="shared" si="26"/>
        <v>15</v>
      </c>
      <c r="F194" s="19">
        <f t="shared" si="26"/>
        <v>0</v>
      </c>
      <c r="G194" s="19">
        <f t="shared" si="26"/>
        <v>0</v>
      </c>
      <c r="H194" s="19">
        <f t="shared" si="26"/>
        <v>0</v>
      </c>
      <c r="I194" s="19">
        <f t="shared" si="26"/>
        <v>0</v>
      </c>
      <c r="J194" s="19">
        <f t="shared" si="26"/>
        <v>0</v>
      </c>
      <c r="K194" s="19">
        <f t="shared" si="26"/>
        <v>0</v>
      </c>
      <c r="L194" s="19">
        <f t="shared" si="26"/>
        <v>0</v>
      </c>
      <c r="M194" s="19">
        <f t="shared" si="26"/>
        <v>0</v>
      </c>
      <c r="N194" s="19">
        <f t="shared" si="26"/>
        <v>0</v>
      </c>
      <c r="O194" s="19">
        <f t="shared" si="26"/>
        <v>0</v>
      </c>
      <c r="P194" s="19">
        <f t="shared" si="26"/>
        <v>0</v>
      </c>
      <c r="Q194" s="19">
        <f t="shared" si="26"/>
        <v>0</v>
      </c>
      <c r="R194" s="19">
        <f t="shared" si="26"/>
        <v>0</v>
      </c>
      <c r="S194" s="19">
        <f t="shared" si="26"/>
        <v>0</v>
      </c>
      <c r="T194" s="19">
        <f t="shared" si="26"/>
        <v>0</v>
      </c>
      <c r="U194" s="19">
        <f t="shared" si="26"/>
        <v>0</v>
      </c>
      <c r="V194" s="19">
        <f t="shared" si="26"/>
        <v>60</v>
      </c>
      <c r="W194" s="19">
        <f t="shared" si="26"/>
        <v>60</v>
      </c>
      <c r="X194" s="19">
        <f t="shared" si="26"/>
        <v>0</v>
      </c>
      <c r="Y194" s="19">
        <f t="shared" si="26"/>
        <v>60</v>
      </c>
      <c r="Z194" s="19">
        <f t="shared" si="26"/>
        <v>0</v>
      </c>
      <c r="AA194" s="19">
        <f t="shared" si="26"/>
        <v>0</v>
      </c>
      <c r="AB194" s="19">
        <f t="shared" si="26"/>
        <v>0</v>
      </c>
      <c r="AC194" s="19">
        <f t="shared" si="26"/>
        <v>60</v>
      </c>
      <c r="AD194" s="19">
        <f t="shared" si="26"/>
        <v>60</v>
      </c>
      <c r="AE194" s="19">
        <f t="shared" si="26"/>
        <v>60</v>
      </c>
      <c r="AF194" s="19">
        <f t="shared" si="26"/>
        <v>60</v>
      </c>
      <c r="AG194" s="19">
        <f t="shared" si="26"/>
        <v>0</v>
      </c>
      <c r="AH194" s="19">
        <f t="shared" si="26"/>
        <v>60</v>
      </c>
      <c r="AI194" s="19">
        <f t="shared" si="26"/>
        <v>15</v>
      </c>
      <c r="AJ194" s="19">
        <f>C194*D194*E194*F194*G194*H194*I194*J194*K194*L194*M194*N194*O194*P194*Q194*R194*S194*T194*U194*V194*W194*X194*Y194*Z194*AA194*AB194*AC194*AD194*AE194*AF194*AG194*AH194*AI194</f>
        <v>0</v>
      </c>
    </row>
    <row r="195" spans="1:36" x14ac:dyDescent="0.35">
      <c r="A195" s="17"/>
      <c r="B195" s="18" t="s">
        <v>209</v>
      </c>
      <c r="C195" s="19">
        <f>C193/$C$108</f>
        <v>10.714285714285714</v>
      </c>
      <c r="D195" s="19">
        <f t="shared" ref="D195:AI195" si="27">D193/$C$108</f>
        <v>6.4285714285714288</v>
      </c>
      <c r="E195" s="19">
        <f t="shared" si="27"/>
        <v>27.857142857142858</v>
      </c>
      <c r="F195" s="19">
        <f t="shared" si="27"/>
        <v>6.4285714285714288</v>
      </c>
      <c r="G195" s="19">
        <f t="shared" si="27"/>
        <v>6.4285714285714288</v>
      </c>
      <c r="H195" s="19">
        <f t="shared" si="27"/>
        <v>9.6428571428571423</v>
      </c>
      <c r="I195" s="19">
        <f t="shared" si="27"/>
        <v>6.4285714285714288</v>
      </c>
      <c r="J195" s="19">
        <f t="shared" si="27"/>
        <v>7.5</v>
      </c>
      <c r="K195" s="19">
        <f t="shared" si="27"/>
        <v>6.4285714285714288</v>
      </c>
      <c r="L195" s="19">
        <f t="shared" si="27"/>
        <v>6.4285714285714288</v>
      </c>
      <c r="M195" s="19">
        <f t="shared" si="27"/>
        <v>6.4285714285714288</v>
      </c>
      <c r="N195" s="19">
        <f t="shared" si="27"/>
        <v>12.857142857142858</v>
      </c>
      <c r="O195" s="19">
        <f t="shared" si="27"/>
        <v>6.4285714285714288</v>
      </c>
      <c r="P195" s="19">
        <f t="shared" si="27"/>
        <v>6.4285714285714288</v>
      </c>
      <c r="Q195" s="19">
        <f t="shared" si="27"/>
        <v>7.5</v>
      </c>
      <c r="R195" s="19">
        <f t="shared" si="27"/>
        <v>6.4285714285714288</v>
      </c>
      <c r="S195" s="19">
        <f t="shared" si="27"/>
        <v>6.4285714285714288</v>
      </c>
      <c r="T195" s="19">
        <f t="shared" si="27"/>
        <v>6.4285714285714288</v>
      </c>
      <c r="U195" s="19">
        <f t="shared" si="27"/>
        <v>6.4285714285714288</v>
      </c>
      <c r="V195" s="19">
        <f t="shared" si="27"/>
        <v>60</v>
      </c>
      <c r="W195" s="19">
        <f t="shared" si="27"/>
        <v>60</v>
      </c>
      <c r="X195" s="19">
        <f t="shared" si="27"/>
        <v>6.4285714285714288</v>
      </c>
      <c r="Y195" s="19">
        <f t="shared" si="27"/>
        <v>60</v>
      </c>
      <c r="Z195" s="19">
        <f t="shared" si="27"/>
        <v>6.4285714285714288</v>
      </c>
      <c r="AA195" s="19">
        <f t="shared" si="27"/>
        <v>6.4285714285714288</v>
      </c>
      <c r="AB195" s="19">
        <f t="shared" si="27"/>
        <v>6.4285714285714288</v>
      </c>
      <c r="AC195" s="19">
        <f t="shared" si="27"/>
        <v>60</v>
      </c>
      <c r="AD195" s="19">
        <f t="shared" si="27"/>
        <v>60</v>
      </c>
      <c r="AE195" s="19">
        <f t="shared" si="27"/>
        <v>60</v>
      </c>
      <c r="AF195" s="19">
        <f t="shared" si="27"/>
        <v>60</v>
      </c>
      <c r="AG195" s="19">
        <f t="shared" si="27"/>
        <v>6.4285714285714288</v>
      </c>
      <c r="AH195" s="19">
        <f t="shared" si="27"/>
        <v>60</v>
      </c>
      <c r="AI195" s="19">
        <f t="shared" si="27"/>
        <v>32.142857142857139</v>
      </c>
      <c r="AJ195" s="19">
        <f>C195*D195*E195*F195*G195*H195*I195*J195*K195*L195*M195*N195*O195*P195*Q195*R195*S195*T195*U195*V195*W195*X195*Y195*Z195*AA195*AB195*AC195*AD195*AE195*AF195*AG195*AH195*AI195</f>
        <v>3.9511865301379321E+36</v>
      </c>
    </row>
    <row r="196" spans="1:36" x14ac:dyDescent="0.35">
      <c r="A196" s="21"/>
      <c r="B196" s="21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20"/>
    </row>
    <row r="197" spans="1:36" x14ac:dyDescent="0.35">
      <c r="A197" s="22" t="s">
        <v>211</v>
      </c>
      <c r="B197" s="23"/>
      <c r="C197" s="24" t="s">
        <v>212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20"/>
    </row>
    <row r="198" spans="1:36" x14ac:dyDescent="0.35">
      <c r="A198" s="25" t="s">
        <v>208</v>
      </c>
      <c r="B198" s="26">
        <f>AJ194*$B$108</f>
        <v>0</v>
      </c>
      <c r="C198" s="27" t="str">
        <f>IF(B198&gt;B199,A198,A199)</f>
        <v>No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20"/>
    </row>
    <row r="199" spans="1:36" x14ac:dyDescent="0.35">
      <c r="A199" s="25" t="s">
        <v>209</v>
      </c>
      <c r="B199" s="26">
        <f>AJ195*$C$108</f>
        <v>3.6877740947954033E+36</v>
      </c>
      <c r="C199" s="28"/>
      <c r="D199" s="20"/>
      <c r="E199" s="20"/>
      <c r="F199" s="20"/>
      <c r="G199" s="20"/>
      <c r="H199" s="20"/>
      <c r="I199" s="20"/>
      <c r="J199" s="20"/>
      <c r="K199" s="20"/>
      <c r="L199" s="2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20"/>
    </row>
    <row r="200" spans="1:36" x14ac:dyDescent="0.35">
      <c r="AJ200" s="7"/>
    </row>
    <row r="201" spans="1:36" x14ac:dyDescent="0.35">
      <c r="A201" s="15"/>
      <c r="B201" s="16" t="s">
        <v>122</v>
      </c>
      <c r="C201" s="16" t="s">
        <v>123</v>
      </c>
      <c r="D201" s="16" t="s">
        <v>124</v>
      </c>
      <c r="E201" s="16" t="s">
        <v>125</v>
      </c>
      <c r="F201" s="16" t="s">
        <v>126</v>
      </c>
      <c r="G201" s="16" t="s">
        <v>127</v>
      </c>
      <c r="H201" s="16" t="s">
        <v>128</v>
      </c>
      <c r="I201" s="16" t="s">
        <v>129</v>
      </c>
      <c r="J201" s="16" t="s">
        <v>130</v>
      </c>
      <c r="K201" s="16" t="s">
        <v>131</v>
      </c>
      <c r="L201" s="16" t="s">
        <v>132</v>
      </c>
      <c r="M201" s="16" t="s">
        <v>133</v>
      </c>
      <c r="N201" s="16" t="s">
        <v>134</v>
      </c>
      <c r="O201" s="16" t="s">
        <v>135</v>
      </c>
      <c r="P201" s="16" t="s">
        <v>136</v>
      </c>
      <c r="Q201" s="16" t="s">
        <v>137</v>
      </c>
      <c r="R201" s="16" t="s">
        <v>138</v>
      </c>
      <c r="S201" s="16" t="s">
        <v>139</v>
      </c>
      <c r="T201" s="16" t="s">
        <v>140</v>
      </c>
      <c r="U201" s="16" t="s">
        <v>141</v>
      </c>
      <c r="V201" s="16" t="s">
        <v>142</v>
      </c>
      <c r="W201" s="16" t="s">
        <v>143</v>
      </c>
      <c r="X201" s="16" t="s">
        <v>144</v>
      </c>
      <c r="Y201" s="16" t="s">
        <v>145</v>
      </c>
      <c r="Z201" s="16" t="s">
        <v>146</v>
      </c>
      <c r="AA201" s="16" t="s">
        <v>147</v>
      </c>
      <c r="AB201" s="16" t="s">
        <v>148</v>
      </c>
      <c r="AC201" s="16" t="s">
        <v>149</v>
      </c>
      <c r="AD201" s="16" t="s">
        <v>150</v>
      </c>
      <c r="AE201" s="16" t="s">
        <v>151</v>
      </c>
      <c r="AF201" s="16" t="s">
        <v>152</v>
      </c>
      <c r="AG201" s="16" t="s">
        <v>153</v>
      </c>
      <c r="AH201" s="16" t="s">
        <v>154</v>
      </c>
      <c r="AI201" s="16"/>
      <c r="AJ201" s="7"/>
    </row>
    <row r="202" spans="1:36" x14ac:dyDescent="0.35">
      <c r="A202" s="9" t="s">
        <v>280</v>
      </c>
      <c r="B202" s="38">
        <v>0</v>
      </c>
      <c r="C202" s="38">
        <v>0.25</v>
      </c>
      <c r="D202" s="38">
        <v>0.23899371069182301</v>
      </c>
      <c r="E202" s="38">
        <v>0.66666666666666596</v>
      </c>
      <c r="F202" s="38">
        <v>1</v>
      </c>
      <c r="G202" s="38">
        <v>0.94805194805194803</v>
      </c>
      <c r="H202" s="38">
        <v>1</v>
      </c>
      <c r="I202" s="38">
        <v>0.936708860759493</v>
      </c>
      <c r="J202" s="38">
        <v>0.5</v>
      </c>
      <c r="K202" s="38">
        <v>0.55555555555555503</v>
      </c>
      <c r="L202" s="38">
        <v>0.5</v>
      </c>
      <c r="M202" s="38">
        <v>0.158904109589041</v>
      </c>
      <c r="N202" s="38">
        <v>1</v>
      </c>
      <c r="O202" s="38">
        <v>1</v>
      </c>
      <c r="P202" s="38">
        <v>0.189873417721519</v>
      </c>
      <c r="Q202" s="38">
        <v>0.4</v>
      </c>
      <c r="R202" s="38">
        <v>1</v>
      </c>
      <c r="S202" s="38">
        <v>1</v>
      </c>
      <c r="T202" s="38">
        <v>1</v>
      </c>
      <c r="U202" s="38">
        <v>1</v>
      </c>
      <c r="V202" s="38">
        <v>1</v>
      </c>
      <c r="W202" s="38">
        <v>1</v>
      </c>
      <c r="X202" s="38">
        <v>1</v>
      </c>
      <c r="Y202" s="38">
        <v>1</v>
      </c>
      <c r="Z202" s="38">
        <v>1</v>
      </c>
      <c r="AA202" s="38">
        <v>1</v>
      </c>
      <c r="AB202" s="38">
        <v>1</v>
      </c>
      <c r="AC202" s="38">
        <v>1</v>
      </c>
      <c r="AD202" s="38">
        <v>1</v>
      </c>
      <c r="AE202" s="38">
        <v>1</v>
      </c>
      <c r="AF202" s="38">
        <v>1</v>
      </c>
      <c r="AG202" s="38">
        <v>1</v>
      </c>
      <c r="AH202" s="38">
        <v>1</v>
      </c>
      <c r="AI202" s="38" t="s">
        <v>195</v>
      </c>
      <c r="AJ202" s="7"/>
    </row>
    <row r="203" spans="1:36" x14ac:dyDescent="0.35">
      <c r="AJ203" s="7"/>
    </row>
    <row r="204" spans="1:36" x14ac:dyDescent="0.35">
      <c r="A204" s="17" t="s">
        <v>207</v>
      </c>
      <c r="B204" s="17"/>
      <c r="C204" s="18" t="s">
        <v>122</v>
      </c>
      <c r="D204" s="18" t="s">
        <v>123</v>
      </c>
      <c r="E204" s="18" t="s">
        <v>124</v>
      </c>
      <c r="F204" s="18" t="s">
        <v>125</v>
      </c>
      <c r="G204" s="18" t="s">
        <v>126</v>
      </c>
      <c r="H204" s="18" t="s">
        <v>127</v>
      </c>
      <c r="I204" s="18" t="s">
        <v>128</v>
      </c>
      <c r="J204" s="18" t="s">
        <v>129</v>
      </c>
      <c r="K204" s="18" t="s">
        <v>130</v>
      </c>
      <c r="L204" s="18" t="s">
        <v>131</v>
      </c>
      <c r="M204" s="18" t="s">
        <v>132</v>
      </c>
      <c r="N204" s="18" t="s">
        <v>133</v>
      </c>
      <c r="O204" s="18" t="s">
        <v>134</v>
      </c>
      <c r="P204" s="18" t="s">
        <v>135</v>
      </c>
      <c r="Q204" s="18" t="s">
        <v>136</v>
      </c>
      <c r="R204" s="18" t="s">
        <v>137</v>
      </c>
      <c r="S204" s="18" t="s">
        <v>138</v>
      </c>
      <c r="T204" s="18" t="s">
        <v>139</v>
      </c>
      <c r="U204" s="18" t="s">
        <v>140</v>
      </c>
      <c r="V204" s="18" t="s">
        <v>141</v>
      </c>
      <c r="W204" s="18" t="s">
        <v>142</v>
      </c>
      <c r="X204" s="18" t="s">
        <v>143</v>
      </c>
      <c r="Y204" s="18" t="s">
        <v>144</v>
      </c>
      <c r="Z204" s="18" t="s">
        <v>145</v>
      </c>
      <c r="AA204" s="18" t="s">
        <v>146</v>
      </c>
      <c r="AB204" s="18" t="s">
        <v>147</v>
      </c>
      <c r="AC204" s="18" t="s">
        <v>148</v>
      </c>
      <c r="AD204" s="18" t="s">
        <v>149</v>
      </c>
      <c r="AE204" s="18" t="s">
        <v>150</v>
      </c>
      <c r="AF204" s="18" t="s">
        <v>151</v>
      </c>
      <c r="AG204" s="18" t="s">
        <v>152</v>
      </c>
      <c r="AH204" s="18" t="s">
        <v>153</v>
      </c>
      <c r="AI204" s="18" t="s">
        <v>154</v>
      </c>
      <c r="AJ204" s="7"/>
    </row>
    <row r="205" spans="1:36" x14ac:dyDescent="0.35">
      <c r="A205" s="17" t="s">
        <v>208</v>
      </c>
      <c r="B205" s="17"/>
      <c r="C205" s="19">
        <f>COUNTIFS(B$4:B$63,B202,$AI$4:$AI$63,"YES")</f>
        <v>0</v>
      </c>
      <c r="D205" s="19">
        <f>COUNTIFS(C$4:C$63,C202,$AI$4:$AI$63,"YES")</f>
        <v>3</v>
      </c>
      <c r="E205" s="19">
        <f t="shared" ref="E205:AJ205" si="28">COUNTIFS(D$4:D$63,D202,$AI$4:$AI$63,"YES")</f>
        <v>1</v>
      </c>
      <c r="F205" s="19">
        <f t="shared" si="28"/>
        <v>2</v>
      </c>
      <c r="G205" s="19">
        <f t="shared" si="28"/>
        <v>0</v>
      </c>
      <c r="H205" s="19">
        <f t="shared" si="28"/>
        <v>0</v>
      </c>
      <c r="I205" s="19">
        <f t="shared" si="28"/>
        <v>0</v>
      </c>
      <c r="J205" s="19">
        <f t="shared" si="28"/>
        <v>0</v>
      </c>
      <c r="K205" s="19">
        <f t="shared" si="28"/>
        <v>4</v>
      </c>
      <c r="L205" s="19">
        <f t="shared" si="28"/>
        <v>0</v>
      </c>
      <c r="M205" s="19">
        <f t="shared" si="28"/>
        <v>0</v>
      </c>
      <c r="N205" s="19">
        <f t="shared" si="28"/>
        <v>0</v>
      </c>
      <c r="O205" s="19">
        <f t="shared" si="28"/>
        <v>4</v>
      </c>
      <c r="P205" s="19">
        <f t="shared" si="28"/>
        <v>0</v>
      </c>
      <c r="Q205" s="19">
        <f t="shared" si="28"/>
        <v>0</v>
      </c>
      <c r="R205" s="19">
        <f t="shared" si="28"/>
        <v>3</v>
      </c>
      <c r="S205" s="19">
        <f t="shared" si="28"/>
        <v>4</v>
      </c>
      <c r="T205" s="19">
        <f t="shared" si="28"/>
        <v>4</v>
      </c>
      <c r="U205" s="19">
        <f t="shared" si="28"/>
        <v>4</v>
      </c>
      <c r="V205" s="19">
        <f t="shared" si="28"/>
        <v>4</v>
      </c>
      <c r="W205" s="19">
        <f t="shared" si="28"/>
        <v>4</v>
      </c>
      <c r="X205" s="19">
        <f t="shared" si="28"/>
        <v>0</v>
      </c>
      <c r="Y205" s="19">
        <f t="shared" si="28"/>
        <v>4</v>
      </c>
      <c r="Z205" s="19">
        <f t="shared" si="28"/>
        <v>4</v>
      </c>
      <c r="AA205" s="19">
        <f t="shared" si="28"/>
        <v>4</v>
      </c>
      <c r="AB205" s="19">
        <f t="shared" si="28"/>
        <v>0</v>
      </c>
      <c r="AC205" s="19">
        <f t="shared" si="28"/>
        <v>4</v>
      </c>
      <c r="AD205" s="19">
        <f t="shared" si="28"/>
        <v>4</v>
      </c>
      <c r="AE205" s="19">
        <f t="shared" si="28"/>
        <v>4</v>
      </c>
      <c r="AF205" s="19">
        <f t="shared" si="28"/>
        <v>4</v>
      </c>
      <c r="AG205" s="19">
        <f t="shared" si="28"/>
        <v>4</v>
      </c>
      <c r="AH205" s="19">
        <f t="shared" si="28"/>
        <v>4</v>
      </c>
      <c r="AI205" s="19">
        <f t="shared" si="28"/>
        <v>0</v>
      </c>
      <c r="AJ205" s="20"/>
    </row>
    <row r="206" spans="1:36" x14ac:dyDescent="0.35">
      <c r="A206" s="17" t="s">
        <v>209</v>
      </c>
      <c r="B206" s="17"/>
      <c r="C206" s="19">
        <f>COUNTIFS(B$4:B$63,B202,$AI$4:$AI$63,"NO")</f>
        <v>10</v>
      </c>
      <c r="D206" s="19">
        <f t="shared" ref="D206:AI206" si="29">COUNTIFS(C$4:C$63,C202,$AI$4:$AI$63,"NO")</f>
        <v>22</v>
      </c>
      <c r="E206" s="19">
        <f t="shared" si="29"/>
        <v>26</v>
      </c>
      <c r="F206" s="19">
        <f t="shared" si="29"/>
        <v>31</v>
      </c>
      <c r="G206" s="19">
        <f t="shared" si="29"/>
        <v>3</v>
      </c>
      <c r="H206" s="19">
        <f t="shared" si="29"/>
        <v>9</v>
      </c>
      <c r="I206" s="19">
        <f t="shared" si="29"/>
        <v>1</v>
      </c>
      <c r="J206" s="19">
        <f t="shared" si="29"/>
        <v>7</v>
      </c>
      <c r="K206" s="19">
        <f t="shared" si="29"/>
        <v>28</v>
      </c>
      <c r="L206" s="19">
        <f t="shared" si="29"/>
        <v>1</v>
      </c>
      <c r="M206" s="19">
        <f t="shared" si="29"/>
        <v>5</v>
      </c>
      <c r="N206" s="19">
        <f t="shared" si="29"/>
        <v>12</v>
      </c>
      <c r="O206" s="19">
        <f t="shared" si="29"/>
        <v>44</v>
      </c>
      <c r="P206" s="19">
        <f t="shared" si="29"/>
        <v>1</v>
      </c>
      <c r="Q206" s="19">
        <f t="shared" si="29"/>
        <v>7</v>
      </c>
      <c r="R206" s="19">
        <f t="shared" si="29"/>
        <v>38</v>
      </c>
      <c r="S206" s="19">
        <f t="shared" si="29"/>
        <v>49</v>
      </c>
      <c r="T206" s="19">
        <f t="shared" si="29"/>
        <v>41</v>
      </c>
      <c r="U206" s="19">
        <f t="shared" si="29"/>
        <v>49</v>
      </c>
      <c r="V206" s="19">
        <f t="shared" si="29"/>
        <v>56</v>
      </c>
      <c r="W206" s="19">
        <f t="shared" si="29"/>
        <v>56</v>
      </c>
      <c r="X206" s="19">
        <f t="shared" si="29"/>
        <v>7</v>
      </c>
      <c r="Y206" s="19">
        <f t="shared" si="29"/>
        <v>56</v>
      </c>
      <c r="Z206" s="19">
        <f t="shared" si="29"/>
        <v>50</v>
      </c>
      <c r="AA206" s="19">
        <f t="shared" si="29"/>
        <v>45</v>
      </c>
      <c r="AB206" s="19">
        <f t="shared" si="29"/>
        <v>25</v>
      </c>
      <c r="AC206" s="19">
        <f t="shared" si="29"/>
        <v>56</v>
      </c>
      <c r="AD206" s="19">
        <f t="shared" si="29"/>
        <v>56</v>
      </c>
      <c r="AE206" s="19">
        <f t="shared" si="29"/>
        <v>56</v>
      </c>
      <c r="AF206" s="19">
        <f t="shared" si="29"/>
        <v>56</v>
      </c>
      <c r="AG206" s="19">
        <f t="shared" si="29"/>
        <v>47</v>
      </c>
      <c r="AH206" s="19">
        <f t="shared" si="29"/>
        <v>56</v>
      </c>
      <c r="AI206" s="19">
        <f t="shared" si="29"/>
        <v>5</v>
      </c>
      <c r="AJ206" s="20"/>
    </row>
    <row r="207" spans="1:36" x14ac:dyDescent="0.35">
      <c r="A207" s="17" t="s">
        <v>210</v>
      </c>
      <c r="B207" s="18" t="s">
        <v>208</v>
      </c>
      <c r="C207" s="19">
        <f>C205/$B$108</f>
        <v>0</v>
      </c>
      <c r="D207" s="19">
        <f t="shared" ref="D207:AI207" si="30">D205/$B$108</f>
        <v>45</v>
      </c>
      <c r="E207" s="19">
        <f t="shared" si="30"/>
        <v>15</v>
      </c>
      <c r="F207" s="19">
        <f t="shared" si="30"/>
        <v>30</v>
      </c>
      <c r="G207" s="19">
        <f t="shared" si="30"/>
        <v>0</v>
      </c>
      <c r="H207" s="19">
        <f t="shared" si="30"/>
        <v>0</v>
      </c>
      <c r="I207" s="19">
        <f t="shared" si="30"/>
        <v>0</v>
      </c>
      <c r="J207" s="19">
        <f t="shared" si="30"/>
        <v>0</v>
      </c>
      <c r="K207" s="19">
        <f t="shared" si="30"/>
        <v>60</v>
      </c>
      <c r="L207" s="19">
        <f t="shared" si="30"/>
        <v>0</v>
      </c>
      <c r="M207" s="19">
        <f t="shared" si="30"/>
        <v>0</v>
      </c>
      <c r="N207" s="19">
        <f t="shared" si="30"/>
        <v>0</v>
      </c>
      <c r="O207" s="19">
        <f t="shared" si="30"/>
        <v>60</v>
      </c>
      <c r="P207" s="19">
        <f t="shared" si="30"/>
        <v>0</v>
      </c>
      <c r="Q207" s="19">
        <f t="shared" si="30"/>
        <v>0</v>
      </c>
      <c r="R207" s="19">
        <f t="shared" si="30"/>
        <v>45</v>
      </c>
      <c r="S207" s="19">
        <f t="shared" si="30"/>
        <v>60</v>
      </c>
      <c r="T207" s="19">
        <f t="shared" si="30"/>
        <v>60</v>
      </c>
      <c r="U207" s="19">
        <f t="shared" si="30"/>
        <v>60</v>
      </c>
      <c r="V207" s="19">
        <f t="shared" si="30"/>
        <v>60</v>
      </c>
      <c r="W207" s="19">
        <f t="shared" si="30"/>
        <v>60</v>
      </c>
      <c r="X207" s="19">
        <f t="shared" si="30"/>
        <v>0</v>
      </c>
      <c r="Y207" s="19">
        <f t="shared" si="30"/>
        <v>60</v>
      </c>
      <c r="Z207" s="19">
        <f t="shared" si="30"/>
        <v>60</v>
      </c>
      <c r="AA207" s="19">
        <f t="shared" si="30"/>
        <v>60</v>
      </c>
      <c r="AB207" s="19">
        <f t="shared" si="30"/>
        <v>0</v>
      </c>
      <c r="AC207" s="19">
        <f t="shared" si="30"/>
        <v>60</v>
      </c>
      <c r="AD207" s="19">
        <f t="shared" si="30"/>
        <v>60</v>
      </c>
      <c r="AE207" s="19">
        <f t="shared" si="30"/>
        <v>60</v>
      </c>
      <c r="AF207" s="19">
        <f t="shared" si="30"/>
        <v>60</v>
      </c>
      <c r="AG207" s="19">
        <f t="shared" si="30"/>
        <v>60</v>
      </c>
      <c r="AH207" s="19">
        <f t="shared" si="30"/>
        <v>60</v>
      </c>
      <c r="AI207" s="19">
        <f t="shared" si="30"/>
        <v>0</v>
      </c>
      <c r="AJ207" s="19">
        <f>C207*D207*E207*F207*G207*H207*I207*J207*K207*L207*M207*N207*O207*P207*Q207*R207*S207*T207*U207*V207*W207*X207*Y207*Z207*AA207*AB207*AC207*AD207*AE207*AF207*AG207*AH207*AI207</f>
        <v>0</v>
      </c>
    </row>
    <row r="208" spans="1:36" x14ac:dyDescent="0.35">
      <c r="A208" s="17"/>
      <c r="B208" s="18" t="s">
        <v>209</v>
      </c>
      <c r="C208" s="19">
        <f>C206/$C$108</f>
        <v>10.714285714285714</v>
      </c>
      <c r="D208" s="19">
        <f t="shared" ref="D208:AI208" si="31">D206/$C$108</f>
        <v>23.571428571428569</v>
      </c>
      <c r="E208" s="19">
        <f t="shared" si="31"/>
        <v>27.857142857142858</v>
      </c>
      <c r="F208" s="19">
        <f t="shared" si="31"/>
        <v>33.214285714285715</v>
      </c>
      <c r="G208" s="19">
        <f t="shared" si="31"/>
        <v>3.2142857142857144</v>
      </c>
      <c r="H208" s="19">
        <f t="shared" si="31"/>
        <v>9.6428571428571423</v>
      </c>
      <c r="I208" s="19">
        <f t="shared" si="31"/>
        <v>1.0714285714285714</v>
      </c>
      <c r="J208" s="19">
        <f t="shared" si="31"/>
        <v>7.5</v>
      </c>
      <c r="K208" s="19">
        <f t="shared" si="31"/>
        <v>30</v>
      </c>
      <c r="L208" s="19">
        <f t="shared" si="31"/>
        <v>1.0714285714285714</v>
      </c>
      <c r="M208" s="19">
        <f t="shared" si="31"/>
        <v>5.3571428571428568</v>
      </c>
      <c r="N208" s="19">
        <f t="shared" si="31"/>
        <v>12.857142857142858</v>
      </c>
      <c r="O208" s="19">
        <f t="shared" si="31"/>
        <v>47.142857142857139</v>
      </c>
      <c r="P208" s="19">
        <f t="shared" si="31"/>
        <v>1.0714285714285714</v>
      </c>
      <c r="Q208" s="19">
        <f t="shared" si="31"/>
        <v>7.5</v>
      </c>
      <c r="R208" s="19">
        <f t="shared" si="31"/>
        <v>40.714285714285715</v>
      </c>
      <c r="S208" s="19">
        <f t="shared" si="31"/>
        <v>52.5</v>
      </c>
      <c r="T208" s="19">
        <f t="shared" si="31"/>
        <v>43.928571428571431</v>
      </c>
      <c r="U208" s="19">
        <f t="shared" si="31"/>
        <v>52.5</v>
      </c>
      <c r="V208" s="19">
        <f t="shared" si="31"/>
        <v>60</v>
      </c>
      <c r="W208" s="19">
        <f t="shared" si="31"/>
        <v>60</v>
      </c>
      <c r="X208" s="19">
        <f t="shared" si="31"/>
        <v>7.5</v>
      </c>
      <c r="Y208" s="19">
        <f t="shared" si="31"/>
        <v>60</v>
      </c>
      <c r="Z208" s="19">
        <f t="shared" si="31"/>
        <v>53.571428571428569</v>
      </c>
      <c r="AA208" s="19">
        <f t="shared" si="31"/>
        <v>48.214285714285715</v>
      </c>
      <c r="AB208" s="19">
        <f t="shared" si="31"/>
        <v>26.785714285714285</v>
      </c>
      <c r="AC208" s="19">
        <f t="shared" si="31"/>
        <v>60</v>
      </c>
      <c r="AD208" s="19">
        <f t="shared" si="31"/>
        <v>60</v>
      </c>
      <c r="AE208" s="19">
        <f t="shared" si="31"/>
        <v>60</v>
      </c>
      <c r="AF208" s="19">
        <f t="shared" si="31"/>
        <v>60</v>
      </c>
      <c r="AG208" s="19">
        <f t="shared" si="31"/>
        <v>50.357142857142854</v>
      </c>
      <c r="AH208" s="19">
        <f t="shared" si="31"/>
        <v>60</v>
      </c>
      <c r="AI208" s="19">
        <f t="shared" si="31"/>
        <v>5.3571428571428568</v>
      </c>
      <c r="AJ208" s="19">
        <f>C208*D208*E208*F208*G208*H208*I208*J208*K208*L208*M208*N208*O208*P208*Q208*R208*S208*T208*U208*V208*W208*X208*Y208*Z208*AA208*AB208*AC208*AD208*AE208*AF208*AG208*AH208*AI208</f>
        <v>5.6574165291972277E+42</v>
      </c>
    </row>
    <row r="209" spans="1:36" x14ac:dyDescent="0.35">
      <c r="A209" s="21"/>
      <c r="B209" s="21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20"/>
    </row>
    <row r="210" spans="1:36" x14ac:dyDescent="0.35">
      <c r="A210" s="22" t="s">
        <v>211</v>
      </c>
      <c r="B210" s="23"/>
      <c r="C210" s="24" t="s">
        <v>212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20"/>
    </row>
    <row r="211" spans="1:36" x14ac:dyDescent="0.35">
      <c r="A211" s="25" t="s">
        <v>208</v>
      </c>
      <c r="B211" s="26">
        <f>AJ207*$B$108</f>
        <v>0</v>
      </c>
      <c r="C211" s="27" t="str">
        <f>IF(B211&gt;B212,A211,A212)</f>
        <v>No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20"/>
    </row>
    <row r="212" spans="1:36" x14ac:dyDescent="0.35">
      <c r="A212" s="25" t="s">
        <v>209</v>
      </c>
      <c r="B212" s="26">
        <f>AJ208*$C$108</f>
        <v>5.2802554272507462E+42</v>
      </c>
      <c r="C212" s="28"/>
      <c r="D212" s="20"/>
      <c r="E212" s="20"/>
      <c r="F212" s="20"/>
      <c r="G212" s="20"/>
      <c r="H212" s="20"/>
      <c r="I212" s="20"/>
      <c r="J212" s="20"/>
      <c r="K212" s="20"/>
      <c r="L212" s="2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20"/>
    </row>
    <row r="213" spans="1:36" x14ac:dyDescent="0.35">
      <c r="AJ213" s="7"/>
    </row>
    <row r="214" spans="1:36" x14ac:dyDescent="0.35">
      <c r="A214" s="15"/>
      <c r="B214" s="16" t="s">
        <v>122</v>
      </c>
      <c r="C214" s="16" t="s">
        <v>123</v>
      </c>
      <c r="D214" s="16" t="s">
        <v>124</v>
      </c>
      <c r="E214" s="16" t="s">
        <v>125</v>
      </c>
      <c r="F214" s="16" t="s">
        <v>126</v>
      </c>
      <c r="G214" s="16" t="s">
        <v>127</v>
      </c>
      <c r="H214" s="16" t="s">
        <v>128</v>
      </c>
      <c r="I214" s="16" t="s">
        <v>129</v>
      </c>
      <c r="J214" s="16" t="s">
        <v>130</v>
      </c>
      <c r="K214" s="16" t="s">
        <v>131</v>
      </c>
      <c r="L214" s="16" t="s">
        <v>132</v>
      </c>
      <c r="M214" s="16" t="s">
        <v>133</v>
      </c>
      <c r="N214" s="16" t="s">
        <v>134</v>
      </c>
      <c r="O214" s="16" t="s">
        <v>135</v>
      </c>
      <c r="P214" s="16" t="s">
        <v>136</v>
      </c>
      <c r="Q214" s="16" t="s">
        <v>137</v>
      </c>
      <c r="R214" s="16" t="s">
        <v>138</v>
      </c>
      <c r="S214" s="16" t="s">
        <v>139</v>
      </c>
      <c r="T214" s="16" t="s">
        <v>140</v>
      </c>
      <c r="U214" s="16" t="s">
        <v>141</v>
      </c>
      <c r="V214" s="16" t="s">
        <v>142</v>
      </c>
      <c r="W214" s="16" t="s">
        <v>143</v>
      </c>
      <c r="X214" s="16" t="s">
        <v>144</v>
      </c>
      <c r="Y214" s="16" t="s">
        <v>145</v>
      </c>
      <c r="Z214" s="16" t="s">
        <v>146</v>
      </c>
      <c r="AA214" s="16" t="s">
        <v>147</v>
      </c>
      <c r="AB214" s="16" t="s">
        <v>148</v>
      </c>
      <c r="AC214" s="16" t="s">
        <v>149</v>
      </c>
      <c r="AD214" s="16" t="s">
        <v>150</v>
      </c>
      <c r="AE214" s="16" t="s">
        <v>151</v>
      </c>
      <c r="AF214" s="16" t="s">
        <v>152</v>
      </c>
      <c r="AG214" s="16" t="s">
        <v>153</v>
      </c>
      <c r="AH214" s="16" t="s">
        <v>154</v>
      </c>
      <c r="AI214" s="16"/>
      <c r="AJ214" s="7"/>
    </row>
    <row r="215" spans="1:36" x14ac:dyDescent="0.35">
      <c r="A215" s="9" t="s">
        <v>281</v>
      </c>
      <c r="B215" s="38">
        <v>0.66666666666666596</v>
      </c>
      <c r="C215" s="38">
        <v>0.25</v>
      </c>
      <c r="D215" s="38">
        <v>0.23899371069182301</v>
      </c>
      <c r="E215" s="38">
        <v>0.66666666666666596</v>
      </c>
      <c r="F215" s="38">
        <v>0</v>
      </c>
      <c r="G215" s="38">
        <v>1</v>
      </c>
      <c r="H215" s="38">
        <v>0.55555555555555503</v>
      </c>
      <c r="I215" s="38">
        <v>1</v>
      </c>
      <c r="J215" s="38">
        <v>0</v>
      </c>
      <c r="K215" s="38">
        <v>0</v>
      </c>
      <c r="L215" s="38">
        <v>0</v>
      </c>
      <c r="M215" s="38">
        <v>0.2</v>
      </c>
      <c r="N215" s="38">
        <v>1</v>
      </c>
      <c r="O215" s="38">
        <v>0</v>
      </c>
      <c r="P215" s="38">
        <v>0</v>
      </c>
      <c r="Q215" s="38">
        <v>0.4</v>
      </c>
      <c r="R215" s="38">
        <v>1</v>
      </c>
      <c r="S215" s="38">
        <v>1</v>
      </c>
      <c r="T215" s="38">
        <v>1</v>
      </c>
      <c r="U215" s="38">
        <v>1</v>
      </c>
      <c r="V215" s="38">
        <v>1</v>
      </c>
      <c r="W215" s="38">
        <v>0</v>
      </c>
      <c r="X215" s="38">
        <v>1</v>
      </c>
      <c r="Y215" s="38">
        <v>1</v>
      </c>
      <c r="Z215" s="38">
        <v>1</v>
      </c>
      <c r="AA215" s="38">
        <v>1</v>
      </c>
      <c r="AB215" s="38">
        <v>1</v>
      </c>
      <c r="AC215" s="38">
        <v>1</v>
      </c>
      <c r="AD215" s="38">
        <v>1</v>
      </c>
      <c r="AE215" s="38">
        <v>1</v>
      </c>
      <c r="AF215" s="38">
        <v>1</v>
      </c>
      <c r="AG215" s="38">
        <v>1</v>
      </c>
      <c r="AH215" s="38">
        <v>0.19565217391304299</v>
      </c>
      <c r="AI215" s="38" t="s">
        <v>195</v>
      </c>
      <c r="AJ215" s="7"/>
    </row>
    <row r="216" spans="1:36" x14ac:dyDescent="0.35">
      <c r="AJ216" s="7"/>
    </row>
    <row r="217" spans="1:36" x14ac:dyDescent="0.35">
      <c r="A217" s="17" t="s">
        <v>207</v>
      </c>
      <c r="B217" s="17"/>
      <c r="C217" s="18" t="s">
        <v>122</v>
      </c>
      <c r="D217" s="18" t="s">
        <v>123</v>
      </c>
      <c r="E217" s="18" t="s">
        <v>124</v>
      </c>
      <c r="F217" s="18" t="s">
        <v>125</v>
      </c>
      <c r="G217" s="18" t="s">
        <v>126</v>
      </c>
      <c r="H217" s="18" t="s">
        <v>127</v>
      </c>
      <c r="I217" s="18" t="s">
        <v>128</v>
      </c>
      <c r="J217" s="18" t="s">
        <v>129</v>
      </c>
      <c r="K217" s="18" t="s">
        <v>130</v>
      </c>
      <c r="L217" s="18" t="s">
        <v>131</v>
      </c>
      <c r="M217" s="18" t="s">
        <v>132</v>
      </c>
      <c r="N217" s="18" t="s">
        <v>133</v>
      </c>
      <c r="O217" s="18" t="s">
        <v>134</v>
      </c>
      <c r="P217" s="18" t="s">
        <v>135</v>
      </c>
      <c r="Q217" s="18" t="s">
        <v>136</v>
      </c>
      <c r="R217" s="18" t="s">
        <v>137</v>
      </c>
      <c r="S217" s="18" t="s">
        <v>138</v>
      </c>
      <c r="T217" s="18" t="s">
        <v>139</v>
      </c>
      <c r="U217" s="18" t="s">
        <v>140</v>
      </c>
      <c r="V217" s="18" t="s">
        <v>141</v>
      </c>
      <c r="W217" s="18" t="s">
        <v>142</v>
      </c>
      <c r="X217" s="18" t="s">
        <v>143</v>
      </c>
      <c r="Y217" s="18" t="s">
        <v>144</v>
      </c>
      <c r="Z217" s="18" t="s">
        <v>145</v>
      </c>
      <c r="AA217" s="18" t="s">
        <v>146</v>
      </c>
      <c r="AB217" s="18" t="s">
        <v>147</v>
      </c>
      <c r="AC217" s="18" t="s">
        <v>148</v>
      </c>
      <c r="AD217" s="18" t="s">
        <v>149</v>
      </c>
      <c r="AE217" s="18" t="s">
        <v>150</v>
      </c>
      <c r="AF217" s="18" t="s">
        <v>151</v>
      </c>
      <c r="AG217" s="18" t="s">
        <v>152</v>
      </c>
      <c r="AH217" s="18" t="s">
        <v>153</v>
      </c>
      <c r="AI217" s="18" t="s">
        <v>154</v>
      </c>
      <c r="AJ217" s="7"/>
    </row>
    <row r="218" spans="1:36" x14ac:dyDescent="0.35">
      <c r="A218" s="17" t="s">
        <v>208</v>
      </c>
      <c r="B218" s="17"/>
      <c r="C218" s="19">
        <f>COUNTIFS(B$4:B$63,B215,$AI$4:$AI$63,"YES")</f>
        <v>0</v>
      </c>
      <c r="D218" s="19">
        <f>COUNTIFS(C$4:C$63,C215,$AI$4:$AI$63,"YES")</f>
        <v>3</v>
      </c>
      <c r="E218" s="19">
        <f t="shared" ref="E218:AJ218" si="32">COUNTIFS(D$4:D$63,D215,$AI$4:$AI$63,"YES")</f>
        <v>1</v>
      </c>
      <c r="F218" s="19">
        <f t="shared" si="32"/>
        <v>2</v>
      </c>
      <c r="G218" s="19">
        <f t="shared" si="32"/>
        <v>2</v>
      </c>
      <c r="H218" s="19">
        <f t="shared" si="32"/>
        <v>4</v>
      </c>
      <c r="I218" s="19">
        <f t="shared" si="32"/>
        <v>4</v>
      </c>
      <c r="J218" s="19">
        <f t="shared" si="32"/>
        <v>4</v>
      </c>
      <c r="K218" s="19">
        <f t="shared" si="32"/>
        <v>0</v>
      </c>
      <c r="L218" s="19">
        <f t="shared" si="32"/>
        <v>2</v>
      </c>
      <c r="M218" s="19">
        <f t="shared" si="32"/>
        <v>4</v>
      </c>
      <c r="N218" s="19">
        <f t="shared" si="32"/>
        <v>3</v>
      </c>
      <c r="O218" s="19">
        <f t="shared" si="32"/>
        <v>4</v>
      </c>
      <c r="P218" s="19">
        <f t="shared" si="32"/>
        <v>4</v>
      </c>
      <c r="Q218" s="19">
        <f t="shared" si="32"/>
        <v>1</v>
      </c>
      <c r="R218" s="19">
        <f t="shared" si="32"/>
        <v>3</v>
      </c>
      <c r="S218" s="19">
        <f t="shared" si="32"/>
        <v>4</v>
      </c>
      <c r="T218" s="19">
        <f t="shared" si="32"/>
        <v>4</v>
      </c>
      <c r="U218" s="19">
        <f t="shared" si="32"/>
        <v>4</v>
      </c>
      <c r="V218" s="19">
        <f t="shared" si="32"/>
        <v>4</v>
      </c>
      <c r="W218" s="19">
        <f t="shared" si="32"/>
        <v>4</v>
      </c>
      <c r="X218" s="19">
        <f t="shared" si="32"/>
        <v>4</v>
      </c>
      <c r="Y218" s="19">
        <f t="shared" si="32"/>
        <v>4</v>
      </c>
      <c r="Z218" s="19">
        <f t="shared" si="32"/>
        <v>4</v>
      </c>
      <c r="AA218" s="19">
        <f t="shared" si="32"/>
        <v>4</v>
      </c>
      <c r="AB218" s="19">
        <f t="shared" si="32"/>
        <v>0</v>
      </c>
      <c r="AC218" s="19">
        <f t="shared" si="32"/>
        <v>4</v>
      </c>
      <c r="AD218" s="19">
        <f t="shared" si="32"/>
        <v>4</v>
      </c>
      <c r="AE218" s="19">
        <f t="shared" si="32"/>
        <v>4</v>
      </c>
      <c r="AF218" s="19">
        <f t="shared" si="32"/>
        <v>4</v>
      </c>
      <c r="AG218" s="19">
        <f t="shared" si="32"/>
        <v>4</v>
      </c>
      <c r="AH218" s="19">
        <f t="shared" si="32"/>
        <v>4</v>
      </c>
      <c r="AI218" s="19">
        <f t="shared" si="32"/>
        <v>1</v>
      </c>
      <c r="AJ218" s="20"/>
    </row>
    <row r="219" spans="1:36" x14ac:dyDescent="0.35">
      <c r="A219" s="17" t="s">
        <v>209</v>
      </c>
      <c r="B219" s="17"/>
      <c r="C219" s="19">
        <f>COUNTIFS(B$4:B$63,B215,$AI$4:$AI$63,"NO")</f>
        <v>13</v>
      </c>
      <c r="D219" s="19">
        <f t="shared" ref="D219:AI219" si="33">COUNTIFS(C$4:C$63,C215,$AI$4:$AI$63,"NO")</f>
        <v>22</v>
      </c>
      <c r="E219" s="19">
        <f t="shared" si="33"/>
        <v>26</v>
      </c>
      <c r="F219" s="19">
        <f t="shared" si="33"/>
        <v>31</v>
      </c>
      <c r="G219" s="19">
        <f t="shared" si="33"/>
        <v>34</v>
      </c>
      <c r="H219" s="19">
        <f t="shared" si="33"/>
        <v>45</v>
      </c>
      <c r="I219" s="19">
        <f t="shared" si="33"/>
        <v>47</v>
      </c>
      <c r="J219" s="19">
        <f t="shared" si="33"/>
        <v>45</v>
      </c>
      <c r="K219" s="19">
        <f t="shared" si="33"/>
        <v>17</v>
      </c>
      <c r="L219" s="19">
        <f t="shared" si="33"/>
        <v>39</v>
      </c>
      <c r="M219" s="19">
        <f t="shared" si="33"/>
        <v>44</v>
      </c>
      <c r="N219" s="19">
        <f t="shared" si="33"/>
        <v>31</v>
      </c>
      <c r="O219" s="19">
        <f t="shared" si="33"/>
        <v>44</v>
      </c>
      <c r="P219" s="19">
        <f t="shared" si="33"/>
        <v>42</v>
      </c>
      <c r="Q219" s="19">
        <f t="shared" si="33"/>
        <v>41</v>
      </c>
      <c r="R219" s="19">
        <f t="shared" si="33"/>
        <v>38</v>
      </c>
      <c r="S219" s="19">
        <f t="shared" si="33"/>
        <v>49</v>
      </c>
      <c r="T219" s="19">
        <f t="shared" si="33"/>
        <v>41</v>
      </c>
      <c r="U219" s="19">
        <f t="shared" si="33"/>
        <v>49</v>
      </c>
      <c r="V219" s="19">
        <f t="shared" si="33"/>
        <v>56</v>
      </c>
      <c r="W219" s="19">
        <f t="shared" si="33"/>
        <v>56</v>
      </c>
      <c r="X219" s="19">
        <f t="shared" si="33"/>
        <v>43</v>
      </c>
      <c r="Y219" s="19">
        <f t="shared" si="33"/>
        <v>56</v>
      </c>
      <c r="Z219" s="19">
        <f t="shared" si="33"/>
        <v>50</v>
      </c>
      <c r="AA219" s="19">
        <f t="shared" si="33"/>
        <v>45</v>
      </c>
      <c r="AB219" s="19">
        <f t="shared" si="33"/>
        <v>25</v>
      </c>
      <c r="AC219" s="19">
        <f t="shared" si="33"/>
        <v>56</v>
      </c>
      <c r="AD219" s="19">
        <f t="shared" si="33"/>
        <v>56</v>
      </c>
      <c r="AE219" s="19">
        <f t="shared" si="33"/>
        <v>56</v>
      </c>
      <c r="AF219" s="19">
        <f t="shared" si="33"/>
        <v>56</v>
      </c>
      <c r="AG219" s="19">
        <f t="shared" si="33"/>
        <v>47</v>
      </c>
      <c r="AH219" s="19">
        <f t="shared" si="33"/>
        <v>56</v>
      </c>
      <c r="AI219" s="19">
        <f t="shared" si="33"/>
        <v>30</v>
      </c>
      <c r="AJ219" s="20"/>
    </row>
    <row r="220" spans="1:36" x14ac:dyDescent="0.35">
      <c r="A220" s="17" t="s">
        <v>210</v>
      </c>
      <c r="B220" s="18" t="s">
        <v>208</v>
      </c>
      <c r="C220" s="19">
        <f>C218/$B$108</f>
        <v>0</v>
      </c>
      <c r="D220" s="19">
        <f t="shared" ref="D220:AI220" si="34">D218/$B$108</f>
        <v>45</v>
      </c>
      <c r="E220" s="19">
        <f t="shared" si="34"/>
        <v>15</v>
      </c>
      <c r="F220" s="19">
        <f t="shared" si="34"/>
        <v>30</v>
      </c>
      <c r="G220" s="19">
        <f t="shared" si="34"/>
        <v>30</v>
      </c>
      <c r="H220" s="19">
        <f t="shared" si="34"/>
        <v>60</v>
      </c>
      <c r="I220" s="19">
        <f t="shared" si="34"/>
        <v>60</v>
      </c>
      <c r="J220" s="19">
        <f t="shared" si="34"/>
        <v>60</v>
      </c>
      <c r="K220" s="19">
        <f t="shared" si="34"/>
        <v>0</v>
      </c>
      <c r="L220" s="19">
        <f t="shared" si="34"/>
        <v>30</v>
      </c>
      <c r="M220" s="19">
        <f t="shared" si="34"/>
        <v>60</v>
      </c>
      <c r="N220" s="19">
        <f t="shared" si="34"/>
        <v>45</v>
      </c>
      <c r="O220" s="19">
        <f t="shared" si="34"/>
        <v>60</v>
      </c>
      <c r="P220" s="19">
        <f t="shared" si="34"/>
        <v>60</v>
      </c>
      <c r="Q220" s="19">
        <f t="shared" si="34"/>
        <v>15</v>
      </c>
      <c r="R220" s="19">
        <f t="shared" si="34"/>
        <v>45</v>
      </c>
      <c r="S220" s="19">
        <f t="shared" si="34"/>
        <v>60</v>
      </c>
      <c r="T220" s="19">
        <f t="shared" si="34"/>
        <v>60</v>
      </c>
      <c r="U220" s="19">
        <f t="shared" si="34"/>
        <v>60</v>
      </c>
      <c r="V220" s="19">
        <f t="shared" si="34"/>
        <v>60</v>
      </c>
      <c r="W220" s="19">
        <f t="shared" si="34"/>
        <v>60</v>
      </c>
      <c r="X220" s="19">
        <f t="shared" si="34"/>
        <v>60</v>
      </c>
      <c r="Y220" s="19">
        <f t="shared" si="34"/>
        <v>60</v>
      </c>
      <c r="Z220" s="19">
        <f t="shared" si="34"/>
        <v>60</v>
      </c>
      <c r="AA220" s="19">
        <f t="shared" si="34"/>
        <v>60</v>
      </c>
      <c r="AB220" s="19">
        <f t="shared" si="34"/>
        <v>0</v>
      </c>
      <c r="AC220" s="19">
        <f t="shared" si="34"/>
        <v>60</v>
      </c>
      <c r="AD220" s="19">
        <f t="shared" si="34"/>
        <v>60</v>
      </c>
      <c r="AE220" s="19">
        <f t="shared" si="34"/>
        <v>60</v>
      </c>
      <c r="AF220" s="19">
        <f t="shared" si="34"/>
        <v>60</v>
      </c>
      <c r="AG220" s="19">
        <f t="shared" si="34"/>
        <v>60</v>
      </c>
      <c r="AH220" s="19">
        <f t="shared" si="34"/>
        <v>60</v>
      </c>
      <c r="AI220" s="19">
        <f t="shared" si="34"/>
        <v>15</v>
      </c>
      <c r="AJ220" s="19">
        <f>C220*D220*E220*F220*G220*H220*I220*J220*K220*L220*M220*N220*O220*P220*Q220*R220*S220*T220*U220*V220*W220*X220*Y220*Z220*AA220*AB220*AC220*AD220*AE220*AF220*AG220*AH220*AI220</f>
        <v>0</v>
      </c>
    </row>
    <row r="221" spans="1:36" x14ac:dyDescent="0.35">
      <c r="A221" s="17"/>
      <c r="B221" s="18" t="s">
        <v>209</v>
      </c>
      <c r="C221" s="19">
        <f>C219/$C$108</f>
        <v>13.928571428571429</v>
      </c>
      <c r="D221" s="19">
        <f t="shared" ref="D221:AI221" si="35">D219/$C$108</f>
        <v>23.571428571428569</v>
      </c>
      <c r="E221" s="19">
        <f t="shared" si="35"/>
        <v>27.857142857142858</v>
      </c>
      <c r="F221" s="19">
        <f t="shared" si="35"/>
        <v>33.214285714285715</v>
      </c>
      <c r="G221" s="19">
        <f t="shared" si="35"/>
        <v>36.428571428571431</v>
      </c>
      <c r="H221" s="19">
        <f t="shared" si="35"/>
        <v>48.214285714285715</v>
      </c>
      <c r="I221" s="19">
        <f t="shared" si="35"/>
        <v>50.357142857142854</v>
      </c>
      <c r="J221" s="19">
        <f t="shared" si="35"/>
        <v>48.214285714285715</v>
      </c>
      <c r="K221" s="19">
        <f t="shared" si="35"/>
        <v>18.214285714285715</v>
      </c>
      <c r="L221" s="19">
        <f t="shared" si="35"/>
        <v>41.785714285714285</v>
      </c>
      <c r="M221" s="19">
        <f t="shared" si="35"/>
        <v>47.142857142857139</v>
      </c>
      <c r="N221" s="19">
        <f t="shared" si="35"/>
        <v>33.214285714285715</v>
      </c>
      <c r="O221" s="19">
        <f t="shared" si="35"/>
        <v>47.142857142857139</v>
      </c>
      <c r="P221" s="19">
        <f t="shared" si="35"/>
        <v>45</v>
      </c>
      <c r="Q221" s="19">
        <f t="shared" si="35"/>
        <v>43.928571428571431</v>
      </c>
      <c r="R221" s="19">
        <f t="shared" si="35"/>
        <v>40.714285714285715</v>
      </c>
      <c r="S221" s="19">
        <f t="shared" si="35"/>
        <v>52.5</v>
      </c>
      <c r="T221" s="19">
        <f t="shared" si="35"/>
        <v>43.928571428571431</v>
      </c>
      <c r="U221" s="19">
        <f t="shared" si="35"/>
        <v>52.5</v>
      </c>
      <c r="V221" s="19">
        <f t="shared" si="35"/>
        <v>60</v>
      </c>
      <c r="W221" s="19">
        <f t="shared" si="35"/>
        <v>60</v>
      </c>
      <c r="X221" s="19">
        <f t="shared" si="35"/>
        <v>46.071428571428569</v>
      </c>
      <c r="Y221" s="19">
        <f t="shared" si="35"/>
        <v>60</v>
      </c>
      <c r="Z221" s="19">
        <f t="shared" si="35"/>
        <v>53.571428571428569</v>
      </c>
      <c r="AA221" s="19">
        <f t="shared" si="35"/>
        <v>48.214285714285715</v>
      </c>
      <c r="AB221" s="19">
        <f t="shared" si="35"/>
        <v>26.785714285714285</v>
      </c>
      <c r="AC221" s="19">
        <f t="shared" si="35"/>
        <v>60</v>
      </c>
      <c r="AD221" s="19">
        <f t="shared" si="35"/>
        <v>60</v>
      </c>
      <c r="AE221" s="19">
        <f t="shared" si="35"/>
        <v>60</v>
      </c>
      <c r="AF221" s="19">
        <f t="shared" si="35"/>
        <v>60</v>
      </c>
      <c r="AG221" s="19">
        <f t="shared" si="35"/>
        <v>50.357142857142854</v>
      </c>
      <c r="AH221" s="19">
        <f t="shared" si="35"/>
        <v>60</v>
      </c>
      <c r="AI221" s="19">
        <f t="shared" si="35"/>
        <v>32.142857142857139</v>
      </c>
      <c r="AJ221" s="19">
        <f>C221*D221*E221*F221*G221*H221*I221*J221*K221*L221*M221*N221*O221*P221*Q221*R221*S221*T221*U221*V221*W221*X221*Y221*Z221*AA221*AB221*AC221*AD221*AE221*AF221*AG221*AH221*AI221</f>
        <v>6.1457783855710053E+53</v>
      </c>
    </row>
    <row r="222" spans="1:36" x14ac:dyDescent="0.35">
      <c r="A222" s="21"/>
      <c r="B222" s="21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20"/>
    </row>
    <row r="223" spans="1:36" x14ac:dyDescent="0.35">
      <c r="A223" s="22" t="s">
        <v>211</v>
      </c>
      <c r="B223" s="23"/>
      <c r="C223" s="24" t="s">
        <v>212</v>
      </c>
      <c r="D223" s="20"/>
      <c r="E223" s="20"/>
      <c r="F223" s="20"/>
      <c r="G223" s="20"/>
      <c r="H223" s="20"/>
      <c r="I223" s="20"/>
      <c r="J223" s="20"/>
      <c r="K223" s="20"/>
      <c r="L223" s="2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20"/>
    </row>
    <row r="224" spans="1:36" x14ac:dyDescent="0.35">
      <c r="A224" s="25" t="s">
        <v>208</v>
      </c>
      <c r="B224" s="26">
        <f>AJ220*$B$108</f>
        <v>0</v>
      </c>
      <c r="C224" s="27" t="str">
        <f>IF(B224&gt;B225,A224,A225)</f>
        <v>No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20"/>
    </row>
    <row r="225" spans="1:36" x14ac:dyDescent="0.35">
      <c r="A225" s="25" t="s">
        <v>209</v>
      </c>
      <c r="B225" s="26">
        <f>AJ221*$C$108</f>
        <v>5.736059826532938E+53</v>
      </c>
      <c r="C225" s="28"/>
      <c r="D225" s="20"/>
      <c r="E225" s="20"/>
      <c r="F225" s="20"/>
      <c r="G225" s="20"/>
      <c r="H225" s="20"/>
      <c r="I225" s="20"/>
      <c r="J225" s="20"/>
      <c r="K225" s="20"/>
      <c r="L225" s="2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20"/>
    </row>
    <row r="227" spans="1:36" x14ac:dyDescent="0.35">
      <c r="A227" s="15"/>
      <c r="B227" s="16" t="s">
        <v>122</v>
      </c>
      <c r="C227" s="16" t="s">
        <v>123</v>
      </c>
      <c r="D227" s="16" t="s">
        <v>124</v>
      </c>
      <c r="E227" s="16" t="s">
        <v>125</v>
      </c>
      <c r="F227" s="16" t="s">
        <v>126</v>
      </c>
      <c r="G227" s="16" t="s">
        <v>127</v>
      </c>
      <c r="H227" s="16" t="s">
        <v>128</v>
      </c>
      <c r="I227" s="16" t="s">
        <v>129</v>
      </c>
      <c r="J227" s="16" t="s">
        <v>130</v>
      </c>
      <c r="K227" s="16" t="s">
        <v>131</v>
      </c>
      <c r="L227" s="16" t="s">
        <v>132</v>
      </c>
      <c r="M227" s="16" t="s">
        <v>133</v>
      </c>
      <c r="N227" s="16" t="s">
        <v>134</v>
      </c>
      <c r="O227" s="16" t="s">
        <v>135</v>
      </c>
      <c r="P227" s="16" t="s">
        <v>136</v>
      </c>
      <c r="Q227" s="16" t="s">
        <v>137</v>
      </c>
      <c r="R227" s="16" t="s">
        <v>138</v>
      </c>
      <c r="S227" s="16" t="s">
        <v>139</v>
      </c>
      <c r="T227" s="16" t="s">
        <v>140</v>
      </c>
      <c r="U227" s="16" t="s">
        <v>141</v>
      </c>
      <c r="V227" s="16" t="s">
        <v>142</v>
      </c>
      <c r="W227" s="16" t="s">
        <v>143</v>
      </c>
      <c r="X227" s="16" t="s">
        <v>144</v>
      </c>
      <c r="Y227" s="16" t="s">
        <v>145</v>
      </c>
      <c r="Z227" s="16" t="s">
        <v>146</v>
      </c>
      <c r="AA227" s="16" t="s">
        <v>147</v>
      </c>
      <c r="AB227" s="16" t="s">
        <v>148</v>
      </c>
      <c r="AC227" s="16" t="s">
        <v>149</v>
      </c>
      <c r="AD227" s="16" t="s">
        <v>150</v>
      </c>
      <c r="AE227" s="16" t="s">
        <v>151</v>
      </c>
      <c r="AF227" s="16" t="s">
        <v>152</v>
      </c>
      <c r="AG227" s="16" t="s">
        <v>153</v>
      </c>
      <c r="AH227" s="16" t="s">
        <v>154</v>
      </c>
      <c r="AI227" s="16"/>
      <c r="AJ227" s="7"/>
    </row>
    <row r="228" spans="1:36" x14ac:dyDescent="0.35">
      <c r="A228" s="9" t="s">
        <v>282</v>
      </c>
      <c r="B228" s="38">
        <v>0.5</v>
      </c>
      <c r="C228" s="38">
        <v>0.5</v>
      </c>
      <c r="D228" s="38">
        <v>0.23899371069182301</v>
      </c>
      <c r="E228" s="38">
        <v>0.66666666666666596</v>
      </c>
      <c r="F228" s="38">
        <v>0</v>
      </c>
      <c r="G228" s="38">
        <v>1</v>
      </c>
      <c r="H228" s="38">
        <v>0.55555555555555503</v>
      </c>
      <c r="I228" s="38">
        <v>1</v>
      </c>
      <c r="J228" s="38">
        <v>0</v>
      </c>
      <c r="K228" s="38">
        <v>0</v>
      </c>
      <c r="L228" s="38">
        <v>0</v>
      </c>
      <c r="M228" s="38">
        <v>0.2</v>
      </c>
      <c r="N228" s="38">
        <v>1</v>
      </c>
      <c r="O228" s="38">
        <v>0</v>
      </c>
      <c r="P228" s="38">
        <v>0</v>
      </c>
      <c r="Q228" s="38">
        <v>0.4</v>
      </c>
      <c r="R228" s="38">
        <v>1</v>
      </c>
      <c r="S228" s="38">
        <v>1</v>
      </c>
      <c r="T228" s="38">
        <v>1</v>
      </c>
      <c r="U228" s="38">
        <v>1</v>
      </c>
      <c r="V228" s="38">
        <v>1</v>
      </c>
      <c r="W228" s="38">
        <v>0</v>
      </c>
      <c r="X228" s="38">
        <v>1</v>
      </c>
      <c r="Y228" s="38">
        <v>1</v>
      </c>
      <c r="Z228" s="38">
        <v>1</v>
      </c>
      <c r="AA228" s="38">
        <v>0</v>
      </c>
      <c r="AB228" s="38">
        <v>1</v>
      </c>
      <c r="AC228" s="38">
        <v>1</v>
      </c>
      <c r="AD228" s="38">
        <v>1</v>
      </c>
      <c r="AE228" s="38">
        <v>1</v>
      </c>
      <c r="AF228" s="38">
        <v>1</v>
      </c>
      <c r="AG228" s="38">
        <v>1</v>
      </c>
      <c r="AH228" s="38">
        <v>0.19565217391304299</v>
      </c>
      <c r="AI228" s="38" t="s">
        <v>195</v>
      </c>
      <c r="AJ228" s="7"/>
    </row>
    <row r="229" spans="1:36" x14ac:dyDescent="0.35">
      <c r="AJ229" s="7"/>
    </row>
    <row r="230" spans="1:36" x14ac:dyDescent="0.35">
      <c r="A230" s="17" t="s">
        <v>207</v>
      </c>
      <c r="B230" s="17"/>
      <c r="C230" s="18" t="s">
        <v>122</v>
      </c>
      <c r="D230" s="18" t="s">
        <v>123</v>
      </c>
      <c r="E230" s="18" t="s">
        <v>124</v>
      </c>
      <c r="F230" s="18" t="s">
        <v>125</v>
      </c>
      <c r="G230" s="18" t="s">
        <v>126</v>
      </c>
      <c r="H230" s="18" t="s">
        <v>127</v>
      </c>
      <c r="I230" s="18" t="s">
        <v>128</v>
      </c>
      <c r="J230" s="18" t="s">
        <v>129</v>
      </c>
      <c r="K230" s="18" t="s">
        <v>130</v>
      </c>
      <c r="L230" s="18" t="s">
        <v>131</v>
      </c>
      <c r="M230" s="18" t="s">
        <v>132</v>
      </c>
      <c r="N230" s="18" t="s">
        <v>133</v>
      </c>
      <c r="O230" s="18" t="s">
        <v>134</v>
      </c>
      <c r="P230" s="18" t="s">
        <v>135</v>
      </c>
      <c r="Q230" s="18" t="s">
        <v>136</v>
      </c>
      <c r="R230" s="18" t="s">
        <v>137</v>
      </c>
      <c r="S230" s="18" t="s">
        <v>138</v>
      </c>
      <c r="T230" s="18" t="s">
        <v>139</v>
      </c>
      <c r="U230" s="18" t="s">
        <v>140</v>
      </c>
      <c r="V230" s="18" t="s">
        <v>141</v>
      </c>
      <c r="W230" s="18" t="s">
        <v>142</v>
      </c>
      <c r="X230" s="18" t="s">
        <v>143</v>
      </c>
      <c r="Y230" s="18" t="s">
        <v>144</v>
      </c>
      <c r="Z230" s="18" t="s">
        <v>145</v>
      </c>
      <c r="AA230" s="18" t="s">
        <v>146</v>
      </c>
      <c r="AB230" s="18" t="s">
        <v>147</v>
      </c>
      <c r="AC230" s="18" t="s">
        <v>148</v>
      </c>
      <c r="AD230" s="18" t="s">
        <v>149</v>
      </c>
      <c r="AE230" s="18" t="s">
        <v>150</v>
      </c>
      <c r="AF230" s="18" t="s">
        <v>151</v>
      </c>
      <c r="AG230" s="18" t="s">
        <v>152</v>
      </c>
      <c r="AH230" s="18" t="s">
        <v>153</v>
      </c>
      <c r="AI230" s="18" t="s">
        <v>154</v>
      </c>
      <c r="AJ230" s="7"/>
    </row>
    <row r="231" spans="1:36" x14ac:dyDescent="0.35">
      <c r="A231" s="17" t="s">
        <v>208</v>
      </c>
      <c r="B231" s="17"/>
      <c r="C231" s="19">
        <f>COUNTIFS(B$4:B$63,B228,$AI$4:$AI$63,"YES")</f>
        <v>0</v>
      </c>
      <c r="D231" s="19">
        <f>COUNTIFS(C$4:C$63,C228,$AI$4:$AI$63,"YES")</f>
        <v>1</v>
      </c>
      <c r="E231" s="19">
        <f t="shared" ref="E231:AJ231" si="36">COUNTIFS(D$4:D$63,D228,$AI$4:$AI$63,"YES")</f>
        <v>1</v>
      </c>
      <c r="F231" s="19">
        <f t="shared" si="36"/>
        <v>2</v>
      </c>
      <c r="G231" s="19">
        <f t="shared" si="36"/>
        <v>2</v>
      </c>
      <c r="H231" s="19">
        <f t="shared" si="36"/>
        <v>4</v>
      </c>
      <c r="I231" s="19">
        <f t="shared" si="36"/>
        <v>4</v>
      </c>
      <c r="J231" s="19">
        <f t="shared" si="36"/>
        <v>4</v>
      </c>
      <c r="K231" s="19">
        <f t="shared" si="36"/>
        <v>0</v>
      </c>
      <c r="L231" s="19">
        <f t="shared" si="36"/>
        <v>2</v>
      </c>
      <c r="M231" s="19">
        <f t="shared" si="36"/>
        <v>4</v>
      </c>
      <c r="N231" s="19">
        <f t="shared" si="36"/>
        <v>3</v>
      </c>
      <c r="O231" s="19">
        <f t="shared" si="36"/>
        <v>4</v>
      </c>
      <c r="P231" s="19">
        <f t="shared" si="36"/>
        <v>4</v>
      </c>
      <c r="Q231" s="19">
        <f t="shared" si="36"/>
        <v>1</v>
      </c>
      <c r="R231" s="19">
        <f t="shared" si="36"/>
        <v>3</v>
      </c>
      <c r="S231" s="19">
        <f t="shared" si="36"/>
        <v>4</v>
      </c>
      <c r="T231" s="19">
        <f t="shared" si="36"/>
        <v>4</v>
      </c>
      <c r="U231" s="19">
        <f t="shared" si="36"/>
        <v>4</v>
      </c>
      <c r="V231" s="19">
        <f t="shared" si="36"/>
        <v>4</v>
      </c>
      <c r="W231" s="19">
        <f t="shared" si="36"/>
        <v>4</v>
      </c>
      <c r="X231" s="19">
        <f t="shared" si="36"/>
        <v>4</v>
      </c>
      <c r="Y231" s="19">
        <f t="shared" si="36"/>
        <v>4</v>
      </c>
      <c r="Z231" s="19">
        <f t="shared" si="36"/>
        <v>4</v>
      </c>
      <c r="AA231" s="19">
        <f t="shared" si="36"/>
        <v>4</v>
      </c>
      <c r="AB231" s="19">
        <f t="shared" si="36"/>
        <v>4</v>
      </c>
      <c r="AC231" s="19">
        <f t="shared" si="36"/>
        <v>4</v>
      </c>
      <c r="AD231" s="19">
        <f t="shared" si="36"/>
        <v>4</v>
      </c>
      <c r="AE231" s="19">
        <f t="shared" si="36"/>
        <v>4</v>
      </c>
      <c r="AF231" s="19">
        <f t="shared" si="36"/>
        <v>4</v>
      </c>
      <c r="AG231" s="19">
        <f t="shared" si="36"/>
        <v>4</v>
      </c>
      <c r="AH231" s="19">
        <f t="shared" si="36"/>
        <v>4</v>
      </c>
      <c r="AI231" s="19">
        <f t="shared" si="36"/>
        <v>1</v>
      </c>
      <c r="AJ231" s="20"/>
    </row>
    <row r="232" spans="1:36" x14ac:dyDescent="0.35">
      <c r="A232" s="17" t="s">
        <v>209</v>
      </c>
      <c r="B232" s="17"/>
      <c r="C232" s="19">
        <f>COUNTIFS(B$4:B$63,B228,$AI$4:$AI$63,"NO")</f>
        <v>9</v>
      </c>
      <c r="D232" s="19">
        <f t="shared" ref="D232:AI232" si="37">COUNTIFS(C$4:C$63,C228,$AI$4:$AI$63,"NO")</f>
        <v>11</v>
      </c>
      <c r="E232" s="19">
        <f t="shared" si="37"/>
        <v>26</v>
      </c>
      <c r="F232" s="19">
        <f t="shared" si="37"/>
        <v>31</v>
      </c>
      <c r="G232" s="19">
        <f t="shared" si="37"/>
        <v>34</v>
      </c>
      <c r="H232" s="19">
        <f t="shared" si="37"/>
        <v>45</v>
      </c>
      <c r="I232" s="19">
        <f t="shared" si="37"/>
        <v>47</v>
      </c>
      <c r="J232" s="19">
        <f t="shared" si="37"/>
        <v>45</v>
      </c>
      <c r="K232" s="19">
        <f t="shared" si="37"/>
        <v>17</v>
      </c>
      <c r="L232" s="19">
        <f t="shared" si="37"/>
        <v>39</v>
      </c>
      <c r="M232" s="19">
        <f t="shared" si="37"/>
        <v>44</v>
      </c>
      <c r="N232" s="19">
        <f t="shared" si="37"/>
        <v>31</v>
      </c>
      <c r="O232" s="19">
        <f t="shared" si="37"/>
        <v>44</v>
      </c>
      <c r="P232" s="19">
        <f t="shared" si="37"/>
        <v>42</v>
      </c>
      <c r="Q232" s="19">
        <f t="shared" si="37"/>
        <v>41</v>
      </c>
      <c r="R232" s="19">
        <f t="shared" si="37"/>
        <v>38</v>
      </c>
      <c r="S232" s="19">
        <f t="shared" si="37"/>
        <v>49</v>
      </c>
      <c r="T232" s="19">
        <f t="shared" si="37"/>
        <v>41</v>
      </c>
      <c r="U232" s="19">
        <f t="shared" si="37"/>
        <v>49</v>
      </c>
      <c r="V232" s="19">
        <f t="shared" si="37"/>
        <v>56</v>
      </c>
      <c r="W232" s="19">
        <f t="shared" si="37"/>
        <v>56</v>
      </c>
      <c r="X232" s="19">
        <f t="shared" si="37"/>
        <v>43</v>
      </c>
      <c r="Y232" s="19">
        <f t="shared" si="37"/>
        <v>56</v>
      </c>
      <c r="Z232" s="19">
        <f t="shared" si="37"/>
        <v>50</v>
      </c>
      <c r="AA232" s="19">
        <f t="shared" si="37"/>
        <v>45</v>
      </c>
      <c r="AB232" s="19">
        <f t="shared" si="37"/>
        <v>25</v>
      </c>
      <c r="AC232" s="19">
        <f t="shared" si="37"/>
        <v>56</v>
      </c>
      <c r="AD232" s="19">
        <f t="shared" si="37"/>
        <v>56</v>
      </c>
      <c r="AE232" s="19">
        <f t="shared" si="37"/>
        <v>56</v>
      </c>
      <c r="AF232" s="19">
        <f t="shared" si="37"/>
        <v>56</v>
      </c>
      <c r="AG232" s="19">
        <f t="shared" si="37"/>
        <v>47</v>
      </c>
      <c r="AH232" s="19">
        <f t="shared" si="37"/>
        <v>56</v>
      </c>
      <c r="AI232" s="19">
        <f t="shared" si="37"/>
        <v>30</v>
      </c>
      <c r="AJ232" s="20"/>
    </row>
    <row r="233" spans="1:36" x14ac:dyDescent="0.35">
      <c r="A233" s="17" t="s">
        <v>210</v>
      </c>
      <c r="B233" s="18" t="s">
        <v>208</v>
      </c>
      <c r="C233" s="19">
        <f>C231/$B$108</f>
        <v>0</v>
      </c>
      <c r="D233" s="19">
        <f t="shared" ref="D233:AI233" si="38">D231/$B$108</f>
        <v>15</v>
      </c>
      <c r="E233" s="19">
        <f t="shared" si="38"/>
        <v>15</v>
      </c>
      <c r="F233" s="19">
        <f t="shared" si="38"/>
        <v>30</v>
      </c>
      <c r="G233" s="19">
        <f t="shared" si="38"/>
        <v>30</v>
      </c>
      <c r="H233" s="19">
        <f t="shared" si="38"/>
        <v>60</v>
      </c>
      <c r="I233" s="19">
        <f t="shared" si="38"/>
        <v>60</v>
      </c>
      <c r="J233" s="19">
        <f t="shared" si="38"/>
        <v>60</v>
      </c>
      <c r="K233" s="19">
        <f t="shared" si="38"/>
        <v>0</v>
      </c>
      <c r="L233" s="19">
        <f t="shared" si="38"/>
        <v>30</v>
      </c>
      <c r="M233" s="19">
        <f t="shared" si="38"/>
        <v>60</v>
      </c>
      <c r="N233" s="19">
        <f t="shared" si="38"/>
        <v>45</v>
      </c>
      <c r="O233" s="19">
        <f t="shared" si="38"/>
        <v>60</v>
      </c>
      <c r="P233" s="19">
        <f t="shared" si="38"/>
        <v>60</v>
      </c>
      <c r="Q233" s="19">
        <f t="shared" si="38"/>
        <v>15</v>
      </c>
      <c r="R233" s="19">
        <f t="shared" si="38"/>
        <v>45</v>
      </c>
      <c r="S233" s="19">
        <f t="shared" si="38"/>
        <v>60</v>
      </c>
      <c r="T233" s="19">
        <f t="shared" si="38"/>
        <v>60</v>
      </c>
      <c r="U233" s="19">
        <f t="shared" si="38"/>
        <v>60</v>
      </c>
      <c r="V233" s="19">
        <f t="shared" si="38"/>
        <v>60</v>
      </c>
      <c r="W233" s="19">
        <f t="shared" si="38"/>
        <v>60</v>
      </c>
      <c r="X233" s="19">
        <f t="shared" si="38"/>
        <v>60</v>
      </c>
      <c r="Y233" s="19">
        <f t="shared" si="38"/>
        <v>60</v>
      </c>
      <c r="Z233" s="19">
        <f t="shared" si="38"/>
        <v>60</v>
      </c>
      <c r="AA233" s="19">
        <f t="shared" si="38"/>
        <v>60</v>
      </c>
      <c r="AB233" s="19">
        <f t="shared" si="38"/>
        <v>60</v>
      </c>
      <c r="AC233" s="19">
        <f t="shared" si="38"/>
        <v>60</v>
      </c>
      <c r="AD233" s="19">
        <f t="shared" si="38"/>
        <v>60</v>
      </c>
      <c r="AE233" s="19">
        <f t="shared" si="38"/>
        <v>60</v>
      </c>
      <c r="AF233" s="19">
        <f t="shared" si="38"/>
        <v>60</v>
      </c>
      <c r="AG233" s="19">
        <f t="shared" si="38"/>
        <v>60</v>
      </c>
      <c r="AH233" s="19">
        <f t="shared" si="38"/>
        <v>60</v>
      </c>
      <c r="AI233" s="19">
        <f t="shared" si="38"/>
        <v>15</v>
      </c>
      <c r="AJ233" s="19">
        <f>C233*D233*E233*F233*G233*H233*I233*J233*K233*L233*M233*N233*O233*P233*Q233*R233*S233*T233*U233*V233*W233*X233*Y233*Z233*AA233*AB233*AC233*AD233*AE233*AF233*AG233*AH233*AI233</f>
        <v>0</v>
      </c>
    </row>
    <row r="234" spans="1:36" x14ac:dyDescent="0.35">
      <c r="A234" s="17"/>
      <c r="B234" s="18" t="s">
        <v>209</v>
      </c>
      <c r="C234" s="19">
        <f>C232/$C$108</f>
        <v>9.6428571428571423</v>
      </c>
      <c r="D234" s="19">
        <f t="shared" ref="D234:AI234" si="39">D232/$C$108</f>
        <v>11.785714285714285</v>
      </c>
      <c r="E234" s="19">
        <f t="shared" si="39"/>
        <v>27.857142857142858</v>
      </c>
      <c r="F234" s="19">
        <f t="shared" si="39"/>
        <v>33.214285714285715</v>
      </c>
      <c r="G234" s="19">
        <f t="shared" si="39"/>
        <v>36.428571428571431</v>
      </c>
      <c r="H234" s="19">
        <f t="shared" si="39"/>
        <v>48.214285714285715</v>
      </c>
      <c r="I234" s="19">
        <f t="shared" si="39"/>
        <v>50.357142857142854</v>
      </c>
      <c r="J234" s="19">
        <f t="shared" si="39"/>
        <v>48.214285714285715</v>
      </c>
      <c r="K234" s="19">
        <f t="shared" si="39"/>
        <v>18.214285714285715</v>
      </c>
      <c r="L234" s="19">
        <f t="shared" si="39"/>
        <v>41.785714285714285</v>
      </c>
      <c r="M234" s="19">
        <f t="shared" si="39"/>
        <v>47.142857142857139</v>
      </c>
      <c r="N234" s="19">
        <f t="shared" si="39"/>
        <v>33.214285714285715</v>
      </c>
      <c r="O234" s="19">
        <f t="shared" si="39"/>
        <v>47.142857142857139</v>
      </c>
      <c r="P234" s="19">
        <f t="shared" si="39"/>
        <v>45</v>
      </c>
      <c r="Q234" s="19">
        <f t="shared" si="39"/>
        <v>43.928571428571431</v>
      </c>
      <c r="R234" s="19">
        <f t="shared" si="39"/>
        <v>40.714285714285715</v>
      </c>
      <c r="S234" s="19">
        <f t="shared" si="39"/>
        <v>52.5</v>
      </c>
      <c r="T234" s="19">
        <f t="shared" si="39"/>
        <v>43.928571428571431</v>
      </c>
      <c r="U234" s="19">
        <f t="shared" si="39"/>
        <v>52.5</v>
      </c>
      <c r="V234" s="19">
        <f t="shared" si="39"/>
        <v>60</v>
      </c>
      <c r="W234" s="19">
        <f t="shared" si="39"/>
        <v>60</v>
      </c>
      <c r="X234" s="19">
        <f t="shared" si="39"/>
        <v>46.071428571428569</v>
      </c>
      <c r="Y234" s="19">
        <f t="shared" si="39"/>
        <v>60</v>
      </c>
      <c r="Z234" s="19">
        <f t="shared" si="39"/>
        <v>53.571428571428569</v>
      </c>
      <c r="AA234" s="19">
        <f t="shared" si="39"/>
        <v>48.214285714285715</v>
      </c>
      <c r="AB234" s="19">
        <f t="shared" si="39"/>
        <v>26.785714285714285</v>
      </c>
      <c r="AC234" s="19">
        <f t="shared" si="39"/>
        <v>60</v>
      </c>
      <c r="AD234" s="19">
        <f t="shared" si="39"/>
        <v>60</v>
      </c>
      <c r="AE234" s="19">
        <f t="shared" si="39"/>
        <v>60</v>
      </c>
      <c r="AF234" s="19">
        <f t="shared" si="39"/>
        <v>60</v>
      </c>
      <c r="AG234" s="19">
        <f t="shared" si="39"/>
        <v>50.357142857142854</v>
      </c>
      <c r="AH234" s="19">
        <f t="shared" si="39"/>
        <v>60</v>
      </c>
      <c r="AI234" s="19">
        <f t="shared" si="39"/>
        <v>32.142857142857139</v>
      </c>
      <c r="AJ234" s="19">
        <f>C234*D234*E234*F234*G234*H234*I234*J234*K234*L234*M234*N234*O234*P234*Q234*R234*S234*T234*U234*V234*W234*X234*Y234*Z234*AA234*AB234*AC234*AD234*AE234*AF234*AG234*AH234*AI234</f>
        <v>2.1273848257745782E+53</v>
      </c>
    </row>
    <row r="235" spans="1:36" x14ac:dyDescent="0.35">
      <c r="A235" s="21"/>
      <c r="B235" s="21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20"/>
    </row>
    <row r="236" spans="1:36" x14ac:dyDescent="0.35">
      <c r="A236" s="22" t="s">
        <v>211</v>
      </c>
      <c r="B236" s="23"/>
      <c r="C236" s="24" t="s">
        <v>212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20"/>
    </row>
    <row r="237" spans="1:36" x14ac:dyDescent="0.35">
      <c r="A237" s="25" t="s">
        <v>208</v>
      </c>
      <c r="B237" s="26">
        <f>AJ233*$B$108</f>
        <v>0</v>
      </c>
      <c r="C237" s="27" t="str">
        <f>IF(B237&gt;B238,A237,A238)</f>
        <v>No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20"/>
    </row>
    <row r="238" spans="1:36" x14ac:dyDescent="0.35">
      <c r="A238" s="25" t="s">
        <v>209</v>
      </c>
      <c r="B238" s="26">
        <f>AJ234*$C$108</f>
        <v>1.9855591707229397E+53</v>
      </c>
      <c r="C238" s="28"/>
      <c r="D238" s="20"/>
      <c r="E238" s="20"/>
      <c r="F238" s="20"/>
      <c r="G238" s="20"/>
      <c r="H238" s="20"/>
      <c r="I238" s="20"/>
      <c r="J238" s="20"/>
      <c r="K238" s="20"/>
      <c r="L238" s="2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20"/>
    </row>
    <row r="240" spans="1:36" x14ac:dyDescent="0.35">
      <c r="A240" s="15"/>
      <c r="B240" s="16" t="s">
        <v>122</v>
      </c>
      <c r="C240" s="16" t="s">
        <v>123</v>
      </c>
      <c r="D240" s="16" t="s">
        <v>124</v>
      </c>
      <c r="E240" s="16" t="s">
        <v>125</v>
      </c>
      <c r="F240" s="16" t="s">
        <v>126</v>
      </c>
      <c r="G240" s="16" t="s">
        <v>127</v>
      </c>
      <c r="H240" s="16" t="s">
        <v>128</v>
      </c>
      <c r="I240" s="16" t="s">
        <v>129</v>
      </c>
      <c r="J240" s="16" t="s">
        <v>130</v>
      </c>
      <c r="K240" s="16" t="s">
        <v>131</v>
      </c>
      <c r="L240" s="16" t="s">
        <v>132</v>
      </c>
      <c r="M240" s="16" t="s">
        <v>133</v>
      </c>
      <c r="N240" s="16" t="s">
        <v>134</v>
      </c>
      <c r="O240" s="16" t="s">
        <v>135</v>
      </c>
      <c r="P240" s="16" t="s">
        <v>136</v>
      </c>
      <c r="Q240" s="16" t="s">
        <v>137</v>
      </c>
      <c r="R240" s="16" t="s">
        <v>138</v>
      </c>
      <c r="S240" s="16" t="s">
        <v>139</v>
      </c>
      <c r="T240" s="16" t="s">
        <v>140</v>
      </c>
      <c r="U240" s="16" t="s">
        <v>141</v>
      </c>
      <c r="V240" s="16" t="s">
        <v>142</v>
      </c>
      <c r="W240" s="16" t="s">
        <v>143</v>
      </c>
      <c r="X240" s="16" t="s">
        <v>144</v>
      </c>
      <c r="Y240" s="16" t="s">
        <v>145</v>
      </c>
      <c r="Z240" s="16" t="s">
        <v>146</v>
      </c>
      <c r="AA240" s="16" t="s">
        <v>147</v>
      </c>
      <c r="AB240" s="16" t="s">
        <v>148</v>
      </c>
      <c r="AC240" s="16" t="s">
        <v>149</v>
      </c>
      <c r="AD240" s="16" t="s">
        <v>150</v>
      </c>
      <c r="AE240" s="16" t="s">
        <v>151</v>
      </c>
      <c r="AF240" s="16" t="s">
        <v>152</v>
      </c>
      <c r="AG240" s="16" t="s">
        <v>153</v>
      </c>
      <c r="AH240" s="16" t="s">
        <v>154</v>
      </c>
      <c r="AI240" s="16"/>
      <c r="AJ240" s="7"/>
    </row>
    <row r="241" spans="1:36" x14ac:dyDescent="0.35">
      <c r="A241" s="9" t="s">
        <v>283</v>
      </c>
      <c r="B241" s="38">
        <v>0.66666666666666596</v>
      </c>
      <c r="C241" s="38">
        <v>0.25</v>
      </c>
      <c r="D241" s="38">
        <v>0.23899371069182301</v>
      </c>
      <c r="E241" s="38">
        <v>0</v>
      </c>
      <c r="F241" s="38">
        <v>0</v>
      </c>
      <c r="G241" s="38">
        <v>1</v>
      </c>
      <c r="H241" s="38">
        <v>0.66666666666666596</v>
      </c>
      <c r="I241" s="38">
        <v>1</v>
      </c>
      <c r="J241" s="38">
        <v>1</v>
      </c>
      <c r="K241" s="38">
        <v>0</v>
      </c>
      <c r="L241" s="38">
        <v>0</v>
      </c>
      <c r="M241" s="38">
        <v>0.2</v>
      </c>
      <c r="N241" s="38">
        <v>1</v>
      </c>
      <c r="O241" s="38">
        <v>0</v>
      </c>
      <c r="P241" s="38">
        <v>0</v>
      </c>
      <c r="Q241" s="38">
        <v>0.4</v>
      </c>
      <c r="R241" s="38">
        <v>1</v>
      </c>
      <c r="S241" s="38">
        <v>1</v>
      </c>
      <c r="T241" s="38">
        <v>1</v>
      </c>
      <c r="U241" s="38">
        <v>1</v>
      </c>
      <c r="V241" s="38">
        <v>1</v>
      </c>
      <c r="W241" s="38">
        <v>0</v>
      </c>
      <c r="X241" s="38">
        <v>1</v>
      </c>
      <c r="Y241" s="38">
        <v>1</v>
      </c>
      <c r="Z241" s="38">
        <v>1</v>
      </c>
      <c r="AA241" s="38">
        <v>0</v>
      </c>
      <c r="AB241" s="38">
        <v>1</v>
      </c>
      <c r="AC241" s="38">
        <v>1</v>
      </c>
      <c r="AD241" s="38">
        <v>1</v>
      </c>
      <c r="AE241" s="38">
        <v>1</v>
      </c>
      <c r="AF241" s="38">
        <v>1</v>
      </c>
      <c r="AG241" s="38">
        <v>1</v>
      </c>
      <c r="AH241" s="38">
        <v>0.19565217391304299</v>
      </c>
      <c r="AI241" s="38" t="s">
        <v>195</v>
      </c>
      <c r="AJ241" s="7"/>
    </row>
    <row r="242" spans="1:36" x14ac:dyDescent="0.35">
      <c r="AJ242" s="7"/>
    </row>
    <row r="243" spans="1:36" x14ac:dyDescent="0.35">
      <c r="A243" s="17" t="s">
        <v>207</v>
      </c>
      <c r="B243" s="17"/>
      <c r="C243" s="18" t="s">
        <v>122</v>
      </c>
      <c r="D243" s="18" t="s">
        <v>123</v>
      </c>
      <c r="E243" s="18" t="s">
        <v>124</v>
      </c>
      <c r="F243" s="18" t="s">
        <v>125</v>
      </c>
      <c r="G243" s="18" t="s">
        <v>126</v>
      </c>
      <c r="H243" s="18" t="s">
        <v>127</v>
      </c>
      <c r="I243" s="18" t="s">
        <v>128</v>
      </c>
      <c r="J243" s="18" t="s">
        <v>129</v>
      </c>
      <c r="K243" s="18" t="s">
        <v>130</v>
      </c>
      <c r="L243" s="18" t="s">
        <v>131</v>
      </c>
      <c r="M243" s="18" t="s">
        <v>132</v>
      </c>
      <c r="N243" s="18" t="s">
        <v>133</v>
      </c>
      <c r="O243" s="18" t="s">
        <v>134</v>
      </c>
      <c r="P243" s="18" t="s">
        <v>135</v>
      </c>
      <c r="Q243" s="18" t="s">
        <v>136</v>
      </c>
      <c r="R243" s="18" t="s">
        <v>137</v>
      </c>
      <c r="S243" s="18" t="s">
        <v>138</v>
      </c>
      <c r="T243" s="18" t="s">
        <v>139</v>
      </c>
      <c r="U243" s="18" t="s">
        <v>140</v>
      </c>
      <c r="V243" s="18" t="s">
        <v>141</v>
      </c>
      <c r="W243" s="18" t="s">
        <v>142</v>
      </c>
      <c r="X243" s="18" t="s">
        <v>143</v>
      </c>
      <c r="Y243" s="18" t="s">
        <v>144</v>
      </c>
      <c r="Z243" s="18" t="s">
        <v>145</v>
      </c>
      <c r="AA243" s="18" t="s">
        <v>146</v>
      </c>
      <c r="AB243" s="18" t="s">
        <v>147</v>
      </c>
      <c r="AC243" s="18" t="s">
        <v>148</v>
      </c>
      <c r="AD243" s="18" t="s">
        <v>149</v>
      </c>
      <c r="AE243" s="18" t="s">
        <v>150</v>
      </c>
      <c r="AF243" s="18" t="s">
        <v>151</v>
      </c>
      <c r="AG243" s="18" t="s">
        <v>152</v>
      </c>
      <c r="AH243" s="18" t="s">
        <v>153</v>
      </c>
      <c r="AI243" s="18" t="s">
        <v>154</v>
      </c>
      <c r="AJ243" s="7"/>
    </row>
    <row r="244" spans="1:36" x14ac:dyDescent="0.35">
      <c r="A244" s="17" t="s">
        <v>208</v>
      </c>
      <c r="B244" s="17"/>
      <c r="C244" s="19">
        <f>COUNTIFS(B$4:B$63,B241,$AI$4:$AI$63,"YES")</f>
        <v>0</v>
      </c>
      <c r="D244" s="19">
        <f>COUNTIFS(C$4:C$63,C241,$AI$4:$AI$63,"YES")</f>
        <v>3</v>
      </c>
      <c r="E244" s="19">
        <f t="shared" ref="E244:AJ244" si="40">COUNTIFS(D$4:D$63,D241,$AI$4:$AI$63,"YES")</f>
        <v>1</v>
      </c>
      <c r="F244" s="19">
        <f t="shared" si="40"/>
        <v>0</v>
      </c>
      <c r="G244" s="19">
        <f t="shared" si="40"/>
        <v>2</v>
      </c>
      <c r="H244" s="19">
        <f t="shared" si="40"/>
        <v>4</v>
      </c>
      <c r="I244" s="19">
        <f t="shared" si="40"/>
        <v>0</v>
      </c>
      <c r="J244" s="19">
        <f t="shared" si="40"/>
        <v>4</v>
      </c>
      <c r="K244" s="19">
        <f t="shared" si="40"/>
        <v>0</v>
      </c>
      <c r="L244" s="19">
        <f t="shared" si="40"/>
        <v>2</v>
      </c>
      <c r="M244" s="19">
        <f t="shared" si="40"/>
        <v>4</v>
      </c>
      <c r="N244" s="19">
        <f t="shared" si="40"/>
        <v>3</v>
      </c>
      <c r="O244" s="19">
        <f t="shared" si="40"/>
        <v>4</v>
      </c>
      <c r="P244" s="19">
        <f t="shared" si="40"/>
        <v>4</v>
      </c>
      <c r="Q244" s="19">
        <f t="shared" si="40"/>
        <v>1</v>
      </c>
      <c r="R244" s="19">
        <f t="shared" si="40"/>
        <v>3</v>
      </c>
      <c r="S244" s="19">
        <f t="shared" si="40"/>
        <v>4</v>
      </c>
      <c r="T244" s="19">
        <f t="shared" si="40"/>
        <v>4</v>
      </c>
      <c r="U244" s="19">
        <f t="shared" si="40"/>
        <v>4</v>
      </c>
      <c r="V244" s="19">
        <f t="shared" si="40"/>
        <v>4</v>
      </c>
      <c r="W244" s="19">
        <f t="shared" si="40"/>
        <v>4</v>
      </c>
      <c r="X244" s="19">
        <f t="shared" si="40"/>
        <v>4</v>
      </c>
      <c r="Y244" s="19">
        <f t="shared" si="40"/>
        <v>4</v>
      </c>
      <c r="Z244" s="19">
        <f t="shared" si="40"/>
        <v>4</v>
      </c>
      <c r="AA244" s="19">
        <f t="shared" si="40"/>
        <v>4</v>
      </c>
      <c r="AB244" s="19">
        <f t="shared" si="40"/>
        <v>4</v>
      </c>
      <c r="AC244" s="19">
        <f t="shared" si="40"/>
        <v>4</v>
      </c>
      <c r="AD244" s="19">
        <f t="shared" si="40"/>
        <v>4</v>
      </c>
      <c r="AE244" s="19">
        <f t="shared" si="40"/>
        <v>4</v>
      </c>
      <c r="AF244" s="19">
        <f t="shared" si="40"/>
        <v>4</v>
      </c>
      <c r="AG244" s="19">
        <f t="shared" si="40"/>
        <v>4</v>
      </c>
      <c r="AH244" s="19">
        <f t="shared" si="40"/>
        <v>4</v>
      </c>
      <c r="AI244" s="19">
        <f t="shared" si="40"/>
        <v>1</v>
      </c>
      <c r="AJ244" s="20"/>
    </row>
    <row r="245" spans="1:36" x14ac:dyDescent="0.35">
      <c r="A245" s="17" t="s">
        <v>209</v>
      </c>
      <c r="B245" s="17"/>
      <c r="C245" s="19">
        <f>COUNTIFS(B$4:B$63,B241,$AI$4:$AI$63,"NO")</f>
        <v>13</v>
      </c>
      <c r="D245" s="19">
        <f t="shared" ref="D245:AI245" si="41">COUNTIFS(C$4:C$63,C241,$AI$4:$AI$63,"NO")</f>
        <v>22</v>
      </c>
      <c r="E245" s="19">
        <f t="shared" si="41"/>
        <v>26</v>
      </c>
      <c r="F245" s="19">
        <f t="shared" si="41"/>
        <v>13</v>
      </c>
      <c r="G245" s="19">
        <f t="shared" si="41"/>
        <v>34</v>
      </c>
      <c r="H245" s="19">
        <f t="shared" si="41"/>
        <v>45</v>
      </c>
      <c r="I245" s="19">
        <f t="shared" si="41"/>
        <v>0</v>
      </c>
      <c r="J245" s="19">
        <f t="shared" si="41"/>
        <v>45</v>
      </c>
      <c r="K245" s="19">
        <f t="shared" si="41"/>
        <v>5</v>
      </c>
      <c r="L245" s="19">
        <f t="shared" si="41"/>
        <v>39</v>
      </c>
      <c r="M245" s="19">
        <f t="shared" si="41"/>
        <v>44</v>
      </c>
      <c r="N245" s="19">
        <f t="shared" si="41"/>
        <v>31</v>
      </c>
      <c r="O245" s="19">
        <f t="shared" si="41"/>
        <v>44</v>
      </c>
      <c r="P245" s="19">
        <f t="shared" si="41"/>
        <v>42</v>
      </c>
      <c r="Q245" s="19">
        <f t="shared" si="41"/>
        <v>41</v>
      </c>
      <c r="R245" s="19">
        <f t="shared" si="41"/>
        <v>38</v>
      </c>
      <c r="S245" s="19">
        <f t="shared" si="41"/>
        <v>49</v>
      </c>
      <c r="T245" s="19">
        <f t="shared" si="41"/>
        <v>41</v>
      </c>
      <c r="U245" s="19">
        <f t="shared" si="41"/>
        <v>49</v>
      </c>
      <c r="V245" s="19">
        <f t="shared" si="41"/>
        <v>56</v>
      </c>
      <c r="W245" s="19">
        <f t="shared" si="41"/>
        <v>56</v>
      </c>
      <c r="X245" s="19">
        <f t="shared" si="41"/>
        <v>43</v>
      </c>
      <c r="Y245" s="19">
        <f t="shared" si="41"/>
        <v>56</v>
      </c>
      <c r="Z245" s="19">
        <f t="shared" si="41"/>
        <v>50</v>
      </c>
      <c r="AA245" s="19">
        <f t="shared" si="41"/>
        <v>45</v>
      </c>
      <c r="AB245" s="19">
        <f t="shared" si="41"/>
        <v>25</v>
      </c>
      <c r="AC245" s="19">
        <f t="shared" si="41"/>
        <v>56</v>
      </c>
      <c r="AD245" s="19">
        <f t="shared" si="41"/>
        <v>56</v>
      </c>
      <c r="AE245" s="19">
        <f t="shared" si="41"/>
        <v>56</v>
      </c>
      <c r="AF245" s="19">
        <f t="shared" si="41"/>
        <v>56</v>
      </c>
      <c r="AG245" s="19">
        <f t="shared" si="41"/>
        <v>47</v>
      </c>
      <c r="AH245" s="19">
        <f t="shared" si="41"/>
        <v>56</v>
      </c>
      <c r="AI245" s="19">
        <f t="shared" si="41"/>
        <v>30</v>
      </c>
      <c r="AJ245" s="20"/>
    </row>
    <row r="246" spans="1:36" x14ac:dyDescent="0.35">
      <c r="A246" s="17" t="s">
        <v>210</v>
      </c>
      <c r="B246" s="18" t="s">
        <v>208</v>
      </c>
      <c r="C246" s="19">
        <f>C244/$B$108</f>
        <v>0</v>
      </c>
      <c r="D246" s="19">
        <f t="shared" ref="D246:AI246" si="42">D244/$B$108</f>
        <v>45</v>
      </c>
      <c r="E246" s="19">
        <f t="shared" si="42"/>
        <v>15</v>
      </c>
      <c r="F246" s="19">
        <f t="shared" si="42"/>
        <v>0</v>
      </c>
      <c r="G246" s="19">
        <f t="shared" si="42"/>
        <v>30</v>
      </c>
      <c r="H246" s="19">
        <f t="shared" si="42"/>
        <v>60</v>
      </c>
      <c r="I246" s="19">
        <f t="shared" si="42"/>
        <v>0</v>
      </c>
      <c r="J246" s="19">
        <f t="shared" si="42"/>
        <v>60</v>
      </c>
      <c r="K246" s="19">
        <f t="shared" si="42"/>
        <v>0</v>
      </c>
      <c r="L246" s="19">
        <f t="shared" si="42"/>
        <v>30</v>
      </c>
      <c r="M246" s="19">
        <f t="shared" si="42"/>
        <v>60</v>
      </c>
      <c r="N246" s="19">
        <f t="shared" si="42"/>
        <v>45</v>
      </c>
      <c r="O246" s="19">
        <f t="shared" si="42"/>
        <v>60</v>
      </c>
      <c r="P246" s="19">
        <f t="shared" si="42"/>
        <v>60</v>
      </c>
      <c r="Q246" s="19">
        <f t="shared" si="42"/>
        <v>15</v>
      </c>
      <c r="R246" s="19">
        <f t="shared" si="42"/>
        <v>45</v>
      </c>
      <c r="S246" s="19">
        <f t="shared" si="42"/>
        <v>60</v>
      </c>
      <c r="T246" s="19">
        <f t="shared" si="42"/>
        <v>60</v>
      </c>
      <c r="U246" s="19">
        <f t="shared" si="42"/>
        <v>60</v>
      </c>
      <c r="V246" s="19">
        <f t="shared" si="42"/>
        <v>60</v>
      </c>
      <c r="W246" s="19">
        <f t="shared" si="42"/>
        <v>60</v>
      </c>
      <c r="X246" s="19">
        <f t="shared" si="42"/>
        <v>60</v>
      </c>
      <c r="Y246" s="19">
        <f t="shared" si="42"/>
        <v>60</v>
      </c>
      <c r="Z246" s="19">
        <f t="shared" si="42"/>
        <v>60</v>
      </c>
      <c r="AA246" s="19">
        <f t="shared" si="42"/>
        <v>60</v>
      </c>
      <c r="AB246" s="19">
        <f t="shared" si="42"/>
        <v>60</v>
      </c>
      <c r="AC246" s="19">
        <f t="shared" si="42"/>
        <v>60</v>
      </c>
      <c r="AD246" s="19">
        <f t="shared" si="42"/>
        <v>60</v>
      </c>
      <c r="AE246" s="19">
        <f t="shared" si="42"/>
        <v>60</v>
      </c>
      <c r="AF246" s="19">
        <f t="shared" si="42"/>
        <v>60</v>
      </c>
      <c r="AG246" s="19">
        <f t="shared" si="42"/>
        <v>60</v>
      </c>
      <c r="AH246" s="19">
        <f t="shared" si="42"/>
        <v>60</v>
      </c>
      <c r="AI246" s="19">
        <f t="shared" si="42"/>
        <v>15</v>
      </c>
      <c r="AJ246" s="19">
        <f>C246*D246*E246*F246*G246*H246*I246*J246*K246*L246*M246*N246*O246*P246*Q246*R246*S246*T246*U246*V246*W246*X246*Y246*Z246*AA246*AB246*AC246*AD246*AE246*AF246*AG246*AH246*AI246</f>
        <v>0</v>
      </c>
    </row>
    <row r="247" spans="1:36" x14ac:dyDescent="0.35">
      <c r="A247" s="17"/>
      <c r="B247" s="18" t="s">
        <v>209</v>
      </c>
      <c r="C247" s="19">
        <f>C245/$C$108</f>
        <v>13.928571428571429</v>
      </c>
      <c r="D247" s="19">
        <f t="shared" ref="D247:AI247" si="43">D245/$C$108</f>
        <v>23.571428571428569</v>
      </c>
      <c r="E247" s="19">
        <f t="shared" si="43"/>
        <v>27.857142857142858</v>
      </c>
      <c r="F247" s="19">
        <f t="shared" si="43"/>
        <v>13.928571428571429</v>
      </c>
      <c r="G247" s="19">
        <f t="shared" si="43"/>
        <v>36.428571428571431</v>
      </c>
      <c r="H247" s="19">
        <f t="shared" si="43"/>
        <v>48.214285714285715</v>
      </c>
      <c r="I247" s="19">
        <f t="shared" si="43"/>
        <v>0</v>
      </c>
      <c r="J247" s="19">
        <f t="shared" si="43"/>
        <v>48.214285714285715</v>
      </c>
      <c r="K247" s="19">
        <f t="shared" si="43"/>
        <v>5.3571428571428568</v>
      </c>
      <c r="L247" s="19">
        <f t="shared" si="43"/>
        <v>41.785714285714285</v>
      </c>
      <c r="M247" s="19">
        <f t="shared" si="43"/>
        <v>47.142857142857139</v>
      </c>
      <c r="N247" s="19">
        <f t="shared" si="43"/>
        <v>33.214285714285715</v>
      </c>
      <c r="O247" s="19">
        <f t="shared" si="43"/>
        <v>47.142857142857139</v>
      </c>
      <c r="P247" s="19">
        <f t="shared" si="43"/>
        <v>45</v>
      </c>
      <c r="Q247" s="19">
        <f t="shared" si="43"/>
        <v>43.928571428571431</v>
      </c>
      <c r="R247" s="19">
        <f t="shared" si="43"/>
        <v>40.714285714285715</v>
      </c>
      <c r="S247" s="19">
        <f t="shared" si="43"/>
        <v>52.5</v>
      </c>
      <c r="T247" s="19">
        <f t="shared" si="43"/>
        <v>43.928571428571431</v>
      </c>
      <c r="U247" s="19">
        <f t="shared" si="43"/>
        <v>52.5</v>
      </c>
      <c r="V247" s="19">
        <f t="shared" si="43"/>
        <v>60</v>
      </c>
      <c r="W247" s="19">
        <f t="shared" si="43"/>
        <v>60</v>
      </c>
      <c r="X247" s="19">
        <f t="shared" si="43"/>
        <v>46.071428571428569</v>
      </c>
      <c r="Y247" s="19">
        <f t="shared" si="43"/>
        <v>60</v>
      </c>
      <c r="Z247" s="19">
        <f t="shared" si="43"/>
        <v>53.571428571428569</v>
      </c>
      <c r="AA247" s="19">
        <f t="shared" si="43"/>
        <v>48.214285714285715</v>
      </c>
      <c r="AB247" s="19">
        <f t="shared" si="43"/>
        <v>26.785714285714285</v>
      </c>
      <c r="AC247" s="19">
        <f t="shared" si="43"/>
        <v>60</v>
      </c>
      <c r="AD247" s="19">
        <f t="shared" si="43"/>
        <v>60</v>
      </c>
      <c r="AE247" s="19">
        <f t="shared" si="43"/>
        <v>60</v>
      </c>
      <c r="AF247" s="19">
        <f t="shared" si="43"/>
        <v>60</v>
      </c>
      <c r="AG247" s="19">
        <f t="shared" si="43"/>
        <v>50.357142857142854</v>
      </c>
      <c r="AH247" s="19">
        <f t="shared" si="43"/>
        <v>60</v>
      </c>
      <c r="AI247" s="19">
        <f t="shared" si="43"/>
        <v>32.142857142857139</v>
      </c>
      <c r="AJ247" s="19">
        <f>C247*D247*E247*F247*G247*H247*I247*J247*K247*L247*M247*N247*O247*P247*Q247*R247*S247*T247*U247*V247*W247*X247*Y247*Z247*AA247*AB247*AC247*AD247*AE247*AF247*AG247*AH247*AI247</f>
        <v>0</v>
      </c>
    </row>
    <row r="248" spans="1:36" x14ac:dyDescent="0.35">
      <c r="A248" s="21"/>
      <c r="B248" s="21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20"/>
    </row>
    <row r="249" spans="1:36" x14ac:dyDescent="0.35">
      <c r="A249" s="22" t="s">
        <v>211</v>
      </c>
      <c r="B249" s="23"/>
      <c r="C249" s="24" t="s">
        <v>212</v>
      </c>
      <c r="D249" s="20"/>
      <c r="E249" s="20"/>
      <c r="F249" s="20"/>
      <c r="G249" s="20"/>
      <c r="H249" s="20"/>
      <c r="I249" s="20"/>
      <c r="J249" s="20"/>
      <c r="K249" s="20"/>
      <c r="L249" s="2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20"/>
    </row>
    <row r="250" spans="1:36" x14ac:dyDescent="0.35">
      <c r="A250" s="25" t="s">
        <v>208</v>
      </c>
      <c r="B250" s="26">
        <f>AJ246*$B$108</f>
        <v>0</v>
      </c>
      <c r="C250" s="27" t="str">
        <f>IF(B250&gt;B251,A250,A251)</f>
        <v>No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20"/>
    </row>
    <row r="251" spans="1:36" x14ac:dyDescent="0.35">
      <c r="A251" s="25" t="s">
        <v>209</v>
      </c>
      <c r="B251" s="26">
        <f>AJ247*$C$108</f>
        <v>0</v>
      </c>
      <c r="C251" s="28"/>
      <c r="D251" s="20"/>
      <c r="E251" s="20"/>
      <c r="F251" s="20"/>
      <c r="G251" s="20"/>
      <c r="H251" s="20"/>
      <c r="I251" s="20"/>
      <c r="J251" s="20"/>
      <c r="K251" s="20"/>
      <c r="L251" s="2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20"/>
    </row>
    <row r="253" spans="1:36" x14ac:dyDescent="0.35">
      <c r="A253" s="15"/>
      <c r="B253" s="16" t="s">
        <v>122</v>
      </c>
      <c r="C253" s="16" t="s">
        <v>123</v>
      </c>
      <c r="D253" s="16" t="s">
        <v>124</v>
      </c>
      <c r="E253" s="16" t="s">
        <v>125</v>
      </c>
      <c r="F253" s="16" t="s">
        <v>126</v>
      </c>
      <c r="G253" s="16" t="s">
        <v>127</v>
      </c>
      <c r="H253" s="16" t="s">
        <v>128</v>
      </c>
      <c r="I253" s="16" t="s">
        <v>129</v>
      </c>
      <c r="J253" s="16" t="s">
        <v>130</v>
      </c>
      <c r="K253" s="16" t="s">
        <v>131</v>
      </c>
      <c r="L253" s="16" t="s">
        <v>132</v>
      </c>
      <c r="M253" s="16" t="s">
        <v>133</v>
      </c>
      <c r="N253" s="16" t="s">
        <v>134</v>
      </c>
      <c r="O253" s="16" t="s">
        <v>135</v>
      </c>
      <c r="P253" s="16" t="s">
        <v>136</v>
      </c>
      <c r="Q253" s="16" t="s">
        <v>137</v>
      </c>
      <c r="R253" s="16" t="s">
        <v>138</v>
      </c>
      <c r="S253" s="16" t="s">
        <v>139</v>
      </c>
      <c r="T253" s="16" t="s">
        <v>140</v>
      </c>
      <c r="U253" s="16" t="s">
        <v>141</v>
      </c>
      <c r="V253" s="16" t="s">
        <v>142</v>
      </c>
      <c r="W253" s="16" t="s">
        <v>143</v>
      </c>
      <c r="X253" s="16" t="s">
        <v>144</v>
      </c>
      <c r="Y253" s="16" t="s">
        <v>145</v>
      </c>
      <c r="Z253" s="16" t="s">
        <v>146</v>
      </c>
      <c r="AA253" s="16" t="s">
        <v>147</v>
      </c>
      <c r="AB253" s="16" t="s">
        <v>148</v>
      </c>
      <c r="AC253" s="16" t="s">
        <v>149</v>
      </c>
      <c r="AD253" s="16" t="s">
        <v>150</v>
      </c>
      <c r="AE253" s="16" t="s">
        <v>151</v>
      </c>
      <c r="AF253" s="16" t="s">
        <v>152</v>
      </c>
      <c r="AG253" s="16" t="s">
        <v>153</v>
      </c>
      <c r="AH253" s="16" t="s">
        <v>154</v>
      </c>
      <c r="AI253" s="16"/>
      <c r="AJ253" s="7"/>
    </row>
    <row r="254" spans="1:36" x14ac:dyDescent="0.35">
      <c r="A254" s="9" t="s">
        <v>284</v>
      </c>
      <c r="B254" s="38">
        <v>0.33333333333333298</v>
      </c>
      <c r="C254" s="38">
        <v>0.25</v>
      </c>
      <c r="D254" s="38">
        <v>0.33333333333333298</v>
      </c>
      <c r="E254" s="38">
        <v>0.66666666666666596</v>
      </c>
      <c r="F254" s="38">
        <v>0</v>
      </c>
      <c r="G254" s="38">
        <v>1</v>
      </c>
      <c r="H254" s="38">
        <v>0.55555555555555503</v>
      </c>
      <c r="I254" s="38">
        <v>1</v>
      </c>
      <c r="J254" s="38">
        <v>0.5</v>
      </c>
      <c r="K254" s="38">
        <v>0</v>
      </c>
      <c r="L254" s="38">
        <v>0</v>
      </c>
      <c r="M254" s="38">
        <v>0.2</v>
      </c>
      <c r="N254" s="38">
        <v>1</v>
      </c>
      <c r="O254" s="38">
        <v>0</v>
      </c>
      <c r="P254" s="38">
        <v>0</v>
      </c>
      <c r="Q254" s="38">
        <v>0.4</v>
      </c>
      <c r="R254" s="38">
        <v>1</v>
      </c>
      <c r="S254" s="38">
        <v>0</v>
      </c>
      <c r="T254" s="38">
        <v>1</v>
      </c>
      <c r="U254" s="38">
        <v>1</v>
      </c>
      <c r="V254" s="38">
        <v>1</v>
      </c>
      <c r="W254" s="38">
        <v>0</v>
      </c>
      <c r="X254" s="38">
        <v>1</v>
      </c>
      <c r="Y254" s="38">
        <v>1</v>
      </c>
      <c r="Z254" s="38">
        <v>1</v>
      </c>
      <c r="AA254" s="38">
        <v>1</v>
      </c>
      <c r="AB254" s="38">
        <v>1</v>
      </c>
      <c r="AC254" s="38">
        <v>1</v>
      </c>
      <c r="AD254" s="38">
        <v>1</v>
      </c>
      <c r="AE254" s="38">
        <v>1</v>
      </c>
      <c r="AF254" s="38">
        <v>1</v>
      </c>
      <c r="AG254" s="38">
        <v>1</v>
      </c>
      <c r="AH254" s="38">
        <v>0</v>
      </c>
      <c r="AI254" s="38" t="s">
        <v>195</v>
      </c>
      <c r="AJ254" s="7"/>
    </row>
    <row r="255" spans="1:36" x14ac:dyDescent="0.35">
      <c r="AJ255" s="7"/>
    </row>
    <row r="256" spans="1:36" x14ac:dyDescent="0.35">
      <c r="A256" s="17" t="s">
        <v>207</v>
      </c>
      <c r="B256" s="17"/>
      <c r="C256" s="18" t="s">
        <v>122</v>
      </c>
      <c r="D256" s="18" t="s">
        <v>123</v>
      </c>
      <c r="E256" s="18" t="s">
        <v>124</v>
      </c>
      <c r="F256" s="18" t="s">
        <v>125</v>
      </c>
      <c r="G256" s="18" t="s">
        <v>126</v>
      </c>
      <c r="H256" s="18" t="s">
        <v>127</v>
      </c>
      <c r="I256" s="18" t="s">
        <v>128</v>
      </c>
      <c r="J256" s="18" t="s">
        <v>129</v>
      </c>
      <c r="K256" s="18" t="s">
        <v>130</v>
      </c>
      <c r="L256" s="18" t="s">
        <v>131</v>
      </c>
      <c r="M256" s="18" t="s">
        <v>132</v>
      </c>
      <c r="N256" s="18" t="s">
        <v>133</v>
      </c>
      <c r="O256" s="18" t="s">
        <v>134</v>
      </c>
      <c r="P256" s="18" t="s">
        <v>135</v>
      </c>
      <c r="Q256" s="18" t="s">
        <v>136</v>
      </c>
      <c r="R256" s="18" t="s">
        <v>137</v>
      </c>
      <c r="S256" s="18" t="s">
        <v>138</v>
      </c>
      <c r="T256" s="18" t="s">
        <v>139</v>
      </c>
      <c r="U256" s="18" t="s">
        <v>140</v>
      </c>
      <c r="V256" s="18" t="s">
        <v>141</v>
      </c>
      <c r="W256" s="18" t="s">
        <v>142</v>
      </c>
      <c r="X256" s="18" t="s">
        <v>143</v>
      </c>
      <c r="Y256" s="18" t="s">
        <v>144</v>
      </c>
      <c r="Z256" s="18" t="s">
        <v>145</v>
      </c>
      <c r="AA256" s="18" t="s">
        <v>146</v>
      </c>
      <c r="AB256" s="18" t="s">
        <v>147</v>
      </c>
      <c r="AC256" s="18" t="s">
        <v>148</v>
      </c>
      <c r="AD256" s="18" t="s">
        <v>149</v>
      </c>
      <c r="AE256" s="18" t="s">
        <v>150</v>
      </c>
      <c r="AF256" s="18" t="s">
        <v>151</v>
      </c>
      <c r="AG256" s="18" t="s">
        <v>152</v>
      </c>
      <c r="AH256" s="18" t="s">
        <v>153</v>
      </c>
      <c r="AI256" s="18" t="s">
        <v>154</v>
      </c>
      <c r="AJ256" s="7"/>
    </row>
    <row r="257" spans="1:36" x14ac:dyDescent="0.35">
      <c r="A257" s="17" t="s">
        <v>208</v>
      </c>
      <c r="B257" s="17"/>
      <c r="C257" s="19">
        <f>COUNTIFS(B$4:B$63,B254,$AI$4:$AI$63,"YES")</f>
        <v>0</v>
      </c>
      <c r="D257" s="19">
        <f>COUNTIFS(C$4:C$63,C254,$AI$4:$AI$63,"YES")</f>
        <v>3</v>
      </c>
      <c r="E257" s="19">
        <f t="shared" ref="E257:AJ257" si="44">COUNTIFS(D$4:D$63,D254,$AI$4:$AI$63,"YES")</f>
        <v>3</v>
      </c>
      <c r="F257" s="19">
        <f t="shared" si="44"/>
        <v>2</v>
      </c>
      <c r="G257" s="19">
        <f t="shared" si="44"/>
        <v>2</v>
      </c>
      <c r="H257" s="19">
        <f t="shared" si="44"/>
        <v>4</v>
      </c>
      <c r="I257" s="19">
        <f t="shared" si="44"/>
        <v>4</v>
      </c>
      <c r="J257" s="19">
        <f t="shared" si="44"/>
        <v>4</v>
      </c>
      <c r="K257" s="19">
        <f t="shared" si="44"/>
        <v>4</v>
      </c>
      <c r="L257" s="19">
        <f t="shared" si="44"/>
        <v>2</v>
      </c>
      <c r="M257" s="19">
        <f t="shared" si="44"/>
        <v>4</v>
      </c>
      <c r="N257" s="19">
        <f t="shared" si="44"/>
        <v>3</v>
      </c>
      <c r="O257" s="19">
        <f t="shared" si="44"/>
        <v>4</v>
      </c>
      <c r="P257" s="19">
        <f t="shared" si="44"/>
        <v>4</v>
      </c>
      <c r="Q257" s="19">
        <f t="shared" si="44"/>
        <v>1</v>
      </c>
      <c r="R257" s="19">
        <f t="shared" si="44"/>
        <v>3</v>
      </c>
      <c r="S257" s="19">
        <f t="shared" si="44"/>
        <v>4</v>
      </c>
      <c r="T257" s="19">
        <f t="shared" si="44"/>
        <v>0</v>
      </c>
      <c r="U257" s="19">
        <f t="shared" si="44"/>
        <v>4</v>
      </c>
      <c r="V257" s="19">
        <f t="shared" si="44"/>
        <v>4</v>
      </c>
      <c r="W257" s="19">
        <f t="shared" si="44"/>
        <v>4</v>
      </c>
      <c r="X257" s="19">
        <f t="shared" si="44"/>
        <v>4</v>
      </c>
      <c r="Y257" s="19">
        <f t="shared" si="44"/>
        <v>4</v>
      </c>
      <c r="Z257" s="19">
        <f t="shared" si="44"/>
        <v>4</v>
      </c>
      <c r="AA257" s="19">
        <f t="shared" si="44"/>
        <v>4</v>
      </c>
      <c r="AB257" s="19">
        <f t="shared" si="44"/>
        <v>0</v>
      </c>
      <c r="AC257" s="19">
        <f t="shared" si="44"/>
        <v>4</v>
      </c>
      <c r="AD257" s="19">
        <f t="shared" si="44"/>
        <v>4</v>
      </c>
      <c r="AE257" s="19">
        <f t="shared" si="44"/>
        <v>4</v>
      </c>
      <c r="AF257" s="19">
        <f t="shared" si="44"/>
        <v>4</v>
      </c>
      <c r="AG257" s="19">
        <f t="shared" si="44"/>
        <v>4</v>
      </c>
      <c r="AH257" s="19">
        <f t="shared" si="44"/>
        <v>4</v>
      </c>
      <c r="AI257" s="19">
        <f t="shared" si="44"/>
        <v>3</v>
      </c>
      <c r="AJ257" s="20"/>
    </row>
    <row r="258" spans="1:36" x14ac:dyDescent="0.35">
      <c r="A258" s="17" t="s">
        <v>209</v>
      </c>
      <c r="B258" s="17"/>
      <c r="C258" s="19">
        <f>COUNTIFS(B$4:B$63,B254,$AI$4:$AI$63,"NO")</f>
        <v>11</v>
      </c>
      <c r="D258" s="19">
        <f t="shared" ref="D258:AI258" si="45">COUNTIFS(C$4:C$63,C254,$AI$4:$AI$63,"NO")</f>
        <v>22</v>
      </c>
      <c r="E258" s="19">
        <f t="shared" si="45"/>
        <v>12</v>
      </c>
      <c r="F258" s="19">
        <f t="shared" si="45"/>
        <v>31</v>
      </c>
      <c r="G258" s="19">
        <f t="shared" si="45"/>
        <v>34</v>
      </c>
      <c r="H258" s="19">
        <f t="shared" si="45"/>
        <v>45</v>
      </c>
      <c r="I258" s="19">
        <f t="shared" si="45"/>
        <v>47</v>
      </c>
      <c r="J258" s="19">
        <f t="shared" si="45"/>
        <v>45</v>
      </c>
      <c r="K258" s="19">
        <f t="shared" si="45"/>
        <v>28</v>
      </c>
      <c r="L258" s="19">
        <f t="shared" si="45"/>
        <v>39</v>
      </c>
      <c r="M258" s="19">
        <f t="shared" si="45"/>
        <v>44</v>
      </c>
      <c r="N258" s="19">
        <f t="shared" si="45"/>
        <v>31</v>
      </c>
      <c r="O258" s="19">
        <f t="shared" si="45"/>
        <v>44</v>
      </c>
      <c r="P258" s="19">
        <f t="shared" si="45"/>
        <v>42</v>
      </c>
      <c r="Q258" s="19">
        <f t="shared" si="45"/>
        <v>41</v>
      </c>
      <c r="R258" s="19">
        <f t="shared" si="45"/>
        <v>38</v>
      </c>
      <c r="S258" s="19">
        <f t="shared" si="45"/>
        <v>49</v>
      </c>
      <c r="T258" s="19">
        <f t="shared" si="45"/>
        <v>9</v>
      </c>
      <c r="U258" s="19">
        <f t="shared" si="45"/>
        <v>49</v>
      </c>
      <c r="V258" s="19">
        <f t="shared" si="45"/>
        <v>56</v>
      </c>
      <c r="W258" s="19">
        <f t="shared" si="45"/>
        <v>56</v>
      </c>
      <c r="X258" s="19">
        <f t="shared" si="45"/>
        <v>43</v>
      </c>
      <c r="Y258" s="19">
        <f t="shared" si="45"/>
        <v>56</v>
      </c>
      <c r="Z258" s="19">
        <f t="shared" si="45"/>
        <v>50</v>
      </c>
      <c r="AA258" s="19">
        <f t="shared" si="45"/>
        <v>45</v>
      </c>
      <c r="AB258" s="19">
        <f t="shared" si="45"/>
        <v>25</v>
      </c>
      <c r="AC258" s="19">
        <f t="shared" si="45"/>
        <v>56</v>
      </c>
      <c r="AD258" s="19">
        <f t="shared" si="45"/>
        <v>56</v>
      </c>
      <c r="AE258" s="19">
        <f t="shared" si="45"/>
        <v>56</v>
      </c>
      <c r="AF258" s="19">
        <f t="shared" si="45"/>
        <v>56</v>
      </c>
      <c r="AG258" s="19">
        <f t="shared" si="45"/>
        <v>47</v>
      </c>
      <c r="AH258" s="19">
        <f t="shared" si="45"/>
        <v>56</v>
      </c>
      <c r="AI258" s="19">
        <f t="shared" si="45"/>
        <v>20</v>
      </c>
      <c r="AJ258" s="20"/>
    </row>
    <row r="259" spans="1:36" x14ac:dyDescent="0.35">
      <c r="A259" s="17" t="s">
        <v>210</v>
      </c>
      <c r="B259" s="18" t="s">
        <v>208</v>
      </c>
      <c r="C259" s="19">
        <f>C257/$B$108</f>
        <v>0</v>
      </c>
      <c r="D259" s="19">
        <f t="shared" ref="D259:AI259" si="46">D257/$B$108</f>
        <v>45</v>
      </c>
      <c r="E259" s="19">
        <f t="shared" si="46"/>
        <v>45</v>
      </c>
      <c r="F259" s="19">
        <f t="shared" si="46"/>
        <v>30</v>
      </c>
      <c r="G259" s="19">
        <f t="shared" si="46"/>
        <v>30</v>
      </c>
      <c r="H259" s="19">
        <f t="shared" si="46"/>
        <v>60</v>
      </c>
      <c r="I259" s="19">
        <f t="shared" si="46"/>
        <v>60</v>
      </c>
      <c r="J259" s="19">
        <f t="shared" si="46"/>
        <v>60</v>
      </c>
      <c r="K259" s="19">
        <f t="shared" si="46"/>
        <v>60</v>
      </c>
      <c r="L259" s="19">
        <f t="shared" si="46"/>
        <v>30</v>
      </c>
      <c r="M259" s="19">
        <f t="shared" si="46"/>
        <v>60</v>
      </c>
      <c r="N259" s="19">
        <f t="shared" si="46"/>
        <v>45</v>
      </c>
      <c r="O259" s="19">
        <f t="shared" si="46"/>
        <v>60</v>
      </c>
      <c r="P259" s="19">
        <f t="shared" si="46"/>
        <v>60</v>
      </c>
      <c r="Q259" s="19">
        <f t="shared" si="46"/>
        <v>15</v>
      </c>
      <c r="R259" s="19">
        <f t="shared" si="46"/>
        <v>45</v>
      </c>
      <c r="S259" s="19">
        <f t="shared" si="46"/>
        <v>60</v>
      </c>
      <c r="T259" s="19">
        <f t="shared" si="46"/>
        <v>0</v>
      </c>
      <c r="U259" s="19">
        <f t="shared" si="46"/>
        <v>60</v>
      </c>
      <c r="V259" s="19">
        <f t="shared" si="46"/>
        <v>60</v>
      </c>
      <c r="W259" s="19">
        <f t="shared" si="46"/>
        <v>60</v>
      </c>
      <c r="X259" s="19">
        <f t="shared" si="46"/>
        <v>60</v>
      </c>
      <c r="Y259" s="19">
        <f t="shared" si="46"/>
        <v>60</v>
      </c>
      <c r="Z259" s="19">
        <f t="shared" si="46"/>
        <v>60</v>
      </c>
      <c r="AA259" s="19">
        <f t="shared" si="46"/>
        <v>60</v>
      </c>
      <c r="AB259" s="19">
        <f t="shared" si="46"/>
        <v>0</v>
      </c>
      <c r="AC259" s="19">
        <f t="shared" si="46"/>
        <v>60</v>
      </c>
      <c r="AD259" s="19">
        <f t="shared" si="46"/>
        <v>60</v>
      </c>
      <c r="AE259" s="19">
        <f t="shared" si="46"/>
        <v>60</v>
      </c>
      <c r="AF259" s="19">
        <f t="shared" si="46"/>
        <v>60</v>
      </c>
      <c r="AG259" s="19">
        <f t="shared" si="46"/>
        <v>60</v>
      </c>
      <c r="AH259" s="19">
        <f t="shared" si="46"/>
        <v>60</v>
      </c>
      <c r="AI259" s="19">
        <f t="shared" si="46"/>
        <v>45</v>
      </c>
      <c r="AJ259" s="19">
        <f>C259*D259*E259*F259*G259*H259*I259*J259*K259*L259*M259*N259*O259*P259*Q259*R259*S259*T259*U259*V259*W259*X259*Y259*Z259*AA259*AB259*AC259*AD259*AE259*AF259*AG259*AH259*AI259</f>
        <v>0</v>
      </c>
    </row>
    <row r="260" spans="1:36" x14ac:dyDescent="0.35">
      <c r="A260" s="17"/>
      <c r="B260" s="18" t="s">
        <v>209</v>
      </c>
      <c r="C260" s="19">
        <f>C258/$C$108</f>
        <v>11.785714285714285</v>
      </c>
      <c r="D260" s="19">
        <f t="shared" ref="D260:AI260" si="47">D258/$C$108</f>
        <v>23.571428571428569</v>
      </c>
      <c r="E260" s="19">
        <f t="shared" si="47"/>
        <v>12.857142857142858</v>
      </c>
      <c r="F260" s="19">
        <f t="shared" si="47"/>
        <v>33.214285714285715</v>
      </c>
      <c r="G260" s="19">
        <f t="shared" si="47"/>
        <v>36.428571428571431</v>
      </c>
      <c r="H260" s="19">
        <f t="shared" si="47"/>
        <v>48.214285714285715</v>
      </c>
      <c r="I260" s="19">
        <f t="shared" si="47"/>
        <v>50.357142857142854</v>
      </c>
      <c r="J260" s="19">
        <f t="shared" si="47"/>
        <v>48.214285714285715</v>
      </c>
      <c r="K260" s="19">
        <f t="shared" si="47"/>
        <v>30</v>
      </c>
      <c r="L260" s="19">
        <f t="shared" si="47"/>
        <v>41.785714285714285</v>
      </c>
      <c r="M260" s="19">
        <f t="shared" si="47"/>
        <v>47.142857142857139</v>
      </c>
      <c r="N260" s="19">
        <f t="shared" si="47"/>
        <v>33.214285714285715</v>
      </c>
      <c r="O260" s="19">
        <f t="shared" si="47"/>
        <v>47.142857142857139</v>
      </c>
      <c r="P260" s="19">
        <f t="shared" si="47"/>
        <v>45</v>
      </c>
      <c r="Q260" s="19">
        <f t="shared" si="47"/>
        <v>43.928571428571431</v>
      </c>
      <c r="R260" s="19">
        <f t="shared" si="47"/>
        <v>40.714285714285715</v>
      </c>
      <c r="S260" s="19">
        <f t="shared" si="47"/>
        <v>52.5</v>
      </c>
      <c r="T260" s="19">
        <f t="shared" si="47"/>
        <v>9.6428571428571423</v>
      </c>
      <c r="U260" s="19">
        <f t="shared" si="47"/>
        <v>52.5</v>
      </c>
      <c r="V260" s="19">
        <f t="shared" si="47"/>
        <v>60</v>
      </c>
      <c r="W260" s="19">
        <f t="shared" si="47"/>
        <v>60</v>
      </c>
      <c r="X260" s="19">
        <f t="shared" si="47"/>
        <v>46.071428571428569</v>
      </c>
      <c r="Y260" s="19">
        <f t="shared" si="47"/>
        <v>60</v>
      </c>
      <c r="Z260" s="19">
        <f t="shared" si="47"/>
        <v>53.571428571428569</v>
      </c>
      <c r="AA260" s="19">
        <f t="shared" si="47"/>
        <v>48.214285714285715</v>
      </c>
      <c r="AB260" s="19">
        <f t="shared" si="47"/>
        <v>26.785714285714285</v>
      </c>
      <c r="AC260" s="19">
        <f t="shared" si="47"/>
        <v>60</v>
      </c>
      <c r="AD260" s="19">
        <f t="shared" si="47"/>
        <v>60</v>
      </c>
      <c r="AE260" s="19">
        <f t="shared" si="47"/>
        <v>60</v>
      </c>
      <c r="AF260" s="19">
        <f t="shared" si="47"/>
        <v>60</v>
      </c>
      <c r="AG260" s="19">
        <f t="shared" si="47"/>
        <v>50.357142857142854</v>
      </c>
      <c r="AH260" s="19">
        <f t="shared" si="47"/>
        <v>60</v>
      </c>
      <c r="AI260" s="19">
        <f t="shared" si="47"/>
        <v>21.428571428571427</v>
      </c>
      <c r="AJ260" s="19">
        <f>C260*D260*E260*F260*G260*H260*I260*J260*K260*L260*M260*N260*O260*P260*Q260*R260*S260*T260*U260*V260*W260*X260*Y260*Z260*AA260*AB260*AC260*AD260*AE260*AF260*AG260*AH260*AI260</f>
        <v>5.7850968002522468E+52</v>
      </c>
    </row>
    <row r="261" spans="1:36" x14ac:dyDescent="0.35">
      <c r="A261" s="21"/>
      <c r="B261" s="21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20"/>
    </row>
    <row r="262" spans="1:36" x14ac:dyDescent="0.35">
      <c r="A262" s="22" t="s">
        <v>211</v>
      </c>
      <c r="B262" s="23"/>
      <c r="C262" s="24" t="s">
        <v>212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20"/>
    </row>
    <row r="263" spans="1:36" x14ac:dyDescent="0.35">
      <c r="A263" s="25" t="s">
        <v>208</v>
      </c>
      <c r="B263" s="26">
        <f>AJ259*$B$108</f>
        <v>0</v>
      </c>
      <c r="C263" s="27" t="str">
        <f>IF(B263&gt;B264,A263,A264)</f>
        <v>No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20"/>
    </row>
    <row r="264" spans="1:36" x14ac:dyDescent="0.35">
      <c r="A264" s="25" t="s">
        <v>209</v>
      </c>
      <c r="B264" s="26">
        <f>AJ260*$C$108</f>
        <v>5.3994236802354304E+52</v>
      </c>
      <c r="C264" s="28"/>
      <c r="D264" s="20"/>
      <c r="E264" s="20"/>
      <c r="F264" s="20"/>
      <c r="G264" s="20"/>
      <c r="H264" s="20"/>
      <c r="I264" s="20"/>
      <c r="J264" s="20"/>
      <c r="K264" s="20"/>
      <c r="L264" s="2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20"/>
    </row>
    <row r="266" spans="1:36" x14ac:dyDescent="0.35">
      <c r="A266" s="15"/>
      <c r="B266" s="16" t="s">
        <v>122</v>
      </c>
      <c r="C266" s="16" t="s">
        <v>123</v>
      </c>
      <c r="D266" s="16" t="s">
        <v>124</v>
      </c>
      <c r="E266" s="16" t="s">
        <v>125</v>
      </c>
      <c r="F266" s="16" t="s">
        <v>126</v>
      </c>
      <c r="G266" s="16" t="s">
        <v>127</v>
      </c>
      <c r="H266" s="16" t="s">
        <v>128</v>
      </c>
      <c r="I266" s="16" t="s">
        <v>129</v>
      </c>
      <c r="J266" s="16" t="s">
        <v>130</v>
      </c>
      <c r="K266" s="16" t="s">
        <v>131</v>
      </c>
      <c r="L266" s="16" t="s">
        <v>132</v>
      </c>
      <c r="M266" s="16" t="s">
        <v>133</v>
      </c>
      <c r="N266" s="16" t="s">
        <v>134</v>
      </c>
      <c r="O266" s="16" t="s">
        <v>135</v>
      </c>
      <c r="P266" s="16" t="s">
        <v>136</v>
      </c>
      <c r="Q266" s="16" t="s">
        <v>137</v>
      </c>
      <c r="R266" s="16" t="s">
        <v>138</v>
      </c>
      <c r="S266" s="16" t="s">
        <v>139</v>
      </c>
      <c r="T266" s="16" t="s">
        <v>140</v>
      </c>
      <c r="U266" s="16" t="s">
        <v>141</v>
      </c>
      <c r="V266" s="16" t="s">
        <v>142</v>
      </c>
      <c r="W266" s="16" t="s">
        <v>143</v>
      </c>
      <c r="X266" s="16" t="s">
        <v>144</v>
      </c>
      <c r="Y266" s="16" t="s">
        <v>145</v>
      </c>
      <c r="Z266" s="16" t="s">
        <v>146</v>
      </c>
      <c r="AA266" s="16" t="s">
        <v>147</v>
      </c>
      <c r="AB266" s="16" t="s">
        <v>148</v>
      </c>
      <c r="AC266" s="16" t="s">
        <v>149</v>
      </c>
      <c r="AD266" s="16" t="s">
        <v>150</v>
      </c>
      <c r="AE266" s="16" t="s">
        <v>151</v>
      </c>
      <c r="AF266" s="16" t="s">
        <v>152</v>
      </c>
      <c r="AG266" s="16" t="s">
        <v>153</v>
      </c>
      <c r="AH266" s="16" t="s">
        <v>154</v>
      </c>
      <c r="AI266" s="16"/>
      <c r="AJ266" s="7"/>
    </row>
    <row r="267" spans="1:36" x14ac:dyDescent="0.35">
      <c r="A267" s="9" t="s">
        <v>285</v>
      </c>
      <c r="B267" s="38">
        <v>0.5</v>
      </c>
      <c r="C267" s="38">
        <v>0.25</v>
      </c>
      <c r="D267" s="38">
        <v>0.33333333333333298</v>
      </c>
      <c r="E267" s="38">
        <v>0.66666666666666596</v>
      </c>
      <c r="F267" s="38">
        <v>0</v>
      </c>
      <c r="G267" s="38">
        <v>1</v>
      </c>
      <c r="H267" s="38">
        <v>0.55555555555555503</v>
      </c>
      <c r="I267" s="38">
        <v>1</v>
      </c>
      <c r="J267" s="38">
        <v>0.5</v>
      </c>
      <c r="K267" s="38">
        <v>0</v>
      </c>
      <c r="L267" s="38">
        <v>0</v>
      </c>
      <c r="M267" s="38">
        <v>0</v>
      </c>
      <c r="N267" s="38">
        <v>1</v>
      </c>
      <c r="O267" s="38">
        <v>0</v>
      </c>
      <c r="P267" s="38">
        <v>0</v>
      </c>
      <c r="Q267" s="38">
        <v>0.4</v>
      </c>
      <c r="R267" s="38">
        <v>1</v>
      </c>
      <c r="S267" s="38">
        <v>0</v>
      </c>
      <c r="T267" s="38">
        <v>1</v>
      </c>
      <c r="U267" s="38">
        <v>1</v>
      </c>
      <c r="V267" s="38">
        <v>1</v>
      </c>
      <c r="W267" s="38">
        <v>0</v>
      </c>
      <c r="X267" s="38">
        <v>1</v>
      </c>
      <c r="Y267" s="38">
        <v>1</v>
      </c>
      <c r="Z267" s="38">
        <v>1</v>
      </c>
      <c r="AA267" s="38">
        <v>0</v>
      </c>
      <c r="AB267" s="38">
        <v>1</v>
      </c>
      <c r="AC267" s="38">
        <v>1</v>
      </c>
      <c r="AD267" s="38">
        <v>1</v>
      </c>
      <c r="AE267" s="38">
        <v>1</v>
      </c>
      <c r="AF267" s="38">
        <v>1</v>
      </c>
      <c r="AG267" s="38">
        <v>1</v>
      </c>
      <c r="AH267" s="38">
        <v>0</v>
      </c>
      <c r="AI267" s="38" t="s">
        <v>195</v>
      </c>
      <c r="AJ267" s="7"/>
    </row>
    <row r="268" spans="1:36" x14ac:dyDescent="0.35">
      <c r="AJ268" s="7"/>
    </row>
    <row r="269" spans="1:36" x14ac:dyDescent="0.35">
      <c r="A269" s="17" t="s">
        <v>207</v>
      </c>
      <c r="B269" s="17"/>
      <c r="C269" s="18" t="s">
        <v>122</v>
      </c>
      <c r="D269" s="18" t="s">
        <v>123</v>
      </c>
      <c r="E269" s="18" t="s">
        <v>124</v>
      </c>
      <c r="F269" s="18" t="s">
        <v>125</v>
      </c>
      <c r="G269" s="18" t="s">
        <v>126</v>
      </c>
      <c r="H269" s="18" t="s">
        <v>127</v>
      </c>
      <c r="I269" s="18" t="s">
        <v>128</v>
      </c>
      <c r="J269" s="18" t="s">
        <v>129</v>
      </c>
      <c r="K269" s="18" t="s">
        <v>130</v>
      </c>
      <c r="L269" s="18" t="s">
        <v>131</v>
      </c>
      <c r="M269" s="18" t="s">
        <v>132</v>
      </c>
      <c r="N269" s="18" t="s">
        <v>133</v>
      </c>
      <c r="O269" s="18" t="s">
        <v>134</v>
      </c>
      <c r="P269" s="18" t="s">
        <v>135</v>
      </c>
      <c r="Q269" s="18" t="s">
        <v>136</v>
      </c>
      <c r="R269" s="18" t="s">
        <v>137</v>
      </c>
      <c r="S269" s="18" t="s">
        <v>138</v>
      </c>
      <c r="T269" s="18" t="s">
        <v>139</v>
      </c>
      <c r="U269" s="18" t="s">
        <v>140</v>
      </c>
      <c r="V269" s="18" t="s">
        <v>141</v>
      </c>
      <c r="W269" s="18" t="s">
        <v>142</v>
      </c>
      <c r="X269" s="18" t="s">
        <v>143</v>
      </c>
      <c r="Y269" s="18" t="s">
        <v>144</v>
      </c>
      <c r="Z269" s="18" t="s">
        <v>145</v>
      </c>
      <c r="AA269" s="18" t="s">
        <v>146</v>
      </c>
      <c r="AB269" s="18" t="s">
        <v>147</v>
      </c>
      <c r="AC269" s="18" t="s">
        <v>148</v>
      </c>
      <c r="AD269" s="18" t="s">
        <v>149</v>
      </c>
      <c r="AE269" s="18" t="s">
        <v>150</v>
      </c>
      <c r="AF269" s="18" t="s">
        <v>151</v>
      </c>
      <c r="AG269" s="18" t="s">
        <v>152</v>
      </c>
      <c r="AH269" s="18" t="s">
        <v>153</v>
      </c>
      <c r="AI269" s="18" t="s">
        <v>154</v>
      </c>
      <c r="AJ269" s="7"/>
    </row>
    <row r="270" spans="1:36" x14ac:dyDescent="0.35">
      <c r="A270" s="17" t="s">
        <v>208</v>
      </c>
      <c r="B270" s="17"/>
      <c r="C270" s="19">
        <f>COUNTIFS(B$4:B$63,B267,$AI$4:$AI$63,"YES")</f>
        <v>0</v>
      </c>
      <c r="D270" s="19">
        <f>COUNTIFS(C$4:C$63,C267,$AI$4:$AI$63,"YES")</f>
        <v>3</v>
      </c>
      <c r="E270" s="19">
        <f t="shared" ref="E270:AJ270" si="48">COUNTIFS(D$4:D$63,D267,$AI$4:$AI$63,"YES")</f>
        <v>3</v>
      </c>
      <c r="F270" s="19">
        <f t="shared" si="48"/>
        <v>2</v>
      </c>
      <c r="G270" s="19">
        <f t="shared" si="48"/>
        <v>2</v>
      </c>
      <c r="H270" s="19">
        <f t="shared" si="48"/>
        <v>4</v>
      </c>
      <c r="I270" s="19">
        <f t="shared" si="48"/>
        <v>4</v>
      </c>
      <c r="J270" s="19">
        <f t="shared" si="48"/>
        <v>4</v>
      </c>
      <c r="K270" s="19">
        <f t="shared" si="48"/>
        <v>4</v>
      </c>
      <c r="L270" s="19">
        <f t="shared" si="48"/>
        <v>2</v>
      </c>
      <c r="M270" s="19">
        <f t="shared" si="48"/>
        <v>4</v>
      </c>
      <c r="N270" s="19">
        <f t="shared" si="48"/>
        <v>0</v>
      </c>
      <c r="O270" s="19">
        <f t="shared" si="48"/>
        <v>4</v>
      </c>
      <c r="P270" s="19">
        <f t="shared" si="48"/>
        <v>4</v>
      </c>
      <c r="Q270" s="19">
        <f t="shared" si="48"/>
        <v>1</v>
      </c>
      <c r="R270" s="19">
        <f t="shared" si="48"/>
        <v>3</v>
      </c>
      <c r="S270" s="19">
        <f t="shared" si="48"/>
        <v>4</v>
      </c>
      <c r="T270" s="19">
        <f t="shared" si="48"/>
        <v>0</v>
      </c>
      <c r="U270" s="19">
        <f t="shared" si="48"/>
        <v>4</v>
      </c>
      <c r="V270" s="19">
        <f t="shared" si="48"/>
        <v>4</v>
      </c>
      <c r="W270" s="19">
        <f t="shared" si="48"/>
        <v>4</v>
      </c>
      <c r="X270" s="19">
        <f t="shared" si="48"/>
        <v>4</v>
      </c>
      <c r="Y270" s="19">
        <f t="shared" si="48"/>
        <v>4</v>
      </c>
      <c r="Z270" s="19">
        <f t="shared" si="48"/>
        <v>4</v>
      </c>
      <c r="AA270" s="19">
        <f t="shared" si="48"/>
        <v>4</v>
      </c>
      <c r="AB270" s="19">
        <f t="shared" si="48"/>
        <v>4</v>
      </c>
      <c r="AC270" s="19">
        <f t="shared" si="48"/>
        <v>4</v>
      </c>
      <c r="AD270" s="19">
        <f t="shared" si="48"/>
        <v>4</v>
      </c>
      <c r="AE270" s="19">
        <f t="shared" si="48"/>
        <v>4</v>
      </c>
      <c r="AF270" s="19">
        <f t="shared" si="48"/>
        <v>4</v>
      </c>
      <c r="AG270" s="19">
        <f t="shared" si="48"/>
        <v>4</v>
      </c>
      <c r="AH270" s="19">
        <f t="shared" si="48"/>
        <v>4</v>
      </c>
      <c r="AI270" s="19">
        <f t="shared" si="48"/>
        <v>3</v>
      </c>
      <c r="AJ270" s="20"/>
    </row>
    <row r="271" spans="1:36" x14ac:dyDescent="0.35">
      <c r="A271" s="17" t="s">
        <v>209</v>
      </c>
      <c r="B271" s="17"/>
      <c r="C271" s="19">
        <f>COUNTIFS(B$4:B$63,B267,$AI$4:$AI$63,"NO")</f>
        <v>9</v>
      </c>
      <c r="D271" s="19">
        <f t="shared" ref="D271:AI271" si="49">COUNTIFS(C$4:C$63,C267,$AI$4:$AI$63,"NO")</f>
        <v>22</v>
      </c>
      <c r="E271" s="19">
        <f t="shared" si="49"/>
        <v>12</v>
      </c>
      <c r="F271" s="19">
        <f t="shared" si="49"/>
        <v>31</v>
      </c>
      <c r="G271" s="19">
        <f t="shared" si="49"/>
        <v>34</v>
      </c>
      <c r="H271" s="19">
        <f t="shared" si="49"/>
        <v>45</v>
      </c>
      <c r="I271" s="19">
        <f t="shared" si="49"/>
        <v>47</v>
      </c>
      <c r="J271" s="19">
        <f t="shared" si="49"/>
        <v>45</v>
      </c>
      <c r="K271" s="19">
        <f t="shared" si="49"/>
        <v>28</v>
      </c>
      <c r="L271" s="19">
        <f t="shared" si="49"/>
        <v>39</v>
      </c>
      <c r="M271" s="19">
        <f t="shared" si="49"/>
        <v>44</v>
      </c>
      <c r="N271" s="19">
        <f t="shared" si="49"/>
        <v>13</v>
      </c>
      <c r="O271" s="19">
        <f t="shared" si="49"/>
        <v>44</v>
      </c>
      <c r="P271" s="19">
        <f t="shared" si="49"/>
        <v>42</v>
      </c>
      <c r="Q271" s="19">
        <f t="shared" si="49"/>
        <v>41</v>
      </c>
      <c r="R271" s="19">
        <f t="shared" si="49"/>
        <v>38</v>
      </c>
      <c r="S271" s="19">
        <f t="shared" si="49"/>
        <v>49</v>
      </c>
      <c r="T271" s="19">
        <f t="shared" si="49"/>
        <v>9</v>
      </c>
      <c r="U271" s="19">
        <f t="shared" si="49"/>
        <v>49</v>
      </c>
      <c r="V271" s="19">
        <f t="shared" si="49"/>
        <v>56</v>
      </c>
      <c r="W271" s="19">
        <f t="shared" si="49"/>
        <v>56</v>
      </c>
      <c r="X271" s="19">
        <f t="shared" si="49"/>
        <v>43</v>
      </c>
      <c r="Y271" s="19">
        <f t="shared" si="49"/>
        <v>56</v>
      </c>
      <c r="Z271" s="19">
        <f t="shared" si="49"/>
        <v>50</v>
      </c>
      <c r="AA271" s="19">
        <f t="shared" si="49"/>
        <v>45</v>
      </c>
      <c r="AB271" s="19">
        <f t="shared" si="49"/>
        <v>25</v>
      </c>
      <c r="AC271" s="19">
        <f t="shared" si="49"/>
        <v>56</v>
      </c>
      <c r="AD271" s="19">
        <f t="shared" si="49"/>
        <v>56</v>
      </c>
      <c r="AE271" s="19">
        <f t="shared" si="49"/>
        <v>56</v>
      </c>
      <c r="AF271" s="19">
        <f t="shared" si="49"/>
        <v>56</v>
      </c>
      <c r="AG271" s="19">
        <f t="shared" si="49"/>
        <v>47</v>
      </c>
      <c r="AH271" s="19">
        <f t="shared" si="49"/>
        <v>56</v>
      </c>
      <c r="AI271" s="19">
        <f t="shared" si="49"/>
        <v>20</v>
      </c>
      <c r="AJ271" s="20"/>
    </row>
    <row r="272" spans="1:36" x14ac:dyDescent="0.35">
      <c r="A272" s="17" t="s">
        <v>210</v>
      </c>
      <c r="B272" s="18" t="s">
        <v>208</v>
      </c>
      <c r="C272" s="19">
        <f>C270/$B$108</f>
        <v>0</v>
      </c>
      <c r="D272" s="19">
        <f t="shared" ref="D272:AI272" si="50">D270/$B$108</f>
        <v>45</v>
      </c>
      <c r="E272" s="19">
        <f t="shared" si="50"/>
        <v>45</v>
      </c>
      <c r="F272" s="19">
        <f t="shared" si="50"/>
        <v>30</v>
      </c>
      <c r="G272" s="19">
        <f t="shared" si="50"/>
        <v>30</v>
      </c>
      <c r="H272" s="19">
        <f t="shared" si="50"/>
        <v>60</v>
      </c>
      <c r="I272" s="19">
        <f t="shared" si="50"/>
        <v>60</v>
      </c>
      <c r="J272" s="19">
        <f t="shared" si="50"/>
        <v>60</v>
      </c>
      <c r="K272" s="19">
        <f t="shared" si="50"/>
        <v>60</v>
      </c>
      <c r="L272" s="19">
        <f t="shared" si="50"/>
        <v>30</v>
      </c>
      <c r="M272" s="19">
        <f t="shared" si="50"/>
        <v>60</v>
      </c>
      <c r="N272" s="19">
        <f t="shared" si="50"/>
        <v>0</v>
      </c>
      <c r="O272" s="19">
        <f t="shared" si="50"/>
        <v>60</v>
      </c>
      <c r="P272" s="19">
        <f t="shared" si="50"/>
        <v>60</v>
      </c>
      <c r="Q272" s="19">
        <f t="shared" si="50"/>
        <v>15</v>
      </c>
      <c r="R272" s="19">
        <f t="shared" si="50"/>
        <v>45</v>
      </c>
      <c r="S272" s="19">
        <f t="shared" si="50"/>
        <v>60</v>
      </c>
      <c r="T272" s="19">
        <f t="shared" si="50"/>
        <v>0</v>
      </c>
      <c r="U272" s="19">
        <f t="shared" si="50"/>
        <v>60</v>
      </c>
      <c r="V272" s="19">
        <f t="shared" si="50"/>
        <v>60</v>
      </c>
      <c r="W272" s="19">
        <f t="shared" si="50"/>
        <v>60</v>
      </c>
      <c r="X272" s="19">
        <f t="shared" si="50"/>
        <v>60</v>
      </c>
      <c r="Y272" s="19">
        <f t="shared" si="50"/>
        <v>60</v>
      </c>
      <c r="Z272" s="19">
        <f t="shared" si="50"/>
        <v>60</v>
      </c>
      <c r="AA272" s="19">
        <f t="shared" si="50"/>
        <v>60</v>
      </c>
      <c r="AB272" s="19">
        <f t="shared" si="50"/>
        <v>60</v>
      </c>
      <c r="AC272" s="19">
        <f t="shared" si="50"/>
        <v>60</v>
      </c>
      <c r="AD272" s="19">
        <f t="shared" si="50"/>
        <v>60</v>
      </c>
      <c r="AE272" s="19">
        <f t="shared" si="50"/>
        <v>60</v>
      </c>
      <c r="AF272" s="19">
        <f t="shared" si="50"/>
        <v>60</v>
      </c>
      <c r="AG272" s="19">
        <f t="shared" si="50"/>
        <v>60</v>
      </c>
      <c r="AH272" s="19">
        <f t="shared" si="50"/>
        <v>60</v>
      </c>
      <c r="AI272" s="19">
        <f t="shared" si="50"/>
        <v>45</v>
      </c>
      <c r="AJ272" s="19">
        <f>C272*D272*E272*F272*G272*H272*I272*J272*K272*L272*M272*N272*O272*P272*Q272*R272*S272*T272*U272*V272*W272*X272*Y272*Z272*AA272*AB272*AC272*AD272*AE272*AF272*AG272*AH272*AI272</f>
        <v>0</v>
      </c>
    </row>
    <row r="273" spans="1:36" x14ac:dyDescent="0.35">
      <c r="A273" s="17"/>
      <c r="B273" s="18" t="s">
        <v>209</v>
      </c>
      <c r="C273" s="19">
        <f>C271/$C$108</f>
        <v>9.6428571428571423</v>
      </c>
      <c r="D273" s="19">
        <f t="shared" ref="D273:AI273" si="51">D271/$C$108</f>
        <v>23.571428571428569</v>
      </c>
      <c r="E273" s="19">
        <f t="shared" si="51"/>
        <v>12.857142857142858</v>
      </c>
      <c r="F273" s="19">
        <f t="shared" si="51"/>
        <v>33.214285714285715</v>
      </c>
      <c r="G273" s="19">
        <f t="shared" si="51"/>
        <v>36.428571428571431</v>
      </c>
      <c r="H273" s="19">
        <f t="shared" si="51"/>
        <v>48.214285714285715</v>
      </c>
      <c r="I273" s="19">
        <f t="shared" si="51"/>
        <v>50.357142857142854</v>
      </c>
      <c r="J273" s="19">
        <f t="shared" si="51"/>
        <v>48.214285714285715</v>
      </c>
      <c r="K273" s="19">
        <f t="shared" si="51"/>
        <v>30</v>
      </c>
      <c r="L273" s="19">
        <f t="shared" si="51"/>
        <v>41.785714285714285</v>
      </c>
      <c r="M273" s="19">
        <f t="shared" si="51"/>
        <v>47.142857142857139</v>
      </c>
      <c r="N273" s="19">
        <f t="shared" si="51"/>
        <v>13.928571428571429</v>
      </c>
      <c r="O273" s="19">
        <f t="shared" si="51"/>
        <v>47.142857142857139</v>
      </c>
      <c r="P273" s="19">
        <f t="shared" si="51"/>
        <v>45</v>
      </c>
      <c r="Q273" s="19">
        <f t="shared" si="51"/>
        <v>43.928571428571431</v>
      </c>
      <c r="R273" s="19">
        <f t="shared" si="51"/>
        <v>40.714285714285715</v>
      </c>
      <c r="S273" s="19">
        <f t="shared" si="51"/>
        <v>52.5</v>
      </c>
      <c r="T273" s="19">
        <f t="shared" si="51"/>
        <v>9.6428571428571423</v>
      </c>
      <c r="U273" s="19">
        <f t="shared" si="51"/>
        <v>52.5</v>
      </c>
      <c r="V273" s="19">
        <f t="shared" si="51"/>
        <v>60</v>
      </c>
      <c r="W273" s="19">
        <f t="shared" si="51"/>
        <v>60</v>
      </c>
      <c r="X273" s="19">
        <f t="shared" si="51"/>
        <v>46.071428571428569</v>
      </c>
      <c r="Y273" s="19">
        <f t="shared" si="51"/>
        <v>60</v>
      </c>
      <c r="Z273" s="19">
        <f t="shared" si="51"/>
        <v>53.571428571428569</v>
      </c>
      <c r="AA273" s="19">
        <f t="shared" si="51"/>
        <v>48.214285714285715</v>
      </c>
      <c r="AB273" s="19">
        <f t="shared" si="51"/>
        <v>26.785714285714285</v>
      </c>
      <c r="AC273" s="19">
        <f t="shared" si="51"/>
        <v>60</v>
      </c>
      <c r="AD273" s="19">
        <f t="shared" si="51"/>
        <v>60</v>
      </c>
      <c r="AE273" s="19">
        <f t="shared" si="51"/>
        <v>60</v>
      </c>
      <c r="AF273" s="19">
        <f t="shared" si="51"/>
        <v>60</v>
      </c>
      <c r="AG273" s="19">
        <f t="shared" si="51"/>
        <v>50.357142857142854</v>
      </c>
      <c r="AH273" s="19">
        <f t="shared" si="51"/>
        <v>60</v>
      </c>
      <c r="AI273" s="19">
        <f t="shared" si="51"/>
        <v>21.428571428571427</v>
      </c>
      <c r="AJ273" s="19">
        <f>C273*D273*E273*F273*G273*H273*I273*J273*K273*L273*M273*N273*O273*P273*Q273*R273*S273*T273*U273*V273*W273*X273*Y273*Z273*AA273*AB273*AC273*AD273*AE273*AF273*AG273*AH273*AI273</f>
        <v>1.9849159109369882E+52</v>
      </c>
    </row>
    <row r="274" spans="1:36" x14ac:dyDescent="0.35">
      <c r="A274" s="21"/>
      <c r="B274" s="21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20"/>
    </row>
    <row r="275" spans="1:36" x14ac:dyDescent="0.35">
      <c r="A275" s="22" t="s">
        <v>211</v>
      </c>
      <c r="B275" s="23"/>
      <c r="C275" s="24" t="s">
        <v>212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20"/>
    </row>
    <row r="276" spans="1:36" x14ac:dyDescent="0.35">
      <c r="A276" s="25" t="s">
        <v>208</v>
      </c>
      <c r="B276" s="26">
        <f>AJ272*$B$108</f>
        <v>0</v>
      </c>
      <c r="C276" s="27" t="str">
        <f>IF(B276&gt;B277,A276,A277)</f>
        <v>No</v>
      </c>
      <c r="D276" s="20"/>
      <c r="E276" s="20"/>
      <c r="F276" s="20"/>
      <c r="G276" s="20"/>
      <c r="H276" s="20"/>
      <c r="I276" s="20"/>
      <c r="J276" s="20"/>
      <c r="K276" s="20"/>
      <c r="L276" s="2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20"/>
    </row>
    <row r="277" spans="1:36" x14ac:dyDescent="0.35">
      <c r="A277" s="25" t="s">
        <v>209</v>
      </c>
      <c r="B277" s="26">
        <f>AJ273*$C$108</f>
        <v>1.8525881835411891E+52</v>
      </c>
      <c r="C277" s="28"/>
      <c r="D277" s="20"/>
      <c r="E277" s="20"/>
      <c r="F277" s="20"/>
      <c r="G277" s="20"/>
      <c r="H277" s="20"/>
      <c r="I277" s="20"/>
      <c r="J277" s="20"/>
      <c r="K277" s="20"/>
      <c r="L277" s="2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20"/>
    </row>
    <row r="279" spans="1:36" x14ac:dyDescent="0.35">
      <c r="A279" s="15"/>
      <c r="B279" s="16" t="s">
        <v>122</v>
      </c>
      <c r="C279" s="16" t="s">
        <v>123</v>
      </c>
      <c r="D279" s="16" t="s">
        <v>124</v>
      </c>
      <c r="E279" s="16" t="s">
        <v>125</v>
      </c>
      <c r="F279" s="16" t="s">
        <v>126</v>
      </c>
      <c r="G279" s="16" t="s">
        <v>127</v>
      </c>
      <c r="H279" s="16" t="s">
        <v>128</v>
      </c>
      <c r="I279" s="16" t="s">
        <v>129</v>
      </c>
      <c r="J279" s="16" t="s">
        <v>130</v>
      </c>
      <c r="K279" s="16" t="s">
        <v>131</v>
      </c>
      <c r="L279" s="16" t="s">
        <v>132</v>
      </c>
      <c r="M279" s="16" t="s">
        <v>133</v>
      </c>
      <c r="N279" s="16" t="s">
        <v>134</v>
      </c>
      <c r="O279" s="16" t="s">
        <v>135</v>
      </c>
      <c r="P279" s="16" t="s">
        <v>136</v>
      </c>
      <c r="Q279" s="16" t="s">
        <v>137</v>
      </c>
      <c r="R279" s="16" t="s">
        <v>138</v>
      </c>
      <c r="S279" s="16" t="s">
        <v>139</v>
      </c>
      <c r="T279" s="16" t="s">
        <v>140</v>
      </c>
      <c r="U279" s="16" t="s">
        <v>141</v>
      </c>
      <c r="V279" s="16" t="s">
        <v>142</v>
      </c>
      <c r="W279" s="16" t="s">
        <v>143</v>
      </c>
      <c r="X279" s="16" t="s">
        <v>144</v>
      </c>
      <c r="Y279" s="16" t="s">
        <v>145</v>
      </c>
      <c r="Z279" s="16" t="s">
        <v>146</v>
      </c>
      <c r="AA279" s="16" t="s">
        <v>147</v>
      </c>
      <c r="AB279" s="16" t="s">
        <v>148</v>
      </c>
      <c r="AC279" s="16" t="s">
        <v>149</v>
      </c>
      <c r="AD279" s="16" t="s">
        <v>150</v>
      </c>
      <c r="AE279" s="16" t="s">
        <v>151</v>
      </c>
      <c r="AF279" s="16" t="s">
        <v>152</v>
      </c>
      <c r="AG279" s="16" t="s">
        <v>153</v>
      </c>
      <c r="AH279" s="16" t="s">
        <v>154</v>
      </c>
      <c r="AI279" s="16"/>
      <c r="AJ279" s="7"/>
    </row>
    <row r="280" spans="1:36" x14ac:dyDescent="0.35">
      <c r="A280" s="9" t="s">
        <v>286</v>
      </c>
      <c r="B280" s="38">
        <v>0.16666666666666599</v>
      </c>
      <c r="C280" s="38">
        <v>0.25</v>
      </c>
      <c r="D280" s="38">
        <v>0.33333333333333298</v>
      </c>
      <c r="E280" s="38">
        <v>0.66666666666666596</v>
      </c>
      <c r="F280" s="38">
        <v>0</v>
      </c>
      <c r="G280" s="38">
        <v>1</v>
      </c>
      <c r="H280" s="38">
        <v>0.55555555555555503</v>
      </c>
      <c r="I280" s="38">
        <v>1</v>
      </c>
      <c r="J280" s="38">
        <v>0.5</v>
      </c>
      <c r="K280" s="38">
        <v>0</v>
      </c>
      <c r="L280" s="38">
        <v>0</v>
      </c>
      <c r="M280" s="38">
        <v>0.2</v>
      </c>
      <c r="N280" s="38">
        <v>1</v>
      </c>
      <c r="O280" s="38">
        <v>0</v>
      </c>
      <c r="P280" s="38">
        <v>0</v>
      </c>
      <c r="Q280" s="38">
        <v>0.4</v>
      </c>
      <c r="R280" s="38">
        <v>1</v>
      </c>
      <c r="S280" s="38">
        <v>0</v>
      </c>
      <c r="T280" s="38">
        <v>1</v>
      </c>
      <c r="U280" s="38">
        <v>1</v>
      </c>
      <c r="V280" s="38">
        <v>1</v>
      </c>
      <c r="W280" s="38">
        <v>0</v>
      </c>
      <c r="X280" s="38">
        <v>1</v>
      </c>
      <c r="Y280" s="38">
        <v>1</v>
      </c>
      <c r="Z280" s="38">
        <v>1</v>
      </c>
      <c r="AA280" s="38">
        <v>0</v>
      </c>
      <c r="AB280" s="38">
        <v>1</v>
      </c>
      <c r="AC280" s="38">
        <v>1</v>
      </c>
      <c r="AD280" s="38">
        <v>1</v>
      </c>
      <c r="AE280" s="38">
        <v>1</v>
      </c>
      <c r="AF280" s="38">
        <v>1</v>
      </c>
      <c r="AG280" s="38">
        <v>1</v>
      </c>
      <c r="AH280" s="38">
        <v>0</v>
      </c>
      <c r="AI280" s="38" t="s">
        <v>195</v>
      </c>
      <c r="AJ280" s="7"/>
    </row>
    <row r="281" spans="1:36" x14ac:dyDescent="0.35">
      <c r="AJ281" s="7"/>
    </row>
    <row r="282" spans="1:36" x14ac:dyDescent="0.35">
      <c r="A282" s="17" t="s">
        <v>207</v>
      </c>
      <c r="B282" s="17"/>
      <c r="C282" s="18" t="s">
        <v>122</v>
      </c>
      <c r="D282" s="18" t="s">
        <v>123</v>
      </c>
      <c r="E282" s="18" t="s">
        <v>124</v>
      </c>
      <c r="F282" s="18" t="s">
        <v>125</v>
      </c>
      <c r="G282" s="18" t="s">
        <v>126</v>
      </c>
      <c r="H282" s="18" t="s">
        <v>127</v>
      </c>
      <c r="I282" s="18" t="s">
        <v>128</v>
      </c>
      <c r="J282" s="18" t="s">
        <v>129</v>
      </c>
      <c r="K282" s="18" t="s">
        <v>130</v>
      </c>
      <c r="L282" s="18" t="s">
        <v>131</v>
      </c>
      <c r="M282" s="18" t="s">
        <v>132</v>
      </c>
      <c r="N282" s="18" t="s">
        <v>133</v>
      </c>
      <c r="O282" s="18" t="s">
        <v>134</v>
      </c>
      <c r="P282" s="18" t="s">
        <v>135</v>
      </c>
      <c r="Q282" s="18" t="s">
        <v>136</v>
      </c>
      <c r="R282" s="18" t="s">
        <v>137</v>
      </c>
      <c r="S282" s="18" t="s">
        <v>138</v>
      </c>
      <c r="T282" s="18" t="s">
        <v>139</v>
      </c>
      <c r="U282" s="18" t="s">
        <v>140</v>
      </c>
      <c r="V282" s="18" t="s">
        <v>141</v>
      </c>
      <c r="W282" s="18" t="s">
        <v>142</v>
      </c>
      <c r="X282" s="18" t="s">
        <v>143</v>
      </c>
      <c r="Y282" s="18" t="s">
        <v>144</v>
      </c>
      <c r="Z282" s="18" t="s">
        <v>145</v>
      </c>
      <c r="AA282" s="18" t="s">
        <v>146</v>
      </c>
      <c r="AB282" s="18" t="s">
        <v>147</v>
      </c>
      <c r="AC282" s="18" t="s">
        <v>148</v>
      </c>
      <c r="AD282" s="18" t="s">
        <v>149</v>
      </c>
      <c r="AE282" s="18" t="s">
        <v>150</v>
      </c>
      <c r="AF282" s="18" t="s">
        <v>151</v>
      </c>
      <c r="AG282" s="18" t="s">
        <v>152</v>
      </c>
      <c r="AH282" s="18" t="s">
        <v>153</v>
      </c>
      <c r="AI282" s="18" t="s">
        <v>154</v>
      </c>
      <c r="AJ282" s="7"/>
    </row>
    <row r="283" spans="1:36" x14ac:dyDescent="0.35">
      <c r="A283" s="17" t="s">
        <v>208</v>
      </c>
      <c r="B283" s="17"/>
      <c r="C283" s="19">
        <f>COUNTIFS(B$4:B$63,B280,$AI$4:$AI$63,"YES")</f>
        <v>0</v>
      </c>
      <c r="D283" s="19">
        <f>COUNTIFS(C$4:C$63,C280,$AI$4:$AI$63,"YES")</f>
        <v>3</v>
      </c>
      <c r="E283" s="19">
        <f t="shared" ref="E283:AJ283" si="52">COUNTIFS(D$4:D$63,D280,$AI$4:$AI$63,"YES")</f>
        <v>3</v>
      </c>
      <c r="F283" s="19">
        <f t="shared" si="52"/>
        <v>2</v>
      </c>
      <c r="G283" s="19">
        <f t="shared" si="52"/>
        <v>2</v>
      </c>
      <c r="H283" s="19">
        <f t="shared" si="52"/>
        <v>4</v>
      </c>
      <c r="I283" s="19">
        <f t="shared" si="52"/>
        <v>4</v>
      </c>
      <c r="J283" s="19">
        <f t="shared" si="52"/>
        <v>4</v>
      </c>
      <c r="K283" s="19">
        <f t="shared" si="52"/>
        <v>4</v>
      </c>
      <c r="L283" s="19">
        <f t="shared" si="52"/>
        <v>2</v>
      </c>
      <c r="M283" s="19">
        <f t="shared" si="52"/>
        <v>4</v>
      </c>
      <c r="N283" s="19">
        <f t="shared" si="52"/>
        <v>3</v>
      </c>
      <c r="O283" s="19">
        <f t="shared" si="52"/>
        <v>4</v>
      </c>
      <c r="P283" s="19">
        <f t="shared" si="52"/>
        <v>4</v>
      </c>
      <c r="Q283" s="19">
        <f t="shared" si="52"/>
        <v>1</v>
      </c>
      <c r="R283" s="19">
        <f t="shared" si="52"/>
        <v>3</v>
      </c>
      <c r="S283" s="19">
        <f t="shared" si="52"/>
        <v>4</v>
      </c>
      <c r="T283" s="19">
        <f t="shared" si="52"/>
        <v>0</v>
      </c>
      <c r="U283" s="19">
        <f t="shared" si="52"/>
        <v>4</v>
      </c>
      <c r="V283" s="19">
        <f t="shared" si="52"/>
        <v>4</v>
      </c>
      <c r="W283" s="19">
        <f t="shared" si="52"/>
        <v>4</v>
      </c>
      <c r="X283" s="19">
        <f t="shared" si="52"/>
        <v>4</v>
      </c>
      <c r="Y283" s="19">
        <f t="shared" si="52"/>
        <v>4</v>
      </c>
      <c r="Z283" s="19">
        <f t="shared" si="52"/>
        <v>4</v>
      </c>
      <c r="AA283" s="19">
        <f t="shared" si="52"/>
        <v>4</v>
      </c>
      <c r="AB283" s="19">
        <f t="shared" si="52"/>
        <v>4</v>
      </c>
      <c r="AC283" s="19">
        <f t="shared" si="52"/>
        <v>4</v>
      </c>
      <c r="AD283" s="19">
        <f t="shared" si="52"/>
        <v>4</v>
      </c>
      <c r="AE283" s="19">
        <f t="shared" si="52"/>
        <v>4</v>
      </c>
      <c r="AF283" s="19">
        <f t="shared" si="52"/>
        <v>4</v>
      </c>
      <c r="AG283" s="19">
        <f t="shared" si="52"/>
        <v>4</v>
      </c>
      <c r="AH283" s="19">
        <f t="shared" si="52"/>
        <v>4</v>
      </c>
      <c r="AI283" s="19">
        <f t="shared" si="52"/>
        <v>3</v>
      </c>
      <c r="AJ283" s="20"/>
    </row>
    <row r="284" spans="1:36" x14ac:dyDescent="0.35">
      <c r="A284" s="17" t="s">
        <v>209</v>
      </c>
      <c r="B284" s="17"/>
      <c r="C284" s="19">
        <f>COUNTIFS(B$4:B$63,B280,$AI$4:$AI$63,"NO")</f>
        <v>8</v>
      </c>
      <c r="D284" s="19">
        <f t="shared" ref="D284:AI284" si="53">COUNTIFS(C$4:C$63,C280,$AI$4:$AI$63,"NO")</f>
        <v>22</v>
      </c>
      <c r="E284" s="19">
        <f t="shared" si="53"/>
        <v>12</v>
      </c>
      <c r="F284" s="19">
        <f t="shared" si="53"/>
        <v>31</v>
      </c>
      <c r="G284" s="19">
        <f t="shared" si="53"/>
        <v>34</v>
      </c>
      <c r="H284" s="19">
        <f t="shared" si="53"/>
        <v>45</v>
      </c>
      <c r="I284" s="19">
        <f t="shared" si="53"/>
        <v>47</v>
      </c>
      <c r="J284" s="19">
        <f t="shared" si="53"/>
        <v>45</v>
      </c>
      <c r="K284" s="19">
        <f t="shared" si="53"/>
        <v>28</v>
      </c>
      <c r="L284" s="19">
        <f t="shared" si="53"/>
        <v>39</v>
      </c>
      <c r="M284" s="19">
        <f t="shared" si="53"/>
        <v>44</v>
      </c>
      <c r="N284" s="19">
        <f t="shared" si="53"/>
        <v>31</v>
      </c>
      <c r="O284" s="19">
        <f t="shared" si="53"/>
        <v>44</v>
      </c>
      <c r="P284" s="19">
        <f t="shared" si="53"/>
        <v>42</v>
      </c>
      <c r="Q284" s="19">
        <f t="shared" si="53"/>
        <v>41</v>
      </c>
      <c r="R284" s="19">
        <f t="shared" si="53"/>
        <v>38</v>
      </c>
      <c r="S284" s="19">
        <f t="shared" si="53"/>
        <v>49</v>
      </c>
      <c r="T284" s="19">
        <f t="shared" si="53"/>
        <v>9</v>
      </c>
      <c r="U284" s="19">
        <f t="shared" si="53"/>
        <v>49</v>
      </c>
      <c r="V284" s="19">
        <f t="shared" si="53"/>
        <v>56</v>
      </c>
      <c r="W284" s="19">
        <f t="shared" si="53"/>
        <v>56</v>
      </c>
      <c r="X284" s="19">
        <f t="shared" si="53"/>
        <v>43</v>
      </c>
      <c r="Y284" s="19">
        <f t="shared" si="53"/>
        <v>56</v>
      </c>
      <c r="Z284" s="19">
        <f t="shared" si="53"/>
        <v>50</v>
      </c>
      <c r="AA284" s="19">
        <f t="shared" si="53"/>
        <v>45</v>
      </c>
      <c r="AB284" s="19">
        <f t="shared" si="53"/>
        <v>25</v>
      </c>
      <c r="AC284" s="19">
        <f t="shared" si="53"/>
        <v>56</v>
      </c>
      <c r="AD284" s="19">
        <f t="shared" si="53"/>
        <v>56</v>
      </c>
      <c r="AE284" s="19">
        <f t="shared" si="53"/>
        <v>56</v>
      </c>
      <c r="AF284" s="19">
        <f t="shared" si="53"/>
        <v>56</v>
      </c>
      <c r="AG284" s="19">
        <f t="shared" si="53"/>
        <v>47</v>
      </c>
      <c r="AH284" s="19">
        <f t="shared" si="53"/>
        <v>56</v>
      </c>
      <c r="AI284" s="19">
        <f t="shared" si="53"/>
        <v>20</v>
      </c>
      <c r="AJ284" s="20"/>
    </row>
    <row r="285" spans="1:36" x14ac:dyDescent="0.35">
      <c r="A285" s="17" t="s">
        <v>210</v>
      </c>
      <c r="B285" s="18" t="s">
        <v>208</v>
      </c>
      <c r="C285" s="19">
        <f>C283/$B$108</f>
        <v>0</v>
      </c>
      <c r="D285" s="19">
        <f t="shared" ref="D285:AI285" si="54">D283/$B$108</f>
        <v>45</v>
      </c>
      <c r="E285" s="19">
        <f t="shared" si="54"/>
        <v>45</v>
      </c>
      <c r="F285" s="19">
        <f t="shared" si="54"/>
        <v>30</v>
      </c>
      <c r="G285" s="19">
        <f t="shared" si="54"/>
        <v>30</v>
      </c>
      <c r="H285" s="19">
        <f t="shared" si="54"/>
        <v>60</v>
      </c>
      <c r="I285" s="19">
        <f t="shared" si="54"/>
        <v>60</v>
      </c>
      <c r="J285" s="19">
        <f t="shared" si="54"/>
        <v>60</v>
      </c>
      <c r="K285" s="19">
        <f t="shared" si="54"/>
        <v>60</v>
      </c>
      <c r="L285" s="19">
        <f t="shared" si="54"/>
        <v>30</v>
      </c>
      <c r="M285" s="19">
        <f t="shared" si="54"/>
        <v>60</v>
      </c>
      <c r="N285" s="19">
        <f t="shared" si="54"/>
        <v>45</v>
      </c>
      <c r="O285" s="19">
        <f t="shared" si="54"/>
        <v>60</v>
      </c>
      <c r="P285" s="19">
        <f t="shared" si="54"/>
        <v>60</v>
      </c>
      <c r="Q285" s="19">
        <f t="shared" si="54"/>
        <v>15</v>
      </c>
      <c r="R285" s="19">
        <f t="shared" si="54"/>
        <v>45</v>
      </c>
      <c r="S285" s="19">
        <f t="shared" si="54"/>
        <v>60</v>
      </c>
      <c r="T285" s="19">
        <f t="shared" si="54"/>
        <v>0</v>
      </c>
      <c r="U285" s="19">
        <f t="shared" si="54"/>
        <v>60</v>
      </c>
      <c r="V285" s="19">
        <f t="shared" si="54"/>
        <v>60</v>
      </c>
      <c r="W285" s="19">
        <f t="shared" si="54"/>
        <v>60</v>
      </c>
      <c r="X285" s="19">
        <f t="shared" si="54"/>
        <v>60</v>
      </c>
      <c r="Y285" s="19">
        <f t="shared" si="54"/>
        <v>60</v>
      </c>
      <c r="Z285" s="19">
        <f t="shared" si="54"/>
        <v>60</v>
      </c>
      <c r="AA285" s="19">
        <f t="shared" si="54"/>
        <v>60</v>
      </c>
      <c r="AB285" s="19">
        <f t="shared" si="54"/>
        <v>60</v>
      </c>
      <c r="AC285" s="19">
        <f t="shared" si="54"/>
        <v>60</v>
      </c>
      <c r="AD285" s="19">
        <f t="shared" si="54"/>
        <v>60</v>
      </c>
      <c r="AE285" s="19">
        <f t="shared" si="54"/>
        <v>60</v>
      </c>
      <c r="AF285" s="19">
        <f t="shared" si="54"/>
        <v>60</v>
      </c>
      <c r="AG285" s="19">
        <f t="shared" si="54"/>
        <v>60</v>
      </c>
      <c r="AH285" s="19">
        <f t="shared" si="54"/>
        <v>60</v>
      </c>
      <c r="AI285" s="19">
        <f t="shared" si="54"/>
        <v>45</v>
      </c>
      <c r="AJ285" s="19">
        <f>C285*D285*E285*F285*G285*H285*I285*J285*K285*L285*M285*N285*O285*P285*Q285*R285*S285*T285*U285*V285*W285*X285*Y285*Z285*AA285*AB285*AC285*AD285*AE285*AF285*AG285*AH285*AI285</f>
        <v>0</v>
      </c>
    </row>
    <row r="286" spans="1:36" x14ac:dyDescent="0.35">
      <c r="A286" s="17"/>
      <c r="B286" s="18" t="s">
        <v>209</v>
      </c>
      <c r="C286" s="19">
        <f>C284/$C$108</f>
        <v>8.5714285714285712</v>
      </c>
      <c r="D286" s="19">
        <f t="shared" ref="D286:AI286" si="55">D284/$C$108</f>
        <v>23.571428571428569</v>
      </c>
      <c r="E286" s="19">
        <f t="shared" si="55"/>
        <v>12.857142857142858</v>
      </c>
      <c r="F286" s="19">
        <f t="shared" si="55"/>
        <v>33.214285714285715</v>
      </c>
      <c r="G286" s="19">
        <f t="shared" si="55"/>
        <v>36.428571428571431</v>
      </c>
      <c r="H286" s="19">
        <f t="shared" si="55"/>
        <v>48.214285714285715</v>
      </c>
      <c r="I286" s="19">
        <f t="shared" si="55"/>
        <v>50.357142857142854</v>
      </c>
      <c r="J286" s="19">
        <f t="shared" si="55"/>
        <v>48.214285714285715</v>
      </c>
      <c r="K286" s="19">
        <f t="shared" si="55"/>
        <v>30</v>
      </c>
      <c r="L286" s="19">
        <f t="shared" si="55"/>
        <v>41.785714285714285</v>
      </c>
      <c r="M286" s="19">
        <f t="shared" si="55"/>
        <v>47.142857142857139</v>
      </c>
      <c r="N286" s="19">
        <f t="shared" si="55"/>
        <v>33.214285714285715</v>
      </c>
      <c r="O286" s="19">
        <f t="shared" si="55"/>
        <v>47.142857142857139</v>
      </c>
      <c r="P286" s="19">
        <f t="shared" si="55"/>
        <v>45</v>
      </c>
      <c r="Q286" s="19">
        <f t="shared" si="55"/>
        <v>43.928571428571431</v>
      </c>
      <c r="R286" s="19">
        <f t="shared" si="55"/>
        <v>40.714285714285715</v>
      </c>
      <c r="S286" s="19">
        <f t="shared" si="55"/>
        <v>52.5</v>
      </c>
      <c r="T286" s="19">
        <f t="shared" si="55"/>
        <v>9.6428571428571423</v>
      </c>
      <c r="U286" s="19">
        <f t="shared" si="55"/>
        <v>52.5</v>
      </c>
      <c r="V286" s="19">
        <f t="shared" si="55"/>
        <v>60</v>
      </c>
      <c r="W286" s="19">
        <f t="shared" si="55"/>
        <v>60</v>
      </c>
      <c r="X286" s="19">
        <f t="shared" si="55"/>
        <v>46.071428571428569</v>
      </c>
      <c r="Y286" s="19">
        <f t="shared" si="55"/>
        <v>60</v>
      </c>
      <c r="Z286" s="19">
        <f t="shared" si="55"/>
        <v>53.571428571428569</v>
      </c>
      <c r="AA286" s="19">
        <f t="shared" si="55"/>
        <v>48.214285714285715</v>
      </c>
      <c r="AB286" s="19">
        <f t="shared" si="55"/>
        <v>26.785714285714285</v>
      </c>
      <c r="AC286" s="19">
        <f t="shared" si="55"/>
        <v>60</v>
      </c>
      <c r="AD286" s="19">
        <f t="shared" si="55"/>
        <v>60</v>
      </c>
      <c r="AE286" s="19">
        <f t="shared" si="55"/>
        <v>60</v>
      </c>
      <c r="AF286" s="19">
        <f t="shared" si="55"/>
        <v>60</v>
      </c>
      <c r="AG286" s="19">
        <f t="shared" si="55"/>
        <v>50.357142857142854</v>
      </c>
      <c r="AH286" s="19">
        <f t="shared" si="55"/>
        <v>60</v>
      </c>
      <c r="AI286" s="19">
        <f t="shared" si="55"/>
        <v>21.428571428571427</v>
      </c>
      <c r="AJ286" s="19">
        <f>C286*D286*E286*F286*G286*H286*I286*J286*K286*L286*M286*N286*O286*P286*Q286*R286*S286*T286*U286*V286*W286*X286*Y286*Z286*AA286*AB286*AC286*AD286*AE286*AF286*AG286*AH286*AI286</f>
        <v>4.2073431274561804E+52</v>
      </c>
    </row>
    <row r="287" spans="1:36" x14ac:dyDescent="0.35">
      <c r="A287" s="21"/>
      <c r="B287" s="21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20"/>
    </row>
    <row r="288" spans="1:36" x14ac:dyDescent="0.35">
      <c r="A288" s="22" t="s">
        <v>211</v>
      </c>
      <c r="B288" s="23"/>
      <c r="C288" s="24" t="s">
        <v>212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20"/>
    </row>
    <row r="289" spans="1:36" x14ac:dyDescent="0.35">
      <c r="A289" s="25" t="s">
        <v>208</v>
      </c>
      <c r="B289" s="26">
        <f>AJ285*$B$108</f>
        <v>0</v>
      </c>
      <c r="C289" s="27" t="str">
        <f>IF(B289&gt;B290,A289,A290)</f>
        <v>No</v>
      </c>
      <c r="D289" s="20"/>
      <c r="E289" s="20"/>
      <c r="F289" s="20"/>
      <c r="G289" s="20"/>
      <c r="H289" s="20"/>
      <c r="I289" s="20"/>
      <c r="J289" s="20"/>
      <c r="K289" s="20"/>
      <c r="L289" s="2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20"/>
    </row>
    <row r="290" spans="1:36" x14ac:dyDescent="0.35">
      <c r="A290" s="25" t="s">
        <v>209</v>
      </c>
      <c r="B290" s="26">
        <f>AJ286*$C$108</f>
        <v>3.9268535856257682E+52</v>
      </c>
      <c r="C290" s="28"/>
      <c r="D290" s="20"/>
      <c r="E290" s="20"/>
      <c r="F290" s="20"/>
      <c r="G290" s="20"/>
      <c r="H290" s="20"/>
      <c r="I290" s="20"/>
      <c r="J290" s="20"/>
      <c r="K290" s="20"/>
      <c r="L290" s="2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20"/>
    </row>
    <row r="292" spans="1:36" x14ac:dyDescent="0.35">
      <c r="A292" s="15"/>
      <c r="B292" s="16" t="s">
        <v>122</v>
      </c>
      <c r="C292" s="16" t="s">
        <v>123</v>
      </c>
      <c r="D292" s="16" t="s">
        <v>124</v>
      </c>
      <c r="E292" s="16" t="s">
        <v>125</v>
      </c>
      <c r="F292" s="16" t="s">
        <v>126</v>
      </c>
      <c r="G292" s="16" t="s">
        <v>127</v>
      </c>
      <c r="H292" s="16" t="s">
        <v>128</v>
      </c>
      <c r="I292" s="16" t="s">
        <v>129</v>
      </c>
      <c r="J292" s="16" t="s">
        <v>130</v>
      </c>
      <c r="K292" s="16" t="s">
        <v>131</v>
      </c>
      <c r="L292" s="16" t="s">
        <v>132</v>
      </c>
      <c r="M292" s="16" t="s">
        <v>133</v>
      </c>
      <c r="N292" s="16" t="s">
        <v>134</v>
      </c>
      <c r="O292" s="16" t="s">
        <v>135</v>
      </c>
      <c r="P292" s="16" t="s">
        <v>136</v>
      </c>
      <c r="Q292" s="16" t="s">
        <v>137</v>
      </c>
      <c r="R292" s="16" t="s">
        <v>138</v>
      </c>
      <c r="S292" s="16" t="s">
        <v>139</v>
      </c>
      <c r="T292" s="16" t="s">
        <v>140</v>
      </c>
      <c r="U292" s="16" t="s">
        <v>141</v>
      </c>
      <c r="V292" s="16" t="s">
        <v>142</v>
      </c>
      <c r="W292" s="16" t="s">
        <v>143</v>
      </c>
      <c r="X292" s="16" t="s">
        <v>144</v>
      </c>
      <c r="Y292" s="16" t="s">
        <v>145</v>
      </c>
      <c r="Z292" s="16" t="s">
        <v>146</v>
      </c>
      <c r="AA292" s="16" t="s">
        <v>147</v>
      </c>
      <c r="AB292" s="16" t="s">
        <v>148</v>
      </c>
      <c r="AC292" s="16" t="s">
        <v>149</v>
      </c>
      <c r="AD292" s="16" t="s">
        <v>150</v>
      </c>
      <c r="AE292" s="16" t="s">
        <v>151</v>
      </c>
      <c r="AF292" s="16" t="s">
        <v>152</v>
      </c>
      <c r="AG292" s="16" t="s">
        <v>153</v>
      </c>
      <c r="AH292" s="16" t="s">
        <v>154</v>
      </c>
      <c r="AI292" s="16"/>
      <c r="AJ292" s="7"/>
    </row>
    <row r="293" spans="1:36" x14ac:dyDescent="0.35">
      <c r="A293" s="9" t="s">
        <v>287</v>
      </c>
      <c r="B293" s="38">
        <v>0.33333333333333298</v>
      </c>
      <c r="C293" s="38">
        <v>0.25</v>
      </c>
      <c r="D293" s="38">
        <v>0.33333333333333298</v>
      </c>
      <c r="E293" s="38">
        <v>0</v>
      </c>
      <c r="F293" s="38">
        <v>0</v>
      </c>
      <c r="G293" s="38">
        <v>1</v>
      </c>
      <c r="H293" s="38">
        <v>0.55555555555555503</v>
      </c>
      <c r="I293" s="38">
        <v>1</v>
      </c>
      <c r="J293" s="38">
        <v>0</v>
      </c>
      <c r="K293" s="38">
        <v>0</v>
      </c>
      <c r="L293" s="38">
        <v>0</v>
      </c>
      <c r="M293" s="38">
        <v>0.4</v>
      </c>
      <c r="N293" s="38">
        <v>1</v>
      </c>
      <c r="O293" s="38">
        <v>0</v>
      </c>
      <c r="P293" s="38">
        <v>0</v>
      </c>
      <c r="Q293" s="38">
        <v>0.4</v>
      </c>
      <c r="R293" s="38">
        <v>1</v>
      </c>
      <c r="S293" s="38">
        <v>1</v>
      </c>
      <c r="T293" s="38">
        <v>1</v>
      </c>
      <c r="U293" s="38">
        <v>1</v>
      </c>
      <c r="V293" s="38">
        <v>1</v>
      </c>
      <c r="W293" s="38">
        <v>0</v>
      </c>
      <c r="X293" s="38">
        <v>1</v>
      </c>
      <c r="Y293" s="38">
        <v>1</v>
      </c>
      <c r="Z293" s="38">
        <v>1</v>
      </c>
      <c r="AA293" s="38">
        <v>0</v>
      </c>
      <c r="AB293" s="38">
        <v>1</v>
      </c>
      <c r="AC293" s="38">
        <v>1</v>
      </c>
      <c r="AD293" s="38">
        <v>1</v>
      </c>
      <c r="AE293" s="38">
        <v>1</v>
      </c>
      <c r="AF293" s="38">
        <v>1</v>
      </c>
      <c r="AG293" s="38">
        <v>1</v>
      </c>
      <c r="AH293" s="38">
        <v>0</v>
      </c>
      <c r="AI293" s="38" t="s">
        <v>195</v>
      </c>
      <c r="AJ293" s="7"/>
    </row>
    <row r="294" spans="1:36" x14ac:dyDescent="0.35">
      <c r="AJ294" s="7"/>
    </row>
    <row r="295" spans="1:36" x14ac:dyDescent="0.35">
      <c r="A295" s="17" t="s">
        <v>207</v>
      </c>
      <c r="B295" s="17"/>
      <c r="C295" s="18" t="s">
        <v>122</v>
      </c>
      <c r="D295" s="18" t="s">
        <v>123</v>
      </c>
      <c r="E295" s="18" t="s">
        <v>124</v>
      </c>
      <c r="F295" s="18" t="s">
        <v>125</v>
      </c>
      <c r="G295" s="18" t="s">
        <v>126</v>
      </c>
      <c r="H295" s="18" t="s">
        <v>127</v>
      </c>
      <c r="I295" s="18" t="s">
        <v>128</v>
      </c>
      <c r="J295" s="18" t="s">
        <v>129</v>
      </c>
      <c r="K295" s="18" t="s">
        <v>130</v>
      </c>
      <c r="L295" s="18" t="s">
        <v>131</v>
      </c>
      <c r="M295" s="18" t="s">
        <v>132</v>
      </c>
      <c r="N295" s="18" t="s">
        <v>133</v>
      </c>
      <c r="O295" s="18" t="s">
        <v>134</v>
      </c>
      <c r="P295" s="18" t="s">
        <v>135</v>
      </c>
      <c r="Q295" s="18" t="s">
        <v>136</v>
      </c>
      <c r="R295" s="18" t="s">
        <v>137</v>
      </c>
      <c r="S295" s="18" t="s">
        <v>138</v>
      </c>
      <c r="T295" s="18" t="s">
        <v>139</v>
      </c>
      <c r="U295" s="18" t="s">
        <v>140</v>
      </c>
      <c r="V295" s="18" t="s">
        <v>141</v>
      </c>
      <c r="W295" s="18" t="s">
        <v>142</v>
      </c>
      <c r="X295" s="18" t="s">
        <v>143</v>
      </c>
      <c r="Y295" s="18" t="s">
        <v>144</v>
      </c>
      <c r="Z295" s="18" t="s">
        <v>145</v>
      </c>
      <c r="AA295" s="18" t="s">
        <v>146</v>
      </c>
      <c r="AB295" s="18" t="s">
        <v>147</v>
      </c>
      <c r="AC295" s="18" t="s">
        <v>148</v>
      </c>
      <c r="AD295" s="18" t="s">
        <v>149</v>
      </c>
      <c r="AE295" s="18" t="s">
        <v>150</v>
      </c>
      <c r="AF295" s="18" t="s">
        <v>151</v>
      </c>
      <c r="AG295" s="18" t="s">
        <v>152</v>
      </c>
      <c r="AH295" s="18" t="s">
        <v>153</v>
      </c>
      <c r="AI295" s="18" t="s">
        <v>154</v>
      </c>
      <c r="AJ295" s="7"/>
    </row>
    <row r="296" spans="1:36" x14ac:dyDescent="0.35">
      <c r="A296" s="17" t="s">
        <v>208</v>
      </c>
      <c r="B296" s="17"/>
      <c r="C296" s="19">
        <f>COUNTIFS(B$4:B$63,B293,$AI$4:$AI$63,"YES")</f>
        <v>0</v>
      </c>
      <c r="D296" s="19">
        <f>COUNTIFS(C$4:C$63,C293,$AI$4:$AI$63,"YES")</f>
        <v>3</v>
      </c>
      <c r="E296" s="19">
        <f t="shared" ref="E296:AJ296" si="56">COUNTIFS(D$4:D$63,D293,$AI$4:$AI$63,"YES")</f>
        <v>3</v>
      </c>
      <c r="F296" s="19">
        <f t="shared" si="56"/>
        <v>0</v>
      </c>
      <c r="G296" s="19">
        <f t="shared" si="56"/>
        <v>2</v>
      </c>
      <c r="H296" s="19">
        <f t="shared" si="56"/>
        <v>4</v>
      </c>
      <c r="I296" s="19">
        <f t="shared" si="56"/>
        <v>4</v>
      </c>
      <c r="J296" s="19">
        <f t="shared" si="56"/>
        <v>4</v>
      </c>
      <c r="K296" s="19">
        <f t="shared" si="56"/>
        <v>0</v>
      </c>
      <c r="L296" s="19">
        <f t="shared" si="56"/>
        <v>2</v>
      </c>
      <c r="M296" s="19">
        <f t="shared" si="56"/>
        <v>4</v>
      </c>
      <c r="N296" s="19">
        <f t="shared" si="56"/>
        <v>0</v>
      </c>
      <c r="O296" s="19">
        <f t="shared" si="56"/>
        <v>4</v>
      </c>
      <c r="P296" s="19">
        <f t="shared" si="56"/>
        <v>4</v>
      </c>
      <c r="Q296" s="19">
        <f t="shared" si="56"/>
        <v>1</v>
      </c>
      <c r="R296" s="19">
        <f t="shared" si="56"/>
        <v>3</v>
      </c>
      <c r="S296" s="19">
        <f t="shared" si="56"/>
        <v>4</v>
      </c>
      <c r="T296" s="19">
        <f t="shared" si="56"/>
        <v>4</v>
      </c>
      <c r="U296" s="19">
        <f t="shared" si="56"/>
        <v>4</v>
      </c>
      <c r="V296" s="19">
        <f t="shared" si="56"/>
        <v>4</v>
      </c>
      <c r="W296" s="19">
        <f t="shared" si="56"/>
        <v>4</v>
      </c>
      <c r="X296" s="19">
        <f t="shared" si="56"/>
        <v>4</v>
      </c>
      <c r="Y296" s="19">
        <f t="shared" si="56"/>
        <v>4</v>
      </c>
      <c r="Z296" s="19">
        <f t="shared" si="56"/>
        <v>4</v>
      </c>
      <c r="AA296" s="19">
        <f t="shared" si="56"/>
        <v>4</v>
      </c>
      <c r="AB296" s="19">
        <f t="shared" si="56"/>
        <v>4</v>
      </c>
      <c r="AC296" s="19">
        <f t="shared" si="56"/>
        <v>4</v>
      </c>
      <c r="AD296" s="19">
        <f t="shared" si="56"/>
        <v>4</v>
      </c>
      <c r="AE296" s="19">
        <f t="shared" si="56"/>
        <v>4</v>
      </c>
      <c r="AF296" s="19">
        <f t="shared" si="56"/>
        <v>4</v>
      </c>
      <c r="AG296" s="19">
        <f t="shared" si="56"/>
        <v>4</v>
      </c>
      <c r="AH296" s="19">
        <f t="shared" si="56"/>
        <v>4</v>
      </c>
      <c r="AI296" s="19">
        <f t="shared" si="56"/>
        <v>3</v>
      </c>
      <c r="AJ296" s="20"/>
    </row>
    <row r="297" spans="1:36" x14ac:dyDescent="0.35">
      <c r="A297" s="17" t="s">
        <v>209</v>
      </c>
      <c r="B297" s="17"/>
      <c r="C297" s="19">
        <f>COUNTIFS(B$4:B$63,B293,$AI$4:$AI$63,"NO")</f>
        <v>11</v>
      </c>
      <c r="D297" s="19">
        <f t="shared" ref="D297:AI297" si="57">COUNTIFS(C$4:C$63,C293,$AI$4:$AI$63,"NO")</f>
        <v>22</v>
      </c>
      <c r="E297" s="19">
        <f t="shared" si="57"/>
        <v>12</v>
      </c>
      <c r="F297" s="19">
        <f t="shared" si="57"/>
        <v>13</v>
      </c>
      <c r="G297" s="19">
        <f t="shared" si="57"/>
        <v>34</v>
      </c>
      <c r="H297" s="19">
        <f t="shared" si="57"/>
        <v>45</v>
      </c>
      <c r="I297" s="19">
        <f t="shared" si="57"/>
        <v>47</v>
      </c>
      <c r="J297" s="19">
        <f t="shared" si="57"/>
        <v>45</v>
      </c>
      <c r="K297" s="19">
        <f t="shared" si="57"/>
        <v>17</v>
      </c>
      <c r="L297" s="19">
        <f t="shared" si="57"/>
        <v>39</v>
      </c>
      <c r="M297" s="19">
        <f t="shared" si="57"/>
        <v>44</v>
      </c>
      <c r="N297" s="19">
        <f t="shared" si="57"/>
        <v>0</v>
      </c>
      <c r="O297" s="19">
        <f t="shared" si="57"/>
        <v>44</v>
      </c>
      <c r="P297" s="19">
        <f t="shared" si="57"/>
        <v>42</v>
      </c>
      <c r="Q297" s="19">
        <f t="shared" si="57"/>
        <v>41</v>
      </c>
      <c r="R297" s="19">
        <f t="shared" si="57"/>
        <v>38</v>
      </c>
      <c r="S297" s="19">
        <f t="shared" si="57"/>
        <v>49</v>
      </c>
      <c r="T297" s="19">
        <f t="shared" si="57"/>
        <v>41</v>
      </c>
      <c r="U297" s="19">
        <f t="shared" si="57"/>
        <v>49</v>
      </c>
      <c r="V297" s="19">
        <f t="shared" si="57"/>
        <v>56</v>
      </c>
      <c r="W297" s="19">
        <f t="shared" si="57"/>
        <v>56</v>
      </c>
      <c r="X297" s="19">
        <f t="shared" si="57"/>
        <v>43</v>
      </c>
      <c r="Y297" s="19">
        <f t="shared" si="57"/>
        <v>56</v>
      </c>
      <c r="Z297" s="19">
        <f t="shared" si="57"/>
        <v>50</v>
      </c>
      <c r="AA297" s="19">
        <f t="shared" si="57"/>
        <v>45</v>
      </c>
      <c r="AB297" s="19">
        <f t="shared" si="57"/>
        <v>25</v>
      </c>
      <c r="AC297" s="19">
        <f t="shared" si="57"/>
        <v>56</v>
      </c>
      <c r="AD297" s="19">
        <f t="shared" si="57"/>
        <v>56</v>
      </c>
      <c r="AE297" s="19">
        <f t="shared" si="57"/>
        <v>56</v>
      </c>
      <c r="AF297" s="19">
        <f t="shared" si="57"/>
        <v>56</v>
      </c>
      <c r="AG297" s="19">
        <f t="shared" si="57"/>
        <v>47</v>
      </c>
      <c r="AH297" s="19">
        <f t="shared" si="57"/>
        <v>56</v>
      </c>
      <c r="AI297" s="19">
        <f t="shared" si="57"/>
        <v>20</v>
      </c>
      <c r="AJ297" s="20"/>
    </row>
    <row r="298" spans="1:36" x14ac:dyDescent="0.35">
      <c r="A298" s="17" t="s">
        <v>210</v>
      </c>
      <c r="B298" s="18" t="s">
        <v>208</v>
      </c>
      <c r="C298" s="19">
        <f>C296/$B$108</f>
        <v>0</v>
      </c>
      <c r="D298" s="19">
        <f t="shared" ref="D298:AI298" si="58">D296/$B$108</f>
        <v>45</v>
      </c>
      <c r="E298" s="19">
        <f t="shared" si="58"/>
        <v>45</v>
      </c>
      <c r="F298" s="19">
        <f t="shared" si="58"/>
        <v>0</v>
      </c>
      <c r="G298" s="19">
        <f t="shared" si="58"/>
        <v>30</v>
      </c>
      <c r="H298" s="19">
        <f t="shared" si="58"/>
        <v>60</v>
      </c>
      <c r="I298" s="19">
        <f t="shared" si="58"/>
        <v>60</v>
      </c>
      <c r="J298" s="19">
        <f t="shared" si="58"/>
        <v>60</v>
      </c>
      <c r="K298" s="19">
        <f t="shared" si="58"/>
        <v>0</v>
      </c>
      <c r="L298" s="19">
        <f t="shared" si="58"/>
        <v>30</v>
      </c>
      <c r="M298" s="19">
        <f t="shared" si="58"/>
        <v>60</v>
      </c>
      <c r="N298" s="19">
        <f t="shared" si="58"/>
        <v>0</v>
      </c>
      <c r="O298" s="19">
        <f t="shared" si="58"/>
        <v>60</v>
      </c>
      <c r="P298" s="19">
        <f t="shared" si="58"/>
        <v>60</v>
      </c>
      <c r="Q298" s="19">
        <f t="shared" si="58"/>
        <v>15</v>
      </c>
      <c r="R298" s="19">
        <f t="shared" si="58"/>
        <v>45</v>
      </c>
      <c r="S298" s="19">
        <f t="shared" si="58"/>
        <v>60</v>
      </c>
      <c r="T298" s="19">
        <f t="shared" si="58"/>
        <v>60</v>
      </c>
      <c r="U298" s="19">
        <f t="shared" si="58"/>
        <v>60</v>
      </c>
      <c r="V298" s="19">
        <f t="shared" si="58"/>
        <v>60</v>
      </c>
      <c r="W298" s="19">
        <f t="shared" si="58"/>
        <v>60</v>
      </c>
      <c r="X298" s="19">
        <f t="shared" si="58"/>
        <v>60</v>
      </c>
      <c r="Y298" s="19">
        <f t="shared" si="58"/>
        <v>60</v>
      </c>
      <c r="Z298" s="19">
        <f t="shared" si="58"/>
        <v>60</v>
      </c>
      <c r="AA298" s="19">
        <f t="shared" si="58"/>
        <v>60</v>
      </c>
      <c r="AB298" s="19">
        <f t="shared" si="58"/>
        <v>60</v>
      </c>
      <c r="AC298" s="19">
        <f t="shared" si="58"/>
        <v>60</v>
      </c>
      <c r="AD298" s="19">
        <f t="shared" si="58"/>
        <v>60</v>
      </c>
      <c r="AE298" s="19">
        <f t="shared" si="58"/>
        <v>60</v>
      </c>
      <c r="AF298" s="19">
        <f t="shared" si="58"/>
        <v>60</v>
      </c>
      <c r="AG298" s="19">
        <f t="shared" si="58"/>
        <v>60</v>
      </c>
      <c r="AH298" s="19">
        <f t="shared" si="58"/>
        <v>60</v>
      </c>
      <c r="AI298" s="19">
        <f t="shared" si="58"/>
        <v>45</v>
      </c>
      <c r="AJ298" s="19">
        <f>C298*D298*E298*F298*G298*H298*I298*J298*K298*L298*M298*N298*O298*P298*Q298*R298*S298*T298*U298*V298*W298*X298*Y298*Z298*AA298*AB298*AC298*AD298*AE298*AF298*AG298*AH298*AI298</f>
        <v>0</v>
      </c>
    </row>
    <row r="299" spans="1:36" x14ac:dyDescent="0.35">
      <c r="A299" s="17"/>
      <c r="B299" s="18" t="s">
        <v>209</v>
      </c>
      <c r="C299" s="19">
        <f>C297/$C$108</f>
        <v>11.785714285714285</v>
      </c>
      <c r="D299" s="19">
        <f t="shared" ref="D299:AI299" si="59">D297/$C$108</f>
        <v>23.571428571428569</v>
      </c>
      <c r="E299" s="19">
        <f t="shared" si="59"/>
        <v>12.857142857142858</v>
      </c>
      <c r="F299" s="19">
        <f t="shared" si="59"/>
        <v>13.928571428571429</v>
      </c>
      <c r="G299" s="19">
        <f t="shared" si="59"/>
        <v>36.428571428571431</v>
      </c>
      <c r="H299" s="19">
        <f t="shared" si="59"/>
        <v>48.214285714285715</v>
      </c>
      <c r="I299" s="19">
        <f t="shared" si="59"/>
        <v>50.357142857142854</v>
      </c>
      <c r="J299" s="19">
        <f t="shared" si="59"/>
        <v>48.214285714285715</v>
      </c>
      <c r="K299" s="19">
        <f t="shared" si="59"/>
        <v>18.214285714285715</v>
      </c>
      <c r="L299" s="19">
        <f t="shared" si="59"/>
        <v>41.785714285714285</v>
      </c>
      <c r="M299" s="19">
        <f t="shared" si="59"/>
        <v>47.142857142857139</v>
      </c>
      <c r="N299" s="19">
        <f t="shared" si="59"/>
        <v>0</v>
      </c>
      <c r="O299" s="19">
        <f t="shared" si="59"/>
        <v>47.142857142857139</v>
      </c>
      <c r="P299" s="19">
        <f t="shared" si="59"/>
        <v>45</v>
      </c>
      <c r="Q299" s="19">
        <f t="shared" si="59"/>
        <v>43.928571428571431</v>
      </c>
      <c r="R299" s="19">
        <f t="shared" si="59"/>
        <v>40.714285714285715</v>
      </c>
      <c r="S299" s="19">
        <f t="shared" si="59"/>
        <v>52.5</v>
      </c>
      <c r="T299" s="19">
        <f t="shared" si="59"/>
        <v>43.928571428571431</v>
      </c>
      <c r="U299" s="19">
        <f t="shared" si="59"/>
        <v>52.5</v>
      </c>
      <c r="V299" s="19">
        <f t="shared" si="59"/>
        <v>60</v>
      </c>
      <c r="W299" s="19">
        <f t="shared" si="59"/>
        <v>60</v>
      </c>
      <c r="X299" s="19">
        <f t="shared" si="59"/>
        <v>46.071428571428569</v>
      </c>
      <c r="Y299" s="19">
        <f t="shared" si="59"/>
        <v>60</v>
      </c>
      <c r="Z299" s="19">
        <f t="shared" si="59"/>
        <v>53.571428571428569</v>
      </c>
      <c r="AA299" s="19">
        <f t="shared" si="59"/>
        <v>48.214285714285715</v>
      </c>
      <c r="AB299" s="19">
        <f t="shared" si="59"/>
        <v>26.785714285714285</v>
      </c>
      <c r="AC299" s="19">
        <f t="shared" si="59"/>
        <v>60</v>
      </c>
      <c r="AD299" s="19">
        <f t="shared" si="59"/>
        <v>60</v>
      </c>
      <c r="AE299" s="19">
        <f t="shared" si="59"/>
        <v>60</v>
      </c>
      <c r="AF299" s="19">
        <f t="shared" si="59"/>
        <v>60</v>
      </c>
      <c r="AG299" s="19">
        <f t="shared" si="59"/>
        <v>50.357142857142854</v>
      </c>
      <c r="AH299" s="19">
        <f t="shared" si="59"/>
        <v>60</v>
      </c>
      <c r="AI299" s="19">
        <f t="shared" si="59"/>
        <v>21.428571428571427</v>
      </c>
      <c r="AJ299" s="19">
        <f>C299*D299*E299*F299*G299*H299*I299*J299*K299*L299*M299*N299*O299*P299*Q299*R299*S299*T299*U299*V299*W299*X299*Y299*Z299*AA299*AB299*AC299*AD299*AE299*AF299*AG299*AH299*AI299</f>
        <v>0</v>
      </c>
    </row>
    <row r="300" spans="1:36" x14ac:dyDescent="0.35">
      <c r="A300" s="21"/>
      <c r="B300" s="21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20"/>
    </row>
    <row r="301" spans="1:36" x14ac:dyDescent="0.35">
      <c r="A301" s="22" t="s">
        <v>211</v>
      </c>
      <c r="B301" s="23"/>
      <c r="C301" s="24" t="s">
        <v>212</v>
      </c>
      <c r="D301" s="20"/>
      <c r="E301" s="20"/>
      <c r="F301" s="20"/>
      <c r="G301" s="20"/>
      <c r="H301" s="20"/>
      <c r="I301" s="20"/>
      <c r="J301" s="20"/>
      <c r="K301" s="20"/>
      <c r="L301" s="2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20"/>
    </row>
    <row r="302" spans="1:36" x14ac:dyDescent="0.35">
      <c r="A302" s="25" t="s">
        <v>208</v>
      </c>
      <c r="B302" s="26">
        <f>AJ298*$B$108</f>
        <v>0</v>
      </c>
      <c r="C302" s="27" t="str">
        <f>IF(B302&gt;B303,A302,A303)</f>
        <v>No</v>
      </c>
      <c r="D302" s="20"/>
      <c r="E302" s="20"/>
      <c r="F302" s="20"/>
      <c r="G302" s="20"/>
      <c r="H302" s="20"/>
      <c r="I302" s="20"/>
      <c r="J302" s="20"/>
      <c r="K302" s="20"/>
      <c r="L302" s="2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20"/>
    </row>
    <row r="303" spans="1:36" x14ac:dyDescent="0.35">
      <c r="A303" s="25" t="s">
        <v>209</v>
      </c>
      <c r="B303" s="26">
        <f>AJ299*$C$108</f>
        <v>0</v>
      </c>
      <c r="C303" s="28"/>
      <c r="D303" s="20"/>
      <c r="E303" s="20"/>
      <c r="F303" s="20"/>
      <c r="G303" s="20"/>
      <c r="H303" s="20"/>
      <c r="I303" s="20"/>
      <c r="J303" s="20"/>
      <c r="K303" s="20"/>
      <c r="L303" s="2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20"/>
    </row>
    <row r="305" spans="1:36" x14ac:dyDescent="0.35">
      <c r="A305" s="15"/>
      <c r="B305" s="16" t="s">
        <v>122</v>
      </c>
      <c r="C305" s="16" t="s">
        <v>123</v>
      </c>
      <c r="D305" s="16" t="s">
        <v>124</v>
      </c>
      <c r="E305" s="16" t="s">
        <v>125</v>
      </c>
      <c r="F305" s="16" t="s">
        <v>126</v>
      </c>
      <c r="G305" s="16" t="s">
        <v>127</v>
      </c>
      <c r="H305" s="16" t="s">
        <v>128</v>
      </c>
      <c r="I305" s="16" t="s">
        <v>129</v>
      </c>
      <c r="J305" s="16" t="s">
        <v>130</v>
      </c>
      <c r="K305" s="16" t="s">
        <v>131</v>
      </c>
      <c r="L305" s="16" t="s">
        <v>132</v>
      </c>
      <c r="M305" s="16" t="s">
        <v>133</v>
      </c>
      <c r="N305" s="16" t="s">
        <v>134</v>
      </c>
      <c r="O305" s="16" t="s">
        <v>135</v>
      </c>
      <c r="P305" s="16" t="s">
        <v>136</v>
      </c>
      <c r="Q305" s="16" t="s">
        <v>137</v>
      </c>
      <c r="R305" s="16" t="s">
        <v>138</v>
      </c>
      <c r="S305" s="16" t="s">
        <v>139</v>
      </c>
      <c r="T305" s="16" t="s">
        <v>140</v>
      </c>
      <c r="U305" s="16" t="s">
        <v>141</v>
      </c>
      <c r="V305" s="16" t="s">
        <v>142</v>
      </c>
      <c r="W305" s="16" t="s">
        <v>143</v>
      </c>
      <c r="X305" s="16" t="s">
        <v>144</v>
      </c>
      <c r="Y305" s="16" t="s">
        <v>145</v>
      </c>
      <c r="Z305" s="16" t="s">
        <v>146</v>
      </c>
      <c r="AA305" s="16" t="s">
        <v>147</v>
      </c>
      <c r="AB305" s="16" t="s">
        <v>148</v>
      </c>
      <c r="AC305" s="16" t="s">
        <v>149</v>
      </c>
      <c r="AD305" s="16" t="s">
        <v>150</v>
      </c>
      <c r="AE305" s="16" t="s">
        <v>151</v>
      </c>
      <c r="AF305" s="16" t="s">
        <v>152</v>
      </c>
      <c r="AG305" s="16" t="s">
        <v>153</v>
      </c>
      <c r="AH305" s="16" t="s">
        <v>154</v>
      </c>
      <c r="AI305" s="16"/>
      <c r="AJ305" s="7"/>
    </row>
    <row r="306" spans="1:36" x14ac:dyDescent="0.35">
      <c r="A306" s="9" t="s">
        <v>288</v>
      </c>
      <c r="B306" s="38">
        <v>0.16666666666666599</v>
      </c>
      <c r="C306" s="38">
        <v>0.5</v>
      </c>
      <c r="D306" s="38">
        <v>1</v>
      </c>
      <c r="E306" s="38">
        <v>0</v>
      </c>
      <c r="F306" s="38">
        <v>0</v>
      </c>
      <c r="G306" s="38">
        <v>1</v>
      </c>
      <c r="H306" s="38">
        <v>0.55555555555555503</v>
      </c>
      <c r="I306" s="38">
        <v>1</v>
      </c>
      <c r="J306" s="38">
        <v>0.5</v>
      </c>
      <c r="K306" s="38">
        <v>0</v>
      </c>
      <c r="L306" s="38">
        <v>0</v>
      </c>
      <c r="M306" s="38">
        <v>0.2</v>
      </c>
      <c r="N306" s="38">
        <v>1</v>
      </c>
      <c r="O306" s="38">
        <v>0</v>
      </c>
      <c r="P306" s="38">
        <v>0</v>
      </c>
      <c r="Q306" s="38">
        <v>0.4</v>
      </c>
      <c r="R306" s="38">
        <v>1</v>
      </c>
      <c r="S306" s="38">
        <v>0</v>
      </c>
      <c r="T306" s="38">
        <v>1</v>
      </c>
      <c r="U306" s="38">
        <v>1</v>
      </c>
      <c r="V306" s="38">
        <v>1</v>
      </c>
      <c r="W306" s="38">
        <v>0</v>
      </c>
      <c r="X306" s="38">
        <v>1</v>
      </c>
      <c r="Y306" s="38">
        <v>1</v>
      </c>
      <c r="Z306" s="38">
        <v>0</v>
      </c>
      <c r="AA306" s="38">
        <v>0</v>
      </c>
      <c r="AB306" s="38">
        <v>1</v>
      </c>
      <c r="AC306" s="38">
        <v>1</v>
      </c>
      <c r="AD306" s="38">
        <v>1</v>
      </c>
      <c r="AE306" s="38">
        <v>1</v>
      </c>
      <c r="AF306" s="38">
        <v>1</v>
      </c>
      <c r="AG306" s="38">
        <v>1</v>
      </c>
      <c r="AH306" s="38">
        <v>0</v>
      </c>
      <c r="AI306" s="38" t="s">
        <v>195</v>
      </c>
      <c r="AJ306" s="7"/>
    </row>
    <row r="307" spans="1:36" x14ac:dyDescent="0.35">
      <c r="AJ307" s="7"/>
    </row>
    <row r="308" spans="1:36" x14ac:dyDescent="0.35">
      <c r="A308" s="17" t="s">
        <v>207</v>
      </c>
      <c r="B308" s="17"/>
      <c r="C308" s="18" t="s">
        <v>122</v>
      </c>
      <c r="D308" s="18" t="s">
        <v>123</v>
      </c>
      <c r="E308" s="18" t="s">
        <v>124</v>
      </c>
      <c r="F308" s="18" t="s">
        <v>125</v>
      </c>
      <c r="G308" s="18" t="s">
        <v>126</v>
      </c>
      <c r="H308" s="18" t="s">
        <v>127</v>
      </c>
      <c r="I308" s="18" t="s">
        <v>128</v>
      </c>
      <c r="J308" s="18" t="s">
        <v>129</v>
      </c>
      <c r="K308" s="18" t="s">
        <v>130</v>
      </c>
      <c r="L308" s="18" t="s">
        <v>131</v>
      </c>
      <c r="M308" s="18" t="s">
        <v>132</v>
      </c>
      <c r="N308" s="18" t="s">
        <v>133</v>
      </c>
      <c r="O308" s="18" t="s">
        <v>134</v>
      </c>
      <c r="P308" s="18" t="s">
        <v>135</v>
      </c>
      <c r="Q308" s="18" t="s">
        <v>136</v>
      </c>
      <c r="R308" s="18" t="s">
        <v>137</v>
      </c>
      <c r="S308" s="18" t="s">
        <v>138</v>
      </c>
      <c r="T308" s="18" t="s">
        <v>139</v>
      </c>
      <c r="U308" s="18" t="s">
        <v>140</v>
      </c>
      <c r="V308" s="18" t="s">
        <v>141</v>
      </c>
      <c r="W308" s="18" t="s">
        <v>142</v>
      </c>
      <c r="X308" s="18" t="s">
        <v>143</v>
      </c>
      <c r="Y308" s="18" t="s">
        <v>144</v>
      </c>
      <c r="Z308" s="18" t="s">
        <v>145</v>
      </c>
      <c r="AA308" s="18" t="s">
        <v>146</v>
      </c>
      <c r="AB308" s="18" t="s">
        <v>147</v>
      </c>
      <c r="AC308" s="18" t="s">
        <v>148</v>
      </c>
      <c r="AD308" s="18" t="s">
        <v>149</v>
      </c>
      <c r="AE308" s="18" t="s">
        <v>150</v>
      </c>
      <c r="AF308" s="18" t="s">
        <v>151</v>
      </c>
      <c r="AG308" s="18" t="s">
        <v>152</v>
      </c>
      <c r="AH308" s="18" t="s">
        <v>153</v>
      </c>
      <c r="AI308" s="18" t="s">
        <v>154</v>
      </c>
      <c r="AJ308" s="7"/>
    </row>
    <row r="309" spans="1:36" x14ac:dyDescent="0.35">
      <c r="A309" s="17" t="s">
        <v>208</v>
      </c>
      <c r="B309" s="17"/>
      <c r="C309" s="19">
        <f>COUNTIFS(B$4:B$63,B306,$AI$4:$AI$63,"YES")</f>
        <v>0</v>
      </c>
      <c r="D309" s="19">
        <f>COUNTIFS(C$4:C$63,C306,$AI$4:$AI$63,"YES")</f>
        <v>1</v>
      </c>
      <c r="E309" s="19">
        <f t="shared" ref="E309:AJ309" si="60">COUNTIFS(D$4:D$63,D306,$AI$4:$AI$63,"YES")</f>
        <v>0</v>
      </c>
      <c r="F309" s="19">
        <f t="shared" si="60"/>
        <v>0</v>
      </c>
      <c r="G309" s="19">
        <f t="shared" si="60"/>
        <v>2</v>
      </c>
      <c r="H309" s="19">
        <f t="shared" si="60"/>
        <v>4</v>
      </c>
      <c r="I309" s="19">
        <f t="shared" si="60"/>
        <v>4</v>
      </c>
      <c r="J309" s="19">
        <f t="shared" si="60"/>
        <v>4</v>
      </c>
      <c r="K309" s="19">
        <f t="shared" si="60"/>
        <v>4</v>
      </c>
      <c r="L309" s="19">
        <f t="shared" si="60"/>
        <v>2</v>
      </c>
      <c r="M309" s="19">
        <f t="shared" si="60"/>
        <v>4</v>
      </c>
      <c r="N309" s="19">
        <f t="shared" si="60"/>
        <v>3</v>
      </c>
      <c r="O309" s="19">
        <f t="shared" si="60"/>
        <v>4</v>
      </c>
      <c r="P309" s="19">
        <f t="shared" si="60"/>
        <v>4</v>
      </c>
      <c r="Q309" s="19">
        <f t="shared" si="60"/>
        <v>1</v>
      </c>
      <c r="R309" s="19">
        <f t="shared" si="60"/>
        <v>3</v>
      </c>
      <c r="S309" s="19">
        <f t="shared" si="60"/>
        <v>4</v>
      </c>
      <c r="T309" s="19">
        <f t="shared" si="60"/>
        <v>0</v>
      </c>
      <c r="U309" s="19">
        <f t="shared" si="60"/>
        <v>4</v>
      </c>
      <c r="V309" s="19">
        <f t="shared" si="60"/>
        <v>4</v>
      </c>
      <c r="W309" s="19">
        <f t="shared" si="60"/>
        <v>4</v>
      </c>
      <c r="X309" s="19">
        <f t="shared" si="60"/>
        <v>4</v>
      </c>
      <c r="Y309" s="19">
        <f t="shared" si="60"/>
        <v>4</v>
      </c>
      <c r="Z309" s="19">
        <f t="shared" si="60"/>
        <v>4</v>
      </c>
      <c r="AA309" s="19">
        <f t="shared" si="60"/>
        <v>0</v>
      </c>
      <c r="AB309" s="19">
        <f t="shared" si="60"/>
        <v>4</v>
      </c>
      <c r="AC309" s="19">
        <f t="shared" si="60"/>
        <v>4</v>
      </c>
      <c r="AD309" s="19">
        <f t="shared" si="60"/>
        <v>4</v>
      </c>
      <c r="AE309" s="19">
        <f t="shared" si="60"/>
        <v>4</v>
      </c>
      <c r="AF309" s="19">
        <f t="shared" si="60"/>
        <v>4</v>
      </c>
      <c r="AG309" s="19">
        <f t="shared" si="60"/>
        <v>4</v>
      </c>
      <c r="AH309" s="19">
        <f t="shared" si="60"/>
        <v>4</v>
      </c>
      <c r="AI309" s="19">
        <f t="shared" si="60"/>
        <v>3</v>
      </c>
      <c r="AJ309" s="20"/>
    </row>
    <row r="310" spans="1:36" x14ac:dyDescent="0.35">
      <c r="A310" s="17" t="s">
        <v>209</v>
      </c>
      <c r="B310" s="17"/>
      <c r="C310" s="19">
        <f>COUNTIFS(B$4:B$63,B306,$AI$4:$AI$63,"NO")</f>
        <v>8</v>
      </c>
      <c r="D310" s="19">
        <f t="shared" ref="D310:AI310" si="61">COUNTIFS(C$4:C$63,C306,$AI$4:$AI$63,"NO")</f>
        <v>11</v>
      </c>
      <c r="E310" s="19">
        <f t="shared" si="61"/>
        <v>3</v>
      </c>
      <c r="F310" s="19">
        <f t="shared" si="61"/>
        <v>13</v>
      </c>
      <c r="G310" s="19">
        <f t="shared" si="61"/>
        <v>34</v>
      </c>
      <c r="H310" s="19">
        <f t="shared" si="61"/>
        <v>45</v>
      </c>
      <c r="I310" s="19">
        <f t="shared" si="61"/>
        <v>47</v>
      </c>
      <c r="J310" s="19">
        <f t="shared" si="61"/>
        <v>45</v>
      </c>
      <c r="K310" s="19">
        <f t="shared" si="61"/>
        <v>28</v>
      </c>
      <c r="L310" s="19">
        <f t="shared" si="61"/>
        <v>39</v>
      </c>
      <c r="M310" s="19">
        <f t="shared" si="61"/>
        <v>44</v>
      </c>
      <c r="N310" s="19">
        <f t="shared" si="61"/>
        <v>31</v>
      </c>
      <c r="O310" s="19">
        <f t="shared" si="61"/>
        <v>44</v>
      </c>
      <c r="P310" s="19">
        <f t="shared" si="61"/>
        <v>42</v>
      </c>
      <c r="Q310" s="19">
        <f t="shared" si="61"/>
        <v>41</v>
      </c>
      <c r="R310" s="19">
        <f t="shared" si="61"/>
        <v>38</v>
      </c>
      <c r="S310" s="19">
        <f t="shared" si="61"/>
        <v>49</v>
      </c>
      <c r="T310" s="19">
        <f t="shared" si="61"/>
        <v>9</v>
      </c>
      <c r="U310" s="19">
        <f t="shared" si="61"/>
        <v>49</v>
      </c>
      <c r="V310" s="19">
        <f t="shared" si="61"/>
        <v>56</v>
      </c>
      <c r="W310" s="19">
        <f t="shared" si="61"/>
        <v>56</v>
      </c>
      <c r="X310" s="19">
        <f t="shared" si="61"/>
        <v>43</v>
      </c>
      <c r="Y310" s="19">
        <f t="shared" si="61"/>
        <v>56</v>
      </c>
      <c r="Z310" s="19">
        <f t="shared" si="61"/>
        <v>50</v>
      </c>
      <c r="AA310" s="19">
        <f t="shared" si="61"/>
        <v>5</v>
      </c>
      <c r="AB310" s="19">
        <f t="shared" si="61"/>
        <v>25</v>
      </c>
      <c r="AC310" s="19">
        <f t="shared" si="61"/>
        <v>56</v>
      </c>
      <c r="AD310" s="19">
        <f t="shared" si="61"/>
        <v>56</v>
      </c>
      <c r="AE310" s="19">
        <f t="shared" si="61"/>
        <v>56</v>
      </c>
      <c r="AF310" s="19">
        <f t="shared" si="61"/>
        <v>56</v>
      </c>
      <c r="AG310" s="19">
        <f t="shared" si="61"/>
        <v>47</v>
      </c>
      <c r="AH310" s="19">
        <f t="shared" si="61"/>
        <v>56</v>
      </c>
      <c r="AI310" s="19">
        <f t="shared" si="61"/>
        <v>20</v>
      </c>
      <c r="AJ310" s="20"/>
    </row>
    <row r="311" spans="1:36" x14ac:dyDescent="0.35">
      <c r="A311" s="17" t="s">
        <v>210</v>
      </c>
      <c r="B311" s="18" t="s">
        <v>208</v>
      </c>
      <c r="C311" s="19">
        <f>C309/$B$108</f>
        <v>0</v>
      </c>
      <c r="D311" s="19">
        <f t="shared" ref="D311:AI311" si="62">D309/$B$108</f>
        <v>15</v>
      </c>
      <c r="E311" s="19">
        <f t="shared" si="62"/>
        <v>0</v>
      </c>
      <c r="F311" s="19">
        <f t="shared" si="62"/>
        <v>0</v>
      </c>
      <c r="G311" s="19">
        <f t="shared" si="62"/>
        <v>30</v>
      </c>
      <c r="H311" s="19">
        <f t="shared" si="62"/>
        <v>60</v>
      </c>
      <c r="I311" s="19">
        <f t="shared" si="62"/>
        <v>60</v>
      </c>
      <c r="J311" s="19">
        <f t="shared" si="62"/>
        <v>60</v>
      </c>
      <c r="K311" s="19">
        <f t="shared" si="62"/>
        <v>60</v>
      </c>
      <c r="L311" s="19">
        <f t="shared" si="62"/>
        <v>30</v>
      </c>
      <c r="M311" s="19">
        <f t="shared" si="62"/>
        <v>60</v>
      </c>
      <c r="N311" s="19">
        <f t="shared" si="62"/>
        <v>45</v>
      </c>
      <c r="O311" s="19">
        <f t="shared" si="62"/>
        <v>60</v>
      </c>
      <c r="P311" s="19">
        <f t="shared" si="62"/>
        <v>60</v>
      </c>
      <c r="Q311" s="19">
        <f t="shared" si="62"/>
        <v>15</v>
      </c>
      <c r="R311" s="19">
        <f t="shared" si="62"/>
        <v>45</v>
      </c>
      <c r="S311" s="19">
        <f t="shared" si="62"/>
        <v>60</v>
      </c>
      <c r="T311" s="19">
        <f t="shared" si="62"/>
        <v>0</v>
      </c>
      <c r="U311" s="19">
        <f t="shared" si="62"/>
        <v>60</v>
      </c>
      <c r="V311" s="19">
        <f t="shared" si="62"/>
        <v>60</v>
      </c>
      <c r="W311" s="19">
        <f t="shared" si="62"/>
        <v>60</v>
      </c>
      <c r="X311" s="19">
        <f t="shared" si="62"/>
        <v>60</v>
      </c>
      <c r="Y311" s="19">
        <f t="shared" si="62"/>
        <v>60</v>
      </c>
      <c r="Z311" s="19">
        <f t="shared" si="62"/>
        <v>60</v>
      </c>
      <c r="AA311" s="19">
        <f t="shared" si="62"/>
        <v>0</v>
      </c>
      <c r="AB311" s="19">
        <f t="shared" si="62"/>
        <v>60</v>
      </c>
      <c r="AC311" s="19">
        <f t="shared" si="62"/>
        <v>60</v>
      </c>
      <c r="AD311" s="19">
        <f t="shared" si="62"/>
        <v>60</v>
      </c>
      <c r="AE311" s="19">
        <f t="shared" si="62"/>
        <v>60</v>
      </c>
      <c r="AF311" s="19">
        <f t="shared" si="62"/>
        <v>60</v>
      </c>
      <c r="AG311" s="19">
        <f t="shared" si="62"/>
        <v>60</v>
      </c>
      <c r="AH311" s="19">
        <f t="shared" si="62"/>
        <v>60</v>
      </c>
      <c r="AI311" s="19">
        <f t="shared" si="62"/>
        <v>45</v>
      </c>
      <c r="AJ311" s="19">
        <f>C311*D311*E311*F311*G311*H311*I311*J311*K311*L311*M311*N311*O311*P311*Q311*R311*S311*T311*U311*V311*W311*X311*Y311*Z311*AA311*AB311*AC311*AD311*AE311*AF311*AG311*AH311*AI311</f>
        <v>0</v>
      </c>
    </row>
    <row r="312" spans="1:36" x14ac:dyDescent="0.35">
      <c r="A312" s="17"/>
      <c r="B312" s="18" t="s">
        <v>209</v>
      </c>
      <c r="C312" s="19">
        <f>C310/$C$108</f>
        <v>8.5714285714285712</v>
      </c>
      <c r="D312" s="19">
        <f t="shared" ref="D312:AI312" si="63">D310/$C$108</f>
        <v>11.785714285714285</v>
      </c>
      <c r="E312" s="19">
        <f t="shared" si="63"/>
        <v>3.2142857142857144</v>
      </c>
      <c r="F312" s="19">
        <f t="shared" si="63"/>
        <v>13.928571428571429</v>
      </c>
      <c r="G312" s="19">
        <f t="shared" si="63"/>
        <v>36.428571428571431</v>
      </c>
      <c r="H312" s="19">
        <f t="shared" si="63"/>
        <v>48.214285714285715</v>
      </c>
      <c r="I312" s="19">
        <f t="shared" si="63"/>
        <v>50.357142857142854</v>
      </c>
      <c r="J312" s="19">
        <f t="shared" si="63"/>
        <v>48.214285714285715</v>
      </c>
      <c r="K312" s="19">
        <f t="shared" si="63"/>
        <v>30</v>
      </c>
      <c r="L312" s="19">
        <f t="shared" si="63"/>
        <v>41.785714285714285</v>
      </c>
      <c r="M312" s="19">
        <f t="shared" si="63"/>
        <v>47.142857142857139</v>
      </c>
      <c r="N312" s="19">
        <f t="shared" si="63"/>
        <v>33.214285714285715</v>
      </c>
      <c r="O312" s="19">
        <f t="shared" si="63"/>
        <v>47.142857142857139</v>
      </c>
      <c r="P312" s="19">
        <f t="shared" si="63"/>
        <v>45</v>
      </c>
      <c r="Q312" s="19">
        <f t="shared" si="63"/>
        <v>43.928571428571431</v>
      </c>
      <c r="R312" s="19">
        <f t="shared" si="63"/>
        <v>40.714285714285715</v>
      </c>
      <c r="S312" s="19">
        <f t="shared" si="63"/>
        <v>52.5</v>
      </c>
      <c r="T312" s="19">
        <f t="shared" si="63"/>
        <v>9.6428571428571423</v>
      </c>
      <c r="U312" s="19">
        <f t="shared" si="63"/>
        <v>52.5</v>
      </c>
      <c r="V312" s="19">
        <f t="shared" si="63"/>
        <v>60</v>
      </c>
      <c r="W312" s="19">
        <f t="shared" si="63"/>
        <v>60</v>
      </c>
      <c r="X312" s="19">
        <f t="shared" si="63"/>
        <v>46.071428571428569</v>
      </c>
      <c r="Y312" s="19">
        <f t="shared" si="63"/>
        <v>60</v>
      </c>
      <c r="Z312" s="19">
        <f t="shared" si="63"/>
        <v>53.571428571428569</v>
      </c>
      <c r="AA312" s="19">
        <f t="shared" si="63"/>
        <v>5.3571428571428568</v>
      </c>
      <c r="AB312" s="19">
        <f t="shared" si="63"/>
        <v>26.785714285714285</v>
      </c>
      <c r="AC312" s="19">
        <f t="shared" si="63"/>
        <v>60</v>
      </c>
      <c r="AD312" s="19">
        <f t="shared" si="63"/>
        <v>60</v>
      </c>
      <c r="AE312" s="19">
        <f t="shared" si="63"/>
        <v>60</v>
      </c>
      <c r="AF312" s="19">
        <f t="shared" si="63"/>
        <v>60</v>
      </c>
      <c r="AG312" s="19">
        <f t="shared" si="63"/>
        <v>50.357142857142854</v>
      </c>
      <c r="AH312" s="19">
        <f t="shared" si="63"/>
        <v>60</v>
      </c>
      <c r="AI312" s="19">
        <f t="shared" si="63"/>
        <v>21.428571428571427</v>
      </c>
      <c r="AJ312" s="19">
        <f>C312*D312*E312*F312*G312*H312*I312*J312*K312*L312*M312*N312*O312*P312*Q312*R312*S312*T312*U312*V312*W312*X312*Y312*Z312*AA312*AB312*AC312*AD312*AE312*AF312*AG312*AH312*AI312</f>
        <v>2.4505134702925774E+50</v>
      </c>
    </row>
    <row r="313" spans="1:36" x14ac:dyDescent="0.35">
      <c r="A313" s="21"/>
      <c r="B313" s="21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20"/>
    </row>
    <row r="314" spans="1:36" x14ac:dyDescent="0.35">
      <c r="A314" s="22" t="s">
        <v>211</v>
      </c>
      <c r="B314" s="23"/>
      <c r="C314" s="24" t="s">
        <v>212</v>
      </c>
      <c r="D314" s="20"/>
      <c r="E314" s="20"/>
      <c r="F314" s="20"/>
      <c r="G314" s="20"/>
      <c r="H314" s="20"/>
      <c r="I314" s="20"/>
      <c r="J314" s="20"/>
      <c r="K314" s="20"/>
      <c r="L314" s="2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20"/>
    </row>
    <row r="315" spans="1:36" x14ac:dyDescent="0.35">
      <c r="A315" s="25" t="s">
        <v>208</v>
      </c>
      <c r="B315" s="26">
        <f>AJ311*$B$108</f>
        <v>0</v>
      </c>
      <c r="C315" s="27" t="str">
        <f>IF(B315&gt;B316,A315,A316)</f>
        <v>No</v>
      </c>
      <c r="D315" s="20"/>
      <c r="E315" s="20"/>
      <c r="F315" s="20"/>
      <c r="G315" s="20"/>
      <c r="H315" s="20"/>
      <c r="I315" s="20"/>
      <c r="J315" s="20"/>
      <c r="K315" s="20"/>
      <c r="L315" s="2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20"/>
    </row>
    <row r="316" spans="1:36" x14ac:dyDescent="0.35">
      <c r="A316" s="25" t="s">
        <v>209</v>
      </c>
      <c r="B316" s="26">
        <f>AJ312*$C$108</f>
        <v>2.2871459056064057E+50</v>
      </c>
      <c r="C316" s="28"/>
      <c r="D316" s="20"/>
      <c r="E316" s="20"/>
      <c r="F316" s="20"/>
      <c r="G316" s="20"/>
      <c r="H316" s="20"/>
      <c r="I316" s="20"/>
      <c r="J316" s="20"/>
      <c r="K316" s="20"/>
      <c r="L316" s="2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20"/>
    </row>
    <row r="318" spans="1:36" x14ac:dyDescent="0.35">
      <c r="A318" s="15"/>
      <c r="B318" s="16" t="s">
        <v>122</v>
      </c>
      <c r="C318" s="16" t="s">
        <v>123</v>
      </c>
      <c r="D318" s="16" t="s">
        <v>124</v>
      </c>
      <c r="E318" s="16" t="s">
        <v>125</v>
      </c>
      <c r="F318" s="16" t="s">
        <v>126</v>
      </c>
      <c r="G318" s="16" t="s">
        <v>127</v>
      </c>
      <c r="H318" s="16" t="s">
        <v>128</v>
      </c>
      <c r="I318" s="16" t="s">
        <v>129</v>
      </c>
      <c r="J318" s="16" t="s">
        <v>130</v>
      </c>
      <c r="K318" s="16" t="s">
        <v>131</v>
      </c>
      <c r="L318" s="16" t="s">
        <v>132</v>
      </c>
      <c r="M318" s="16" t="s">
        <v>133</v>
      </c>
      <c r="N318" s="16" t="s">
        <v>134</v>
      </c>
      <c r="O318" s="16" t="s">
        <v>135</v>
      </c>
      <c r="P318" s="16" t="s">
        <v>136</v>
      </c>
      <c r="Q318" s="16" t="s">
        <v>137</v>
      </c>
      <c r="R318" s="16" t="s">
        <v>138</v>
      </c>
      <c r="S318" s="16" t="s">
        <v>139</v>
      </c>
      <c r="T318" s="16" t="s">
        <v>140</v>
      </c>
      <c r="U318" s="16" t="s">
        <v>141</v>
      </c>
      <c r="V318" s="16" t="s">
        <v>142</v>
      </c>
      <c r="W318" s="16" t="s">
        <v>143</v>
      </c>
      <c r="X318" s="16" t="s">
        <v>144</v>
      </c>
      <c r="Y318" s="16" t="s">
        <v>145</v>
      </c>
      <c r="Z318" s="16" t="s">
        <v>146</v>
      </c>
      <c r="AA318" s="16" t="s">
        <v>147</v>
      </c>
      <c r="AB318" s="16" t="s">
        <v>148</v>
      </c>
      <c r="AC318" s="16" t="s">
        <v>149</v>
      </c>
      <c r="AD318" s="16" t="s">
        <v>150</v>
      </c>
      <c r="AE318" s="16" t="s">
        <v>151</v>
      </c>
      <c r="AF318" s="16" t="s">
        <v>152</v>
      </c>
      <c r="AG318" s="16" t="s">
        <v>153</v>
      </c>
      <c r="AH318" s="16" t="s">
        <v>154</v>
      </c>
      <c r="AI318" s="16"/>
      <c r="AJ318" s="7"/>
    </row>
    <row r="319" spans="1:36" x14ac:dyDescent="0.35">
      <c r="A319" s="9" t="s">
        <v>289</v>
      </c>
      <c r="B319" s="38">
        <v>0.16666666666666599</v>
      </c>
      <c r="C319" s="38">
        <v>0</v>
      </c>
      <c r="D319" s="38">
        <v>0</v>
      </c>
      <c r="E319" s="38">
        <v>0.66666666666666596</v>
      </c>
      <c r="F319" s="38">
        <v>0</v>
      </c>
      <c r="G319" s="38">
        <v>1</v>
      </c>
      <c r="H319" s="38">
        <v>0.55555555555555503</v>
      </c>
      <c r="I319" s="38">
        <v>1</v>
      </c>
      <c r="J319" s="38">
        <v>0.5</v>
      </c>
      <c r="K319" s="38">
        <v>0</v>
      </c>
      <c r="L319" s="38">
        <v>0</v>
      </c>
      <c r="M319" s="38">
        <v>0.2</v>
      </c>
      <c r="N319" s="38">
        <v>1</v>
      </c>
      <c r="O319" s="38">
        <v>0</v>
      </c>
      <c r="P319" s="38">
        <v>0</v>
      </c>
      <c r="Q319" s="38">
        <v>0.4</v>
      </c>
      <c r="R319" s="38">
        <v>1</v>
      </c>
      <c r="S319" s="38">
        <v>1</v>
      </c>
      <c r="T319" s="38">
        <v>1</v>
      </c>
      <c r="U319" s="38">
        <v>1</v>
      </c>
      <c r="V319" s="38">
        <v>1</v>
      </c>
      <c r="W319" s="38">
        <v>0</v>
      </c>
      <c r="X319" s="38">
        <v>1</v>
      </c>
      <c r="Y319" s="38">
        <v>1</v>
      </c>
      <c r="Z319" s="38">
        <v>1</v>
      </c>
      <c r="AA319" s="38">
        <v>1</v>
      </c>
      <c r="AB319" s="38">
        <v>1</v>
      </c>
      <c r="AC319" s="38">
        <v>1</v>
      </c>
      <c r="AD319" s="38">
        <v>1</v>
      </c>
      <c r="AE319" s="38">
        <v>1</v>
      </c>
      <c r="AF319" s="38">
        <v>1</v>
      </c>
      <c r="AG319" s="38">
        <v>1</v>
      </c>
      <c r="AH319" s="38">
        <v>0.19565217391304299</v>
      </c>
      <c r="AI319" s="38" t="s">
        <v>195</v>
      </c>
      <c r="AJ319" s="7"/>
    </row>
    <row r="320" spans="1:36" x14ac:dyDescent="0.35">
      <c r="AJ320" s="7"/>
    </row>
    <row r="321" spans="1:36" x14ac:dyDescent="0.35">
      <c r="A321" s="17" t="s">
        <v>207</v>
      </c>
      <c r="B321" s="17"/>
      <c r="C321" s="18" t="s">
        <v>122</v>
      </c>
      <c r="D321" s="18" t="s">
        <v>123</v>
      </c>
      <c r="E321" s="18" t="s">
        <v>124</v>
      </c>
      <c r="F321" s="18" t="s">
        <v>125</v>
      </c>
      <c r="G321" s="18" t="s">
        <v>126</v>
      </c>
      <c r="H321" s="18" t="s">
        <v>127</v>
      </c>
      <c r="I321" s="18" t="s">
        <v>128</v>
      </c>
      <c r="J321" s="18" t="s">
        <v>129</v>
      </c>
      <c r="K321" s="18" t="s">
        <v>130</v>
      </c>
      <c r="L321" s="18" t="s">
        <v>131</v>
      </c>
      <c r="M321" s="18" t="s">
        <v>132</v>
      </c>
      <c r="N321" s="18" t="s">
        <v>133</v>
      </c>
      <c r="O321" s="18" t="s">
        <v>134</v>
      </c>
      <c r="P321" s="18" t="s">
        <v>135</v>
      </c>
      <c r="Q321" s="18" t="s">
        <v>136</v>
      </c>
      <c r="R321" s="18" t="s">
        <v>137</v>
      </c>
      <c r="S321" s="18" t="s">
        <v>138</v>
      </c>
      <c r="T321" s="18" t="s">
        <v>139</v>
      </c>
      <c r="U321" s="18" t="s">
        <v>140</v>
      </c>
      <c r="V321" s="18" t="s">
        <v>141</v>
      </c>
      <c r="W321" s="18" t="s">
        <v>142</v>
      </c>
      <c r="X321" s="18" t="s">
        <v>143</v>
      </c>
      <c r="Y321" s="18" t="s">
        <v>144</v>
      </c>
      <c r="Z321" s="18" t="s">
        <v>145</v>
      </c>
      <c r="AA321" s="18" t="s">
        <v>146</v>
      </c>
      <c r="AB321" s="18" t="s">
        <v>147</v>
      </c>
      <c r="AC321" s="18" t="s">
        <v>148</v>
      </c>
      <c r="AD321" s="18" t="s">
        <v>149</v>
      </c>
      <c r="AE321" s="18" t="s">
        <v>150</v>
      </c>
      <c r="AF321" s="18" t="s">
        <v>151</v>
      </c>
      <c r="AG321" s="18" t="s">
        <v>152</v>
      </c>
      <c r="AH321" s="18" t="s">
        <v>153</v>
      </c>
      <c r="AI321" s="18" t="s">
        <v>154</v>
      </c>
      <c r="AJ321" s="7"/>
    </row>
    <row r="322" spans="1:36" x14ac:dyDescent="0.35">
      <c r="A322" s="17" t="s">
        <v>208</v>
      </c>
      <c r="B322" s="17"/>
      <c r="C322" s="19">
        <f>COUNTIFS(B$4:B$63,B319,$AI$4:$AI$63,"YES")</f>
        <v>0</v>
      </c>
      <c r="D322" s="19">
        <f>COUNTIFS(C$4:C$63,C319,$AI$4:$AI$63,"YES")</f>
        <v>0</v>
      </c>
      <c r="E322" s="19">
        <f t="shared" ref="E322:AJ322" si="64">COUNTIFS(D$4:D$63,D319,$AI$4:$AI$63,"YES")</f>
        <v>0</v>
      </c>
      <c r="F322" s="19">
        <f t="shared" si="64"/>
        <v>2</v>
      </c>
      <c r="G322" s="19">
        <f t="shared" si="64"/>
        <v>2</v>
      </c>
      <c r="H322" s="19">
        <f t="shared" si="64"/>
        <v>4</v>
      </c>
      <c r="I322" s="19">
        <f t="shared" si="64"/>
        <v>4</v>
      </c>
      <c r="J322" s="19">
        <f t="shared" si="64"/>
        <v>4</v>
      </c>
      <c r="K322" s="19">
        <f t="shared" si="64"/>
        <v>4</v>
      </c>
      <c r="L322" s="19">
        <f t="shared" si="64"/>
        <v>2</v>
      </c>
      <c r="M322" s="19">
        <f t="shared" si="64"/>
        <v>4</v>
      </c>
      <c r="N322" s="19">
        <f t="shared" si="64"/>
        <v>3</v>
      </c>
      <c r="O322" s="19">
        <f t="shared" si="64"/>
        <v>4</v>
      </c>
      <c r="P322" s="19">
        <f t="shared" si="64"/>
        <v>4</v>
      </c>
      <c r="Q322" s="19">
        <f t="shared" si="64"/>
        <v>1</v>
      </c>
      <c r="R322" s="19">
        <f t="shared" si="64"/>
        <v>3</v>
      </c>
      <c r="S322" s="19">
        <f t="shared" si="64"/>
        <v>4</v>
      </c>
      <c r="T322" s="19">
        <f t="shared" si="64"/>
        <v>4</v>
      </c>
      <c r="U322" s="19">
        <f t="shared" si="64"/>
        <v>4</v>
      </c>
      <c r="V322" s="19">
        <f t="shared" si="64"/>
        <v>4</v>
      </c>
      <c r="W322" s="19">
        <f t="shared" si="64"/>
        <v>4</v>
      </c>
      <c r="X322" s="19">
        <f t="shared" si="64"/>
        <v>4</v>
      </c>
      <c r="Y322" s="19">
        <f t="shared" si="64"/>
        <v>4</v>
      </c>
      <c r="Z322" s="19">
        <f t="shared" si="64"/>
        <v>4</v>
      </c>
      <c r="AA322" s="19">
        <f t="shared" si="64"/>
        <v>4</v>
      </c>
      <c r="AB322" s="19">
        <f t="shared" si="64"/>
        <v>0</v>
      </c>
      <c r="AC322" s="19">
        <f t="shared" si="64"/>
        <v>4</v>
      </c>
      <c r="AD322" s="19">
        <f t="shared" si="64"/>
        <v>4</v>
      </c>
      <c r="AE322" s="19">
        <f t="shared" si="64"/>
        <v>4</v>
      </c>
      <c r="AF322" s="19">
        <f t="shared" si="64"/>
        <v>4</v>
      </c>
      <c r="AG322" s="19">
        <f t="shared" si="64"/>
        <v>4</v>
      </c>
      <c r="AH322" s="19">
        <f t="shared" si="64"/>
        <v>4</v>
      </c>
      <c r="AI322" s="19">
        <f t="shared" si="64"/>
        <v>1</v>
      </c>
      <c r="AJ322" s="20"/>
    </row>
    <row r="323" spans="1:36" x14ac:dyDescent="0.35">
      <c r="A323" s="17" t="s">
        <v>209</v>
      </c>
      <c r="B323" s="17"/>
      <c r="C323" s="19">
        <f>COUNTIFS(B$4:B$63,B319,$AI$4:$AI$63,"NO")</f>
        <v>8</v>
      </c>
      <c r="D323" s="19">
        <f t="shared" ref="D323:AI323" si="65">COUNTIFS(C$4:C$63,C319,$AI$4:$AI$63,"NO")</f>
        <v>15</v>
      </c>
      <c r="E323" s="19">
        <f t="shared" si="65"/>
        <v>15</v>
      </c>
      <c r="F323" s="19">
        <f t="shared" si="65"/>
        <v>31</v>
      </c>
      <c r="G323" s="19">
        <f t="shared" si="65"/>
        <v>34</v>
      </c>
      <c r="H323" s="19">
        <f t="shared" si="65"/>
        <v>45</v>
      </c>
      <c r="I323" s="19">
        <f t="shared" si="65"/>
        <v>47</v>
      </c>
      <c r="J323" s="19">
        <f t="shared" si="65"/>
        <v>45</v>
      </c>
      <c r="K323" s="19">
        <f t="shared" si="65"/>
        <v>28</v>
      </c>
      <c r="L323" s="19">
        <f t="shared" si="65"/>
        <v>39</v>
      </c>
      <c r="M323" s="19">
        <f t="shared" si="65"/>
        <v>44</v>
      </c>
      <c r="N323" s="19">
        <f t="shared" si="65"/>
        <v>31</v>
      </c>
      <c r="O323" s="19">
        <f t="shared" si="65"/>
        <v>44</v>
      </c>
      <c r="P323" s="19">
        <f t="shared" si="65"/>
        <v>42</v>
      </c>
      <c r="Q323" s="19">
        <f t="shared" si="65"/>
        <v>41</v>
      </c>
      <c r="R323" s="19">
        <f t="shared" si="65"/>
        <v>38</v>
      </c>
      <c r="S323" s="19">
        <f t="shared" si="65"/>
        <v>49</v>
      </c>
      <c r="T323" s="19">
        <f t="shared" si="65"/>
        <v>41</v>
      </c>
      <c r="U323" s="19">
        <f t="shared" si="65"/>
        <v>49</v>
      </c>
      <c r="V323" s="19">
        <f t="shared" si="65"/>
        <v>56</v>
      </c>
      <c r="W323" s="19">
        <f t="shared" si="65"/>
        <v>56</v>
      </c>
      <c r="X323" s="19">
        <f t="shared" si="65"/>
        <v>43</v>
      </c>
      <c r="Y323" s="19">
        <f t="shared" si="65"/>
        <v>56</v>
      </c>
      <c r="Z323" s="19">
        <f t="shared" si="65"/>
        <v>50</v>
      </c>
      <c r="AA323" s="19">
        <f t="shared" si="65"/>
        <v>45</v>
      </c>
      <c r="AB323" s="19">
        <f t="shared" si="65"/>
        <v>25</v>
      </c>
      <c r="AC323" s="19">
        <f t="shared" si="65"/>
        <v>56</v>
      </c>
      <c r="AD323" s="19">
        <f t="shared" si="65"/>
        <v>56</v>
      </c>
      <c r="AE323" s="19">
        <f t="shared" si="65"/>
        <v>56</v>
      </c>
      <c r="AF323" s="19">
        <f t="shared" si="65"/>
        <v>56</v>
      </c>
      <c r="AG323" s="19">
        <f t="shared" si="65"/>
        <v>47</v>
      </c>
      <c r="AH323" s="19">
        <f t="shared" si="65"/>
        <v>56</v>
      </c>
      <c r="AI323" s="19">
        <f t="shared" si="65"/>
        <v>30</v>
      </c>
      <c r="AJ323" s="20"/>
    </row>
    <row r="324" spans="1:36" x14ac:dyDescent="0.35">
      <c r="A324" s="17" t="s">
        <v>210</v>
      </c>
      <c r="B324" s="18" t="s">
        <v>208</v>
      </c>
      <c r="C324" s="19">
        <f>C322/$B$108</f>
        <v>0</v>
      </c>
      <c r="D324" s="19">
        <f t="shared" ref="D324:AI324" si="66">D322/$B$108</f>
        <v>0</v>
      </c>
      <c r="E324" s="19">
        <f t="shared" si="66"/>
        <v>0</v>
      </c>
      <c r="F324" s="19">
        <f t="shared" si="66"/>
        <v>30</v>
      </c>
      <c r="G324" s="19">
        <f t="shared" si="66"/>
        <v>30</v>
      </c>
      <c r="H324" s="19">
        <f t="shared" si="66"/>
        <v>60</v>
      </c>
      <c r="I324" s="19">
        <f t="shared" si="66"/>
        <v>60</v>
      </c>
      <c r="J324" s="19">
        <f t="shared" si="66"/>
        <v>60</v>
      </c>
      <c r="K324" s="19">
        <f t="shared" si="66"/>
        <v>60</v>
      </c>
      <c r="L324" s="19">
        <f t="shared" si="66"/>
        <v>30</v>
      </c>
      <c r="M324" s="19">
        <f t="shared" si="66"/>
        <v>60</v>
      </c>
      <c r="N324" s="19">
        <f t="shared" si="66"/>
        <v>45</v>
      </c>
      <c r="O324" s="19">
        <f t="shared" si="66"/>
        <v>60</v>
      </c>
      <c r="P324" s="19">
        <f t="shared" si="66"/>
        <v>60</v>
      </c>
      <c r="Q324" s="19">
        <f t="shared" si="66"/>
        <v>15</v>
      </c>
      <c r="R324" s="19">
        <f t="shared" si="66"/>
        <v>45</v>
      </c>
      <c r="S324" s="19">
        <f t="shared" si="66"/>
        <v>60</v>
      </c>
      <c r="T324" s="19">
        <f t="shared" si="66"/>
        <v>60</v>
      </c>
      <c r="U324" s="19">
        <f t="shared" si="66"/>
        <v>60</v>
      </c>
      <c r="V324" s="19">
        <f t="shared" si="66"/>
        <v>60</v>
      </c>
      <c r="W324" s="19">
        <f t="shared" si="66"/>
        <v>60</v>
      </c>
      <c r="X324" s="19">
        <f t="shared" si="66"/>
        <v>60</v>
      </c>
      <c r="Y324" s="19">
        <f t="shared" si="66"/>
        <v>60</v>
      </c>
      <c r="Z324" s="19">
        <f t="shared" si="66"/>
        <v>60</v>
      </c>
      <c r="AA324" s="19">
        <f t="shared" si="66"/>
        <v>60</v>
      </c>
      <c r="AB324" s="19">
        <f t="shared" si="66"/>
        <v>0</v>
      </c>
      <c r="AC324" s="19">
        <f t="shared" si="66"/>
        <v>60</v>
      </c>
      <c r="AD324" s="19">
        <f t="shared" si="66"/>
        <v>60</v>
      </c>
      <c r="AE324" s="19">
        <f t="shared" si="66"/>
        <v>60</v>
      </c>
      <c r="AF324" s="19">
        <f t="shared" si="66"/>
        <v>60</v>
      </c>
      <c r="AG324" s="19">
        <f t="shared" si="66"/>
        <v>60</v>
      </c>
      <c r="AH324" s="19">
        <f t="shared" si="66"/>
        <v>60</v>
      </c>
      <c r="AI324" s="19">
        <f t="shared" si="66"/>
        <v>15</v>
      </c>
      <c r="AJ324" s="19">
        <f>C324*D324*E324*F324*G324*H324*I324*J324*K324*L324*M324*N324*O324*P324*Q324*R324*S324*T324*U324*V324*W324*X324*Y324*Z324*AA324*AB324*AC324*AD324*AE324*AF324*AG324*AH324*AI324</f>
        <v>0</v>
      </c>
    </row>
    <row r="325" spans="1:36" x14ac:dyDescent="0.35">
      <c r="A325" s="17"/>
      <c r="B325" s="18" t="s">
        <v>209</v>
      </c>
      <c r="C325" s="19">
        <f>C323/$C$108</f>
        <v>8.5714285714285712</v>
      </c>
      <c r="D325" s="19">
        <f t="shared" ref="D325:AI325" si="67">D323/$C$108</f>
        <v>16.071428571428569</v>
      </c>
      <c r="E325" s="19">
        <f t="shared" si="67"/>
        <v>16.071428571428569</v>
      </c>
      <c r="F325" s="19">
        <f t="shared" si="67"/>
        <v>33.214285714285715</v>
      </c>
      <c r="G325" s="19">
        <f t="shared" si="67"/>
        <v>36.428571428571431</v>
      </c>
      <c r="H325" s="19">
        <f t="shared" si="67"/>
        <v>48.214285714285715</v>
      </c>
      <c r="I325" s="19">
        <f t="shared" si="67"/>
        <v>50.357142857142854</v>
      </c>
      <c r="J325" s="19">
        <f t="shared" si="67"/>
        <v>48.214285714285715</v>
      </c>
      <c r="K325" s="19">
        <f t="shared" si="67"/>
        <v>30</v>
      </c>
      <c r="L325" s="19">
        <f t="shared" si="67"/>
        <v>41.785714285714285</v>
      </c>
      <c r="M325" s="19">
        <f t="shared" si="67"/>
        <v>47.142857142857139</v>
      </c>
      <c r="N325" s="19">
        <f t="shared" si="67"/>
        <v>33.214285714285715</v>
      </c>
      <c r="O325" s="19">
        <f t="shared" si="67"/>
        <v>47.142857142857139</v>
      </c>
      <c r="P325" s="19">
        <f t="shared" si="67"/>
        <v>45</v>
      </c>
      <c r="Q325" s="19">
        <f t="shared" si="67"/>
        <v>43.928571428571431</v>
      </c>
      <c r="R325" s="19">
        <f t="shared" si="67"/>
        <v>40.714285714285715</v>
      </c>
      <c r="S325" s="19">
        <f t="shared" si="67"/>
        <v>52.5</v>
      </c>
      <c r="T325" s="19">
        <f t="shared" si="67"/>
        <v>43.928571428571431</v>
      </c>
      <c r="U325" s="19">
        <f t="shared" si="67"/>
        <v>52.5</v>
      </c>
      <c r="V325" s="19">
        <f t="shared" si="67"/>
        <v>60</v>
      </c>
      <c r="W325" s="19">
        <f t="shared" si="67"/>
        <v>60</v>
      </c>
      <c r="X325" s="19">
        <f t="shared" si="67"/>
        <v>46.071428571428569</v>
      </c>
      <c r="Y325" s="19">
        <f t="shared" si="67"/>
        <v>60</v>
      </c>
      <c r="Z325" s="19">
        <f t="shared" si="67"/>
        <v>53.571428571428569</v>
      </c>
      <c r="AA325" s="19">
        <f t="shared" si="67"/>
        <v>48.214285714285715</v>
      </c>
      <c r="AB325" s="19">
        <f t="shared" si="67"/>
        <v>26.785714285714285</v>
      </c>
      <c r="AC325" s="19">
        <f t="shared" si="67"/>
        <v>60</v>
      </c>
      <c r="AD325" s="19">
        <f t="shared" si="67"/>
        <v>60</v>
      </c>
      <c r="AE325" s="19">
        <f t="shared" si="67"/>
        <v>60</v>
      </c>
      <c r="AF325" s="19">
        <f t="shared" si="67"/>
        <v>60</v>
      </c>
      <c r="AG325" s="19">
        <f t="shared" si="67"/>
        <v>50.357142857142854</v>
      </c>
      <c r="AH325" s="19">
        <f t="shared" si="67"/>
        <v>60</v>
      </c>
      <c r="AI325" s="19">
        <f t="shared" si="67"/>
        <v>32.142857142857139</v>
      </c>
      <c r="AJ325" s="19">
        <f>C325*D325*E325*F325*G325*H325*I325*J325*K325*L325*M325*N325*O325*P325*Q325*R325*S325*T325*U325*V325*W325*X325*Y325*Z325*AA325*AB325*AC325*AD325*AE325*AF325*AG325*AH325*AI325</f>
        <v>2.4502992645696498E+53</v>
      </c>
    </row>
    <row r="326" spans="1:36" x14ac:dyDescent="0.35">
      <c r="A326" s="21"/>
      <c r="B326" s="21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20"/>
    </row>
    <row r="327" spans="1:36" x14ac:dyDescent="0.35">
      <c r="A327" s="22" t="s">
        <v>211</v>
      </c>
      <c r="B327" s="23"/>
      <c r="C327" s="24" t="s">
        <v>212</v>
      </c>
      <c r="D327" s="20"/>
      <c r="E327" s="20"/>
      <c r="F327" s="20"/>
      <c r="G327" s="20"/>
      <c r="H327" s="20"/>
      <c r="I327" s="20"/>
      <c r="J327" s="20"/>
      <c r="K327" s="20"/>
      <c r="L327" s="2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20"/>
    </row>
    <row r="328" spans="1:36" x14ac:dyDescent="0.35">
      <c r="A328" s="25" t="s">
        <v>208</v>
      </c>
      <c r="B328" s="26">
        <f>AJ324*$B$108</f>
        <v>0</v>
      </c>
      <c r="C328" s="27" t="str">
        <f>IF(B328&gt;B329,A328,A329)</f>
        <v>No</v>
      </c>
      <c r="D328" s="20"/>
      <c r="E328" s="20"/>
      <c r="F328" s="20"/>
      <c r="G328" s="20"/>
      <c r="H328" s="20"/>
      <c r="I328" s="20"/>
      <c r="J328" s="20"/>
      <c r="K328" s="20"/>
      <c r="L328" s="2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20"/>
    </row>
    <row r="329" spans="1:36" x14ac:dyDescent="0.35">
      <c r="A329" s="25" t="s">
        <v>209</v>
      </c>
      <c r="B329" s="26">
        <f>AJ325*$C$108</f>
        <v>2.2869459802650067E+53</v>
      </c>
      <c r="C329" s="28"/>
      <c r="D329" s="20"/>
      <c r="E329" s="20"/>
      <c r="F329" s="20"/>
      <c r="G329" s="20"/>
      <c r="H329" s="20"/>
      <c r="I329" s="20"/>
      <c r="J329" s="20"/>
      <c r="K329" s="20"/>
      <c r="L329" s="2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20"/>
    </row>
    <row r="331" spans="1:36" x14ac:dyDescent="0.35">
      <c r="A331" s="15"/>
      <c r="B331" s="16" t="s">
        <v>122</v>
      </c>
      <c r="C331" s="16" t="s">
        <v>123</v>
      </c>
      <c r="D331" s="16" t="s">
        <v>124</v>
      </c>
      <c r="E331" s="16" t="s">
        <v>125</v>
      </c>
      <c r="F331" s="16" t="s">
        <v>126</v>
      </c>
      <c r="G331" s="16" t="s">
        <v>127</v>
      </c>
      <c r="H331" s="16" t="s">
        <v>128</v>
      </c>
      <c r="I331" s="16" t="s">
        <v>129</v>
      </c>
      <c r="J331" s="16" t="s">
        <v>130</v>
      </c>
      <c r="K331" s="16" t="s">
        <v>131</v>
      </c>
      <c r="L331" s="16" t="s">
        <v>132</v>
      </c>
      <c r="M331" s="16" t="s">
        <v>133</v>
      </c>
      <c r="N331" s="16" t="s">
        <v>134</v>
      </c>
      <c r="O331" s="16" t="s">
        <v>135</v>
      </c>
      <c r="P331" s="16" t="s">
        <v>136</v>
      </c>
      <c r="Q331" s="16" t="s">
        <v>137</v>
      </c>
      <c r="R331" s="16" t="s">
        <v>138</v>
      </c>
      <c r="S331" s="16" t="s">
        <v>139</v>
      </c>
      <c r="T331" s="16" t="s">
        <v>140</v>
      </c>
      <c r="U331" s="16" t="s">
        <v>141</v>
      </c>
      <c r="V331" s="16" t="s">
        <v>142</v>
      </c>
      <c r="W331" s="16" t="s">
        <v>143</v>
      </c>
      <c r="X331" s="16" t="s">
        <v>144</v>
      </c>
      <c r="Y331" s="16" t="s">
        <v>145</v>
      </c>
      <c r="Z331" s="16" t="s">
        <v>146</v>
      </c>
      <c r="AA331" s="16" t="s">
        <v>147</v>
      </c>
      <c r="AB331" s="16" t="s">
        <v>148</v>
      </c>
      <c r="AC331" s="16" t="s">
        <v>149</v>
      </c>
      <c r="AD331" s="16" t="s">
        <v>150</v>
      </c>
      <c r="AE331" s="16" t="s">
        <v>151</v>
      </c>
      <c r="AF331" s="16" t="s">
        <v>152</v>
      </c>
      <c r="AG331" s="16" t="s">
        <v>153</v>
      </c>
      <c r="AH331" s="16" t="s">
        <v>154</v>
      </c>
      <c r="AI331" s="16"/>
      <c r="AJ331" s="7"/>
    </row>
    <row r="332" spans="1:36" x14ac:dyDescent="0.35">
      <c r="A332" s="9" t="s">
        <v>290</v>
      </c>
      <c r="B332" s="38">
        <v>0.66666666666666596</v>
      </c>
      <c r="C332" s="38">
        <v>0.5</v>
      </c>
      <c r="D332" s="38">
        <v>0.23899371069182301</v>
      </c>
      <c r="E332" s="38">
        <v>0.66666666666666596</v>
      </c>
      <c r="F332" s="38">
        <v>0</v>
      </c>
      <c r="G332" s="38">
        <v>1</v>
      </c>
      <c r="H332" s="38">
        <v>0.55555555555555503</v>
      </c>
      <c r="I332" s="38">
        <v>1</v>
      </c>
      <c r="J332" s="38">
        <v>0.5</v>
      </c>
      <c r="K332" s="38">
        <v>0</v>
      </c>
      <c r="L332" s="38">
        <v>0.5</v>
      </c>
      <c r="M332" s="38">
        <v>0.158904109589041</v>
      </c>
      <c r="N332" s="38">
        <v>1</v>
      </c>
      <c r="O332" s="38">
        <v>0</v>
      </c>
      <c r="P332" s="38">
        <v>0</v>
      </c>
      <c r="Q332" s="38">
        <v>0.4</v>
      </c>
      <c r="R332" s="38">
        <v>1</v>
      </c>
      <c r="S332" s="38">
        <v>1</v>
      </c>
      <c r="T332" s="38">
        <v>1</v>
      </c>
      <c r="U332" s="38">
        <v>1</v>
      </c>
      <c r="V332" s="38">
        <v>1</v>
      </c>
      <c r="W332" s="38">
        <v>0</v>
      </c>
      <c r="X332" s="38">
        <v>1</v>
      </c>
      <c r="Y332" s="38">
        <v>1</v>
      </c>
      <c r="Z332" s="38">
        <v>1</v>
      </c>
      <c r="AA332" s="38">
        <v>0</v>
      </c>
      <c r="AB332" s="38">
        <v>1</v>
      </c>
      <c r="AC332" s="38">
        <v>1</v>
      </c>
      <c r="AD332" s="38">
        <v>1</v>
      </c>
      <c r="AE332" s="38">
        <v>1</v>
      </c>
      <c r="AF332" s="38">
        <v>1</v>
      </c>
      <c r="AG332" s="38">
        <v>1</v>
      </c>
      <c r="AH332" s="38">
        <v>0.19565217391304299</v>
      </c>
      <c r="AI332" s="38" t="s">
        <v>195</v>
      </c>
      <c r="AJ332" s="7"/>
    </row>
    <row r="333" spans="1:36" x14ac:dyDescent="0.35">
      <c r="AJ333" s="7"/>
    </row>
    <row r="334" spans="1:36" x14ac:dyDescent="0.35">
      <c r="A334" s="17" t="s">
        <v>207</v>
      </c>
      <c r="B334" s="17"/>
      <c r="C334" s="18" t="s">
        <v>122</v>
      </c>
      <c r="D334" s="18" t="s">
        <v>123</v>
      </c>
      <c r="E334" s="18" t="s">
        <v>124</v>
      </c>
      <c r="F334" s="18" t="s">
        <v>125</v>
      </c>
      <c r="G334" s="18" t="s">
        <v>126</v>
      </c>
      <c r="H334" s="18" t="s">
        <v>127</v>
      </c>
      <c r="I334" s="18" t="s">
        <v>128</v>
      </c>
      <c r="J334" s="18" t="s">
        <v>129</v>
      </c>
      <c r="K334" s="18" t="s">
        <v>130</v>
      </c>
      <c r="L334" s="18" t="s">
        <v>131</v>
      </c>
      <c r="M334" s="18" t="s">
        <v>132</v>
      </c>
      <c r="N334" s="18" t="s">
        <v>133</v>
      </c>
      <c r="O334" s="18" t="s">
        <v>134</v>
      </c>
      <c r="P334" s="18" t="s">
        <v>135</v>
      </c>
      <c r="Q334" s="18" t="s">
        <v>136</v>
      </c>
      <c r="R334" s="18" t="s">
        <v>137</v>
      </c>
      <c r="S334" s="18" t="s">
        <v>138</v>
      </c>
      <c r="T334" s="18" t="s">
        <v>139</v>
      </c>
      <c r="U334" s="18" t="s">
        <v>140</v>
      </c>
      <c r="V334" s="18" t="s">
        <v>141</v>
      </c>
      <c r="W334" s="18" t="s">
        <v>142</v>
      </c>
      <c r="X334" s="18" t="s">
        <v>143</v>
      </c>
      <c r="Y334" s="18" t="s">
        <v>144</v>
      </c>
      <c r="Z334" s="18" t="s">
        <v>145</v>
      </c>
      <c r="AA334" s="18" t="s">
        <v>146</v>
      </c>
      <c r="AB334" s="18" t="s">
        <v>147</v>
      </c>
      <c r="AC334" s="18" t="s">
        <v>148</v>
      </c>
      <c r="AD334" s="18" t="s">
        <v>149</v>
      </c>
      <c r="AE334" s="18" t="s">
        <v>150</v>
      </c>
      <c r="AF334" s="18" t="s">
        <v>151</v>
      </c>
      <c r="AG334" s="18" t="s">
        <v>152</v>
      </c>
      <c r="AH334" s="18" t="s">
        <v>153</v>
      </c>
      <c r="AI334" s="18" t="s">
        <v>154</v>
      </c>
      <c r="AJ334" s="7"/>
    </row>
    <row r="335" spans="1:36" x14ac:dyDescent="0.35">
      <c r="A335" s="17" t="s">
        <v>208</v>
      </c>
      <c r="B335" s="17"/>
      <c r="C335" s="19">
        <f>COUNTIFS(B$4:B$63,B332,$AI$4:$AI$63,"YES")</f>
        <v>0</v>
      </c>
      <c r="D335" s="19">
        <f>COUNTIFS(C$4:C$63,C332,$AI$4:$AI$63,"YES")</f>
        <v>1</v>
      </c>
      <c r="E335" s="19">
        <f t="shared" ref="E335:AJ335" si="68">COUNTIFS(D$4:D$63,D332,$AI$4:$AI$63,"YES")</f>
        <v>1</v>
      </c>
      <c r="F335" s="19">
        <f t="shared" si="68"/>
        <v>2</v>
      </c>
      <c r="G335" s="19">
        <f t="shared" si="68"/>
        <v>2</v>
      </c>
      <c r="H335" s="19">
        <f t="shared" si="68"/>
        <v>4</v>
      </c>
      <c r="I335" s="19">
        <f t="shared" si="68"/>
        <v>4</v>
      </c>
      <c r="J335" s="19">
        <f t="shared" si="68"/>
        <v>4</v>
      </c>
      <c r="K335" s="19">
        <f t="shared" si="68"/>
        <v>4</v>
      </c>
      <c r="L335" s="19">
        <f t="shared" si="68"/>
        <v>2</v>
      </c>
      <c r="M335" s="19">
        <f t="shared" si="68"/>
        <v>0</v>
      </c>
      <c r="N335" s="19">
        <f t="shared" si="68"/>
        <v>0</v>
      </c>
      <c r="O335" s="19">
        <f t="shared" si="68"/>
        <v>4</v>
      </c>
      <c r="P335" s="19">
        <f t="shared" si="68"/>
        <v>4</v>
      </c>
      <c r="Q335" s="19">
        <f t="shared" si="68"/>
        <v>1</v>
      </c>
      <c r="R335" s="19">
        <f t="shared" si="68"/>
        <v>3</v>
      </c>
      <c r="S335" s="19">
        <f t="shared" si="68"/>
        <v>4</v>
      </c>
      <c r="T335" s="19">
        <f t="shared" si="68"/>
        <v>4</v>
      </c>
      <c r="U335" s="19">
        <f t="shared" si="68"/>
        <v>4</v>
      </c>
      <c r="V335" s="19">
        <f t="shared" si="68"/>
        <v>4</v>
      </c>
      <c r="W335" s="19">
        <f t="shared" si="68"/>
        <v>4</v>
      </c>
      <c r="X335" s="19">
        <f t="shared" si="68"/>
        <v>4</v>
      </c>
      <c r="Y335" s="19">
        <f t="shared" si="68"/>
        <v>4</v>
      </c>
      <c r="Z335" s="19">
        <f t="shared" si="68"/>
        <v>4</v>
      </c>
      <c r="AA335" s="19">
        <f t="shared" si="68"/>
        <v>4</v>
      </c>
      <c r="AB335" s="19">
        <f t="shared" si="68"/>
        <v>4</v>
      </c>
      <c r="AC335" s="19">
        <f t="shared" si="68"/>
        <v>4</v>
      </c>
      <c r="AD335" s="19">
        <f t="shared" si="68"/>
        <v>4</v>
      </c>
      <c r="AE335" s="19">
        <f t="shared" si="68"/>
        <v>4</v>
      </c>
      <c r="AF335" s="19">
        <f t="shared" si="68"/>
        <v>4</v>
      </c>
      <c r="AG335" s="19">
        <f t="shared" si="68"/>
        <v>4</v>
      </c>
      <c r="AH335" s="19">
        <f t="shared" si="68"/>
        <v>4</v>
      </c>
      <c r="AI335" s="19">
        <f t="shared" si="68"/>
        <v>1</v>
      </c>
      <c r="AJ335" s="20"/>
    </row>
    <row r="336" spans="1:36" x14ac:dyDescent="0.35">
      <c r="A336" s="17" t="s">
        <v>209</v>
      </c>
      <c r="B336" s="17"/>
      <c r="C336" s="19">
        <f>COUNTIFS(B$4:B$63,B332,$AI$4:$AI$63,"NO")</f>
        <v>13</v>
      </c>
      <c r="D336" s="19">
        <f t="shared" ref="D336:AI336" si="69">COUNTIFS(C$4:C$63,C332,$AI$4:$AI$63,"NO")</f>
        <v>11</v>
      </c>
      <c r="E336" s="19">
        <f t="shared" si="69"/>
        <v>26</v>
      </c>
      <c r="F336" s="19">
        <f t="shared" si="69"/>
        <v>31</v>
      </c>
      <c r="G336" s="19">
        <f t="shared" si="69"/>
        <v>34</v>
      </c>
      <c r="H336" s="19">
        <f t="shared" si="69"/>
        <v>45</v>
      </c>
      <c r="I336" s="19">
        <f t="shared" si="69"/>
        <v>47</v>
      </c>
      <c r="J336" s="19">
        <f t="shared" si="69"/>
        <v>45</v>
      </c>
      <c r="K336" s="19">
        <f t="shared" si="69"/>
        <v>28</v>
      </c>
      <c r="L336" s="19">
        <f t="shared" si="69"/>
        <v>39</v>
      </c>
      <c r="M336" s="19">
        <f t="shared" si="69"/>
        <v>5</v>
      </c>
      <c r="N336" s="19">
        <f t="shared" si="69"/>
        <v>12</v>
      </c>
      <c r="O336" s="19">
        <f t="shared" si="69"/>
        <v>44</v>
      </c>
      <c r="P336" s="19">
        <f t="shared" si="69"/>
        <v>42</v>
      </c>
      <c r="Q336" s="19">
        <f t="shared" si="69"/>
        <v>41</v>
      </c>
      <c r="R336" s="19">
        <f t="shared" si="69"/>
        <v>38</v>
      </c>
      <c r="S336" s="19">
        <f t="shared" si="69"/>
        <v>49</v>
      </c>
      <c r="T336" s="19">
        <f t="shared" si="69"/>
        <v>41</v>
      </c>
      <c r="U336" s="19">
        <f t="shared" si="69"/>
        <v>49</v>
      </c>
      <c r="V336" s="19">
        <f t="shared" si="69"/>
        <v>56</v>
      </c>
      <c r="W336" s="19">
        <f t="shared" si="69"/>
        <v>56</v>
      </c>
      <c r="X336" s="19">
        <f t="shared" si="69"/>
        <v>43</v>
      </c>
      <c r="Y336" s="19">
        <f t="shared" si="69"/>
        <v>56</v>
      </c>
      <c r="Z336" s="19">
        <f t="shared" si="69"/>
        <v>50</v>
      </c>
      <c r="AA336" s="19">
        <f t="shared" si="69"/>
        <v>45</v>
      </c>
      <c r="AB336" s="19">
        <f t="shared" si="69"/>
        <v>25</v>
      </c>
      <c r="AC336" s="19">
        <f t="shared" si="69"/>
        <v>56</v>
      </c>
      <c r="AD336" s="19">
        <f t="shared" si="69"/>
        <v>56</v>
      </c>
      <c r="AE336" s="19">
        <f t="shared" si="69"/>
        <v>56</v>
      </c>
      <c r="AF336" s="19">
        <f t="shared" si="69"/>
        <v>56</v>
      </c>
      <c r="AG336" s="19">
        <f t="shared" si="69"/>
        <v>47</v>
      </c>
      <c r="AH336" s="19">
        <f t="shared" si="69"/>
        <v>56</v>
      </c>
      <c r="AI336" s="19">
        <f t="shared" si="69"/>
        <v>30</v>
      </c>
      <c r="AJ336" s="20"/>
    </row>
    <row r="337" spans="1:36" x14ac:dyDescent="0.35">
      <c r="A337" s="17" t="s">
        <v>210</v>
      </c>
      <c r="B337" s="18" t="s">
        <v>208</v>
      </c>
      <c r="C337" s="19">
        <f>C335/$B$108</f>
        <v>0</v>
      </c>
      <c r="D337" s="19">
        <f t="shared" ref="D337:AI337" si="70">D335/$B$108</f>
        <v>15</v>
      </c>
      <c r="E337" s="19">
        <f t="shared" si="70"/>
        <v>15</v>
      </c>
      <c r="F337" s="19">
        <f t="shared" si="70"/>
        <v>30</v>
      </c>
      <c r="G337" s="19">
        <f t="shared" si="70"/>
        <v>30</v>
      </c>
      <c r="H337" s="19">
        <f t="shared" si="70"/>
        <v>60</v>
      </c>
      <c r="I337" s="19">
        <f t="shared" si="70"/>
        <v>60</v>
      </c>
      <c r="J337" s="19">
        <f t="shared" si="70"/>
        <v>60</v>
      </c>
      <c r="K337" s="19">
        <f t="shared" si="70"/>
        <v>60</v>
      </c>
      <c r="L337" s="19">
        <f t="shared" si="70"/>
        <v>30</v>
      </c>
      <c r="M337" s="19">
        <f t="shared" si="70"/>
        <v>0</v>
      </c>
      <c r="N337" s="19">
        <f t="shared" si="70"/>
        <v>0</v>
      </c>
      <c r="O337" s="19">
        <f t="shared" si="70"/>
        <v>60</v>
      </c>
      <c r="P337" s="19">
        <f t="shared" si="70"/>
        <v>60</v>
      </c>
      <c r="Q337" s="19">
        <f t="shared" si="70"/>
        <v>15</v>
      </c>
      <c r="R337" s="19">
        <f t="shared" si="70"/>
        <v>45</v>
      </c>
      <c r="S337" s="19">
        <f t="shared" si="70"/>
        <v>60</v>
      </c>
      <c r="T337" s="19">
        <f t="shared" si="70"/>
        <v>60</v>
      </c>
      <c r="U337" s="19">
        <f t="shared" si="70"/>
        <v>60</v>
      </c>
      <c r="V337" s="19">
        <f t="shared" si="70"/>
        <v>60</v>
      </c>
      <c r="W337" s="19">
        <f t="shared" si="70"/>
        <v>60</v>
      </c>
      <c r="X337" s="19">
        <f t="shared" si="70"/>
        <v>60</v>
      </c>
      <c r="Y337" s="19">
        <f t="shared" si="70"/>
        <v>60</v>
      </c>
      <c r="Z337" s="19">
        <f t="shared" si="70"/>
        <v>60</v>
      </c>
      <c r="AA337" s="19">
        <f t="shared" si="70"/>
        <v>60</v>
      </c>
      <c r="AB337" s="19">
        <f t="shared" si="70"/>
        <v>60</v>
      </c>
      <c r="AC337" s="19">
        <f t="shared" si="70"/>
        <v>60</v>
      </c>
      <c r="AD337" s="19">
        <f t="shared" si="70"/>
        <v>60</v>
      </c>
      <c r="AE337" s="19">
        <f t="shared" si="70"/>
        <v>60</v>
      </c>
      <c r="AF337" s="19">
        <f t="shared" si="70"/>
        <v>60</v>
      </c>
      <c r="AG337" s="19">
        <f t="shared" si="70"/>
        <v>60</v>
      </c>
      <c r="AH337" s="19">
        <f t="shared" si="70"/>
        <v>60</v>
      </c>
      <c r="AI337" s="19">
        <f t="shared" si="70"/>
        <v>15</v>
      </c>
      <c r="AJ337" s="19">
        <f>C337*D337*E337*F337*G337*H337*I337*J337*K337*L337*M337*N337*O337*P337*Q337*R337*S337*T337*U337*V337*W337*X337*Y337*Z337*AA337*AB337*AC337*AD337*AE337*AF337*AG337*AH337*AI337</f>
        <v>0</v>
      </c>
    </row>
    <row r="338" spans="1:36" x14ac:dyDescent="0.35">
      <c r="A338" s="17"/>
      <c r="B338" s="18" t="s">
        <v>209</v>
      </c>
      <c r="C338" s="19">
        <f>C336/$C$108</f>
        <v>13.928571428571429</v>
      </c>
      <c r="D338" s="19">
        <f t="shared" ref="D338:AI338" si="71">D336/$C$108</f>
        <v>11.785714285714285</v>
      </c>
      <c r="E338" s="19">
        <f t="shared" si="71"/>
        <v>27.857142857142858</v>
      </c>
      <c r="F338" s="19">
        <f t="shared" si="71"/>
        <v>33.214285714285715</v>
      </c>
      <c r="G338" s="19">
        <f t="shared" si="71"/>
        <v>36.428571428571431</v>
      </c>
      <c r="H338" s="19">
        <f t="shared" si="71"/>
        <v>48.214285714285715</v>
      </c>
      <c r="I338" s="19">
        <f t="shared" si="71"/>
        <v>50.357142857142854</v>
      </c>
      <c r="J338" s="19">
        <f t="shared" si="71"/>
        <v>48.214285714285715</v>
      </c>
      <c r="K338" s="19">
        <f t="shared" si="71"/>
        <v>30</v>
      </c>
      <c r="L338" s="19">
        <f t="shared" si="71"/>
        <v>41.785714285714285</v>
      </c>
      <c r="M338" s="19">
        <f t="shared" si="71"/>
        <v>5.3571428571428568</v>
      </c>
      <c r="N338" s="19">
        <f t="shared" si="71"/>
        <v>12.857142857142858</v>
      </c>
      <c r="O338" s="19">
        <f t="shared" si="71"/>
        <v>47.142857142857139</v>
      </c>
      <c r="P338" s="19">
        <f t="shared" si="71"/>
        <v>45</v>
      </c>
      <c r="Q338" s="19">
        <f t="shared" si="71"/>
        <v>43.928571428571431</v>
      </c>
      <c r="R338" s="19">
        <f t="shared" si="71"/>
        <v>40.714285714285715</v>
      </c>
      <c r="S338" s="19">
        <f t="shared" si="71"/>
        <v>52.5</v>
      </c>
      <c r="T338" s="19">
        <f t="shared" si="71"/>
        <v>43.928571428571431</v>
      </c>
      <c r="U338" s="19">
        <f t="shared" si="71"/>
        <v>52.5</v>
      </c>
      <c r="V338" s="19">
        <f t="shared" si="71"/>
        <v>60</v>
      </c>
      <c r="W338" s="19">
        <f t="shared" si="71"/>
        <v>60</v>
      </c>
      <c r="X338" s="19">
        <f t="shared" si="71"/>
        <v>46.071428571428569</v>
      </c>
      <c r="Y338" s="19">
        <f t="shared" si="71"/>
        <v>60</v>
      </c>
      <c r="Z338" s="19">
        <f t="shared" si="71"/>
        <v>53.571428571428569</v>
      </c>
      <c r="AA338" s="19">
        <f t="shared" si="71"/>
        <v>48.214285714285715</v>
      </c>
      <c r="AB338" s="19">
        <f t="shared" si="71"/>
        <v>26.785714285714285</v>
      </c>
      <c r="AC338" s="19">
        <f t="shared" si="71"/>
        <v>60</v>
      </c>
      <c r="AD338" s="19">
        <f t="shared" si="71"/>
        <v>60</v>
      </c>
      <c r="AE338" s="19">
        <f t="shared" si="71"/>
        <v>60</v>
      </c>
      <c r="AF338" s="19">
        <f t="shared" si="71"/>
        <v>60</v>
      </c>
      <c r="AG338" s="19">
        <f t="shared" si="71"/>
        <v>50.357142857142854</v>
      </c>
      <c r="AH338" s="19">
        <f t="shared" si="71"/>
        <v>60</v>
      </c>
      <c r="AI338" s="19">
        <f t="shared" si="71"/>
        <v>32.142857142857139</v>
      </c>
      <c r="AJ338" s="19">
        <f>C338*D338*E338*F338*G338*H338*I338*J338*K338*L338*M338*N338*O338*P338*Q338*R338*S338*T338*U338*V338*W338*X338*Y338*Z338*AA338*AB338*AC338*AD338*AE338*AF338*AG338*AH338*AI338</f>
        <v>2.2263471812487681E+52</v>
      </c>
    </row>
    <row r="339" spans="1:36" x14ac:dyDescent="0.35">
      <c r="A339" s="21"/>
      <c r="B339" s="21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20"/>
    </row>
    <row r="340" spans="1:36" x14ac:dyDescent="0.35">
      <c r="A340" s="22" t="s">
        <v>211</v>
      </c>
      <c r="B340" s="23"/>
      <c r="C340" s="24" t="s">
        <v>212</v>
      </c>
      <c r="D340" s="20"/>
      <c r="E340" s="20"/>
      <c r="F340" s="20"/>
      <c r="G340" s="20"/>
      <c r="H340" s="20"/>
      <c r="I340" s="20"/>
      <c r="J340" s="20"/>
      <c r="K340" s="20"/>
      <c r="L340" s="2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20"/>
    </row>
    <row r="341" spans="1:36" x14ac:dyDescent="0.35">
      <c r="A341" s="25" t="s">
        <v>208</v>
      </c>
      <c r="B341" s="26">
        <f>AJ337*$B$108</f>
        <v>0</v>
      </c>
      <c r="C341" s="27" t="str">
        <f>IF(B341&gt;B342,A341,A342)</f>
        <v>No</v>
      </c>
      <c r="D341" s="20"/>
      <c r="E341" s="20"/>
      <c r="F341" s="20"/>
      <c r="G341" s="20"/>
      <c r="H341" s="20"/>
      <c r="I341" s="20"/>
      <c r="J341" s="20"/>
      <c r="K341" s="20"/>
      <c r="L341" s="2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20"/>
    </row>
    <row r="342" spans="1:36" x14ac:dyDescent="0.35">
      <c r="A342" s="25" t="s">
        <v>209</v>
      </c>
      <c r="B342" s="26">
        <f>AJ338*$C$108</f>
        <v>2.0779240358321836E+52</v>
      </c>
      <c r="C342" s="28"/>
      <c r="D342" s="20"/>
      <c r="E342" s="20"/>
      <c r="F342" s="20"/>
      <c r="G342" s="20"/>
      <c r="H342" s="20"/>
      <c r="I342" s="20"/>
      <c r="J342" s="20"/>
      <c r="K342" s="20"/>
      <c r="L342" s="2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20"/>
    </row>
    <row r="344" spans="1:36" x14ac:dyDescent="0.35">
      <c r="A344" s="15"/>
      <c r="B344" s="16" t="s">
        <v>122</v>
      </c>
      <c r="C344" s="16" t="s">
        <v>123</v>
      </c>
      <c r="D344" s="16" t="s">
        <v>124</v>
      </c>
      <c r="E344" s="16" t="s">
        <v>125</v>
      </c>
      <c r="F344" s="16" t="s">
        <v>126</v>
      </c>
      <c r="G344" s="16" t="s">
        <v>127</v>
      </c>
      <c r="H344" s="16" t="s">
        <v>128</v>
      </c>
      <c r="I344" s="16" t="s">
        <v>129</v>
      </c>
      <c r="J344" s="16" t="s">
        <v>130</v>
      </c>
      <c r="K344" s="16" t="s">
        <v>131</v>
      </c>
      <c r="L344" s="16" t="s">
        <v>132</v>
      </c>
      <c r="M344" s="16" t="s">
        <v>133</v>
      </c>
      <c r="N344" s="16" t="s">
        <v>134</v>
      </c>
      <c r="O344" s="16" t="s">
        <v>135</v>
      </c>
      <c r="P344" s="16" t="s">
        <v>136</v>
      </c>
      <c r="Q344" s="16" t="s">
        <v>137</v>
      </c>
      <c r="R344" s="16" t="s">
        <v>138</v>
      </c>
      <c r="S344" s="16" t="s">
        <v>139</v>
      </c>
      <c r="T344" s="16" t="s">
        <v>140</v>
      </c>
      <c r="U344" s="16" t="s">
        <v>141</v>
      </c>
      <c r="V344" s="16" t="s">
        <v>142</v>
      </c>
      <c r="W344" s="16" t="s">
        <v>143</v>
      </c>
      <c r="X344" s="16" t="s">
        <v>144</v>
      </c>
      <c r="Y344" s="16" t="s">
        <v>145</v>
      </c>
      <c r="Z344" s="16" t="s">
        <v>146</v>
      </c>
      <c r="AA344" s="16" t="s">
        <v>147</v>
      </c>
      <c r="AB344" s="16" t="s">
        <v>148</v>
      </c>
      <c r="AC344" s="16" t="s">
        <v>149</v>
      </c>
      <c r="AD344" s="16" t="s">
        <v>150</v>
      </c>
      <c r="AE344" s="16" t="s">
        <v>151</v>
      </c>
      <c r="AF344" s="16" t="s">
        <v>152</v>
      </c>
      <c r="AG344" s="16" t="s">
        <v>153</v>
      </c>
      <c r="AH344" s="16" t="s">
        <v>154</v>
      </c>
      <c r="AI344" s="16"/>
      <c r="AJ344" s="7"/>
    </row>
    <row r="345" spans="1:36" x14ac:dyDescent="0.35">
      <c r="A345" s="9" t="s">
        <v>291</v>
      </c>
      <c r="B345" s="38">
        <v>0.33333333333333298</v>
      </c>
      <c r="C345" s="38">
        <v>0.25</v>
      </c>
      <c r="D345" s="38">
        <v>0.33333333333333298</v>
      </c>
      <c r="E345" s="38">
        <v>0.66666666666666596</v>
      </c>
      <c r="F345" s="38">
        <v>0</v>
      </c>
      <c r="G345" s="38">
        <v>1</v>
      </c>
      <c r="H345" s="38">
        <v>0.55555555555555503</v>
      </c>
      <c r="I345" s="38">
        <v>1</v>
      </c>
      <c r="J345" s="38">
        <v>0.5</v>
      </c>
      <c r="K345" s="38">
        <v>1</v>
      </c>
      <c r="L345" s="38">
        <v>0</v>
      </c>
      <c r="M345" s="38">
        <v>0</v>
      </c>
      <c r="N345" s="38">
        <v>1</v>
      </c>
      <c r="O345" s="38">
        <v>0</v>
      </c>
      <c r="P345" s="38">
        <v>1</v>
      </c>
      <c r="Q345" s="38">
        <v>0.4</v>
      </c>
      <c r="R345" s="38">
        <v>1</v>
      </c>
      <c r="S345" s="38">
        <v>1</v>
      </c>
      <c r="T345" s="38">
        <v>1</v>
      </c>
      <c r="U345" s="38">
        <v>1</v>
      </c>
      <c r="V345" s="38">
        <v>1</v>
      </c>
      <c r="W345" s="38">
        <v>0</v>
      </c>
      <c r="X345" s="38">
        <v>1</v>
      </c>
      <c r="Y345" s="38">
        <v>1</v>
      </c>
      <c r="Z345" s="38">
        <v>1</v>
      </c>
      <c r="AA345" s="38">
        <v>0</v>
      </c>
      <c r="AB345" s="38">
        <v>1</v>
      </c>
      <c r="AC345" s="38">
        <v>1</v>
      </c>
      <c r="AD345" s="38">
        <v>1</v>
      </c>
      <c r="AE345" s="38">
        <v>1</v>
      </c>
      <c r="AF345" s="38">
        <v>1</v>
      </c>
      <c r="AG345" s="38">
        <v>1</v>
      </c>
      <c r="AH345" s="38">
        <v>0</v>
      </c>
      <c r="AI345" s="38" t="s">
        <v>195</v>
      </c>
      <c r="AJ345" s="7"/>
    </row>
    <row r="346" spans="1:36" x14ac:dyDescent="0.35">
      <c r="AJ346" s="7"/>
    </row>
    <row r="347" spans="1:36" x14ac:dyDescent="0.35">
      <c r="A347" s="17" t="s">
        <v>207</v>
      </c>
      <c r="B347" s="17"/>
      <c r="C347" s="18" t="s">
        <v>122</v>
      </c>
      <c r="D347" s="18" t="s">
        <v>123</v>
      </c>
      <c r="E347" s="18" t="s">
        <v>124</v>
      </c>
      <c r="F347" s="18" t="s">
        <v>125</v>
      </c>
      <c r="G347" s="18" t="s">
        <v>126</v>
      </c>
      <c r="H347" s="18" t="s">
        <v>127</v>
      </c>
      <c r="I347" s="18" t="s">
        <v>128</v>
      </c>
      <c r="J347" s="18" t="s">
        <v>129</v>
      </c>
      <c r="K347" s="18" t="s">
        <v>130</v>
      </c>
      <c r="L347" s="18" t="s">
        <v>131</v>
      </c>
      <c r="M347" s="18" t="s">
        <v>132</v>
      </c>
      <c r="N347" s="18" t="s">
        <v>133</v>
      </c>
      <c r="O347" s="18" t="s">
        <v>134</v>
      </c>
      <c r="P347" s="18" t="s">
        <v>135</v>
      </c>
      <c r="Q347" s="18" t="s">
        <v>136</v>
      </c>
      <c r="R347" s="18" t="s">
        <v>137</v>
      </c>
      <c r="S347" s="18" t="s">
        <v>138</v>
      </c>
      <c r="T347" s="18" t="s">
        <v>139</v>
      </c>
      <c r="U347" s="18" t="s">
        <v>140</v>
      </c>
      <c r="V347" s="18" t="s">
        <v>141</v>
      </c>
      <c r="W347" s="18" t="s">
        <v>142</v>
      </c>
      <c r="X347" s="18" t="s">
        <v>143</v>
      </c>
      <c r="Y347" s="18" t="s">
        <v>144</v>
      </c>
      <c r="Z347" s="18" t="s">
        <v>145</v>
      </c>
      <c r="AA347" s="18" t="s">
        <v>146</v>
      </c>
      <c r="AB347" s="18" t="s">
        <v>147</v>
      </c>
      <c r="AC347" s="18" t="s">
        <v>148</v>
      </c>
      <c r="AD347" s="18" t="s">
        <v>149</v>
      </c>
      <c r="AE347" s="18" t="s">
        <v>150</v>
      </c>
      <c r="AF347" s="18" t="s">
        <v>151</v>
      </c>
      <c r="AG347" s="18" t="s">
        <v>152</v>
      </c>
      <c r="AH347" s="18" t="s">
        <v>153</v>
      </c>
      <c r="AI347" s="18" t="s">
        <v>154</v>
      </c>
      <c r="AJ347" s="7"/>
    </row>
    <row r="348" spans="1:36" x14ac:dyDescent="0.35">
      <c r="A348" s="17" t="s">
        <v>208</v>
      </c>
      <c r="B348" s="17"/>
      <c r="C348" s="19">
        <f>COUNTIFS(B$4:B$63,B345,$AI$4:$AI$63,"YES")</f>
        <v>0</v>
      </c>
      <c r="D348" s="19">
        <f>COUNTIFS(C$4:C$63,C345,$AI$4:$AI$63,"YES")</f>
        <v>3</v>
      </c>
      <c r="E348" s="19">
        <f t="shared" ref="E348:AJ348" si="72">COUNTIFS(D$4:D$63,D345,$AI$4:$AI$63,"YES")</f>
        <v>3</v>
      </c>
      <c r="F348" s="19">
        <f t="shared" si="72"/>
        <v>2</v>
      </c>
      <c r="G348" s="19">
        <f t="shared" si="72"/>
        <v>2</v>
      </c>
      <c r="H348" s="19">
        <f t="shared" si="72"/>
        <v>4</v>
      </c>
      <c r="I348" s="19">
        <f t="shared" si="72"/>
        <v>4</v>
      </c>
      <c r="J348" s="19">
        <f t="shared" si="72"/>
        <v>4</v>
      </c>
      <c r="K348" s="19">
        <f t="shared" si="72"/>
        <v>4</v>
      </c>
      <c r="L348" s="19">
        <f t="shared" si="72"/>
        <v>2</v>
      </c>
      <c r="M348" s="19">
        <f t="shared" si="72"/>
        <v>4</v>
      </c>
      <c r="N348" s="19">
        <f t="shared" si="72"/>
        <v>0</v>
      </c>
      <c r="O348" s="19">
        <f t="shared" si="72"/>
        <v>4</v>
      </c>
      <c r="P348" s="19">
        <f t="shared" si="72"/>
        <v>4</v>
      </c>
      <c r="Q348" s="19">
        <f t="shared" si="72"/>
        <v>3</v>
      </c>
      <c r="R348" s="19">
        <f t="shared" si="72"/>
        <v>3</v>
      </c>
      <c r="S348" s="19">
        <f t="shared" si="72"/>
        <v>4</v>
      </c>
      <c r="T348" s="19">
        <f t="shared" si="72"/>
        <v>4</v>
      </c>
      <c r="U348" s="19">
        <f t="shared" si="72"/>
        <v>4</v>
      </c>
      <c r="V348" s="19">
        <f t="shared" si="72"/>
        <v>4</v>
      </c>
      <c r="W348" s="19">
        <f t="shared" si="72"/>
        <v>4</v>
      </c>
      <c r="X348" s="19">
        <f t="shared" si="72"/>
        <v>4</v>
      </c>
      <c r="Y348" s="19">
        <f t="shared" si="72"/>
        <v>4</v>
      </c>
      <c r="Z348" s="19">
        <f t="shared" si="72"/>
        <v>4</v>
      </c>
      <c r="AA348" s="19">
        <f t="shared" si="72"/>
        <v>4</v>
      </c>
      <c r="AB348" s="19">
        <f t="shared" si="72"/>
        <v>4</v>
      </c>
      <c r="AC348" s="19">
        <f t="shared" si="72"/>
        <v>4</v>
      </c>
      <c r="AD348" s="19">
        <f t="shared" si="72"/>
        <v>4</v>
      </c>
      <c r="AE348" s="19">
        <f t="shared" si="72"/>
        <v>4</v>
      </c>
      <c r="AF348" s="19">
        <f t="shared" si="72"/>
        <v>4</v>
      </c>
      <c r="AG348" s="19">
        <f t="shared" si="72"/>
        <v>4</v>
      </c>
      <c r="AH348" s="19">
        <f t="shared" si="72"/>
        <v>4</v>
      </c>
      <c r="AI348" s="19">
        <f t="shared" si="72"/>
        <v>3</v>
      </c>
      <c r="AJ348" s="20"/>
    </row>
    <row r="349" spans="1:36" x14ac:dyDescent="0.35">
      <c r="A349" s="17" t="s">
        <v>209</v>
      </c>
      <c r="B349" s="17"/>
      <c r="C349" s="19">
        <f>COUNTIFS(B$4:B$63,B345,$AI$4:$AI$63,"NO")</f>
        <v>11</v>
      </c>
      <c r="D349" s="19">
        <f t="shared" ref="D349:AI349" si="73">COUNTIFS(C$4:C$63,C345,$AI$4:$AI$63,"NO")</f>
        <v>22</v>
      </c>
      <c r="E349" s="19">
        <f t="shared" si="73"/>
        <v>12</v>
      </c>
      <c r="F349" s="19">
        <f t="shared" si="73"/>
        <v>31</v>
      </c>
      <c r="G349" s="19">
        <f t="shared" si="73"/>
        <v>34</v>
      </c>
      <c r="H349" s="19">
        <f t="shared" si="73"/>
        <v>45</v>
      </c>
      <c r="I349" s="19">
        <f t="shared" si="73"/>
        <v>47</v>
      </c>
      <c r="J349" s="19">
        <f t="shared" si="73"/>
        <v>45</v>
      </c>
      <c r="K349" s="19">
        <f t="shared" si="73"/>
        <v>28</v>
      </c>
      <c r="L349" s="19">
        <f t="shared" si="73"/>
        <v>7</v>
      </c>
      <c r="M349" s="19">
        <f t="shared" si="73"/>
        <v>44</v>
      </c>
      <c r="N349" s="19">
        <f t="shared" si="73"/>
        <v>13</v>
      </c>
      <c r="O349" s="19">
        <f t="shared" si="73"/>
        <v>44</v>
      </c>
      <c r="P349" s="19">
        <f t="shared" si="73"/>
        <v>42</v>
      </c>
      <c r="Q349" s="19">
        <f t="shared" si="73"/>
        <v>8</v>
      </c>
      <c r="R349" s="19">
        <f t="shared" si="73"/>
        <v>38</v>
      </c>
      <c r="S349" s="19">
        <f t="shared" si="73"/>
        <v>49</v>
      </c>
      <c r="T349" s="19">
        <f t="shared" si="73"/>
        <v>41</v>
      </c>
      <c r="U349" s="19">
        <f t="shared" si="73"/>
        <v>49</v>
      </c>
      <c r="V349" s="19">
        <f t="shared" si="73"/>
        <v>56</v>
      </c>
      <c r="W349" s="19">
        <f t="shared" si="73"/>
        <v>56</v>
      </c>
      <c r="X349" s="19">
        <f t="shared" si="73"/>
        <v>43</v>
      </c>
      <c r="Y349" s="19">
        <f t="shared" si="73"/>
        <v>56</v>
      </c>
      <c r="Z349" s="19">
        <f t="shared" si="73"/>
        <v>50</v>
      </c>
      <c r="AA349" s="19">
        <f t="shared" si="73"/>
        <v>45</v>
      </c>
      <c r="AB349" s="19">
        <f t="shared" si="73"/>
        <v>25</v>
      </c>
      <c r="AC349" s="19">
        <f t="shared" si="73"/>
        <v>56</v>
      </c>
      <c r="AD349" s="19">
        <f t="shared" si="73"/>
        <v>56</v>
      </c>
      <c r="AE349" s="19">
        <f t="shared" si="73"/>
        <v>56</v>
      </c>
      <c r="AF349" s="19">
        <f t="shared" si="73"/>
        <v>56</v>
      </c>
      <c r="AG349" s="19">
        <f t="shared" si="73"/>
        <v>47</v>
      </c>
      <c r="AH349" s="19">
        <f t="shared" si="73"/>
        <v>56</v>
      </c>
      <c r="AI349" s="19">
        <f t="shared" si="73"/>
        <v>20</v>
      </c>
      <c r="AJ349" s="20"/>
    </row>
    <row r="350" spans="1:36" x14ac:dyDescent="0.35">
      <c r="A350" s="17" t="s">
        <v>210</v>
      </c>
      <c r="B350" s="18" t="s">
        <v>208</v>
      </c>
      <c r="C350" s="19">
        <f>C348/$B$108</f>
        <v>0</v>
      </c>
      <c r="D350" s="19">
        <f t="shared" ref="D350:AI350" si="74">D348/$B$108</f>
        <v>45</v>
      </c>
      <c r="E350" s="19">
        <f t="shared" si="74"/>
        <v>45</v>
      </c>
      <c r="F350" s="19">
        <f t="shared" si="74"/>
        <v>30</v>
      </c>
      <c r="G350" s="19">
        <f t="shared" si="74"/>
        <v>30</v>
      </c>
      <c r="H350" s="19">
        <f t="shared" si="74"/>
        <v>60</v>
      </c>
      <c r="I350" s="19">
        <f t="shared" si="74"/>
        <v>60</v>
      </c>
      <c r="J350" s="19">
        <f t="shared" si="74"/>
        <v>60</v>
      </c>
      <c r="K350" s="19">
        <f t="shared" si="74"/>
        <v>60</v>
      </c>
      <c r="L350" s="19">
        <f t="shared" si="74"/>
        <v>30</v>
      </c>
      <c r="M350" s="19">
        <f t="shared" si="74"/>
        <v>60</v>
      </c>
      <c r="N350" s="19">
        <f t="shared" si="74"/>
        <v>0</v>
      </c>
      <c r="O350" s="19">
        <f t="shared" si="74"/>
        <v>60</v>
      </c>
      <c r="P350" s="19">
        <f t="shared" si="74"/>
        <v>60</v>
      </c>
      <c r="Q350" s="19">
        <f t="shared" si="74"/>
        <v>45</v>
      </c>
      <c r="R350" s="19">
        <f t="shared" si="74"/>
        <v>45</v>
      </c>
      <c r="S350" s="19">
        <f t="shared" si="74"/>
        <v>60</v>
      </c>
      <c r="T350" s="19">
        <f t="shared" si="74"/>
        <v>60</v>
      </c>
      <c r="U350" s="19">
        <f t="shared" si="74"/>
        <v>60</v>
      </c>
      <c r="V350" s="19">
        <f t="shared" si="74"/>
        <v>60</v>
      </c>
      <c r="W350" s="19">
        <f t="shared" si="74"/>
        <v>60</v>
      </c>
      <c r="X350" s="19">
        <f t="shared" si="74"/>
        <v>60</v>
      </c>
      <c r="Y350" s="19">
        <f t="shared" si="74"/>
        <v>60</v>
      </c>
      <c r="Z350" s="19">
        <f t="shared" si="74"/>
        <v>60</v>
      </c>
      <c r="AA350" s="19">
        <f t="shared" si="74"/>
        <v>60</v>
      </c>
      <c r="AB350" s="19">
        <f t="shared" si="74"/>
        <v>60</v>
      </c>
      <c r="AC350" s="19">
        <f t="shared" si="74"/>
        <v>60</v>
      </c>
      <c r="AD350" s="19">
        <f t="shared" si="74"/>
        <v>60</v>
      </c>
      <c r="AE350" s="19">
        <f t="shared" si="74"/>
        <v>60</v>
      </c>
      <c r="AF350" s="19">
        <f t="shared" si="74"/>
        <v>60</v>
      </c>
      <c r="AG350" s="19">
        <f t="shared" si="74"/>
        <v>60</v>
      </c>
      <c r="AH350" s="19">
        <f t="shared" si="74"/>
        <v>60</v>
      </c>
      <c r="AI350" s="19">
        <f t="shared" si="74"/>
        <v>45</v>
      </c>
      <c r="AJ350" s="19">
        <f>C350*D350*E350*F350*G350*H350*I350*J350*K350*L350*M350*N350*O350*P350*Q350*R350*S350*T350*U350*V350*W350*X350*Y350*Z350*AA350*AB350*AC350*AD350*AE350*AF350*AG350*AH350*AI350</f>
        <v>0</v>
      </c>
    </row>
    <row r="351" spans="1:36" x14ac:dyDescent="0.35">
      <c r="A351" s="17"/>
      <c r="B351" s="18" t="s">
        <v>209</v>
      </c>
      <c r="C351" s="19">
        <f>C349/$C$108</f>
        <v>11.785714285714285</v>
      </c>
      <c r="D351" s="19">
        <f t="shared" ref="D351:AI351" si="75">D349/$C$108</f>
        <v>23.571428571428569</v>
      </c>
      <c r="E351" s="19">
        <f t="shared" si="75"/>
        <v>12.857142857142858</v>
      </c>
      <c r="F351" s="19">
        <f t="shared" si="75"/>
        <v>33.214285714285715</v>
      </c>
      <c r="G351" s="19">
        <f t="shared" si="75"/>
        <v>36.428571428571431</v>
      </c>
      <c r="H351" s="19">
        <f t="shared" si="75"/>
        <v>48.214285714285715</v>
      </c>
      <c r="I351" s="19">
        <f t="shared" si="75"/>
        <v>50.357142857142854</v>
      </c>
      <c r="J351" s="19">
        <f t="shared" si="75"/>
        <v>48.214285714285715</v>
      </c>
      <c r="K351" s="19">
        <f t="shared" si="75"/>
        <v>30</v>
      </c>
      <c r="L351" s="19">
        <f t="shared" si="75"/>
        <v>7.5</v>
      </c>
      <c r="M351" s="19">
        <f t="shared" si="75"/>
        <v>47.142857142857139</v>
      </c>
      <c r="N351" s="19">
        <f t="shared" si="75"/>
        <v>13.928571428571429</v>
      </c>
      <c r="O351" s="19">
        <f t="shared" si="75"/>
        <v>47.142857142857139</v>
      </c>
      <c r="P351" s="19">
        <f t="shared" si="75"/>
        <v>45</v>
      </c>
      <c r="Q351" s="19">
        <f t="shared" si="75"/>
        <v>8.5714285714285712</v>
      </c>
      <c r="R351" s="19">
        <f t="shared" si="75"/>
        <v>40.714285714285715</v>
      </c>
      <c r="S351" s="19">
        <f t="shared" si="75"/>
        <v>52.5</v>
      </c>
      <c r="T351" s="19">
        <f t="shared" si="75"/>
        <v>43.928571428571431</v>
      </c>
      <c r="U351" s="19">
        <f t="shared" si="75"/>
        <v>52.5</v>
      </c>
      <c r="V351" s="19">
        <f t="shared" si="75"/>
        <v>60</v>
      </c>
      <c r="W351" s="19">
        <f t="shared" si="75"/>
        <v>60</v>
      </c>
      <c r="X351" s="19">
        <f t="shared" si="75"/>
        <v>46.071428571428569</v>
      </c>
      <c r="Y351" s="19">
        <f t="shared" si="75"/>
        <v>60</v>
      </c>
      <c r="Z351" s="19">
        <f t="shared" si="75"/>
        <v>53.571428571428569</v>
      </c>
      <c r="AA351" s="19">
        <f t="shared" si="75"/>
        <v>48.214285714285715</v>
      </c>
      <c r="AB351" s="19">
        <f t="shared" si="75"/>
        <v>26.785714285714285</v>
      </c>
      <c r="AC351" s="19">
        <f t="shared" si="75"/>
        <v>60</v>
      </c>
      <c r="AD351" s="19">
        <f t="shared" si="75"/>
        <v>60</v>
      </c>
      <c r="AE351" s="19">
        <f t="shared" si="75"/>
        <v>60</v>
      </c>
      <c r="AF351" s="19">
        <f t="shared" si="75"/>
        <v>60</v>
      </c>
      <c r="AG351" s="19">
        <f t="shared" si="75"/>
        <v>50.357142857142854</v>
      </c>
      <c r="AH351" s="19">
        <f t="shared" si="75"/>
        <v>60</v>
      </c>
      <c r="AI351" s="19">
        <f t="shared" si="75"/>
        <v>21.428571428571427</v>
      </c>
      <c r="AJ351" s="19">
        <f>C351*D351*E351*F351*G351*H351*I351*J351*K351*L351*M351*N351*O351*P351*Q351*R351*S351*T351*U351*V351*W351*X351*Y351*Z351*AA351*AB351*AC351*AD351*AE351*AF351*AG351*AH351*AI351</f>
        <v>3.8705546094877623E+51</v>
      </c>
    </row>
    <row r="352" spans="1:36" x14ac:dyDescent="0.35">
      <c r="A352" s="21"/>
      <c r="B352" s="21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20"/>
    </row>
    <row r="353" spans="1:36" x14ac:dyDescent="0.35">
      <c r="A353" s="22" t="s">
        <v>211</v>
      </c>
      <c r="B353" s="23"/>
      <c r="C353" s="24" t="s">
        <v>212</v>
      </c>
      <c r="D353" s="20"/>
      <c r="E353" s="20"/>
      <c r="F353" s="20"/>
      <c r="G353" s="20"/>
      <c r="H353" s="20"/>
      <c r="I353" s="20"/>
      <c r="J353" s="20"/>
      <c r="K353" s="20"/>
      <c r="L353" s="2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20"/>
    </row>
    <row r="354" spans="1:36" x14ac:dyDescent="0.35">
      <c r="A354" s="25" t="s">
        <v>208</v>
      </c>
      <c r="B354" s="26">
        <f>AJ350*$B$108</f>
        <v>0</v>
      </c>
      <c r="C354" s="27" t="str">
        <f>IF(B354&gt;B355,A354,A355)</f>
        <v>No</v>
      </c>
      <c r="D354" s="20"/>
      <c r="E354" s="20"/>
      <c r="F354" s="20"/>
      <c r="G354" s="20"/>
      <c r="H354" s="20"/>
      <c r="I354" s="20"/>
      <c r="J354" s="20"/>
      <c r="K354" s="20"/>
      <c r="L354" s="2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20"/>
    </row>
    <row r="355" spans="1:36" x14ac:dyDescent="0.35">
      <c r="A355" s="25" t="s">
        <v>209</v>
      </c>
      <c r="B355" s="26">
        <f>AJ351*$C$108</f>
        <v>3.6125176355219116E+51</v>
      </c>
      <c r="C355" s="28"/>
      <c r="D355" s="20"/>
      <c r="E355" s="20"/>
      <c r="F355" s="20"/>
      <c r="G355" s="20"/>
      <c r="H355" s="20"/>
      <c r="I355" s="20"/>
      <c r="J355" s="20"/>
      <c r="K355" s="20"/>
      <c r="L355" s="2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20"/>
    </row>
    <row r="357" spans="1:36" x14ac:dyDescent="0.35">
      <c r="A357" s="15"/>
      <c r="B357" s="16" t="s">
        <v>122</v>
      </c>
      <c r="C357" s="16" t="s">
        <v>123</v>
      </c>
      <c r="D357" s="16" t="s">
        <v>124</v>
      </c>
      <c r="E357" s="16" t="s">
        <v>125</v>
      </c>
      <c r="F357" s="16" t="s">
        <v>126</v>
      </c>
      <c r="G357" s="16" t="s">
        <v>127</v>
      </c>
      <c r="H357" s="16" t="s">
        <v>128</v>
      </c>
      <c r="I357" s="16" t="s">
        <v>129</v>
      </c>
      <c r="J357" s="16" t="s">
        <v>130</v>
      </c>
      <c r="K357" s="16" t="s">
        <v>131</v>
      </c>
      <c r="L357" s="16" t="s">
        <v>132</v>
      </c>
      <c r="M357" s="16" t="s">
        <v>133</v>
      </c>
      <c r="N357" s="16" t="s">
        <v>134</v>
      </c>
      <c r="O357" s="16" t="s">
        <v>135</v>
      </c>
      <c r="P357" s="16" t="s">
        <v>136</v>
      </c>
      <c r="Q357" s="16" t="s">
        <v>137</v>
      </c>
      <c r="R357" s="16" t="s">
        <v>138</v>
      </c>
      <c r="S357" s="16" t="s">
        <v>139</v>
      </c>
      <c r="T357" s="16" t="s">
        <v>140</v>
      </c>
      <c r="U357" s="16" t="s">
        <v>141</v>
      </c>
      <c r="V357" s="16" t="s">
        <v>142</v>
      </c>
      <c r="W357" s="16" t="s">
        <v>143</v>
      </c>
      <c r="X357" s="16" t="s">
        <v>144</v>
      </c>
      <c r="Y357" s="16" t="s">
        <v>145</v>
      </c>
      <c r="Z357" s="16" t="s">
        <v>146</v>
      </c>
      <c r="AA357" s="16" t="s">
        <v>147</v>
      </c>
      <c r="AB357" s="16" t="s">
        <v>148</v>
      </c>
      <c r="AC357" s="16" t="s">
        <v>149</v>
      </c>
      <c r="AD357" s="16" t="s">
        <v>150</v>
      </c>
      <c r="AE357" s="16" t="s">
        <v>151</v>
      </c>
      <c r="AF357" s="16" t="s">
        <v>152</v>
      </c>
      <c r="AG357" s="16" t="s">
        <v>153</v>
      </c>
      <c r="AH357" s="16" t="s">
        <v>154</v>
      </c>
      <c r="AI357" s="16"/>
      <c r="AJ357" s="7"/>
    </row>
    <row r="358" spans="1:36" x14ac:dyDescent="0.35">
      <c r="A358" s="9" t="s">
        <v>292</v>
      </c>
      <c r="B358" s="38">
        <v>0.33333333333333298</v>
      </c>
      <c r="C358" s="38">
        <v>0</v>
      </c>
      <c r="D358" s="38">
        <v>0</v>
      </c>
      <c r="E358" s="38">
        <v>0.66666666666666596</v>
      </c>
      <c r="F358" s="38">
        <v>0</v>
      </c>
      <c r="G358" s="38">
        <v>1</v>
      </c>
      <c r="H358" s="38">
        <v>0.55555555555555503</v>
      </c>
      <c r="I358" s="38">
        <v>1</v>
      </c>
      <c r="J358" s="38">
        <v>0.5</v>
      </c>
      <c r="K358" s="38">
        <v>1</v>
      </c>
      <c r="L358" s="38">
        <v>0</v>
      </c>
      <c r="M358" s="38">
        <v>0.2</v>
      </c>
      <c r="N358" s="38">
        <v>1</v>
      </c>
      <c r="O358" s="38">
        <v>0</v>
      </c>
      <c r="P358" s="38">
        <v>1</v>
      </c>
      <c r="Q358" s="38">
        <v>0.4</v>
      </c>
      <c r="R358" s="38">
        <v>1</v>
      </c>
      <c r="S358" s="38">
        <v>1</v>
      </c>
      <c r="T358" s="38">
        <v>1</v>
      </c>
      <c r="U358" s="38">
        <v>1</v>
      </c>
      <c r="V358" s="38">
        <v>1</v>
      </c>
      <c r="W358" s="38">
        <v>0</v>
      </c>
      <c r="X358" s="38">
        <v>1</v>
      </c>
      <c r="Y358" s="38">
        <v>1</v>
      </c>
      <c r="Z358" s="38">
        <v>1</v>
      </c>
      <c r="AA358" s="38">
        <v>0</v>
      </c>
      <c r="AB358" s="38">
        <v>1</v>
      </c>
      <c r="AC358" s="38">
        <v>1</v>
      </c>
      <c r="AD358" s="38">
        <v>1</v>
      </c>
      <c r="AE358" s="38">
        <v>1</v>
      </c>
      <c r="AF358" s="38">
        <v>1</v>
      </c>
      <c r="AG358" s="38">
        <v>1</v>
      </c>
      <c r="AH358" s="38">
        <v>0</v>
      </c>
      <c r="AI358" s="38" t="s">
        <v>195</v>
      </c>
      <c r="AJ358" s="7"/>
    </row>
    <row r="359" spans="1:36" x14ac:dyDescent="0.35">
      <c r="AJ359" s="7"/>
    </row>
    <row r="360" spans="1:36" x14ac:dyDescent="0.35">
      <c r="A360" s="17" t="s">
        <v>207</v>
      </c>
      <c r="B360" s="17"/>
      <c r="C360" s="18" t="s">
        <v>122</v>
      </c>
      <c r="D360" s="18" t="s">
        <v>123</v>
      </c>
      <c r="E360" s="18" t="s">
        <v>124</v>
      </c>
      <c r="F360" s="18" t="s">
        <v>125</v>
      </c>
      <c r="G360" s="18" t="s">
        <v>126</v>
      </c>
      <c r="H360" s="18" t="s">
        <v>127</v>
      </c>
      <c r="I360" s="18" t="s">
        <v>128</v>
      </c>
      <c r="J360" s="18" t="s">
        <v>129</v>
      </c>
      <c r="K360" s="18" t="s">
        <v>130</v>
      </c>
      <c r="L360" s="18" t="s">
        <v>131</v>
      </c>
      <c r="M360" s="18" t="s">
        <v>132</v>
      </c>
      <c r="N360" s="18" t="s">
        <v>133</v>
      </c>
      <c r="O360" s="18" t="s">
        <v>134</v>
      </c>
      <c r="P360" s="18" t="s">
        <v>135</v>
      </c>
      <c r="Q360" s="18" t="s">
        <v>136</v>
      </c>
      <c r="R360" s="18" t="s">
        <v>137</v>
      </c>
      <c r="S360" s="18" t="s">
        <v>138</v>
      </c>
      <c r="T360" s="18" t="s">
        <v>139</v>
      </c>
      <c r="U360" s="18" t="s">
        <v>140</v>
      </c>
      <c r="V360" s="18" t="s">
        <v>141</v>
      </c>
      <c r="W360" s="18" t="s">
        <v>142</v>
      </c>
      <c r="X360" s="18" t="s">
        <v>143</v>
      </c>
      <c r="Y360" s="18" t="s">
        <v>144</v>
      </c>
      <c r="Z360" s="18" t="s">
        <v>145</v>
      </c>
      <c r="AA360" s="18" t="s">
        <v>146</v>
      </c>
      <c r="AB360" s="18" t="s">
        <v>147</v>
      </c>
      <c r="AC360" s="18" t="s">
        <v>148</v>
      </c>
      <c r="AD360" s="18" t="s">
        <v>149</v>
      </c>
      <c r="AE360" s="18" t="s">
        <v>150</v>
      </c>
      <c r="AF360" s="18" t="s">
        <v>151</v>
      </c>
      <c r="AG360" s="18" t="s">
        <v>152</v>
      </c>
      <c r="AH360" s="18" t="s">
        <v>153</v>
      </c>
      <c r="AI360" s="18" t="s">
        <v>154</v>
      </c>
      <c r="AJ360" s="7"/>
    </row>
    <row r="361" spans="1:36" x14ac:dyDescent="0.35">
      <c r="A361" s="17" t="s">
        <v>208</v>
      </c>
      <c r="B361" s="17"/>
      <c r="C361" s="19">
        <f>COUNTIFS(B$4:B$63,B358,$AI$4:$AI$63,"YES")</f>
        <v>0</v>
      </c>
      <c r="D361" s="19">
        <f>COUNTIFS(C$4:C$63,C358,$AI$4:$AI$63,"YES")</f>
        <v>0</v>
      </c>
      <c r="E361" s="19">
        <f t="shared" ref="E361:AJ361" si="76">COUNTIFS(D$4:D$63,D358,$AI$4:$AI$63,"YES")</f>
        <v>0</v>
      </c>
      <c r="F361" s="19">
        <f t="shared" si="76"/>
        <v>2</v>
      </c>
      <c r="G361" s="19">
        <f t="shared" si="76"/>
        <v>2</v>
      </c>
      <c r="H361" s="19">
        <f t="shared" si="76"/>
        <v>4</v>
      </c>
      <c r="I361" s="19">
        <f t="shared" si="76"/>
        <v>4</v>
      </c>
      <c r="J361" s="19">
        <f t="shared" si="76"/>
        <v>4</v>
      </c>
      <c r="K361" s="19">
        <f t="shared" si="76"/>
        <v>4</v>
      </c>
      <c r="L361" s="19">
        <f t="shared" si="76"/>
        <v>2</v>
      </c>
      <c r="M361" s="19">
        <f t="shared" si="76"/>
        <v>4</v>
      </c>
      <c r="N361" s="19">
        <f t="shared" si="76"/>
        <v>3</v>
      </c>
      <c r="O361" s="19">
        <f t="shared" si="76"/>
        <v>4</v>
      </c>
      <c r="P361" s="19">
        <f t="shared" si="76"/>
        <v>4</v>
      </c>
      <c r="Q361" s="19">
        <f t="shared" si="76"/>
        <v>3</v>
      </c>
      <c r="R361" s="19">
        <f t="shared" si="76"/>
        <v>3</v>
      </c>
      <c r="S361" s="19">
        <f t="shared" si="76"/>
        <v>4</v>
      </c>
      <c r="T361" s="19">
        <f t="shared" si="76"/>
        <v>4</v>
      </c>
      <c r="U361" s="19">
        <f t="shared" si="76"/>
        <v>4</v>
      </c>
      <c r="V361" s="19">
        <f t="shared" si="76"/>
        <v>4</v>
      </c>
      <c r="W361" s="19">
        <f t="shared" si="76"/>
        <v>4</v>
      </c>
      <c r="X361" s="19">
        <f t="shared" si="76"/>
        <v>4</v>
      </c>
      <c r="Y361" s="19">
        <f t="shared" si="76"/>
        <v>4</v>
      </c>
      <c r="Z361" s="19">
        <f t="shared" si="76"/>
        <v>4</v>
      </c>
      <c r="AA361" s="19">
        <f t="shared" si="76"/>
        <v>4</v>
      </c>
      <c r="AB361" s="19">
        <f t="shared" si="76"/>
        <v>4</v>
      </c>
      <c r="AC361" s="19">
        <f t="shared" si="76"/>
        <v>4</v>
      </c>
      <c r="AD361" s="19">
        <f t="shared" si="76"/>
        <v>4</v>
      </c>
      <c r="AE361" s="19">
        <f t="shared" si="76"/>
        <v>4</v>
      </c>
      <c r="AF361" s="19">
        <f t="shared" si="76"/>
        <v>4</v>
      </c>
      <c r="AG361" s="19">
        <f t="shared" si="76"/>
        <v>4</v>
      </c>
      <c r="AH361" s="19">
        <f t="shared" si="76"/>
        <v>4</v>
      </c>
      <c r="AI361" s="19">
        <f t="shared" si="76"/>
        <v>3</v>
      </c>
      <c r="AJ361" s="20"/>
    </row>
    <row r="362" spans="1:36" x14ac:dyDescent="0.35">
      <c r="A362" s="17" t="s">
        <v>209</v>
      </c>
      <c r="B362" s="17"/>
      <c r="C362" s="19">
        <f>COUNTIFS(B$4:B$63,B358,$AI$4:$AI$63,"NO")</f>
        <v>11</v>
      </c>
      <c r="D362" s="19">
        <f t="shared" ref="D362:AI362" si="77">COUNTIFS(C$4:C$63,C358,$AI$4:$AI$63,"NO")</f>
        <v>15</v>
      </c>
      <c r="E362" s="19">
        <f t="shared" si="77"/>
        <v>15</v>
      </c>
      <c r="F362" s="19">
        <f t="shared" si="77"/>
        <v>31</v>
      </c>
      <c r="G362" s="19">
        <f t="shared" si="77"/>
        <v>34</v>
      </c>
      <c r="H362" s="19">
        <f t="shared" si="77"/>
        <v>45</v>
      </c>
      <c r="I362" s="19">
        <f t="shared" si="77"/>
        <v>47</v>
      </c>
      <c r="J362" s="19">
        <f t="shared" si="77"/>
        <v>45</v>
      </c>
      <c r="K362" s="19">
        <f t="shared" si="77"/>
        <v>28</v>
      </c>
      <c r="L362" s="19">
        <f t="shared" si="77"/>
        <v>7</v>
      </c>
      <c r="M362" s="19">
        <f t="shared" si="77"/>
        <v>44</v>
      </c>
      <c r="N362" s="19">
        <f t="shared" si="77"/>
        <v>31</v>
      </c>
      <c r="O362" s="19">
        <f t="shared" si="77"/>
        <v>44</v>
      </c>
      <c r="P362" s="19">
        <f t="shared" si="77"/>
        <v>42</v>
      </c>
      <c r="Q362" s="19">
        <f t="shared" si="77"/>
        <v>8</v>
      </c>
      <c r="R362" s="19">
        <f t="shared" si="77"/>
        <v>38</v>
      </c>
      <c r="S362" s="19">
        <f t="shared" si="77"/>
        <v>49</v>
      </c>
      <c r="T362" s="19">
        <f t="shared" si="77"/>
        <v>41</v>
      </c>
      <c r="U362" s="19">
        <f t="shared" si="77"/>
        <v>49</v>
      </c>
      <c r="V362" s="19">
        <f t="shared" si="77"/>
        <v>56</v>
      </c>
      <c r="W362" s="19">
        <f t="shared" si="77"/>
        <v>56</v>
      </c>
      <c r="X362" s="19">
        <f t="shared" si="77"/>
        <v>43</v>
      </c>
      <c r="Y362" s="19">
        <f t="shared" si="77"/>
        <v>56</v>
      </c>
      <c r="Z362" s="19">
        <f t="shared" si="77"/>
        <v>50</v>
      </c>
      <c r="AA362" s="19">
        <f t="shared" si="77"/>
        <v>45</v>
      </c>
      <c r="AB362" s="19">
        <f t="shared" si="77"/>
        <v>25</v>
      </c>
      <c r="AC362" s="19">
        <f t="shared" si="77"/>
        <v>56</v>
      </c>
      <c r="AD362" s="19">
        <f t="shared" si="77"/>
        <v>56</v>
      </c>
      <c r="AE362" s="19">
        <f t="shared" si="77"/>
        <v>56</v>
      </c>
      <c r="AF362" s="19">
        <f t="shared" si="77"/>
        <v>56</v>
      </c>
      <c r="AG362" s="19">
        <f t="shared" si="77"/>
        <v>47</v>
      </c>
      <c r="AH362" s="19">
        <f t="shared" si="77"/>
        <v>56</v>
      </c>
      <c r="AI362" s="19">
        <f t="shared" si="77"/>
        <v>20</v>
      </c>
      <c r="AJ362" s="20"/>
    </row>
    <row r="363" spans="1:36" x14ac:dyDescent="0.35">
      <c r="A363" s="17" t="s">
        <v>210</v>
      </c>
      <c r="B363" s="18" t="s">
        <v>208</v>
      </c>
      <c r="C363" s="19">
        <f>C361/$B$108</f>
        <v>0</v>
      </c>
      <c r="D363" s="19">
        <f t="shared" ref="D363:AI363" si="78">D361/$B$108</f>
        <v>0</v>
      </c>
      <c r="E363" s="19">
        <f t="shared" si="78"/>
        <v>0</v>
      </c>
      <c r="F363" s="19">
        <f t="shared" si="78"/>
        <v>30</v>
      </c>
      <c r="G363" s="19">
        <f t="shared" si="78"/>
        <v>30</v>
      </c>
      <c r="H363" s="19">
        <f t="shared" si="78"/>
        <v>60</v>
      </c>
      <c r="I363" s="19">
        <f t="shared" si="78"/>
        <v>60</v>
      </c>
      <c r="J363" s="19">
        <f t="shared" si="78"/>
        <v>60</v>
      </c>
      <c r="K363" s="19">
        <f t="shared" si="78"/>
        <v>60</v>
      </c>
      <c r="L363" s="19">
        <f t="shared" si="78"/>
        <v>30</v>
      </c>
      <c r="M363" s="19">
        <f t="shared" si="78"/>
        <v>60</v>
      </c>
      <c r="N363" s="19">
        <f t="shared" si="78"/>
        <v>45</v>
      </c>
      <c r="O363" s="19">
        <f t="shared" si="78"/>
        <v>60</v>
      </c>
      <c r="P363" s="19">
        <f t="shared" si="78"/>
        <v>60</v>
      </c>
      <c r="Q363" s="19">
        <f t="shared" si="78"/>
        <v>45</v>
      </c>
      <c r="R363" s="19">
        <f t="shared" si="78"/>
        <v>45</v>
      </c>
      <c r="S363" s="19">
        <f t="shared" si="78"/>
        <v>60</v>
      </c>
      <c r="T363" s="19">
        <f t="shared" si="78"/>
        <v>60</v>
      </c>
      <c r="U363" s="19">
        <f t="shared" si="78"/>
        <v>60</v>
      </c>
      <c r="V363" s="19">
        <f t="shared" si="78"/>
        <v>60</v>
      </c>
      <c r="W363" s="19">
        <f t="shared" si="78"/>
        <v>60</v>
      </c>
      <c r="X363" s="19">
        <f t="shared" si="78"/>
        <v>60</v>
      </c>
      <c r="Y363" s="19">
        <f t="shared" si="78"/>
        <v>60</v>
      </c>
      <c r="Z363" s="19">
        <f t="shared" si="78"/>
        <v>60</v>
      </c>
      <c r="AA363" s="19">
        <f t="shared" si="78"/>
        <v>60</v>
      </c>
      <c r="AB363" s="19">
        <f t="shared" si="78"/>
        <v>60</v>
      </c>
      <c r="AC363" s="19">
        <f t="shared" si="78"/>
        <v>60</v>
      </c>
      <c r="AD363" s="19">
        <f t="shared" si="78"/>
        <v>60</v>
      </c>
      <c r="AE363" s="19">
        <f t="shared" si="78"/>
        <v>60</v>
      </c>
      <c r="AF363" s="19">
        <f t="shared" si="78"/>
        <v>60</v>
      </c>
      <c r="AG363" s="19">
        <f t="shared" si="78"/>
        <v>60</v>
      </c>
      <c r="AH363" s="19">
        <f t="shared" si="78"/>
        <v>60</v>
      </c>
      <c r="AI363" s="19">
        <f t="shared" si="78"/>
        <v>45</v>
      </c>
      <c r="AJ363" s="19">
        <f>C363*D363*E363*F363*G363*H363*I363*J363*K363*L363*M363*N363*O363*P363*Q363*R363*S363*T363*U363*V363*W363*X363*Y363*Z363*AA363*AB363*AC363*AD363*AE363*AF363*AG363*AH363*AI363</f>
        <v>0</v>
      </c>
    </row>
    <row r="364" spans="1:36" x14ac:dyDescent="0.35">
      <c r="A364" s="17"/>
      <c r="B364" s="18" t="s">
        <v>209</v>
      </c>
      <c r="C364" s="19">
        <f>C362/$C$108</f>
        <v>11.785714285714285</v>
      </c>
      <c r="D364" s="19">
        <f t="shared" ref="D364:AI364" si="79">D362/$C$108</f>
        <v>16.071428571428569</v>
      </c>
      <c r="E364" s="19">
        <f t="shared" si="79"/>
        <v>16.071428571428569</v>
      </c>
      <c r="F364" s="19">
        <f t="shared" si="79"/>
        <v>33.214285714285715</v>
      </c>
      <c r="G364" s="19">
        <f t="shared" si="79"/>
        <v>36.428571428571431</v>
      </c>
      <c r="H364" s="19">
        <f t="shared" si="79"/>
        <v>48.214285714285715</v>
      </c>
      <c r="I364" s="19">
        <f t="shared" si="79"/>
        <v>50.357142857142854</v>
      </c>
      <c r="J364" s="19">
        <f t="shared" si="79"/>
        <v>48.214285714285715</v>
      </c>
      <c r="K364" s="19">
        <f t="shared" si="79"/>
        <v>30</v>
      </c>
      <c r="L364" s="19">
        <f t="shared" si="79"/>
        <v>7.5</v>
      </c>
      <c r="M364" s="19">
        <f t="shared" si="79"/>
        <v>47.142857142857139</v>
      </c>
      <c r="N364" s="19">
        <f t="shared" si="79"/>
        <v>33.214285714285715</v>
      </c>
      <c r="O364" s="19">
        <f t="shared" si="79"/>
        <v>47.142857142857139</v>
      </c>
      <c r="P364" s="19">
        <f t="shared" si="79"/>
        <v>45</v>
      </c>
      <c r="Q364" s="19">
        <f t="shared" si="79"/>
        <v>8.5714285714285712</v>
      </c>
      <c r="R364" s="19">
        <f t="shared" si="79"/>
        <v>40.714285714285715</v>
      </c>
      <c r="S364" s="19">
        <f t="shared" si="79"/>
        <v>52.5</v>
      </c>
      <c r="T364" s="19">
        <f t="shared" si="79"/>
        <v>43.928571428571431</v>
      </c>
      <c r="U364" s="19">
        <f t="shared" si="79"/>
        <v>52.5</v>
      </c>
      <c r="V364" s="19">
        <f t="shared" si="79"/>
        <v>60</v>
      </c>
      <c r="W364" s="19">
        <f t="shared" si="79"/>
        <v>60</v>
      </c>
      <c r="X364" s="19">
        <f t="shared" si="79"/>
        <v>46.071428571428569</v>
      </c>
      <c r="Y364" s="19">
        <f t="shared" si="79"/>
        <v>60</v>
      </c>
      <c r="Z364" s="19">
        <f t="shared" si="79"/>
        <v>53.571428571428569</v>
      </c>
      <c r="AA364" s="19">
        <f t="shared" si="79"/>
        <v>48.214285714285715</v>
      </c>
      <c r="AB364" s="19">
        <f t="shared" si="79"/>
        <v>26.785714285714285</v>
      </c>
      <c r="AC364" s="19">
        <f t="shared" si="79"/>
        <v>60</v>
      </c>
      <c r="AD364" s="19">
        <f t="shared" si="79"/>
        <v>60</v>
      </c>
      <c r="AE364" s="19">
        <f t="shared" si="79"/>
        <v>60</v>
      </c>
      <c r="AF364" s="19">
        <f t="shared" si="79"/>
        <v>60</v>
      </c>
      <c r="AG364" s="19">
        <f t="shared" si="79"/>
        <v>50.357142857142854</v>
      </c>
      <c r="AH364" s="19">
        <f t="shared" si="79"/>
        <v>60</v>
      </c>
      <c r="AI364" s="19">
        <f t="shared" si="79"/>
        <v>21.428571428571427</v>
      </c>
      <c r="AJ364" s="19">
        <f>C364*D364*E364*F364*G364*H364*I364*J364*K364*L364*M364*N364*O364*P364*Q364*R364*S364*T364*U364*V364*W364*X364*Y364*Z364*AA364*AB364*AC364*AD364*AE364*AF364*AG364*AH364*AI364</f>
        <v>7.8662932404362298E+51</v>
      </c>
    </row>
    <row r="365" spans="1:36" x14ac:dyDescent="0.35">
      <c r="A365" s="21"/>
      <c r="B365" s="21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20"/>
    </row>
    <row r="366" spans="1:36" x14ac:dyDescent="0.35">
      <c r="A366" s="22" t="s">
        <v>211</v>
      </c>
      <c r="B366" s="23"/>
      <c r="C366" s="24" t="s">
        <v>212</v>
      </c>
      <c r="D366" s="20"/>
      <c r="E366" s="20"/>
      <c r="F366" s="20"/>
      <c r="G366" s="20"/>
      <c r="H366" s="20"/>
      <c r="I366" s="20"/>
      <c r="J366" s="20"/>
      <c r="K366" s="20"/>
      <c r="L366" s="2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20"/>
    </row>
    <row r="367" spans="1:36" x14ac:dyDescent="0.35">
      <c r="A367" s="25" t="s">
        <v>208</v>
      </c>
      <c r="B367" s="26">
        <f>AJ363*$B$108</f>
        <v>0</v>
      </c>
      <c r="C367" s="27" t="str">
        <f>IF(B367&gt;B368,A367,A368)</f>
        <v>No</v>
      </c>
      <c r="D367" s="20"/>
      <c r="E367" s="20"/>
      <c r="F367" s="20"/>
      <c r="G367" s="20"/>
      <c r="H367" s="20"/>
      <c r="I367" s="20"/>
      <c r="J367" s="20"/>
      <c r="K367" s="20"/>
      <c r="L367" s="2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20"/>
    </row>
    <row r="368" spans="1:36" x14ac:dyDescent="0.35">
      <c r="A368" s="25" t="s">
        <v>209</v>
      </c>
      <c r="B368" s="26">
        <f>AJ364*$C$108</f>
        <v>7.3418736910738144E+51</v>
      </c>
      <c r="C368" s="28"/>
      <c r="D368" s="20"/>
      <c r="E368" s="20"/>
      <c r="F368" s="20"/>
      <c r="G368" s="20"/>
      <c r="H368" s="20"/>
      <c r="I368" s="20"/>
      <c r="J368" s="20"/>
      <c r="K368" s="20"/>
      <c r="L368" s="2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20"/>
    </row>
    <row r="370" spans="1:36" x14ac:dyDescent="0.35">
      <c r="A370" s="15"/>
      <c r="B370" s="16" t="s">
        <v>122</v>
      </c>
      <c r="C370" s="16" t="s">
        <v>123</v>
      </c>
      <c r="D370" s="16" t="s">
        <v>124</v>
      </c>
      <c r="E370" s="16" t="s">
        <v>125</v>
      </c>
      <c r="F370" s="16" t="s">
        <v>126</v>
      </c>
      <c r="G370" s="16" t="s">
        <v>127</v>
      </c>
      <c r="H370" s="16" t="s">
        <v>128</v>
      </c>
      <c r="I370" s="16" t="s">
        <v>129</v>
      </c>
      <c r="J370" s="16" t="s">
        <v>130</v>
      </c>
      <c r="K370" s="16" t="s">
        <v>131</v>
      </c>
      <c r="L370" s="16" t="s">
        <v>132</v>
      </c>
      <c r="M370" s="16" t="s">
        <v>133</v>
      </c>
      <c r="N370" s="16" t="s">
        <v>134</v>
      </c>
      <c r="O370" s="16" t="s">
        <v>135</v>
      </c>
      <c r="P370" s="16" t="s">
        <v>136</v>
      </c>
      <c r="Q370" s="16" t="s">
        <v>137</v>
      </c>
      <c r="R370" s="16" t="s">
        <v>138</v>
      </c>
      <c r="S370" s="16" t="s">
        <v>139</v>
      </c>
      <c r="T370" s="16" t="s">
        <v>140</v>
      </c>
      <c r="U370" s="16" t="s">
        <v>141</v>
      </c>
      <c r="V370" s="16" t="s">
        <v>142</v>
      </c>
      <c r="W370" s="16" t="s">
        <v>143</v>
      </c>
      <c r="X370" s="16" t="s">
        <v>144</v>
      </c>
      <c r="Y370" s="16" t="s">
        <v>145</v>
      </c>
      <c r="Z370" s="16" t="s">
        <v>146</v>
      </c>
      <c r="AA370" s="16" t="s">
        <v>147</v>
      </c>
      <c r="AB370" s="16" t="s">
        <v>148</v>
      </c>
      <c r="AC370" s="16" t="s">
        <v>149</v>
      </c>
      <c r="AD370" s="16" t="s">
        <v>150</v>
      </c>
      <c r="AE370" s="16" t="s">
        <v>151</v>
      </c>
      <c r="AF370" s="16" t="s">
        <v>152</v>
      </c>
      <c r="AG370" s="16" t="s">
        <v>153</v>
      </c>
      <c r="AH370" s="16" t="s">
        <v>154</v>
      </c>
      <c r="AI370" s="16"/>
      <c r="AJ370" s="7"/>
    </row>
    <row r="371" spans="1:36" x14ac:dyDescent="0.35">
      <c r="A371" s="9" t="s">
        <v>293</v>
      </c>
      <c r="B371" s="38">
        <v>0.33333333333333298</v>
      </c>
      <c r="C371" s="38">
        <v>0</v>
      </c>
      <c r="D371" s="38">
        <v>0.33333333333333298</v>
      </c>
      <c r="E371" s="38">
        <v>0.66666666666666596</v>
      </c>
      <c r="F371" s="38">
        <v>0.33333333333333298</v>
      </c>
      <c r="G371" s="38">
        <v>1</v>
      </c>
      <c r="H371" s="38">
        <v>0.55555555555555503</v>
      </c>
      <c r="I371" s="38">
        <v>1</v>
      </c>
      <c r="J371" s="38">
        <v>0</v>
      </c>
      <c r="K371" s="38">
        <v>0</v>
      </c>
      <c r="L371" s="38">
        <v>0</v>
      </c>
      <c r="M371" s="38">
        <v>0.2</v>
      </c>
      <c r="N371" s="38">
        <v>1</v>
      </c>
      <c r="O371" s="38">
        <v>0</v>
      </c>
      <c r="P371" s="38">
        <v>0</v>
      </c>
      <c r="Q371" s="38">
        <v>0.4</v>
      </c>
      <c r="R371" s="38">
        <v>1</v>
      </c>
      <c r="S371" s="38">
        <v>1</v>
      </c>
      <c r="T371" s="38">
        <v>1</v>
      </c>
      <c r="U371" s="38">
        <v>1</v>
      </c>
      <c r="V371" s="38">
        <v>1</v>
      </c>
      <c r="W371" s="38">
        <v>0</v>
      </c>
      <c r="X371" s="38">
        <v>1</v>
      </c>
      <c r="Y371" s="38">
        <v>1</v>
      </c>
      <c r="Z371" s="38">
        <v>0</v>
      </c>
      <c r="AA371" s="38">
        <v>1</v>
      </c>
      <c r="AB371" s="38">
        <v>1</v>
      </c>
      <c r="AC371" s="38">
        <v>1</v>
      </c>
      <c r="AD371" s="38">
        <v>1</v>
      </c>
      <c r="AE371" s="38">
        <v>1</v>
      </c>
      <c r="AF371" s="38">
        <v>1</v>
      </c>
      <c r="AG371" s="38">
        <v>1</v>
      </c>
      <c r="AH371" s="38">
        <v>0.19565217391304299</v>
      </c>
      <c r="AI371" s="38" t="s">
        <v>195</v>
      </c>
      <c r="AJ371" s="7"/>
    </row>
    <row r="372" spans="1:36" x14ac:dyDescent="0.35">
      <c r="AJ372" s="7"/>
    </row>
    <row r="373" spans="1:36" x14ac:dyDescent="0.35">
      <c r="A373" s="17" t="s">
        <v>207</v>
      </c>
      <c r="B373" s="17"/>
      <c r="C373" s="18" t="s">
        <v>122</v>
      </c>
      <c r="D373" s="18" t="s">
        <v>123</v>
      </c>
      <c r="E373" s="18" t="s">
        <v>124</v>
      </c>
      <c r="F373" s="18" t="s">
        <v>125</v>
      </c>
      <c r="G373" s="18" t="s">
        <v>126</v>
      </c>
      <c r="H373" s="18" t="s">
        <v>127</v>
      </c>
      <c r="I373" s="18" t="s">
        <v>128</v>
      </c>
      <c r="J373" s="18" t="s">
        <v>129</v>
      </c>
      <c r="K373" s="18" t="s">
        <v>130</v>
      </c>
      <c r="L373" s="18" t="s">
        <v>131</v>
      </c>
      <c r="M373" s="18" t="s">
        <v>132</v>
      </c>
      <c r="N373" s="18" t="s">
        <v>133</v>
      </c>
      <c r="O373" s="18" t="s">
        <v>134</v>
      </c>
      <c r="P373" s="18" t="s">
        <v>135</v>
      </c>
      <c r="Q373" s="18" t="s">
        <v>136</v>
      </c>
      <c r="R373" s="18" t="s">
        <v>137</v>
      </c>
      <c r="S373" s="18" t="s">
        <v>138</v>
      </c>
      <c r="T373" s="18" t="s">
        <v>139</v>
      </c>
      <c r="U373" s="18" t="s">
        <v>140</v>
      </c>
      <c r="V373" s="18" t="s">
        <v>141</v>
      </c>
      <c r="W373" s="18" t="s">
        <v>142</v>
      </c>
      <c r="X373" s="18" t="s">
        <v>143</v>
      </c>
      <c r="Y373" s="18" t="s">
        <v>144</v>
      </c>
      <c r="Z373" s="18" t="s">
        <v>145</v>
      </c>
      <c r="AA373" s="18" t="s">
        <v>146</v>
      </c>
      <c r="AB373" s="18" t="s">
        <v>147</v>
      </c>
      <c r="AC373" s="18" t="s">
        <v>148</v>
      </c>
      <c r="AD373" s="18" t="s">
        <v>149</v>
      </c>
      <c r="AE373" s="18" t="s">
        <v>150</v>
      </c>
      <c r="AF373" s="18" t="s">
        <v>151</v>
      </c>
      <c r="AG373" s="18" t="s">
        <v>152</v>
      </c>
      <c r="AH373" s="18" t="s">
        <v>153</v>
      </c>
      <c r="AI373" s="18" t="s">
        <v>154</v>
      </c>
      <c r="AJ373" s="7"/>
    </row>
    <row r="374" spans="1:36" x14ac:dyDescent="0.35">
      <c r="A374" s="17" t="s">
        <v>208</v>
      </c>
      <c r="B374" s="17"/>
      <c r="C374" s="19">
        <f>COUNTIFS(B$4:B$63,B371,$AI$4:$AI$63,"YES")</f>
        <v>0</v>
      </c>
      <c r="D374" s="19">
        <f>COUNTIFS(C$4:C$63,C371,$AI$4:$AI$63,"YES")</f>
        <v>0</v>
      </c>
      <c r="E374" s="19">
        <f t="shared" ref="E374:AJ374" si="80">COUNTIFS(D$4:D$63,D371,$AI$4:$AI$63,"YES")</f>
        <v>3</v>
      </c>
      <c r="F374" s="19">
        <f t="shared" si="80"/>
        <v>2</v>
      </c>
      <c r="G374" s="19">
        <f t="shared" si="80"/>
        <v>2</v>
      </c>
      <c r="H374" s="19">
        <f t="shared" si="80"/>
        <v>4</v>
      </c>
      <c r="I374" s="19">
        <f t="shared" si="80"/>
        <v>4</v>
      </c>
      <c r="J374" s="19">
        <f t="shared" si="80"/>
        <v>4</v>
      </c>
      <c r="K374" s="19">
        <f t="shared" si="80"/>
        <v>0</v>
      </c>
      <c r="L374" s="19">
        <f t="shared" si="80"/>
        <v>2</v>
      </c>
      <c r="M374" s="19">
        <f t="shared" si="80"/>
        <v>4</v>
      </c>
      <c r="N374" s="19">
        <f t="shared" si="80"/>
        <v>3</v>
      </c>
      <c r="O374" s="19">
        <f t="shared" si="80"/>
        <v>4</v>
      </c>
      <c r="P374" s="19">
        <f t="shared" si="80"/>
        <v>4</v>
      </c>
      <c r="Q374" s="19">
        <f t="shared" si="80"/>
        <v>1</v>
      </c>
      <c r="R374" s="19">
        <f t="shared" si="80"/>
        <v>3</v>
      </c>
      <c r="S374" s="19">
        <f t="shared" si="80"/>
        <v>4</v>
      </c>
      <c r="T374" s="19">
        <f t="shared" si="80"/>
        <v>4</v>
      </c>
      <c r="U374" s="19">
        <f t="shared" si="80"/>
        <v>4</v>
      </c>
      <c r="V374" s="19">
        <f t="shared" si="80"/>
        <v>4</v>
      </c>
      <c r="W374" s="19">
        <f t="shared" si="80"/>
        <v>4</v>
      </c>
      <c r="X374" s="19">
        <f t="shared" si="80"/>
        <v>4</v>
      </c>
      <c r="Y374" s="19">
        <f t="shared" si="80"/>
        <v>4</v>
      </c>
      <c r="Z374" s="19">
        <f t="shared" si="80"/>
        <v>4</v>
      </c>
      <c r="AA374" s="19">
        <f t="shared" si="80"/>
        <v>0</v>
      </c>
      <c r="AB374" s="19">
        <f t="shared" si="80"/>
        <v>0</v>
      </c>
      <c r="AC374" s="19">
        <f t="shared" si="80"/>
        <v>4</v>
      </c>
      <c r="AD374" s="19">
        <f t="shared" si="80"/>
        <v>4</v>
      </c>
      <c r="AE374" s="19">
        <f t="shared" si="80"/>
        <v>4</v>
      </c>
      <c r="AF374" s="19">
        <f t="shared" si="80"/>
        <v>4</v>
      </c>
      <c r="AG374" s="19">
        <f t="shared" si="80"/>
        <v>4</v>
      </c>
      <c r="AH374" s="19">
        <f t="shared" si="80"/>
        <v>4</v>
      </c>
      <c r="AI374" s="19">
        <f t="shared" si="80"/>
        <v>1</v>
      </c>
      <c r="AJ374" s="20"/>
    </row>
    <row r="375" spans="1:36" x14ac:dyDescent="0.35">
      <c r="A375" s="17" t="s">
        <v>209</v>
      </c>
      <c r="B375" s="17"/>
      <c r="C375" s="19">
        <f>COUNTIFS(B$4:B$63,B371,$AI$4:$AI$63,"NO")</f>
        <v>11</v>
      </c>
      <c r="D375" s="19">
        <f t="shared" ref="D375:AI375" si="81">COUNTIFS(C$4:C$63,C371,$AI$4:$AI$63,"NO")</f>
        <v>15</v>
      </c>
      <c r="E375" s="19">
        <f t="shared" si="81"/>
        <v>12</v>
      </c>
      <c r="F375" s="19">
        <f t="shared" si="81"/>
        <v>31</v>
      </c>
      <c r="G375" s="19">
        <f t="shared" si="81"/>
        <v>13</v>
      </c>
      <c r="H375" s="19">
        <f t="shared" si="81"/>
        <v>45</v>
      </c>
      <c r="I375" s="19">
        <f t="shared" si="81"/>
        <v>47</v>
      </c>
      <c r="J375" s="19">
        <f t="shared" si="81"/>
        <v>45</v>
      </c>
      <c r="K375" s="19">
        <f t="shared" si="81"/>
        <v>17</v>
      </c>
      <c r="L375" s="19">
        <f t="shared" si="81"/>
        <v>39</v>
      </c>
      <c r="M375" s="19">
        <f t="shared" si="81"/>
        <v>44</v>
      </c>
      <c r="N375" s="19">
        <f t="shared" si="81"/>
        <v>31</v>
      </c>
      <c r="O375" s="19">
        <f t="shared" si="81"/>
        <v>44</v>
      </c>
      <c r="P375" s="19">
        <f t="shared" si="81"/>
        <v>42</v>
      </c>
      <c r="Q375" s="19">
        <f t="shared" si="81"/>
        <v>41</v>
      </c>
      <c r="R375" s="19">
        <f t="shared" si="81"/>
        <v>38</v>
      </c>
      <c r="S375" s="19">
        <f t="shared" si="81"/>
        <v>49</v>
      </c>
      <c r="T375" s="19">
        <f t="shared" si="81"/>
        <v>41</v>
      </c>
      <c r="U375" s="19">
        <f t="shared" si="81"/>
        <v>49</v>
      </c>
      <c r="V375" s="19">
        <f t="shared" si="81"/>
        <v>56</v>
      </c>
      <c r="W375" s="19">
        <f t="shared" si="81"/>
        <v>56</v>
      </c>
      <c r="X375" s="19">
        <f t="shared" si="81"/>
        <v>43</v>
      </c>
      <c r="Y375" s="19">
        <f t="shared" si="81"/>
        <v>56</v>
      </c>
      <c r="Z375" s="19">
        <f t="shared" si="81"/>
        <v>50</v>
      </c>
      <c r="AA375" s="19">
        <f t="shared" si="81"/>
        <v>5</v>
      </c>
      <c r="AB375" s="19">
        <f t="shared" si="81"/>
        <v>25</v>
      </c>
      <c r="AC375" s="19">
        <f t="shared" si="81"/>
        <v>56</v>
      </c>
      <c r="AD375" s="19">
        <f t="shared" si="81"/>
        <v>56</v>
      </c>
      <c r="AE375" s="19">
        <f t="shared" si="81"/>
        <v>56</v>
      </c>
      <c r="AF375" s="19">
        <f t="shared" si="81"/>
        <v>56</v>
      </c>
      <c r="AG375" s="19">
        <f t="shared" si="81"/>
        <v>47</v>
      </c>
      <c r="AH375" s="19">
        <f t="shared" si="81"/>
        <v>56</v>
      </c>
      <c r="AI375" s="19">
        <f t="shared" si="81"/>
        <v>30</v>
      </c>
      <c r="AJ375" s="20"/>
    </row>
    <row r="376" spans="1:36" x14ac:dyDescent="0.35">
      <c r="A376" s="17" t="s">
        <v>210</v>
      </c>
      <c r="B376" s="18" t="s">
        <v>208</v>
      </c>
      <c r="C376" s="19">
        <f>C374/$B$108</f>
        <v>0</v>
      </c>
      <c r="D376" s="19">
        <f t="shared" ref="D376:AI376" si="82">D374/$B$108</f>
        <v>0</v>
      </c>
      <c r="E376" s="19">
        <f t="shared" si="82"/>
        <v>45</v>
      </c>
      <c r="F376" s="19">
        <f t="shared" si="82"/>
        <v>30</v>
      </c>
      <c r="G376" s="19">
        <f t="shared" si="82"/>
        <v>30</v>
      </c>
      <c r="H376" s="19">
        <f t="shared" si="82"/>
        <v>60</v>
      </c>
      <c r="I376" s="19">
        <f t="shared" si="82"/>
        <v>60</v>
      </c>
      <c r="J376" s="19">
        <f t="shared" si="82"/>
        <v>60</v>
      </c>
      <c r="K376" s="19">
        <f t="shared" si="82"/>
        <v>0</v>
      </c>
      <c r="L376" s="19">
        <f t="shared" si="82"/>
        <v>30</v>
      </c>
      <c r="M376" s="19">
        <f t="shared" si="82"/>
        <v>60</v>
      </c>
      <c r="N376" s="19">
        <f t="shared" si="82"/>
        <v>45</v>
      </c>
      <c r="O376" s="19">
        <f t="shared" si="82"/>
        <v>60</v>
      </c>
      <c r="P376" s="19">
        <f t="shared" si="82"/>
        <v>60</v>
      </c>
      <c r="Q376" s="19">
        <f t="shared" si="82"/>
        <v>15</v>
      </c>
      <c r="R376" s="19">
        <f t="shared" si="82"/>
        <v>45</v>
      </c>
      <c r="S376" s="19">
        <f t="shared" si="82"/>
        <v>60</v>
      </c>
      <c r="T376" s="19">
        <f t="shared" si="82"/>
        <v>60</v>
      </c>
      <c r="U376" s="19">
        <f t="shared" si="82"/>
        <v>60</v>
      </c>
      <c r="V376" s="19">
        <f t="shared" si="82"/>
        <v>60</v>
      </c>
      <c r="W376" s="19">
        <f t="shared" si="82"/>
        <v>60</v>
      </c>
      <c r="X376" s="19">
        <f t="shared" si="82"/>
        <v>60</v>
      </c>
      <c r="Y376" s="19">
        <f t="shared" si="82"/>
        <v>60</v>
      </c>
      <c r="Z376" s="19">
        <f t="shared" si="82"/>
        <v>60</v>
      </c>
      <c r="AA376" s="19">
        <f t="shared" si="82"/>
        <v>0</v>
      </c>
      <c r="AB376" s="19">
        <f t="shared" si="82"/>
        <v>0</v>
      </c>
      <c r="AC376" s="19">
        <f t="shared" si="82"/>
        <v>60</v>
      </c>
      <c r="AD376" s="19">
        <f t="shared" si="82"/>
        <v>60</v>
      </c>
      <c r="AE376" s="19">
        <f t="shared" si="82"/>
        <v>60</v>
      </c>
      <c r="AF376" s="19">
        <f t="shared" si="82"/>
        <v>60</v>
      </c>
      <c r="AG376" s="19">
        <f t="shared" si="82"/>
        <v>60</v>
      </c>
      <c r="AH376" s="19">
        <f t="shared" si="82"/>
        <v>60</v>
      </c>
      <c r="AI376" s="19">
        <f t="shared" si="82"/>
        <v>15</v>
      </c>
      <c r="AJ376" s="19">
        <f>C376*D376*E376*F376*G376*H376*I376*J376*K376*L376*M376*N376*O376*P376*Q376*R376*S376*T376*U376*V376*W376*X376*Y376*Z376*AA376*AB376*AC376*AD376*AE376*AF376*AG376*AH376*AI376</f>
        <v>0</v>
      </c>
    </row>
    <row r="377" spans="1:36" x14ac:dyDescent="0.35">
      <c r="A377" s="17"/>
      <c r="B377" s="18" t="s">
        <v>209</v>
      </c>
      <c r="C377" s="19">
        <f>C375/$C$108</f>
        <v>11.785714285714285</v>
      </c>
      <c r="D377" s="19">
        <f t="shared" ref="D377:AI377" si="83">D375/$C$108</f>
        <v>16.071428571428569</v>
      </c>
      <c r="E377" s="19">
        <f t="shared" si="83"/>
        <v>12.857142857142858</v>
      </c>
      <c r="F377" s="19">
        <f t="shared" si="83"/>
        <v>33.214285714285715</v>
      </c>
      <c r="G377" s="19">
        <f t="shared" si="83"/>
        <v>13.928571428571429</v>
      </c>
      <c r="H377" s="19">
        <f t="shared" si="83"/>
        <v>48.214285714285715</v>
      </c>
      <c r="I377" s="19">
        <f t="shared" si="83"/>
        <v>50.357142857142854</v>
      </c>
      <c r="J377" s="19">
        <f t="shared" si="83"/>
        <v>48.214285714285715</v>
      </c>
      <c r="K377" s="19">
        <f t="shared" si="83"/>
        <v>18.214285714285715</v>
      </c>
      <c r="L377" s="19">
        <f t="shared" si="83"/>
        <v>41.785714285714285</v>
      </c>
      <c r="M377" s="19">
        <f t="shared" si="83"/>
        <v>47.142857142857139</v>
      </c>
      <c r="N377" s="19">
        <f t="shared" si="83"/>
        <v>33.214285714285715</v>
      </c>
      <c r="O377" s="19">
        <f t="shared" si="83"/>
        <v>47.142857142857139</v>
      </c>
      <c r="P377" s="19">
        <f t="shared" si="83"/>
        <v>45</v>
      </c>
      <c r="Q377" s="19">
        <f t="shared" si="83"/>
        <v>43.928571428571431</v>
      </c>
      <c r="R377" s="19">
        <f t="shared" si="83"/>
        <v>40.714285714285715</v>
      </c>
      <c r="S377" s="19">
        <f t="shared" si="83"/>
        <v>52.5</v>
      </c>
      <c r="T377" s="19">
        <f t="shared" si="83"/>
        <v>43.928571428571431</v>
      </c>
      <c r="U377" s="19">
        <f t="shared" si="83"/>
        <v>52.5</v>
      </c>
      <c r="V377" s="19">
        <f t="shared" si="83"/>
        <v>60</v>
      </c>
      <c r="W377" s="19">
        <f t="shared" si="83"/>
        <v>60</v>
      </c>
      <c r="X377" s="19">
        <f t="shared" si="83"/>
        <v>46.071428571428569</v>
      </c>
      <c r="Y377" s="19">
        <f t="shared" si="83"/>
        <v>60</v>
      </c>
      <c r="Z377" s="19">
        <f t="shared" si="83"/>
        <v>53.571428571428569</v>
      </c>
      <c r="AA377" s="19">
        <f t="shared" si="83"/>
        <v>5.3571428571428568</v>
      </c>
      <c r="AB377" s="19">
        <f t="shared" si="83"/>
        <v>26.785714285714285</v>
      </c>
      <c r="AC377" s="19">
        <f t="shared" si="83"/>
        <v>60</v>
      </c>
      <c r="AD377" s="19">
        <f t="shared" si="83"/>
        <v>60</v>
      </c>
      <c r="AE377" s="19">
        <f t="shared" si="83"/>
        <v>60</v>
      </c>
      <c r="AF377" s="19">
        <f t="shared" si="83"/>
        <v>60</v>
      </c>
      <c r="AG377" s="19">
        <f t="shared" si="83"/>
        <v>50.357142857142854</v>
      </c>
      <c r="AH377" s="19">
        <f t="shared" si="83"/>
        <v>60</v>
      </c>
      <c r="AI377" s="19">
        <f t="shared" si="83"/>
        <v>32.142857142857139</v>
      </c>
      <c r="AJ377" s="19">
        <f>C377*D377*E377*F377*G377*H377*I377*J377*K377*L377*M377*N377*O377*P377*Q377*R377*S377*T377*U377*V377*W377*X377*Y377*Z377*AA377*AB377*AC377*AD377*AE377*AF377*AG377*AH377*AI377</f>
        <v>6.9522379927273794E+51</v>
      </c>
    </row>
    <row r="378" spans="1:36" x14ac:dyDescent="0.35">
      <c r="A378" s="21"/>
      <c r="B378" s="21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20"/>
    </row>
    <row r="379" spans="1:36" x14ac:dyDescent="0.35">
      <c r="A379" s="22" t="s">
        <v>211</v>
      </c>
      <c r="B379" s="23"/>
      <c r="C379" s="24" t="s">
        <v>212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20"/>
    </row>
    <row r="380" spans="1:36" x14ac:dyDescent="0.35">
      <c r="A380" s="25" t="s">
        <v>208</v>
      </c>
      <c r="B380" s="26">
        <f>AJ376*$B$108</f>
        <v>0</v>
      </c>
      <c r="C380" s="27" t="str">
        <f>IF(B380&gt;B381,A380,A381)</f>
        <v>No</v>
      </c>
      <c r="D380" s="20"/>
      <c r="E380" s="20"/>
      <c r="F380" s="20"/>
      <c r="G380" s="20"/>
      <c r="H380" s="20"/>
      <c r="I380" s="20"/>
      <c r="J380" s="20"/>
      <c r="K380" s="20"/>
      <c r="L380" s="2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20"/>
    </row>
    <row r="381" spans="1:36" x14ac:dyDescent="0.35">
      <c r="A381" s="25" t="s">
        <v>209</v>
      </c>
      <c r="B381" s="26">
        <f>AJ377*$C$108</f>
        <v>6.4887554598788873E+51</v>
      </c>
      <c r="C381" s="28"/>
      <c r="D381" s="20"/>
      <c r="E381" s="20"/>
      <c r="F381" s="20"/>
      <c r="G381" s="20"/>
      <c r="H381" s="20"/>
      <c r="I381" s="20"/>
      <c r="J381" s="20"/>
      <c r="K381" s="20"/>
      <c r="L381" s="2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20"/>
    </row>
    <row r="383" spans="1:36" x14ac:dyDescent="0.35">
      <c r="A383" s="15"/>
      <c r="B383" s="16" t="s">
        <v>122</v>
      </c>
      <c r="C383" s="16" t="s">
        <v>123</v>
      </c>
      <c r="D383" s="16" t="s">
        <v>124</v>
      </c>
      <c r="E383" s="16" t="s">
        <v>125</v>
      </c>
      <c r="F383" s="16" t="s">
        <v>126</v>
      </c>
      <c r="G383" s="16" t="s">
        <v>127</v>
      </c>
      <c r="H383" s="16" t="s">
        <v>128</v>
      </c>
      <c r="I383" s="16" t="s">
        <v>129</v>
      </c>
      <c r="J383" s="16" t="s">
        <v>130</v>
      </c>
      <c r="K383" s="16" t="s">
        <v>131</v>
      </c>
      <c r="L383" s="16" t="s">
        <v>132</v>
      </c>
      <c r="M383" s="16" t="s">
        <v>133</v>
      </c>
      <c r="N383" s="16" t="s">
        <v>134</v>
      </c>
      <c r="O383" s="16" t="s">
        <v>135</v>
      </c>
      <c r="P383" s="16" t="s">
        <v>136</v>
      </c>
      <c r="Q383" s="16" t="s">
        <v>137</v>
      </c>
      <c r="R383" s="16" t="s">
        <v>138</v>
      </c>
      <c r="S383" s="16" t="s">
        <v>139</v>
      </c>
      <c r="T383" s="16" t="s">
        <v>140</v>
      </c>
      <c r="U383" s="16" t="s">
        <v>141</v>
      </c>
      <c r="V383" s="16" t="s">
        <v>142</v>
      </c>
      <c r="W383" s="16" t="s">
        <v>143</v>
      </c>
      <c r="X383" s="16" t="s">
        <v>144</v>
      </c>
      <c r="Y383" s="16" t="s">
        <v>145</v>
      </c>
      <c r="Z383" s="16" t="s">
        <v>146</v>
      </c>
      <c r="AA383" s="16" t="s">
        <v>147</v>
      </c>
      <c r="AB383" s="16" t="s">
        <v>148</v>
      </c>
      <c r="AC383" s="16" t="s">
        <v>149</v>
      </c>
      <c r="AD383" s="16" t="s">
        <v>150</v>
      </c>
      <c r="AE383" s="16" t="s">
        <v>151</v>
      </c>
      <c r="AF383" s="16" t="s">
        <v>152</v>
      </c>
      <c r="AG383" s="16" t="s">
        <v>153</v>
      </c>
      <c r="AH383" s="16" t="s">
        <v>154</v>
      </c>
      <c r="AI383" s="16"/>
      <c r="AJ383" s="7"/>
    </row>
    <row r="384" spans="1:36" x14ac:dyDescent="0.35">
      <c r="A384" s="9" t="s">
        <v>294</v>
      </c>
      <c r="B384" s="38">
        <v>0.5</v>
      </c>
      <c r="C384" s="38">
        <v>0</v>
      </c>
      <c r="D384" s="38">
        <v>0</v>
      </c>
      <c r="E384" s="38">
        <v>0.66666666666666596</v>
      </c>
      <c r="F384" s="38">
        <v>0</v>
      </c>
      <c r="G384" s="38">
        <v>1</v>
      </c>
      <c r="H384" s="38">
        <v>0.55555555555555503</v>
      </c>
      <c r="I384" s="38">
        <v>1</v>
      </c>
      <c r="J384" s="38">
        <v>0.5</v>
      </c>
      <c r="K384" s="38">
        <v>0</v>
      </c>
      <c r="L384" s="38">
        <v>0</v>
      </c>
      <c r="M384" s="38">
        <v>0</v>
      </c>
      <c r="N384" s="38">
        <v>1</v>
      </c>
      <c r="O384" s="38">
        <v>0</v>
      </c>
      <c r="P384" s="38">
        <v>0</v>
      </c>
      <c r="Q384" s="38">
        <v>0.4</v>
      </c>
      <c r="R384" s="38">
        <v>1</v>
      </c>
      <c r="S384" s="38">
        <v>1</v>
      </c>
      <c r="T384" s="38">
        <v>1</v>
      </c>
      <c r="U384" s="38">
        <v>1</v>
      </c>
      <c r="V384" s="38">
        <v>1</v>
      </c>
      <c r="W384" s="38">
        <v>0</v>
      </c>
      <c r="X384" s="38">
        <v>1</v>
      </c>
      <c r="Y384" s="38">
        <v>1</v>
      </c>
      <c r="Z384" s="38">
        <v>1</v>
      </c>
      <c r="AA384" s="38">
        <v>1</v>
      </c>
      <c r="AB384" s="38">
        <v>1</v>
      </c>
      <c r="AC384" s="38">
        <v>1</v>
      </c>
      <c r="AD384" s="38">
        <v>1</v>
      </c>
      <c r="AE384" s="38">
        <v>1</v>
      </c>
      <c r="AF384" s="38">
        <v>1</v>
      </c>
      <c r="AG384" s="38">
        <v>1</v>
      </c>
      <c r="AH384" s="38">
        <v>0.19565217391304299</v>
      </c>
      <c r="AI384" s="38" t="s">
        <v>195</v>
      </c>
      <c r="AJ384" s="7"/>
    </row>
    <row r="385" spans="1:36" x14ac:dyDescent="0.35">
      <c r="AJ385" s="7"/>
    </row>
    <row r="386" spans="1:36" x14ac:dyDescent="0.35">
      <c r="A386" s="17" t="s">
        <v>207</v>
      </c>
      <c r="B386" s="17"/>
      <c r="C386" s="18" t="s">
        <v>122</v>
      </c>
      <c r="D386" s="18" t="s">
        <v>123</v>
      </c>
      <c r="E386" s="18" t="s">
        <v>124</v>
      </c>
      <c r="F386" s="18" t="s">
        <v>125</v>
      </c>
      <c r="G386" s="18" t="s">
        <v>126</v>
      </c>
      <c r="H386" s="18" t="s">
        <v>127</v>
      </c>
      <c r="I386" s="18" t="s">
        <v>128</v>
      </c>
      <c r="J386" s="18" t="s">
        <v>129</v>
      </c>
      <c r="K386" s="18" t="s">
        <v>130</v>
      </c>
      <c r="L386" s="18" t="s">
        <v>131</v>
      </c>
      <c r="M386" s="18" t="s">
        <v>132</v>
      </c>
      <c r="N386" s="18" t="s">
        <v>133</v>
      </c>
      <c r="O386" s="18" t="s">
        <v>134</v>
      </c>
      <c r="P386" s="18" t="s">
        <v>135</v>
      </c>
      <c r="Q386" s="18" t="s">
        <v>136</v>
      </c>
      <c r="R386" s="18" t="s">
        <v>137</v>
      </c>
      <c r="S386" s="18" t="s">
        <v>138</v>
      </c>
      <c r="T386" s="18" t="s">
        <v>139</v>
      </c>
      <c r="U386" s="18" t="s">
        <v>140</v>
      </c>
      <c r="V386" s="18" t="s">
        <v>141</v>
      </c>
      <c r="W386" s="18" t="s">
        <v>142</v>
      </c>
      <c r="X386" s="18" t="s">
        <v>143</v>
      </c>
      <c r="Y386" s="18" t="s">
        <v>144</v>
      </c>
      <c r="Z386" s="18" t="s">
        <v>145</v>
      </c>
      <c r="AA386" s="18" t="s">
        <v>146</v>
      </c>
      <c r="AB386" s="18" t="s">
        <v>147</v>
      </c>
      <c r="AC386" s="18" t="s">
        <v>148</v>
      </c>
      <c r="AD386" s="18" t="s">
        <v>149</v>
      </c>
      <c r="AE386" s="18" t="s">
        <v>150</v>
      </c>
      <c r="AF386" s="18" t="s">
        <v>151</v>
      </c>
      <c r="AG386" s="18" t="s">
        <v>152</v>
      </c>
      <c r="AH386" s="18" t="s">
        <v>153</v>
      </c>
      <c r="AI386" s="18" t="s">
        <v>154</v>
      </c>
      <c r="AJ386" s="7"/>
    </row>
    <row r="387" spans="1:36" x14ac:dyDescent="0.35">
      <c r="A387" s="17" t="s">
        <v>208</v>
      </c>
      <c r="B387" s="17"/>
      <c r="C387" s="19">
        <f>COUNTIFS(B$4:B$63,B384,$AI$4:$AI$63,"YES")</f>
        <v>0</v>
      </c>
      <c r="D387" s="19">
        <f>COUNTIFS(C$4:C$63,C384,$AI$4:$AI$63,"YES")</f>
        <v>0</v>
      </c>
      <c r="E387" s="19">
        <f t="shared" ref="E387:AJ387" si="84">COUNTIFS(D$4:D$63,D384,$AI$4:$AI$63,"YES")</f>
        <v>0</v>
      </c>
      <c r="F387" s="19">
        <f t="shared" si="84"/>
        <v>2</v>
      </c>
      <c r="G387" s="19">
        <f t="shared" si="84"/>
        <v>2</v>
      </c>
      <c r="H387" s="19">
        <f t="shared" si="84"/>
        <v>4</v>
      </c>
      <c r="I387" s="19">
        <f t="shared" si="84"/>
        <v>4</v>
      </c>
      <c r="J387" s="19">
        <f t="shared" si="84"/>
        <v>4</v>
      </c>
      <c r="K387" s="19">
        <f t="shared" si="84"/>
        <v>4</v>
      </c>
      <c r="L387" s="19">
        <f t="shared" si="84"/>
        <v>2</v>
      </c>
      <c r="M387" s="19">
        <f t="shared" si="84"/>
        <v>4</v>
      </c>
      <c r="N387" s="19">
        <f t="shared" si="84"/>
        <v>0</v>
      </c>
      <c r="O387" s="19">
        <f t="shared" si="84"/>
        <v>4</v>
      </c>
      <c r="P387" s="19">
        <f t="shared" si="84"/>
        <v>4</v>
      </c>
      <c r="Q387" s="19">
        <f t="shared" si="84"/>
        <v>1</v>
      </c>
      <c r="R387" s="19">
        <f t="shared" si="84"/>
        <v>3</v>
      </c>
      <c r="S387" s="19">
        <f t="shared" si="84"/>
        <v>4</v>
      </c>
      <c r="T387" s="19">
        <f t="shared" si="84"/>
        <v>4</v>
      </c>
      <c r="U387" s="19">
        <f t="shared" si="84"/>
        <v>4</v>
      </c>
      <c r="V387" s="19">
        <f t="shared" si="84"/>
        <v>4</v>
      </c>
      <c r="W387" s="19">
        <f t="shared" si="84"/>
        <v>4</v>
      </c>
      <c r="X387" s="19">
        <f t="shared" si="84"/>
        <v>4</v>
      </c>
      <c r="Y387" s="19">
        <f t="shared" si="84"/>
        <v>4</v>
      </c>
      <c r="Z387" s="19">
        <f t="shared" si="84"/>
        <v>4</v>
      </c>
      <c r="AA387" s="19">
        <f t="shared" si="84"/>
        <v>4</v>
      </c>
      <c r="AB387" s="19">
        <f t="shared" si="84"/>
        <v>0</v>
      </c>
      <c r="AC387" s="19">
        <f t="shared" si="84"/>
        <v>4</v>
      </c>
      <c r="AD387" s="19">
        <f t="shared" si="84"/>
        <v>4</v>
      </c>
      <c r="AE387" s="19">
        <f t="shared" si="84"/>
        <v>4</v>
      </c>
      <c r="AF387" s="19">
        <f t="shared" si="84"/>
        <v>4</v>
      </c>
      <c r="AG387" s="19">
        <f t="shared" si="84"/>
        <v>4</v>
      </c>
      <c r="AH387" s="19">
        <f t="shared" si="84"/>
        <v>4</v>
      </c>
      <c r="AI387" s="19">
        <f t="shared" si="84"/>
        <v>1</v>
      </c>
      <c r="AJ387" s="20"/>
    </row>
    <row r="388" spans="1:36" x14ac:dyDescent="0.35">
      <c r="A388" s="17" t="s">
        <v>209</v>
      </c>
      <c r="B388" s="17"/>
      <c r="C388" s="19">
        <f>COUNTIFS(B$4:B$63,B384,$AI$4:$AI$63,"NO")</f>
        <v>9</v>
      </c>
      <c r="D388" s="19">
        <f t="shared" ref="D388:AI388" si="85">COUNTIFS(C$4:C$63,C384,$AI$4:$AI$63,"NO")</f>
        <v>15</v>
      </c>
      <c r="E388" s="19">
        <f t="shared" si="85"/>
        <v>15</v>
      </c>
      <c r="F388" s="19">
        <f t="shared" si="85"/>
        <v>31</v>
      </c>
      <c r="G388" s="19">
        <f t="shared" si="85"/>
        <v>34</v>
      </c>
      <c r="H388" s="19">
        <f t="shared" si="85"/>
        <v>45</v>
      </c>
      <c r="I388" s="19">
        <f t="shared" si="85"/>
        <v>47</v>
      </c>
      <c r="J388" s="19">
        <f t="shared" si="85"/>
        <v>45</v>
      </c>
      <c r="K388" s="19">
        <f t="shared" si="85"/>
        <v>28</v>
      </c>
      <c r="L388" s="19">
        <f t="shared" si="85"/>
        <v>39</v>
      </c>
      <c r="M388" s="19">
        <f t="shared" si="85"/>
        <v>44</v>
      </c>
      <c r="N388" s="19">
        <f t="shared" si="85"/>
        <v>13</v>
      </c>
      <c r="O388" s="19">
        <f t="shared" si="85"/>
        <v>44</v>
      </c>
      <c r="P388" s="19">
        <f t="shared" si="85"/>
        <v>42</v>
      </c>
      <c r="Q388" s="19">
        <f t="shared" si="85"/>
        <v>41</v>
      </c>
      <c r="R388" s="19">
        <f t="shared" si="85"/>
        <v>38</v>
      </c>
      <c r="S388" s="19">
        <f t="shared" si="85"/>
        <v>49</v>
      </c>
      <c r="T388" s="19">
        <f t="shared" si="85"/>
        <v>41</v>
      </c>
      <c r="U388" s="19">
        <f t="shared" si="85"/>
        <v>49</v>
      </c>
      <c r="V388" s="19">
        <f t="shared" si="85"/>
        <v>56</v>
      </c>
      <c r="W388" s="19">
        <f t="shared" si="85"/>
        <v>56</v>
      </c>
      <c r="X388" s="19">
        <f t="shared" si="85"/>
        <v>43</v>
      </c>
      <c r="Y388" s="19">
        <f t="shared" si="85"/>
        <v>56</v>
      </c>
      <c r="Z388" s="19">
        <f t="shared" si="85"/>
        <v>50</v>
      </c>
      <c r="AA388" s="19">
        <f t="shared" si="85"/>
        <v>45</v>
      </c>
      <c r="AB388" s="19">
        <f t="shared" si="85"/>
        <v>25</v>
      </c>
      <c r="AC388" s="19">
        <f t="shared" si="85"/>
        <v>56</v>
      </c>
      <c r="AD388" s="19">
        <f t="shared" si="85"/>
        <v>56</v>
      </c>
      <c r="AE388" s="19">
        <f t="shared" si="85"/>
        <v>56</v>
      </c>
      <c r="AF388" s="19">
        <f t="shared" si="85"/>
        <v>56</v>
      </c>
      <c r="AG388" s="19">
        <f t="shared" si="85"/>
        <v>47</v>
      </c>
      <c r="AH388" s="19">
        <f t="shared" si="85"/>
        <v>56</v>
      </c>
      <c r="AI388" s="19">
        <f t="shared" si="85"/>
        <v>30</v>
      </c>
      <c r="AJ388" s="20"/>
    </row>
    <row r="389" spans="1:36" x14ac:dyDescent="0.35">
      <c r="A389" s="17" t="s">
        <v>210</v>
      </c>
      <c r="B389" s="18" t="s">
        <v>208</v>
      </c>
      <c r="C389" s="19">
        <f>C387/$B$108</f>
        <v>0</v>
      </c>
      <c r="D389" s="19">
        <f t="shared" ref="D389:AI389" si="86">D387/$B$108</f>
        <v>0</v>
      </c>
      <c r="E389" s="19">
        <f t="shared" si="86"/>
        <v>0</v>
      </c>
      <c r="F389" s="19">
        <f t="shared" si="86"/>
        <v>30</v>
      </c>
      <c r="G389" s="19">
        <f t="shared" si="86"/>
        <v>30</v>
      </c>
      <c r="H389" s="19">
        <f t="shared" si="86"/>
        <v>60</v>
      </c>
      <c r="I389" s="19">
        <f t="shared" si="86"/>
        <v>60</v>
      </c>
      <c r="J389" s="19">
        <f t="shared" si="86"/>
        <v>60</v>
      </c>
      <c r="K389" s="19">
        <f t="shared" si="86"/>
        <v>60</v>
      </c>
      <c r="L389" s="19">
        <f t="shared" si="86"/>
        <v>30</v>
      </c>
      <c r="M389" s="19">
        <f t="shared" si="86"/>
        <v>60</v>
      </c>
      <c r="N389" s="19">
        <f t="shared" si="86"/>
        <v>0</v>
      </c>
      <c r="O389" s="19">
        <f t="shared" si="86"/>
        <v>60</v>
      </c>
      <c r="P389" s="19">
        <f t="shared" si="86"/>
        <v>60</v>
      </c>
      <c r="Q389" s="19">
        <f t="shared" si="86"/>
        <v>15</v>
      </c>
      <c r="R389" s="19">
        <f t="shared" si="86"/>
        <v>45</v>
      </c>
      <c r="S389" s="19">
        <f t="shared" si="86"/>
        <v>60</v>
      </c>
      <c r="T389" s="19">
        <f t="shared" si="86"/>
        <v>60</v>
      </c>
      <c r="U389" s="19">
        <f t="shared" si="86"/>
        <v>60</v>
      </c>
      <c r="V389" s="19">
        <f t="shared" si="86"/>
        <v>60</v>
      </c>
      <c r="W389" s="19">
        <f t="shared" si="86"/>
        <v>60</v>
      </c>
      <c r="X389" s="19">
        <f t="shared" si="86"/>
        <v>60</v>
      </c>
      <c r="Y389" s="19">
        <f t="shared" si="86"/>
        <v>60</v>
      </c>
      <c r="Z389" s="19">
        <f t="shared" si="86"/>
        <v>60</v>
      </c>
      <c r="AA389" s="19">
        <f t="shared" si="86"/>
        <v>60</v>
      </c>
      <c r="AB389" s="19">
        <f t="shared" si="86"/>
        <v>0</v>
      </c>
      <c r="AC389" s="19">
        <f t="shared" si="86"/>
        <v>60</v>
      </c>
      <c r="AD389" s="19">
        <f t="shared" si="86"/>
        <v>60</v>
      </c>
      <c r="AE389" s="19">
        <f t="shared" si="86"/>
        <v>60</v>
      </c>
      <c r="AF389" s="19">
        <f t="shared" si="86"/>
        <v>60</v>
      </c>
      <c r="AG389" s="19">
        <f t="shared" si="86"/>
        <v>60</v>
      </c>
      <c r="AH389" s="19">
        <f t="shared" si="86"/>
        <v>60</v>
      </c>
      <c r="AI389" s="19">
        <f t="shared" si="86"/>
        <v>15</v>
      </c>
      <c r="AJ389" s="19">
        <f>C389*D389*E389*F389*G389*H389*I389*J389*K389*L389*M389*N389*O389*P389*Q389*R389*S389*T389*U389*V389*W389*X389*Y389*Z389*AA389*AB389*AC389*AD389*AE389*AF389*AG389*AH389*AI389</f>
        <v>0</v>
      </c>
    </row>
    <row r="390" spans="1:36" x14ac:dyDescent="0.35">
      <c r="A390" s="17"/>
      <c r="B390" s="18" t="s">
        <v>209</v>
      </c>
      <c r="C390" s="19">
        <f>C388/$C$108</f>
        <v>9.6428571428571423</v>
      </c>
      <c r="D390" s="19">
        <f t="shared" ref="D390:AI390" si="87">D388/$C$108</f>
        <v>16.071428571428569</v>
      </c>
      <c r="E390" s="19">
        <f t="shared" si="87"/>
        <v>16.071428571428569</v>
      </c>
      <c r="F390" s="19">
        <f t="shared" si="87"/>
        <v>33.214285714285715</v>
      </c>
      <c r="G390" s="19">
        <f t="shared" si="87"/>
        <v>36.428571428571431</v>
      </c>
      <c r="H390" s="19">
        <f t="shared" si="87"/>
        <v>48.214285714285715</v>
      </c>
      <c r="I390" s="19">
        <f t="shared" si="87"/>
        <v>50.357142857142854</v>
      </c>
      <c r="J390" s="19">
        <f t="shared" si="87"/>
        <v>48.214285714285715</v>
      </c>
      <c r="K390" s="19">
        <f t="shared" si="87"/>
        <v>30</v>
      </c>
      <c r="L390" s="19">
        <f t="shared" si="87"/>
        <v>41.785714285714285</v>
      </c>
      <c r="M390" s="19">
        <f t="shared" si="87"/>
        <v>47.142857142857139</v>
      </c>
      <c r="N390" s="19">
        <f t="shared" si="87"/>
        <v>13.928571428571429</v>
      </c>
      <c r="O390" s="19">
        <f t="shared" si="87"/>
        <v>47.142857142857139</v>
      </c>
      <c r="P390" s="19">
        <f t="shared" si="87"/>
        <v>45</v>
      </c>
      <c r="Q390" s="19">
        <f t="shared" si="87"/>
        <v>43.928571428571431</v>
      </c>
      <c r="R390" s="19">
        <f t="shared" si="87"/>
        <v>40.714285714285715</v>
      </c>
      <c r="S390" s="19">
        <f t="shared" si="87"/>
        <v>52.5</v>
      </c>
      <c r="T390" s="19">
        <f t="shared" si="87"/>
        <v>43.928571428571431</v>
      </c>
      <c r="U390" s="19">
        <f t="shared" si="87"/>
        <v>52.5</v>
      </c>
      <c r="V390" s="19">
        <f t="shared" si="87"/>
        <v>60</v>
      </c>
      <c r="W390" s="19">
        <f t="shared" si="87"/>
        <v>60</v>
      </c>
      <c r="X390" s="19">
        <f t="shared" si="87"/>
        <v>46.071428571428569</v>
      </c>
      <c r="Y390" s="19">
        <f t="shared" si="87"/>
        <v>60</v>
      </c>
      <c r="Z390" s="19">
        <f t="shared" si="87"/>
        <v>53.571428571428569</v>
      </c>
      <c r="AA390" s="19">
        <f t="shared" si="87"/>
        <v>48.214285714285715</v>
      </c>
      <c r="AB390" s="19">
        <f t="shared" si="87"/>
        <v>26.785714285714285</v>
      </c>
      <c r="AC390" s="19">
        <f t="shared" si="87"/>
        <v>60</v>
      </c>
      <c r="AD390" s="19">
        <f t="shared" si="87"/>
        <v>60</v>
      </c>
      <c r="AE390" s="19">
        <f t="shared" si="87"/>
        <v>60</v>
      </c>
      <c r="AF390" s="19">
        <f t="shared" si="87"/>
        <v>60</v>
      </c>
      <c r="AG390" s="19">
        <f t="shared" si="87"/>
        <v>50.357142857142854</v>
      </c>
      <c r="AH390" s="19">
        <f t="shared" si="87"/>
        <v>60</v>
      </c>
      <c r="AI390" s="19">
        <f t="shared" si="87"/>
        <v>32.142857142857139</v>
      </c>
      <c r="AJ390" s="19">
        <f>C390*D390*E390*F390*G390*H390*I390*J390*K390*L390*M390*N390*O390*P390*Q390*R390*S390*T390*U390*V390*W390*X390*Y390*Z390*AA390*AB390*AC390*AD390*AE390*AF390*AG390*AH390*AI390</f>
        <v>1.1559879594945527E+53</v>
      </c>
    </row>
    <row r="391" spans="1:36" x14ac:dyDescent="0.35">
      <c r="A391" s="21"/>
      <c r="B391" s="21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20"/>
    </row>
    <row r="392" spans="1:36" x14ac:dyDescent="0.35">
      <c r="A392" s="22" t="s">
        <v>211</v>
      </c>
      <c r="B392" s="23"/>
      <c r="C392" s="24" t="s">
        <v>212</v>
      </c>
      <c r="D392" s="20"/>
      <c r="E392" s="20"/>
      <c r="F392" s="20"/>
      <c r="G392" s="20"/>
      <c r="H392" s="20"/>
      <c r="I392" s="20"/>
      <c r="J392" s="20"/>
      <c r="K392" s="20"/>
      <c r="L392" s="2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20"/>
    </row>
    <row r="393" spans="1:36" x14ac:dyDescent="0.35">
      <c r="A393" s="25" t="s">
        <v>208</v>
      </c>
      <c r="B393" s="26">
        <f>AJ389*$B$108</f>
        <v>0</v>
      </c>
      <c r="C393" s="27" t="str">
        <f>IF(B393&gt;B394,A393,A394)</f>
        <v>No</v>
      </c>
      <c r="D393" s="20"/>
      <c r="E393" s="20"/>
      <c r="F393" s="20"/>
      <c r="G393" s="20"/>
      <c r="H393" s="20"/>
      <c r="I393" s="20"/>
      <c r="J393" s="20"/>
      <c r="K393" s="20"/>
      <c r="L393" s="2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20"/>
    </row>
    <row r="394" spans="1:36" x14ac:dyDescent="0.35">
      <c r="A394" s="25" t="s">
        <v>209</v>
      </c>
      <c r="B394" s="26">
        <f>AJ390*$C$108</f>
        <v>1.0789220955282491E+53</v>
      </c>
      <c r="C394" s="28"/>
      <c r="D394" s="20"/>
      <c r="E394" s="20"/>
      <c r="F394" s="20"/>
      <c r="G394" s="20"/>
      <c r="H394" s="20"/>
      <c r="I394" s="20"/>
      <c r="J394" s="20"/>
      <c r="K394" s="20"/>
      <c r="L394" s="2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20"/>
    </row>
    <row r="396" spans="1:36" x14ac:dyDescent="0.35">
      <c r="A396" s="15"/>
      <c r="B396" s="16" t="s">
        <v>122</v>
      </c>
      <c r="C396" s="16" t="s">
        <v>123</v>
      </c>
      <c r="D396" s="16" t="s">
        <v>124</v>
      </c>
      <c r="E396" s="16" t="s">
        <v>125</v>
      </c>
      <c r="F396" s="16" t="s">
        <v>126</v>
      </c>
      <c r="G396" s="16" t="s">
        <v>127</v>
      </c>
      <c r="H396" s="16" t="s">
        <v>128</v>
      </c>
      <c r="I396" s="16" t="s">
        <v>129</v>
      </c>
      <c r="J396" s="16" t="s">
        <v>130</v>
      </c>
      <c r="K396" s="16" t="s">
        <v>131</v>
      </c>
      <c r="L396" s="16" t="s">
        <v>132</v>
      </c>
      <c r="M396" s="16" t="s">
        <v>133</v>
      </c>
      <c r="N396" s="16" t="s">
        <v>134</v>
      </c>
      <c r="O396" s="16" t="s">
        <v>135</v>
      </c>
      <c r="P396" s="16" t="s">
        <v>136</v>
      </c>
      <c r="Q396" s="16" t="s">
        <v>137</v>
      </c>
      <c r="R396" s="16" t="s">
        <v>138</v>
      </c>
      <c r="S396" s="16" t="s">
        <v>139</v>
      </c>
      <c r="T396" s="16" t="s">
        <v>140</v>
      </c>
      <c r="U396" s="16" t="s">
        <v>141</v>
      </c>
      <c r="V396" s="16" t="s">
        <v>142</v>
      </c>
      <c r="W396" s="16" t="s">
        <v>143</v>
      </c>
      <c r="X396" s="16" t="s">
        <v>144</v>
      </c>
      <c r="Y396" s="16" t="s">
        <v>145</v>
      </c>
      <c r="Z396" s="16" t="s">
        <v>146</v>
      </c>
      <c r="AA396" s="16" t="s">
        <v>147</v>
      </c>
      <c r="AB396" s="16" t="s">
        <v>148</v>
      </c>
      <c r="AC396" s="16" t="s">
        <v>149</v>
      </c>
      <c r="AD396" s="16" t="s">
        <v>150</v>
      </c>
      <c r="AE396" s="16" t="s">
        <v>151</v>
      </c>
      <c r="AF396" s="16" t="s">
        <v>152</v>
      </c>
      <c r="AG396" s="16" t="s">
        <v>153</v>
      </c>
      <c r="AH396" s="16" t="s">
        <v>154</v>
      </c>
      <c r="AI396" s="16"/>
      <c r="AJ396" s="7"/>
    </row>
    <row r="397" spans="1:36" x14ac:dyDescent="0.35">
      <c r="A397" s="9" t="s">
        <v>295</v>
      </c>
      <c r="B397" s="38">
        <v>0</v>
      </c>
      <c r="C397" s="38">
        <v>0.23765432098765399</v>
      </c>
      <c r="D397" s="38">
        <v>0.23899371069182301</v>
      </c>
      <c r="E397" s="38">
        <v>0.53703703703703698</v>
      </c>
      <c r="F397" s="38">
        <v>0.12757201646090499</v>
      </c>
      <c r="G397" s="38">
        <v>0.94805194805194803</v>
      </c>
      <c r="H397" s="38">
        <v>0.55692729766803795</v>
      </c>
      <c r="I397" s="38">
        <v>0.936708860759493</v>
      </c>
      <c r="J397" s="38">
        <v>0.407407407407407</v>
      </c>
      <c r="K397" s="38">
        <v>0.19478737997256501</v>
      </c>
      <c r="L397" s="38">
        <v>5.5555555555555497E-2</v>
      </c>
      <c r="M397" s="38">
        <v>0.158904109589041</v>
      </c>
      <c r="N397" s="38">
        <v>0.95061728395061695</v>
      </c>
      <c r="O397" s="38">
        <v>6.1728395061728301E-2</v>
      </c>
      <c r="P397" s="38">
        <v>0.189873417721519</v>
      </c>
      <c r="Q397" s="38">
        <v>0.32345679012345602</v>
      </c>
      <c r="R397" s="38">
        <v>0.98765432098765404</v>
      </c>
      <c r="S397" s="38">
        <v>0.76543209876543195</v>
      </c>
      <c r="T397" s="38">
        <v>0.97530864197530798</v>
      </c>
      <c r="U397" s="38">
        <v>1</v>
      </c>
      <c r="V397" s="38">
        <v>1</v>
      </c>
      <c r="W397" s="38">
        <v>0.11111111111111099</v>
      </c>
      <c r="X397" s="38">
        <v>1</v>
      </c>
      <c r="Y397" s="38">
        <v>0.97530864197530798</v>
      </c>
      <c r="Z397" s="38">
        <v>0.90123456790123402</v>
      </c>
      <c r="AA397" s="38">
        <v>0.44444444444444398</v>
      </c>
      <c r="AB397" s="38">
        <v>1</v>
      </c>
      <c r="AC397" s="38">
        <v>1</v>
      </c>
      <c r="AD397" s="38">
        <v>1</v>
      </c>
      <c r="AE397" s="38">
        <v>1</v>
      </c>
      <c r="AF397" s="38">
        <v>0.938271604938271</v>
      </c>
      <c r="AG397" s="38">
        <v>1</v>
      </c>
      <c r="AH397" s="38">
        <v>0.19565217391304299</v>
      </c>
      <c r="AI397" s="38" t="s">
        <v>195</v>
      </c>
      <c r="AJ397" s="7"/>
    </row>
    <row r="398" spans="1:36" x14ac:dyDescent="0.35">
      <c r="AJ398" s="7"/>
    </row>
    <row r="399" spans="1:36" x14ac:dyDescent="0.35">
      <c r="A399" s="17" t="s">
        <v>207</v>
      </c>
      <c r="B399" s="17"/>
      <c r="C399" s="18" t="s">
        <v>122</v>
      </c>
      <c r="D399" s="18" t="s">
        <v>123</v>
      </c>
      <c r="E399" s="18" t="s">
        <v>124</v>
      </c>
      <c r="F399" s="18" t="s">
        <v>125</v>
      </c>
      <c r="G399" s="18" t="s">
        <v>126</v>
      </c>
      <c r="H399" s="18" t="s">
        <v>127</v>
      </c>
      <c r="I399" s="18" t="s">
        <v>128</v>
      </c>
      <c r="J399" s="18" t="s">
        <v>129</v>
      </c>
      <c r="K399" s="18" t="s">
        <v>130</v>
      </c>
      <c r="L399" s="18" t="s">
        <v>131</v>
      </c>
      <c r="M399" s="18" t="s">
        <v>132</v>
      </c>
      <c r="N399" s="18" t="s">
        <v>133</v>
      </c>
      <c r="O399" s="18" t="s">
        <v>134</v>
      </c>
      <c r="P399" s="18" t="s">
        <v>135</v>
      </c>
      <c r="Q399" s="18" t="s">
        <v>136</v>
      </c>
      <c r="R399" s="18" t="s">
        <v>137</v>
      </c>
      <c r="S399" s="18" t="s">
        <v>138</v>
      </c>
      <c r="T399" s="18" t="s">
        <v>139</v>
      </c>
      <c r="U399" s="18" t="s">
        <v>140</v>
      </c>
      <c r="V399" s="18" t="s">
        <v>141</v>
      </c>
      <c r="W399" s="18" t="s">
        <v>142</v>
      </c>
      <c r="X399" s="18" t="s">
        <v>143</v>
      </c>
      <c r="Y399" s="18" t="s">
        <v>144</v>
      </c>
      <c r="Z399" s="18" t="s">
        <v>145</v>
      </c>
      <c r="AA399" s="18" t="s">
        <v>146</v>
      </c>
      <c r="AB399" s="18" t="s">
        <v>147</v>
      </c>
      <c r="AC399" s="18" t="s">
        <v>148</v>
      </c>
      <c r="AD399" s="18" t="s">
        <v>149</v>
      </c>
      <c r="AE399" s="18" t="s">
        <v>150</v>
      </c>
      <c r="AF399" s="18" t="s">
        <v>151</v>
      </c>
      <c r="AG399" s="18" t="s">
        <v>152</v>
      </c>
      <c r="AH399" s="18" t="s">
        <v>153</v>
      </c>
      <c r="AI399" s="18" t="s">
        <v>154</v>
      </c>
      <c r="AJ399" s="7"/>
    </row>
    <row r="400" spans="1:36" x14ac:dyDescent="0.35">
      <c r="A400" s="17" t="s">
        <v>208</v>
      </c>
      <c r="B400" s="17"/>
      <c r="C400" s="19">
        <f>COUNTIFS(B$4:B$63,B397,$AI$4:$AI$63,"YES")</f>
        <v>0</v>
      </c>
      <c r="D400" s="19">
        <f>COUNTIFS(C$4:C$63,C397,$AI$4:$AI$63,"YES")</f>
        <v>0</v>
      </c>
      <c r="E400" s="19">
        <f t="shared" ref="E400:AJ400" si="88">COUNTIFS(D$4:D$63,D397,$AI$4:$AI$63,"YES")</f>
        <v>1</v>
      </c>
      <c r="F400" s="19">
        <f t="shared" si="88"/>
        <v>0</v>
      </c>
      <c r="G400" s="19">
        <f t="shared" si="88"/>
        <v>0</v>
      </c>
      <c r="H400" s="19">
        <f t="shared" si="88"/>
        <v>0</v>
      </c>
      <c r="I400" s="19">
        <f t="shared" si="88"/>
        <v>0</v>
      </c>
      <c r="J400" s="19">
        <f t="shared" si="88"/>
        <v>0</v>
      </c>
      <c r="K400" s="19">
        <f t="shared" si="88"/>
        <v>0</v>
      </c>
      <c r="L400" s="19">
        <f t="shared" si="88"/>
        <v>0</v>
      </c>
      <c r="M400" s="19">
        <f t="shared" si="88"/>
        <v>0</v>
      </c>
      <c r="N400" s="19">
        <f t="shared" si="88"/>
        <v>0</v>
      </c>
      <c r="O400" s="19">
        <f t="shared" si="88"/>
        <v>0</v>
      </c>
      <c r="P400" s="19">
        <f t="shared" si="88"/>
        <v>0</v>
      </c>
      <c r="Q400" s="19">
        <f t="shared" si="88"/>
        <v>0</v>
      </c>
      <c r="R400" s="19">
        <f t="shared" si="88"/>
        <v>0</v>
      </c>
      <c r="S400" s="19">
        <f t="shared" si="88"/>
        <v>0</v>
      </c>
      <c r="T400" s="19">
        <f t="shared" si="88"/>
        <v>0</v>
      </c>
      <c r="U400" s="19">
        <f t="shared" si="88"/>
        <v>0</v>
      </c>
      <c r="V400" s="19">
        <f t="shared" si="88"/>
        <v>4</v>
      </c>
      <c r="W400" s="19">
        <f t="shared" si="88"/>
        <v>4</v>
      </c>
      <c r="X400" s="19">
        <f t="shared" si="88"/>
        <v>0</v>
      </c>
      <c r="Y400" s="19">
        <f t="shared" si="88"/>
        <v>4</v>
      </c>
      <c r="Z400" s="19">
        <f t="shared" si="88"/>
        <v>0</v>
      </c>
      <c r="AA400" s="19">
        <f t="shared" si="88"/>
        <v>0</v>
      </c>
      <c r="AB400" s="19">
        <f t="shared" si="88"/>
        <v>0</v>
      </c>
      <c r="AC400" s="19">
        <f t="shared" si="88"/>
        <v>4</v>
      </c>
      <c r="AD400" s="19">
        <f t="shared" si="88"/>
        <v>4</v>
      </c>
      <c r="AE400" s="19">
        <f t="shared" si="88"/>
        <v>4</v>
      </c>
      <c r="AF400" s="19">
        <f t="shared" si="88"/>
        <v>4</v>
      </c>
      <c r="AG400" s="19">
        <f t="shared" si="88"/>
        <v>0</v>
      </c>
      <c r="AH400" s="19">
        <f t="shared" si="88"/>
        <v>4</v>
      </c>
      <c r="AI400" s="19">
        <f t="shared" si="88"/>
        <v>1</v>
      </c>
      <c r="AJ400" s="20"/>
    </row>
    <row r="401" spans="1:36" x14ac:dyDescent="0.35">
      <c r="A401" s="17" t="s">
        <v>209</v>
      </c>
      <c r="B401" s="17"/>
      <c r="C401" s="19">
        <f>COUNTIFS(B$4:B$63,B397,$AI$4:$AI$63,"NO")</f>
        <v>10</v>
      </c>
      <c r="D401" s="19">
        <f t="shared" ref="D401:AI401" si="89">COUNTIFS(C$4:C$63,C397,$AI$4:$AI$63,"NO")</f>
        <v>6</v>
      </c>
      <c r="E401" s="19">
        <f t="shared" si="89"/>
        <v>26</v>
      </c>
      <c r="F401" s="19">
        <f t="shared" si="89"/>
        <v>6</v>
      </c>
      <c r="G401" s="19">
        <f t="shared" si="89"/>
        <v>6</v>
      </c>
      <c r="H401" s="19">
        <f t="shared" si="89"/>
        <v>9</v>
      </c>
      <c r="I401" s="19">
        <f t="shared" si="89"/>
        <v>6</v>
      </c>
      <c r="J401" s="19">
        <f t="shared" si="89"/>
        <v>7</v>
      </c>
      <c r="K401" s="19">
        <f t="shared" si="89"/>
        <v>6</v>
      </c>
      <c r="L401" s="19">
        <f t="shared" si="89"/>
        <v>6</v>
      </c>
      <c r="M401" s="19">
        <f t="shared" si="89"/>
        <v>6</v>
      </c>
      <c r="N401" s="19">
        <f t="shared" si="89"/>
        <v>12</v>
      </c>
      <c r="O401" s="19">
        <f t="shared" si="89"/>
        <v>6</v>
      </c>
      <c r="P401" s="19">
        <f t="shared" si="89"/>
        <v>6</v>
      </c>
      <c r="Q401" s="19">
        <f t="shared" si="89"/>
        <v>7</v>
      </c>
      <c r="R401" s="19">
        <f t="shared" si="89"/>
        <v>6</v>
      </c>
      <c r="S401" s="19">
        <f t="shared" si="89"/>
        <v>6</v>
      </c>
      <c r="T401" s="19">
        <f t="shared" si="89"/>
        <v>6</v>
      </c>
      <c r="U401" s="19">
        <f t="shared" si="89"/>
        <v>6</v>
      </c>
      <c r="V401" s="19">
        <f t="shared" si="89"/>
        <v>56</v>
      </c>
      <c r="W401" s="19">
        <f t="shared" si="89"/>
        <v>56</v>
      </c>
      <c r="X401" s="19">
        <f t="shared" si="89"/>
        <v>6</v>
      </c>
      <c r="Y401" s="19">
        <f t="shared" si="89"/>
        <v>56</v>
      </c>
      <c r="Z401" s="19">
        <f t="shared" si="89"/>
        <v>6</v>
      </c>
      <c r="AA401" s="19">
        <f t="shared" si="89"/>
        <v>6</v>
      </c>
      <c r="AB401" s="19">
        <f t="shared" si="89"/>
        <v>6</v>
      </c>
      <c r="AC401" s="19">
        <f t="shared" si="89"/>
        <v>56</v>
      </c>
      <c r="AD401" s="19">
        <f t="shared" si="89"/>
        <v>56</v>
      </c>
      <c r="AE401" s="19">
        <f t="shared" si="89"/>
        <v>56</v>
      </c>
      <c r="AF401" s="19">
        <f t="shared" si="89"/>
        <v>56</v>
      </c>
      <c r="AG401" s="19">
        <f t="shared" si="89"/>
        <v>6</v>
      </c>
      <c r="AH401" s="19">
        <f t="shared" si="89"/>
        <v>56</v>
      </c>
      <c r="AI401" s="19">
        <f t="shared" si="89"/>
        <v>30</v>
      </c>
      <c r="AJ401" s="20"/>
    </row>
    <row r="402" spans="1:36" x14ac:dyDescent="0.35">
      <c r="A402" s="17" t="s">
        <v>210</v>
      </c>
      <c r="B402" s="18" t="s">
        <v>208</v>
      </c>
      <c r="C402" s="19">
        <f>C400/$B$108</f>
        <v>0</v>
      </c>
      <c r="D402" s="19">
        <f t="shared" ref="D402:AI402" si="90">D400/$B$108</f>
        <v>0</v>
      </c>
      <c r="E402" s="19">
        <f t="shared" si="90"/>
        <v>15</v>
      </c>
      <c r="F402" s="19">
        <f t="shared" si="90"/>
        <v>0</v>
      </c>
      <c r="G402" s="19">
        <f t="shared" si="90"/>
        <v>0</v>
      </c>
      <c r="H402" s="19">
        <f t="shared" si="90"/>
        <v>0</v>
      </c>
      <c r="I402" s="19">
        <f t="shared" si="90"/>
        <v>0</v>
      </c>
      <c r="J402" s="19">
        <f t="shared" si="90"/>
        <v>0</v>
      </c>
      <c r="K402" s="19">
        <f t="shared" si="90"/>
        <v>0</v>
      </c>
      <c r="L402" s="19">
        <f t="shared" si="90"/>
        <v>0</v>
      </c>
      <c r="M402" s="19">
        <f t="shared" si="90"/>
        <v>0</v>
      </c>
      <c r="N402" s="19">
        <f t="shared" si="90"/>
        <v>0</v>
      </c>
      <c r="O402" s="19">
        <f t="shared" si="90"/>
        <v>0</v>
      </c>
      <c r="P402" s="19">
        <f t="shared" si="90"/>
        <v>0</v>
      </c>
      <c r="Q402" s="19">
        <f t="shared" si="90"/>
        <v>0</v>
      </c>
      <c r="R402" s="19">
        <f t="shared" si="90"/>
        <v>0</v>
      </c>
      <c r="S402" s="19">
        <f t="shared" si="90"/>
        <v>0</v>
      </c>
      <c r="T402" s="19">
        <f t="shared" si="90"/>
        <v>0</v>
      </c>
      <c r="U402" s="19">
        <f t="shared" si="90"/>
        <v>0</v>
      </c>
      <c r="V402" s="19">
        <f t="shared" si="90"/>
        <v>60</v>
      </c>
      <c r="W402" s="19">
        <f t="shared" si="90"/>
        <v>60</v>
      </c>
      <c r="X402" s="19">
        <f t="shared" si="90"/>
        <v>0</v>
      </c>
      <c r="Y402" s="19">
        <f t="shared" si="90"/>
        <v>60</v>
      </c>
      <c r="Z402" s="19">
        <f t="shared" si="90"/>
        <v>0</v>
      </c>
      <c r="AA402" s="19">
        <f t="shared" si="90"/>
        <v>0</v>
      </c>
      <c r="AB402" s="19">
        <f t="shared" si="90"/>
        <v>0</v>
      </c>
      <c r="AC402" s="19">
        <f t="shared" si="90"/>
        <v>60</v>
      </c>
      <c r="AD402" s="19">
        <f t="shared" si="90"/>
        <v>60</v>
      </c>
      <c r="AE402" s="19">
        <f t="shared" si="90"/>
        <v>60</v>
      </c>
      <c r="AF402" s="19">
        <f t="shared" si="90"/>
        <v>60</v>
      </c>
      <c r="AG402" s="19">
        <f t="shared" si="90"/>
        <v>0</v>
      </c>
      <c r="AH402" s="19">
        <f t="shared" si="90"/>
        <v>60</v>
      </c>
      <c r="AI402" s="19">
        <f t="shared" si="90"/>
        <v>15</v>
      </c>
      <c r="AJ402" s="19">
        <f>C402*D402*E402*F402*G402*H402*I402*J402*K402*L402*M402*N402*O402*P402*Q402*R402*S402*T402*U402*V402*W402*X402*Y402*Z402*AA402*AB402*AC402*AD402*AE402*AF402*AG402*AH402*AI402</f>
        <v>0</v>
      </c>
    </row>
    <row r="403" spans="1:36" x14ac:dyDescent="0.35">
      <c r="A403" s="17"/>
      <c r="B403" s="18" t="s">
        <v>209</v>
      </c>
      <c r="C403" s="19">
        <f>C401/$C$108</f>
        <v>10.714285714285714</v>
      </c>
      <c r="D403" s="19">
        <f t="shared" ref="D403:AI403" si="91">D401/$C$108</f>
        <v>6.4285714285714288</v>
      </c>
      <c r="E403" s="19">
        <f t="shared" si="91"/>
        <v>27.857142857142858</v>
      </c>
      <c r="F403" s="19">
        <f t="shared" si="91"/>
        <v>6.4285714285714288</v>
      </c>
      <c r="G403" s="19">
        <f t="shared" si="91"/>
        <v>6.4285714285714288</v>
      </c>
      <c r="H403" s="19">
        <f t="shared" si="91"/>
        <v>9.6428571428571423</v>
      </c>
      <c r="I403" s="19">
        <f t="shared" si="91"/>
        <v>6.4285714285714288</v>
      </c>
      <c r="J403" s="19">
        <f t="shared" si="91"/>
        <v>7.5</v>
      </c>
      <c r="K403" s="19">
        <f t="shared" si="91"/>
        <v>6.4285714285714288</v>
      </c>
      <c r="L403" s="19">
        <f t="shared" si="91"/>
        <v>6.4285714285714288</v>
      </c>
      <c r="M403" s="19">
        <f t="shared" si="91"/>
        <v>6.4285714285714288</v>
      </c>
      <c r="N403" s="19">
        <f t="shared" si="91"/>
        <v>12.857142857142858</v>
      </c>
      <c r="O403" s="19">
        <f t="shared" si="91"/>
        <v>6.4285714285714288</v>
      </c>
      <c r="P403" s="19">
        <f t="shared" si="91"/>
        <v>6.4285714285714288</v>
      </c>
      <c r="Q403" s="19">
        <f t="shared" si="91"/>
        <v>7.5</v>
      </c>
      <c r="R403" s="19">
        <f t="shared" si="91"/>
        <v>6.4285714285714288</v>
      </c>
      <c r="S403" s="19">
        <f t="shared" si="91"/>
        <v>6.4285714285714288</v>
      </c>
      <c r="T403" s="19">
        <f t="shared" si="91"/>
        <v>6.4285714285714288</v>
      </c>
      <c r="U403" s="19">
        <f t="shared" si="91"/>
        <v>6.4285714285714288</v>
      </c>
      <c r="V403" s="19">
        <f t="shared" si="91"/>
        <v>60</v>
      </c>
      <c r="W403" s="19">
        <f t="shared" si="91"/>
        <v>60</v>
      </c>
      <c r="X403" s="19">
        <f t="shared" si="91"/>
        <v>6.4285714285714288</v>
      </c>
      <c r="Y403" s="19">
        <f t="shared" si="91"/>
        <v>60</v>
      </c>
      <c r="Z403" s="19">
        <f t="shared" si="91"/>
        <v>6.4285714285714288</v>
      </c>
      <c r="AA403" s="19">
        <f t="shared" si="91"/>
        <v>6.4285714285714288</v>
      </c>
      <c r="AB403" s="19">
        <f t="shared" si="91"/>
        <v>6.4285714285714288</v>
      </c>
      <c r="AC403" s="19">
        <f t="shared" si="91"/>
        <v>60</v>
      </c>
      <c r="AD403" s="19">
        <f t="shared" si="91"/>
        <v>60</v>
      </c>
      <c r="AE403" s="19">
        <f t="shared" si="91"/>
        <v>60</v>
      </c>
      <c r="AF403" s="19">
        <f t="shared" si="91"/>
        <v>60</v>
      </c>
      <c r="AG403" s="19">
        <f t="shared" si="91"/>
        <v>6.4285714285714288</v>
      </c>
      <c r="AH403" s="19">
        <f t="shared" si="91"/>
        <v>60</v>
      </c>
      <c r="AI403" s="19">
        <f t="shared" si="91"/>
        <v>32.142857142857139</v>
      </c>
      <c r="AJ403" s="19">
        <f>C403*D403*E403*F403*G403*H403*I403*J403*K403*L403*M403*N403*O403*P403*Q403*R403*S403*T403*U403*V403*W403*X403*Y403*Z403*AA403*AB403*AC403*AD403*AE403*AF403*AG403*AH403*AI403</f>
        <v>3.9511865301379321E+36</v>
      </c>
    </row>
    <row r="404" spans="1:36" x14ac:dyDescent="0.35">
      <c r="A404" s="21"/>
      <c r="B404" s="21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20"/>
    </row>
    <row r="405" spans="1:36" x14ac:dyDescent="0.35">
      <c r="A405" s="22" t="s">
        <v>211</v>
      </c>
      <c r="B405" s="23"/>
      <c r="C405" s="24" t="s">
        <v>212</v>
      </c>
      <c r="D405" s="20"/>
      <c r="E405" s="20"/>
      <c r="F405" s="20"/>
      <c r="G405" s="20"/>
      <c r="H405" s="20"/>
      <c r="I405" s="20"/>
      <c r="J405" s="20"/>
      <c r="K405" s="20"/>
      <c r="L405" s="2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20"/>
    </row>
    <row r="406" spans="1:36" x14ac:dyDescent="0.35">
      <c r="A406" s="25" t="s">
        <v>208</v>
      </c>
      <c r="B406" s="26">
        <f>AJ402*$B$108</f>
        <v>0</v>
      </c>
      <c r="C406" s="27" t="str">
        <f>IF(B406&gt;B407,A406,A407)</f>
        <v>No</v>
      </c>
      <c r="D406" s="20"/>
      <c r="E406" s="20"/>
      <c r="F406" s="20"/>
      <c r="G406" s="20"/>
      <c r="H406" s="20"/>
      <c r="I406" s="20"/>
      <c r="J406" s="20"/>
      <c r="K406" s="20"/>
      <c r="L406" s="2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20"/>
    </row>
    <row r="407" spans="1:36" x14ac:dyDescent="0.35">
      <c r="A407" s="25" t="s">
        <v>209</v>
      </c>
      <c r="B407" s="26">
        <f>AJ403*$C$108</f>
        <v>3.6877740947954033E+36</v>
      </c>
      <c r="C407" s="28"/>
      <c r="D407" s="20"/>
      <c r="E407" s="20"/>
      <c r="F407" s="20"/>
      <c r="G407" s="20"/>
      <c r="H407" s="20"/>
      <c r="I407" s="20"/>
      <c r="J407" s="20"/>
      <c r="K407" s="20"/>
      <c r="L407" s="2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20"/>
    </row>
    <row r="409" spans="1:36" x14ac:dyDescent="0.35">
      <c r="A409" s="15"/>
      <c r="B409" s="16" t="s">
        <v>122</v>
      </c>
      <c r="C409" s="16" t="s">
        <v>123</v>
      </c>
      <c r="D409" s="16" t="s">
        <v>124</v>
      </c>
      <c r="E409" s="16" t="s">
        <v>125</v>
      </c>
      <c r="F409" s="16" t="s">
        <v>126</v>
      </c>
      <c r="G409" s="16" t="s">
        <v>127</v>
      </c>
      <c r="H409" s="16" t="s">
        <v>128</v>
      </c>
      <c r="I409" s="16" t="s">
        <v>129</v>
      </c>
      <c r="J409" s="16" t="s">
        <v>130</v>
      </c>
      <c r="K409" s="16" t="s">
        <v>131</v>
      </c>
      <c r="L409" s="16" t="s">
        <v>132</v>
      </c>
      <c r="M409" s="16" t="s">
        <v>133</v>
      </c>
      <c r="N409" s="16" t="s">
        <v>134</v>
      </c>
      <c r="O409" s="16" t="s">
        <v>135</v>
      </c>
      <c r="P409" s="16" t="s">
        <v>136</v>
      </c>
      <c r="Q409" s="16" t="s">
        <v>137</v>
      </c>
      <c r="R409" s="16" t="s">
        <v>138</v>
      </c>
      <c r="S409" s="16" t="s">
        <v>139</v>
      </c>
      <c r="T409" s="16" t="s">
        <v>140</v>
      </c>
      <c r="U409" s="16" t="s">
        <v>141</v>
      </c>
      <c r="V409" s="16" t="s">
        <v>142</v>
      </c>
      <c r="W409" s="16" t="s">
        <v>143</v>
      </c>
      <c r="X409" s="16" t="s">
        <v>144</v>
      </c>
      <c r="Y409" s="16" t="s">
        <v>145</v>
      </c>
      <c r="Z409" s="16" t="s">
        <v>146</v>
      </c>
      <c r="AA409" s="16" t="s">
        <v>147</v>
      </c>
      <c r="AB409" s="16" t="s">
        <v>148</v>
      </c>
      <c r="AC409" s="16" t="s">
        <v>149</v>
      </c>
      <c r="AD409" s="16" t="s">
        <v>150</v>
      </c>
      <c r="AE409" s="16" t="s">
        <v>151</v>
      </c>
      <c r="AF409" s="16" t="s">
        <v>152</v>
      </c>
      <c r="AG409" s="16" t="s">
        <v>153</v>
      </c>
      <c r="AH409" s="16" t="s">
        <v>154</v>
      </c>
      <c r="AI409" s="16"/>
      <c r="AJ409" s="7"/>
    </row>
    <row r="410" spans="1:36" x14ac:dyDescent="0.35">
      <c r="A410" s="9" t="s">
        <v>296</v>
      </c>
      <c r="B410" s="38">
        <v>0</v>
      </c>
      <c r="C410" s="38">
        <v>0.23765432098765399</v>
      </c>
      <c r="D410" s="38">
        <v>0.23899371069182301</v>
      </c>
      <c r="E410" s="38">
        <v>0.53703703703703698</v>
      </c>
      <c r="F410" s="38">
        <v>0.12757201646090499</v>
      </c>
      <c r="G410" s="38">
        <v>0.94805194805194803</v>
      </c>
      <c r="H410" s="38">
        <v>0.55692729766803795</v>
      </c>
      <c r="I410" s="38">
        <v>0.936708860759493</v>
      </c>
      <c r="J410" s="38">
        <v>0.407407407407407</v>
      </c>
      <c r="K410" s="38">
        <v>0.19478737997256501</v>
      </c>
      <c r="L410" s="38">
        <v>5.5555555555555497E-2</v>
      </c>
      <c r="M410" s="38">
        <v>0.158904109589041</v>
      </c>
      <c r="N410" s="38">
        <v>0.95061728395061695</v>
      </c>
      <c r="O410" s="38">
        <v>6.1728395061728301E-2</v>
      </c>
      <c r="P410" s="38">
        <v>0.189873417721519</v>
      </c>
      <c r="Q410" s="38">
        <v>0.32345679012345602</v>
      </c>
      <c r="R410" s="38">
        <v>0.98765432098765404</v>
      </c>
      <c r="S410" s="38">
        <v>0.76543209876543195</v>
      </c>
      <c r="T410" s="38">
        <v>0.97530864197530798</v>
      </c>
      <c r="U410" s="38">
        <v>1</v>
      </c>
      <c r="V410" s="38">
        <v>1</v>
      </c>
      <c r="W410" s="38">
        <v>0.11111111111111099</v>
      </c>
      <c r="X410" s="38">
        <v>1</v>
      </c>
      <c r="Y410" s="38">
        <v>0.97530864197530798</v>
      </c>
      <c r="Z410" s="38">
        <v>0.90123456790123402</v>
      </c>
      <c r="AA410" s="38">
        <v>0.44444444444444398</v>
      </c>
      <c r="AB410" s="38">
        <v>1</v>
      </c>
      <c r="AC410" s="38">
        <v>1</v>
      </c>
      <c r="AD410" s="38">
        <v>1</v>
      </c>
      <c r="AE410" s="38">
        <v>1</v>
      </c>
      <c r="AF410" s="38">
        <v>0.938271604938271</v>
      </c>
      <c r="AG410" s="38">
        <v>1</v>
      </c>
      <c r="AH410" s="38">
        <v>0.19565217391304299</v>
      </c>
      <c r="AI410" s="38" t="s">
        <v>195</v>
      </c>
      <c r="AJ410" s="7"/>
    </row>
    <row r="411" spans="1:36" x14ac:dyDescent="0.35">
      <c r="AJ411" s="7"/>
    </row>
    <row r="412" spans="1:36" x14ac:dyDescent="0.35">
      <c r="A412" s="17" t="s">
        <v>207</v>
      </c>
      <c r="B412" s="17"/>
      <c r="C412" s="18" t="s">
        <v>122</v>
      </c>
      <c r="D412" s="18" t="s">
        <v>123</v>
      </c>
      <c r="E412" s="18" t="s">
        <v>124</v>
      </c>
      <c r="F412" s="18" t="s">
        <v>125</v>
      </c>
      <c r="G412" s="18" t="s">
        <v>126</v>
      </c>
      <c r="H412" s="18" t="s">
        <v>127</v>
      </c>
      <c r="I412" s="18" t="s">
        <v>128</v>
      </c>
      <c r="J412" s="18" t="s">
        <v>129</v>
      </c>
      <c r="K412" s="18" t="s">
        <v>130</v>
      </c>
      <c r="L412" s="18" t="s">
        <v>131</v>
      </c>
      <c r="M412" s="18" t="s">
        <v>132</v>
      </c>
      <c r="N412" s="18" t="s">
        <v>133</v>
      </c>
      <c r="O412" s="18" t="s">
        <v>134</v>
      </c>
      <c r="P412" s="18" t="s">
        <v>135</v>
      </c>
      <c r="Q412" s="18" t="s">
        <v>136</v>
      </c>
      <c r="R412" s="18" t="s">
        <v>137</v>
      </c>
      <c r="S412" s="18" t="s">
        <v>138</v>
      </c>
      <c r="T412" s="18" t="s">
        <v>139</v>
      </c>
      <c r="U412" s="18" t="s">
        <v>140</v>
      </c>
      <c r="V412" s="18" t="s">
        <v>141</v>
      </c>
      <c r="W412" s="18" t="s">
        <v>142</v>
      </c>
      <c r="X412" s="18" t="s">
        <v>143</v>
      </c>
      <c r="Y412" s="18" t="s">
        <v>144</v>
      </c>
      <c r="Z412" s="18" t="s">
        <v>145</v>
      </c>
      <c r="AA412" s="18" t="s">
        <v>146</v>
      </c>
      <c r="AB412" s="18" t="s">
        <v>147</v>
      </c>
      <c r="AC412" s="18" t="s">
        <v>148</v>
      </c>
      <c r="AD412" s="18" t="s">
        <v>149</v>
      </c>
      <c r="AE412" s="18" t="s">
        <v>150</v>
      </c>
      <c r="AF412" s="18" t="s">
        <v>151</v>
      </c>
      <c r="AG412" s="18" t="s">
        <v>152</v>
      </c>
      <c r="AH412" s="18" t="s">
        <v>153</v>
      </c>
      <c r="AI412" s="18" t="s">
        <v>154</v>
      </c>
      <c r="AJ412" s="7"/>
    </row>
    <row r="413" spans="1:36" x14ac:dyDescent="0.35">
      <c r="A413" s="17" t="s">
        <v>208</v>
      </c>
      <c r="B413" s="17"/>
      <c r="C413" s="19">
        <f>COUNTIFS(B$4:B$63,B410,$AI$4:$AI$63,"YES")</f>
        <v>0</v>
      </c>
      <c r="D413" s="19">
        <f>COUNTIFS(C$4:C$63,C410,$AI$4:$AI$63,"YES")</f>
        <v>0</v>
      </c>
      <c r="E413" s="19">
        <f t="shared" ref="E413:AJ413" si="92">COUNTIFS(D$4:D$63,D410,$AI$4:$AI$63,"YES")</f>
        <v>1</v>
      </c>
      <c r="F413" s="19">
        <f t="shared" si="92"/>
        <v>0</v>
      </c>
      <c r="G413" s="19">
        <f t="shared" si="92"/>
        <v>0</v>
      </c>
      <c r="H413" s="19">
        <f t="shared" si="92"/>
        <v>0</v>
      </c>
      <c r="I413" s="19">
        <f t="shared" si="92"/>
        <v>0</v>
      </c>
      <c r="J413" s="19">
        <f t="shared" si="92"/>
        <v>0</v>
      </c>
      <c r="K413" s="19">
        <f t="shared" si="92"/>
        <v>0</v>
      </c>
      <c r="L413" s="19">
        <f t="shared" si="92"/>
        <v>0</v>
      </c>
      <c r="M413" s="19">
        <f t="shared" si="92"/>
        <v>0</v>
      </c>
      <c r="N413" s="19">
        <f t="shared" si="92"/>
        <v>0</v>
      </c>
      <c r="O413" s="19">
        <f t="shared" si="92"/>
        <v>0</v>
      </c>
      <c r="P413" s="19">
        <f t="shared" si="92"/>
        <v>0</v>
      </c>
      <c r="Q413" s="19">
        <f t="shared" si="92"/>
        <v>0</v>
      </c>
      <c r="R413" s="19">
        <f t="shared" si="92"/>
        <v>0</v>
      </c>
      <c r="S413" s="19">
        <f t="shared" si="92"/>
        <v>0</v>
      </c>
      <c r="T413" s="19">
        <f t="shared" si="92"/>
        <v>0</v>
      </c>
      <c r="U413" s="19">
        <f t="shared" si="92"/>
        <v>0</v>
      </c>
      <c r="V413" s="19">
        <f t="shared" si="92"/>
        <v>4</v>
      </c>
      <c r="W413" s="19">
        <f t="shared" si="92"/>
        <v>4</v>
      </c>
      <c r="X413" s="19">
        <f t="shared" si="92"/>
        <v>0</v>
      </c>
      <c r="Y413" s="19">
        <f t="shared" si="92"/>
        <v>4</v>
      </c>
      <c r="Z413" s="19">
        <f t="shared" si="92"/>
        <v>0</v>
      </c>
      <c r="AA413" s="19">
        <f t="shared" si="92"/>
        <v>0</v>
      </c>
      <c r="AB413" s="19">
        <f t="shared" si="92"/>
        <v>0</v>
      </c>
      <c r="AC413" s="19">
        <f t="shared" si="92"/>
        <v>4</v>
      </c>
      <c r="AD413" s="19">
        <f t="shared" si="92"/>
        <v>4</v>
      </c>
      <c r="AE413" s="19">
        <f t="shared" si="92"/>
        <v>4</v>
      </c>
      <c r="AF413" s="19">
        <f t="shared" si="92"/>
        <v>4</v>
      </c>
      <c r="AG413" s="19">
        <f t="shared" si="92"/>
        <v>0</v>
      </c>
      <c r="AH413" s="19">
        <f t="shared" si="92"/>
        <v>4</v>
      </c>
      <c r="AI413" s="19">
        <f t="shared" si="92"/>
        <v>1</v>
      </c>
      <c r="AJ413" s="20"/>
    </row>
    <row r="414" spans="1:36" x14ac:dyDescent="0.35">
      <c r="A414" s="17" t="s">
        <v>209</v>
      </c>
      <c r="B414" s="17"/>
      <c r="C414" s="19">
        <f>COUNTIFS(B$4:B$63,B410,$AI$4:$AI$63,"NO")</f>
        <v>10</v>
      </c>
      <c r="D414" s="19">
        <f t="shared" ref="D414:AI414" si="93">COUNTIFS(C$4:C$63,C410,$AI$4:$AI$63,"NO")</f>
        <v>6</v>
      </c>
      <c r="E414" s="19">
        <f t="shared" si="93"/>
        <v>26</v>
      </c>
      <c r="F414" s="19">
        <f t="shared" si="93"/>
        <v>6</v>
      </c>
      <c r="G414" s="19">
        <f t="shared" si="93"/>
        <v>6</v>
      </c>
      <c r="H414" s="19">
        <f t="shared" si="93"/>
        <v>9</v>
      </c>
      <c r="I414" s="19">
        <f t="shared" si="93"/>
        <v>6</v>
      </c>
      <c r="J414" s="19">
        <f t="shared" si="93"/>
        <v>7</v>
      </c>
      <c r="K414" s="19">
        <f t="shared" si="93"/>
        <v>6</v>
      </c>
      <c r="L414" s="19">
        <f t="shared" si="93"/>
        <v>6</v>
      </c>
      <c r="M414" s="19">
        <f t="shared" si="93"/>
        <v>6</v>
      </c>
      <c r="N414" s="19">
        <f t="shared" si="93"/>
        <v>12</v>
      </c>
      <c r="O414" s="19">
        <f t="shared" si="93"/>
        <v>6</v>
      </c>
      <c r="P414" s="19">
        <f t="shared" si="93"/>
        <v>6</v>
      </c>
      <c r="Q414" s="19">
        <f t="shared" si="93"/>
        <v>7</v>
      </c>
      <c r="R414" s="19">
        <f t="shared" si="93"/>
        <v>6</v>
      </c>
      <c r="S414" s="19">
        <f t="shared" si="93"/>
        <v>6</v>
      </c>
      <c r="T414" s="19">
        <f t="shared" si="93"/>
        <v>6</v>
      </c>
      <c r="U414" s="19">
        <f t="shared" si="93"/>
        <v>6</v>
      </c>
      <c r="V414" s="19">
        <f t="shared" si="93"/>
        <v>56</v>
      </c>
      <c r="W414" s="19">
        <f t="shared" si="93"/>
        <v>56</v>
      </c>
      <c r="X414" s="19">
        <f t="shared" si="93"/>
        <v>6</v>
      </c>
      <c r="Y414" s="19">
        <f t="shared" si="93"/>
        <v>56</v>
      </c>
      <c r="Z414" s="19">
        <f t="shared" si="93"/>
        <v>6</v>
      </c>
      <c r="AA414" s="19">
        <f t="shared" si="93"/>
        <v>6</v>
      </c>
      <c r="AB414" s="19">
        <f t="shared" si="93"/>
        <v>6</v>
      </c>
      <c r="AC414" s="19">
        <f t="shared" si="93"/>
        <v>56</v>
      </c>
      <c r="AD414" s="19">
        <f t="shared" si="93"/>
        <v>56</v>
      </c>
      <c r="AE414" s="19">
        <f t="shared" si="93"/>
        <v>56</v>
      </c>
      <c r="AF414" s="19">
        <f t="shared" si="93"/>
        <v>56</v>
      </c>
      <c r="AG414" s="19">
        <f t="shared" si="93"/>
        <v>6</v>
      </c>
      <c r="AH414" s="19">
        <f t="shared" si="93"/>
        <v>56</v>
      </c>
      <c r="AI414" s="19">
        <f t="shared" si="93"/>
        <v>30</v>
      </c>
      <c r="AJ414" s="20"/>
    </row>
    <row r="415" spans="1:36" x14ac:dyDescent="0.35">
      <c r="A415" s="17" t="s">
        <v>210</v>
      </c>
      <c r="B415" s="18" t="s">
        <v>208</v>
      </c>
      <c r="C415" s="19">
        <f>C413/$B$108</f>
        <v>0</v>
      </c>
      <c r="D415" s="19">
        <f t="shared" ref="D415:AI415" si="94">D413/$B$108</f>
        <v>0</v>
      </c>
      <c r="E415" s="19">
        <f t="shared" si="94"/>
        <v>15</v>
      </c>
      <c r="F415" s="19">
        <f t="shared" si="94"/>
        <v>0</v>
      </c>
      <c r="G415" s="19">
        <f t="shared" si="94"/>
        <v>0</v>
      </c>
      <c r="H415" s="19">
        <f t="shared" si="94"/>
        <v>0</v>
      </c>
      <c r="I415" s="19">
        <f t="shared" si="94"/>
        <v>0</v>
      </c>
      <c r="J415" s="19">
        <f t="shared" si="94"/>
        <v>0</v>
      </c>
      <c r="K415" s="19">
        <f t="shared" si="94"/>
        <v>0</v>
      </c>
      <c r="L415" s="19">
        <f t="shared" si="94"/>
        <v>0</v>
      </c>
      <c r="M415" s="19">
        <f t="shared" si="94"/>
        <v>0</v>
      </c>
      <c r="N415" s="19">
        <f t="shared" si="94"/>
        <v>0</v>
      </c>
      <c r="O415" s="19">
        <f t="shared" si="94"/>
        <v>0</v>
      </c>
      <c r="P415" s="19">
        <f t="shared" si="94"/>
        <v>0</v>
      </c>
      <c r="Q415" s="19">
        <f t="shared" si="94"/>
        <v>0</v>
      </c>
      <c r="R415" s="19">
        <f t="shared" si="94"/>
        <v>0</v>
      </c>
      <c r="S415" s="19">
        <f t="shared" si="94"/>
        <v>0</v>
      </c>
      <c r="T415" s="19">
        <f t="shared" si="94"/>
        <v>0</v>
      </c>
      <c r="U415" s="19">
        <f t="shared" si="94"/>
        <v>0</v>
      </c>
      <c r="V415" s="19">
        <f t="shared" si="94"/>
        <v>60</v>
      </c>
      <c r="W415" s="19">
        <f t="shared" si="94"/>
        <v>60</v>
      </c>
      <c r="X415" s="19">
        <f t="shared" si="94"/>
        <v>0</v>
      </c>
      <c r="Y415" s="19">
        <f t="shared" si="94"/>
        <v>60</v>
      </c>
      <c r="Z415" s="19">
        <f t="shared" si="94"/>
        <v>0</v>
      </c>
      <c r="AA415" s="19">
        <f t="shared" si="94"/>
        <v>0</v>
      </c>
      <c r="AB415" s="19">
        <f t="shared" si="94"/>
        <v>0</v>
      </c>
      <c r="AC415" s="19">
        <f t="shared" si="94"/>
        <v>60</v>
      </c>
      <c r="AD415" s="19">
        <f t="shared" si="94"/>
        <v>60</v>
      </c>
      <c r="AE415" s="19">
        <f t="shared" si="94"/>
        <v>60</v>
      </c>
      <c r="AF415" s="19">
        <f t="shared" si="94"/>
        <v>60</v>
      </c>
      <c r="AG415" s="19">
        <f t="shared" si="94"/>
        <v>0</v>
      </c>
      <c r="AH415" s="19">
        <f t="shared" si="94"/>
        <v>60</v>
      </c>
      <c r="AI415" s="19">
        <f t="shared" si="94"/>
        <v>15</v>
      </c>
      <c r="AJ415" s="19">
        <f>C415*D415*E415*F415*G415*H415*I415*J415*K415*L415*M415*N415*O415*P415*Q415*R415*S415*T415*U415*V415*W415*X415*Y415*Z415*AA415*AB415*AC415*AD415*AE415*AF415*AG415*AH415*AI415</f>
        <v>0</v>
      </c>
    </row>
    <row r="416" spans="1:36" x14ac:dyDescent="0.35">
      <c r="A416" s="17"/>
      <c r="B416" s="18" t="s">
        <v>209</v>
      </c>
      <c r="C416" s="19">
        <f>C414/$C$108</f>
        <v>10.714285714285714</v>
      </c>
      <c r="D416" s="19">
        <f t="shared" ref="D416:AI416" si="95">D414/$C$108</f>
        <v>6.4285714285714288</v>
      </c>
      <c r="E416" s="19">
        <f t="shared" si="95"/>
        <v>27.857142857142858</v>
      </c>
      <c r="F416" s="19">
        <f t="shared" si="95"/>
        <v>6.4285714285714288</v>
      </c>
      <c r="G416" s="19">
        <f t="shared" si="95"/>
        <v>6.4285714285714288</v>
      </c>
      <c r="H416" s="19">
        <f t="shared" si="95"/>
        <v>9.6428571428571423</v>
      </c>
      <c r="I416" s="19">
        <f t="shared" si="95"/>
        <v>6.4285714285714288</v>
      </c>
      <c r="J416" s="19">
        <f t="shared" si="95"/>
        <v>7.5</v>
      </c>
      <c r="K416" s="19">
        <f t="shared" si="95"/>
        <v>6.4285714285714288</v>
      </c>
      <c r="L416" s="19">
        <f t="shared" si="95"/>
        <v>6.4285714285714288</v>
      </c>
      <c r="M416" s="19">
        <f t="shared" si="95"/>
        <v>6.4285714285714288</v>
      </c>
      <c r="N416" s="19">
        <f t="shared" si="95"/>
        <v>12.857142857142858</v>
      </c>
      <c r="O416" s="19">
        <f t="shared" si="95"/>
        <v>6.4285714285714288</v>
      </c>
      <c r="P416" s="19">
        <f t="shared" si="95"/>
        <v>6.4285714285714288</v>
      </c>
      <c r="Q416" s="19">
        <f t="shared" si="95"/>
        <v>7.5</v>
      </c>
      <c r="R416" s="19">
        <f t="shared" si="95"/>
        <v>6.4285714285714288</v>
      </c>
      <c r="S416" s="19">
        <f t="shared" si="95"/>
        <v>6.4285714285714288</v>
      </c>
      <c r="T416" s="19">
        <f t="shared" si="95"/>
        <v>6.4285714285714288</v>
      </c>
      <c r="U416" s="19">
        <f t="shared" si="95"/>
        <v>6.4285714285714288</v>
      </c>
      <c r="V416" s="19">
        <f t="shared" si="95"/>
        <v>60</v>
      </c>
      <c r="W416" s="19">
        <f t="shared" si="95"/>
        <v>60</v>
      </c>
      <c r="X416" s="19">
        <f t="shared" si="95"/>
        <v>6.4285714285714288</v>
      </c>
      <c r="Y416" s="19">
        <f t="shared" si="95"/>
        <v>60</v>
      </c>
      <c r="Z416" s="19">
        <f t="shared" si="95"/>
        <v>6.4285714285714288</v>
      </c>
      <c r="AA416" s="19">
        <f t="shared" si="95"/>
        <v>6.4285714285714288</v>
      </c>
      <c r="AB416" s="19">
        <f t="shared" si="95"/>
        <v>6.4285714285714288</v>
      </c>
      <c r="AC416" s="19">
        <f t="shared" si="95"/>
        <v>60</v>
      </c>
      <c r="AD416" s="19">
        <f t="shared" si="95"/>
        <v>60</v>
      </c>
      <c r="AE416" s="19">
        <f t="shared" si="95"/>
        <v>60</v>
      </c>
      <c r="AF416" s="19">
        <f t="shared" si="95"/>
        <v>60</v>
      </c>
      <c r="AG416" s="19">
        <f t="shared" si="95"/>
        <v>6.4285714285714288</v>
      </c>
      <c r="AH416" s="19">
        <f t="shared" si="95"/>
        <v>60</v>
      </c>
      <c r="AI416" s="19">
        <f t="shared" si="95"/>
        <v>32.142857142857139</v>
      </c>
      <c r="AJ416" s="19">
        <f>C416*D416*E416*F416*G416*H416*I416*J416*K416*L416*M416*N416*O416*P416*Q416*R416*S416*T416*U416*V416*W416*X416*Y416*Z416*AA416*AB416*AC416*AD416*AE416*AF416*AG416*AH416*AI416</f>
        <v>3.9511865301379321E+36</v>
      </c>
    </row>
    <row r="417" spans="1:36" x14ac:dyDescent="0.35">
      <c r="A417" s="21"/>
      <c r="B417" s="21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20"/>
    </row>
    <row r="418" spans="1:36" x14ac:dyDescent="0.35">
      <c r="A418" s="22" t="s">
        <v>211</v>
      </c>
      <c r="B418" s="23"/>
      <c r="C418" s="24" t="s">
        <v>212</v>
      </c>
      <c r="D418" s="20"/>
      <c r="E418" s="20"/>
      <c r="F418" s="20"/>
      <c r="G418" s="20"/>
      <c r="H418" s="20"/>
      <c r="I418" s="20"/>
      <c r="J418" s="20"/>
      <c r="K418" s="20"/>
      <c r="L418" s="2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20"/>
    </row>
    <row r="419" spans="1:36" x14ac:dyDescent="0.35">
      <c r="A419" s="25" t="s">
        <v>208</v>
      </c>
      <c r="B419" s="26">
        <f>AJ415*$B$108</f>
        <v>0</v>
      </c>
      <c r="C419" s="27" t="str">
        <f>IF(B419&gt;B420,A419,A420)</f>
        <v>No</v>
      </c>
      <c r="D419" s="20"/>
      <c r="E419" s="20"/>
      <c r="F419" s="20"/>
      <c r="G419" s="20"/>
      <c r="H419" s="20"/>
      <c r="I419" s="20"/>
      <c r="J419" s="20"/>
      <c r="K419" s="20"/>
      <c r="L419" s="2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20"/>
    </row>
    <row r="420" spans="1:36" x14ac:dyDescent="0.35">
      <c r="A420" s="25" t="s">
        <v>209</v>
      </c>
      <c r="B420" s="26">
        <f>AJ416*$C$108</f>
        <v>3.6877740947954033E+36</v>
      </c>
      <c r="C420" s="28"/>
      <c r="D420" s="20"/>
      <c r="E420" s="20"/>
      <c r="F420" s="20"/>
      <c r="G420" s="20"/>
      <c r="H420" s="20"/>
      <c r="I420" s="20"/>
      <c r="J420" s="20"/>
      <c r="K420" s="20"/>
      <c r="L420" s="2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20"/>
    </row>
    <row r="422" spans="1:36" x14ac:dyDescent="0.35">
      <c r="A422" s="15"/>
      <c r="B422" s="16" t="s">
        <v>122</v>
      </c>
      <c r="C422" s="16" t="s">
        <v>123</v>
      </c>
      <c r="D422" s="16" t="s">
        <v>124</v>
      </c>
      <c r="E422" s="16" t="s">
        <v>125</v>
      </c>
      <c r="F422" s="16" t="s">
        <v>126</v>
      </c>
      <c r="G422" s="16" t="s">
        <v>127</v>
      </c>
      <c r="H422" s="16" t="s">
        <v>128</v>
      </c>
      <c r="I422" s="16" t="s">
        <v>129</v>
      </c>
      <c r="J422" s="16" t="s">
        <v>130</v>
      </c>
      <c r="K422" s="16" t="s">
        <v>131</v>
      </c>
      <c r="L422" s="16" t="s">
        <v>132</v>
      </c>
      <c r="M422" s="16" t="s">
        <v>133</v>
      </c>
      <c r="N422" s="16" t="s">
        <v>134</v>
      </c>
      <c r="O422" s="16" t="s">
        <v>135</v>
      </c>
      <c r="P422" s="16" t="s">
        <v>136</v>
      </c>
      <c r="Q422" s="16" t="s">
        <v>137</v>
      </c>
      <c r="R422" s="16" t="s">
        <v>138</v>
      </c>
      <c r="S422" s="16" t="s">
        <v>139</v>
      </c>
      <c r="T422" s="16" t="s">
        <v>140</v>
      </c>
      <c r="U422" s="16" t="s">
        <v>141</v>
      </c>
      <c r="V422" s="16" t="s">
        <v>142</v>
      </c>
      <c r="W422" s="16" t="s">
        <v>143</v>
      </c>
      <c r="X422" s="16" t="s">
        <v>144</v>
      </c>
      <c r="Y422" s="16" t="s">
        <v>145</v>
      </c>
      <c r="Z422" s="16" t="s">
        <v>146</v>
      </c>
      <c r="AA422" s="16" t="s">
        <v>147</v>
      </c>
      <c r="AB422" s="16" t="s">
        <v>148</v>
      </c>
      <c r="AC422" s="16" t="s">
        <v>149</v>
      </c>
      <c r="AD422" s="16" t="s">
        <v>150</v>
      </c>
      <c r="AE422" s="16" t="s">
        <v>151</v>
      </c>
      <c r="AF422" s="16" t="s">
        <v>152</v>
      </c>
      <c r="AG422" s="16" t="s">
        <v>153</v>
      </c>
      <c r="AH422" s="16" t="s">
        <v>154</v>
      </c>
      <c r="AI422" s="16"/>
      <c r="AJ422" s="7"/>
    </row>
    <row r="423" spans="1:36" x14ac:dyDescent="0.35">
      <c r="A423" s="9" t="s">
        <v>297</v>
      </c>
      <c r="B423" s="38">
        <v>0</v>
      </c>
      <c r="C423" s="38">
        <v>0.23765432098765399</v>
      </c>
      <c r="D423" s="38">
        <v>0.23899371069182301</v>
      </c>
      <c r="E423" s="38">
        <v>0.53703703703703698</v>
      </c>
      <c r="F423" s="38">
        <v>0.12757201646090499</v>
      </c>
      <c r="G423" s="38">
        <v>0.94805194805194803</v>
      </c>
      <c r="H423" s="38">
        <v>0.55692729766803795</v>
      </c>
      <c r="I423" s="38">
        <v>0.936708860759493</v>
      </c>
      <c r="J423" s="38">
        <v>0.407407407407407</v>
      </c>
      <c r="K423" s="38">
        <v>0.19478737997256501</v>
      </c>
      <c r="L423" s="38">
        <v>5.5555555555555497E-2</v>
      </c>
      <c r="M423" s="38">
        <v>0.158904109589041</v>
      </c>
      <c r="N423" s="38">
        <v>0.95061728395061695</v>
      </c>
      <c r="O423" s="38">
        <v>6.1728395061728301E-2</v>
      </c>
      <c r="P423" s="38">
        <v>0.189873417721519</v>
      </c>
      <c r="Q423" s="38">
        <v>0.32345679012345602</v>
      </c>
      <c r="R423" s="38">
        <v>0.98765432098765404</v>
      </c>
      <c r="S423" s="38">
        <v>0.76543209876543195</v>
      </c>
      <c r="T423" s="38">
        <v>0.97530864197530798</v>
      </c>
      <c r="U423" s="38">
        <v>1</v>
      </c>
      <c r="V423" s="38">
        <v>1</v>
      </c>
      <c r="W423" s="38">
        <v>0.11111111111111099</v>
      </c>
      <c r="X423" s="38">
        <v>1</v>
      </c>
      <c r="Y423" s="38">
        <v>0.97530864197530798</v>
      </c>
      <c r="Z423" s="38">
        <v>0.90123456790123402</v>
      </c>
      <c r="AA423" s="38">
        <v>0.44444444444444398</v>
      </c>
      <c r="AB423" s="38">
        <v>1</v>
      </c>
      <c r="AC423" s="38">
        <v>1</v>
      </c>
      <c r="AD423" s="38">
        <v>1</v>
      </c>
      <c r="AE423" s="38">
        <v>1</v>
      </c>
      <c r="AF423" s="38">
        <v>0.938271604938271</v>
      </c>
      <c r="AG423" s="38">
        <v>1</v>
      </c>
      <c r="AH423" s="38">
        <v>0.19565217391304299</v>
      </c>
      <c r="AI423" s="38" t="s">
        <v>195</v>
      </c>
      <c r="AJ423" s="7"/>
    </row>
    <row r="424" spans="1:36" x14ac:dyDescent="0.35">
      <c r="AJ424" s="7"/>
    </row>
    <row r="425" spans="1:36" x14ac:dyDescent="0.35">
      <c r="A425" s="17" t="s">
        <v>207</v>
      </c>
      <c r="B425" s="17"/>
      <c r="C425" s="18" t="s">
        <v>122</v>
      </c>
      <c r="D425" s="18" t="s">
        <v>123</v>
      </c>
      <c r="E425" s="18" t="s">
        <v>124</v>
      </c>
      <c r="F425" s="18" t="s">
        <v>125</v>
      </c>
      <c r="G425" s="18" t="s">
        <v>126</v>
      </c>
      <c r="H425" s="18" t="s">
        <v>127</v>
      </c>
      <c r="I425" s="18" t="s">
        <v>128</v>
      </c>
      <c r="J425" s="18" t="s">
        <v>129</v>
      </c>
      <c r="K425" s="18" t="s">
        <v>130</v>
      </c>
      <c r="L425" s="18" t="s">
        <v>131</v>
      </c>
      <c r="M425" s="18" t="s">
        <v>132</v>
      </c>
      <c r="N425" s="18" t="s">
        <v>133</v>
      </c>
      <c r="O425" s="18" t="s">
        <v>134</v>
      </c>
      <c r="P425" s="18" t="s">
        <v>135</v>
      </c>
      <c r="Q425" s="18" t="s">
        <v>136</v>
      </c>
      <c r="R425" s="18" t="s">
        <v>137</v>
      </c>
      <c r="S425" s="18" t="s">
        <v>138</v>
      </c>
      <c r="T425" s="18" t="s">
        <v>139</v>
      </c>
      <c r="U425" s="18" t="s">
        <v>140</v>
      </c>
      <c r="V425" s="18" t="s">
        <v>141</v>
      </c>
      <c r="W425" s="18" t="s">
        <v>142</v>
      </c>
      <c r="X425" s="18" t="s">
        <v>143</v>
      </c>
      <c r="Y425" s="18" t="s">
        <v>144</v>
      </c>
      <c r="Z425" s="18" t="s">
        <v>145</v>
      </c>
      <c r="AA425" s="18" t="s">
        <v>146</v>
      </c>
      <c r="AB425" s="18" t="s">
        <v>147</v>
      </c>
      <c r="AC425" s="18" t="s">
        <v>148</v>
      </c>
      <c r="AD425" s="18" t="s">
        <v>149</v>
      </c>
      <c r="AE425" s="18" t="s">
        <v>150</v>
      </c>
      <c r="AF425" s="18" t="s">
        <v>151</v>
      </c>
      <c r="AG425" s="18" t="s">
        <v>152</v>
      </c>
      <c r="AH425" s="18" t="s">
        <v>153</v>
      </c>
      <c r="AI425" s="18" t="s">
        <v>154</v>
      </c>
      <c r="AJ425" s="7"/>
    </row>
    <row r="426" spans="1:36" x14ac:dyDescent="0.35">
      <c r="A426" s="17" t="s">
        <v>208</v>
      </c>
      <c r="B426" s="17"/>
      <c r="C426" s="19">
        <f>COUNTIFS(B$4:B$63,B423,$AI$4:$AI$63,"YES")</f>
        <v>0</v>
      </c>
      <c r="D426" s="19">
        <f>COUNTIFS(C$4:C$63,C423,$AI$4:$AI$63,"YES")</f>
        <v>0</v>
      </c>
      <c r="E426" s="19">
        <f t="shared" ref="E426:AJ426" si="96">COUNTIFS(D$4:D$63,D423,$AI$4:$AI$63,"YES")</f>
        <v>1</v>
      </c>
      <c r="F426" s="19">
        <f t="shared" si="96"/>
        <v>0</v>
      </c>
      <c r="G426" s="19">
        <f t="shared" si="96"/>
        <v>0</v>
      </c>
      <c r="H426" s="19">
        <f t="shared" si="96"/>
        <v>0</v>
      </c>
      <c r="I426" s="19">
        <f t="shared" si="96"/>
        <v>0</v>
      </c>
      <c r="J426" s="19">
        <f t="shared" si="96"/>
        <v>0</v>
      </c>
      <c r="K426" s="19">
        <f t="shared" si="96"/>
        <v>0</v>
      </c>
      <c r="L426" s="19">
        <f t="shared" si="96"/>
        <v>0</v>
      </c>
      <c r="M426" s="19">
        <f t="shared" si="96"/>
        <v>0</v>
      </c>
      <c r="N426" s="19">
        <f t="shared" si="96"/>
        <v>0</v>
      </c>
      <c r="O426" s="19">
        <f t="shared" si="96"/>
        <v>0</v>
      </c>
      <c r="P426" s="19">
        <f t="shared" si="96"/>
        <v>0</v>
      </c>
      <c r="Q426" s="19">
        <f t="shared" si="96"/>
        <v>0</v>
      </c>
      <c r="R426" s="19">
        <f t="shared" si="96"/>
        <v>0</v>
      </c>
      <c r="S426" s="19">
        <f t="shared" si="96"/>
        <v>0</v>
      </c>
      <c r="T426" s="19">
        <f t="shared" si="96"/>
        <v>0</v>
      </c>
      <c r="U426" s="19">
        <f t="shared" si="96"/>
        <v>0</v>
      </c>
      <c r="V426" s="19">
        <f t="shared" si="96"/>
        <v>4</v>
      </c>
      <c r="W426" s="19">
        <f t="shared" si="96"/>
        <v>4</v>
      </c>
      <c r="X426" s="19">
        <f t="shared" si="96"/>
        <v>0</v>
      </c>
      <c r="Y426" s="19">
        <f t="shared" si="96"/>
        <v>4</v>
      </c>
      <c r="Z426" s="19">
        <f t="shared" si="96"/>
        <v>0</v>
      </c>
      <c r="AA426" s="19">
        <f t="shared" si="96"/>
        <v>0</v>
      </c>
      <c r="AB426" s="19">
        <f t="shared" si="96"/>
        <v>0</v>
      </c>
      <c r="AC426" s="19">
        <f t="shared" si="96"/>
        <v>4</v>
      </c>
      <c r="AD426" s="19">
        <f t="shared" si="96"/>
        <v>4</v>
      </c>
      <c r="AE426" s="19">
        <f t="shared" si="96"/>
        <v>4</v>
      </c>
      <c r="AF426" s="19">
        <f t="shared" si="96"/>
        <v>4</v>
      </c>
      <c r="AG426" s="19">
        <f t="shared" si="96"/>
        <v>0</v>
      </c>
      <c r="AH426" s="19">
        <f t="shared" si="96"/>
        <v>4</v>
      </c>
      <c r="AI426" s="19">
        <f t="shared" si="96"/>
        <v>1</v>
      </c>
      <c r="AJ426" s="20"/>
    </row>
    <row r="427" spans="1:36" x14ac:dyDescent="0.35">
      <c r="A427" s="17" t="s">
        <v>209</v>
      </c>
      <c r="B427" s="17"/>
      <c r="C427" s="19">
        <f>COUNTIFS(B$4:B$63,B423,$AI$4:$AI$63,"NO")</f>
        <v>10</v>
      </c>
      <c r="D427" s="19">
        <f t="shared" ref="D427:AI427" si="97">COUNTIFS(C$4:C$63,C423,$AI$4:$AI$63,"NO")</f>
        <v>6</v>
      </c>
      <c r="E427" s="19">
        <f t="shared" si="97"/>
        <v>26</v>
      </c>
      <c r="F427" s="19">
        <f t="shared" si="97"/>
        <v>6</v>
      </c>
      <c r="G427" s="19">
        <f t="shared" si="97"/>
        <v>6</v>
      </c>
      <c r="H427" s="19">
        <f t="shared" si="97"/>
        <v>9</v>
      </c>
      <c r="I427" s="19">
        <f t="shared" si="97"/>
        <v>6</v>
      </c>
      <c r="J427" s="19">
        <f t="shared" si="97"/>
        <v>7</v>
      </c>
      <c r="K427" s="19">
        <f t="shared" si="97"/>
        <v>6</v>
      </c>
      <c r="L427" s="19">
        <f t="shared" si="97"/>
        <v>6</v>
      </c>
      <c r="M427" s="19">
        <f t="shared" si="97"/>
        <v>6</v>
      </c>
      <c r="N427" s="19">
        <f t="shared" si="97"/>
        <v>12</v>
      </c>
      <c r="O427" s="19">
        <f t="shared" si="97"/>
        <v>6</v>
      </c>
      <c r="P427" s="19">
        <f t="shared" si="97"/>
        <v>6</v>
      </c>
      <c r="Q427" s="19">
        <f t="shared" si="97"/>
        <v>7</v>
      </c>
      <c r="R427" s="19">
        <f t="shared" si="97"/>
        <v>6</v>
      </c>
      <c r="S427" s="19">
        <f t="shared" si="97"/>
        <v>6</v>
      </c>
      <c r="T427" s="19">
        <f t="shared" si="97"/>
        <v>6</v>
      </c>
      <c r="U427" s="19">
        <f t="shared" si="97"/>
        <v>6</v>
      </c>
      <c r="V427" s="19">
        <f t="shared" si="97"/>
        <v>56</v>
      </c>
      <c r="W427" s="19">
        <f t="shared" si="97"/>
        <v>56</v>
      </c>
      <c r="X427" s="19">
        <f t="shared" si="97"/>
        <v>6</v>
      </c>
      <c r="Y427" s="19">
        <f t="shared" si="97"/>
        <v>56</v>
      </c>
      <c r="Z427" s="19">
        <f t="shared" si="97"/>
        <v>6</v>
      </c>
      <c r="AA427" s="19">
        <f t="shared" si="97"/>
        <v>6</v>
      </c>
      <c r="AB427" s="19">
        <f t="shared" si="97"/>
        <v>6</v>
      </c>
      <c r="AC427" s="19">
        <f t="shared" si="97"/>
        <v>56</v>
      </c>
      <c r="AD427" s="19">
        <f t="shared" si="97"/>
        <v>56</v>
      </c>
      <c r="AE427" s="19">
        <f t="shared" si="97"/>
        <v>56</v>
      </c>
      <c r="AF427" s="19">
        <f t="shared" si="97"/>
        <v>56</v>
      </c>
      <c r="AG427" s="19">
        <f t="shared" si="97"/>
        <v>6</v>
      </c>
      <c r="AH427" s="19">
        <f t="shared" si="97"/>
        <v>56</v>
      </c>
      <c r="AI427" s="19">
        <f t="shared" si="97"/>
        <v>30</v>
      </c>
      <c r="AJ427" s="20"/>
    </row>
    <row r="428" spans="1:36" x14ac:dyDescent="0.35">
      <c r="A428" s="17" t="s">
        <v>210</v>
      </c>
      <c r="B428" s="18" t="s">
        <v>208</v>
      </c>
      <c r="C428" s="19">
        <f>C426/$B$108</f>
        <v>0</v>
      </c>
      <c r="D428" s="19">
        <f t="shared" ref="D428:AI428" si="98">D426/$B$108</f>
        <v>0</v>
      </c>
      <c r="E428" s="19">
        <f t="shared" si="98"/>
        <v>15</v>
      </c>
      <c r="F428" s="19">
        <f t="shared" si="98"/>
        <v>0</v>
      </c>
      <c r="G428" s="19">
        <f t="shared" si="98"/>
        <v>0</v>
      </c>
      <c r="H428" s="19">
        <f t="shared" si="98"/>
        <v>0</v>
      </c>
      <c r="I428" s="19">
        <f t="shared" si="98"/>
        <v>0</v>
      </c>
      <c r="J428" s="19">
        <f t="shared" si="98"/>
        <v>0</v>
      </c>
      <c r="K428" s="19">
        <f t="shared" si="98"/>
        <v>0</v>
      </c>
      <c r="L428" s="19">
        <f t="shared" si="98"/>
        <v>0</v>
      </c>
      <c r="M428" s="19">
        <f t="shared" si="98"/>
        <v>0</v>
      </c>
      <c r="N428" s="19">
        <f t="shared" si="98"/>
        <v>0</v>
      </c>
      <c r="O428" s="19">
        <f t="shared" si="98"/>
        <v>0</v>
      </c>
      <c r="P428" s="19">
        <f t="shared" si="98"/>
        <v>0</v>
      </c>
      <c r="Q428" s="19">
        <f t="shared" si="98"/>
        <v>0</v>
      </c>
      <c r="R428" s="19">
        <f t="shared" si="98"/>
        <v>0</v>
      </c>
      <c r="S428" s="19">
        <f t="shared" si="98"/>
        <v>0</v>
      </c>
      <c r="T428" s="19">
        <f t="shared" si="98"/>
        <v>0</v>
      </c>
      <c r="U428" s="19">
        <f t="shared" si="98"/>
        <v>0</v>
      </c>
      <c r="V428" s="19">
        <f t="shared" si="98"/>
        <v>60</v>
      </c>
      <c r="W428" s="19">
        <f t="shared" si="98"/>
        <v>60</v>
      </c>
      <c r="X428" s="19">
        <f t="shared" si="98"/>
        <v>0</v>
      </c>
      <c r="Y428" s="19">
        <f t="shared" si="98"/>
        <v>60</v>
      </c>
      <c r="Z428" s="19">
        <f t="shared" si="98"/>
        <v>0</v>
      </c>
      <c r="AA428" s="19">
        <f t="shared" si="98"/>
        <v>0</v>
      </c>
      <c r="AB428" s="19">
        <f t="shared" si="98"/>
        <v>0</v>
      </c>
      <c r="AC428" s="19">
        <f t="shared" si="98"/>
        <v>60</v>
      </c>
      <c r="AD428" s="19">
        <f t="shared" si="98"/>
        <v>60</v>
      </c>
      <c r="AE428" s="19">
        <f t="shared" si="98"/>
        <v>60</v>
      </c>
      <c r="AF428" s="19">
        <f t="shared" si="98"/>
        <v>60</v>
      </c>
      <c r="AG428" s="19">
        <f t="shared" si="98"/>
        <v>0</v>
      </c>
      <c r="AH428" s="19">
        <f t="shared" si="98"/>
        <v>60</v>
      </c>
      <c r="AI428" s="19">
        <f t="shared" si="98"/>
        <v>15</v>
      </c>
      <c r="AJ428" s="19">
        <f>C428*D428*E428*F428*G428*H428*I428*J428*K428*L428*M428*N428*O428*P428*Q428*R428*S428*T428*U428*V428*W428*X428*Y428*Z428*AA428*AB428*AC428*AD428*AE428*AF428*AG428*AH428*AI428</f>
        <v>0</v>
      </c>
    </row>
    <row r="429" spans="1:36" x14ac:dyDescent="0.35">
      <c r="A429" s="17"/>
      <c r="B429" s="18" t="s">
        <v>209</v>
      </c>
      <c r="C429" s="19">
        <f>C427/$C$108</f>
        <v>10.714285714285714</v>
      </c>
      <c r="D429" s="19">
        <f t="shared" ref="D429:AI429" si="99">D427/$C$108</f>
        <v>6.4285714285714288</v>
      </c>
      <c r="E429" s="19">
        <f t="shared" si="99"/>
        <v>27.857142857142858</v>
      </c>
      <c r="F429" s="19">
        <f t="shared" si="99"/>
        <v>6.4285714285714288</v>
      </c>
      <c r="G429" s="19">
        <f t="shared" si="99"/>
        <v>6.4285714285714288</v>
      </c>
      <c r="H429" s="19">
        <f t="shared" si="99"/>
        <v>9.6428571428571423</v>
      </c>
      <c r="I429" s="19">
        <f t="shared" si="99"/>
        <v>6.4285714285714288</v>
      </c>
      <c r="J429" s="19">
        <f t="shared" si="99"/>
        <v>7.5</v>
      </c>
      <c r="K429" s="19">
        <f t="shared" si="99"/>
        <v>6.4285714285714288</v>
      </c>
      <c r="L429" s="19">
        <f t="shared" si="99"/>
        <v>6.4285714285714288</v>
      </c>
      <c r="M429" s="19">
        <f t="shared" si="99"/>
        <v>6.4285714285714288</v>
      </c>
      <c r="N429" s="19">
        <f t="shared" si="99"/>
        <v>12.857142857142858</v>
      </c>
      <c r="O429" s="19">
        <f t="shared" si="99"/>
        <v>6.4285714285714288</v>
      </c>
      <c r="P429" s="19">
        <f t="shared" si="99"/>
        <v>6.4285714285714288</v>
      </c>
      <c r="Q429" s="19">
        <f t="shared" si="99"/>
        <v>7.5</v>
      </c>
      <c r="R429" s="19">
        <f t="shared" si="99"/>
        <v>6.4285714285714288</v>
      </c>
      <c r="S429" s="19">
        <f t="shared" si="99"/>
        <v>6.4285714285714288</v>
      </c>
      <c r="T429" s="19">
        <f t="shared" si="99"/>
        <v>6.4285714285714288</v>
      </c>
      <c r="U429" s="19">
        <f t="shared" si="99"/>
        <v>6.4285714285714288</v>
      </c>
      <c r="V429" s="19">
        <f t="shared" si="99"/>
        <v>60</v>
      </c>
      <c r="W429" s="19">
        <f t="shared" si="99"/>
        <v>60</v>
      </c>
      <c r="X429" s="19">
        <f t="shared" si="99"/>
        <v>6.4285714285714288</v>
      </c>
      <c r="Y429" s="19">
        <f t="shared" si="99"/>
        <v>60</v>
      </c>
      <c r="Z429" s="19">
        <f t="shared" si="99"/>
        <v>6.4285714285714288</v>
      </c>
      <c r="AA429" s="19">
        <f t="shared" si="99"/>
        <v>6.4285714285714288</v>
      </c>
      <c r="AB429" s="19">
        <f t="shared" si="99"/>
        <v>6.4285714285714288</v>
      </c>
      <c r="AC429" s="19">
        <f t="shared" si="99"/>
        <v>60</v>
      </c>
      <c r="AD429" s="19">
        <f t="shared" si="99"/>
        <v>60</v>
      </c>
      <c r="AE429" s="19">
        <f t="shared" si="99"/>
        <v>60</v>
      </c>
      <c r="AF429" s="19">
        <f t="shared" si="99"/>
        <v>60</v>
      </c>
      <c r="AG429" s="19">
        <f t="shared" si="99"/>
        <v>6.4285714285714288</v>
      </c>
      <c r="AH429" s="19">
        <f t="shared" si="99"/>
        <v>60</v>
      </c>
      <c r="AI429" s="19">
        <f t="shared" si="99"/>
        <v>32.142857142857139</v>
      </c>
      <c r="AJ429" s="19">
        <f>C429*D429*E429*F429*G429*H429*I429*J429*K429*L429*M429*N429*O429*P429*Q429*R429*S429*T429*U429*V429*W429*X429*Y429*Z429*AA429*AB429*AC429*AD429*AE429*AF429*AG429*AH429*AI429</f>
        <v>3.9511865301379321E+36</v>
      </c>
    </row>
    <row r="430" spans="1:36" x14ac:dyDescent="0.35">
      <c r="A430" s="21"/>
      <c r="B430" s="21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20"/>
    </row>
    <row r="431" spans="1:36" x14ac:dyDescent="0.35">
      <c r="A431" s="22" t="s">
        <v>211</v>
      </c>
      <c r="B431" s="23"/>
      <c r="C431" s="24" t="s">
        <v>212</v>
      </c>
      <c r="D431" s="20"/>
      <c r="E431" s="20"/>
      <c r="F431" s="20"/>
      <c r="G431" s="20"/>
      <c r="H431" s="20"/>
      <c r="I431" s="20"/>
      <c r="J431" s="20"/>
      <c r="K431" s="20"/>
      <c r="L431" s="2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20"/>
    </row>
    <row r="432" spans="1:36" x14ac:dyDescent="0.35">
      <c r="A432" s="25" t="s">
        <v>208</v>
      </c>
      <c r="B432" s="26">
        <f>AJ428*$B$108</f>
        <v>0</v>
      </c>
      <c r="C432" s="27" t="str">
        <f>IF(B432&gt;B433,A432,A433)</f>
        <v>No</v>
      </c>
      <c r="D432" s="20"/>
      <c r="E432" s="20"/>
      <c r="F432" s="20"/>
      <c r="G432" s="20"/>
      <c r="H432" s="20"/>
      <c r="I432" s="20"/>
      <c r="J432" s="20"/>
      <c r="K432" s="20"/>
      <c r="L432" s="2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20"/>
    </row>
    <row r="433" spans="1:36" x14ac:dyDescent="0.35">
      <c r="A433" s="25" t="s">
        <v>209</v>
      </c>
      <c r="B433" s="26">
        <f>AJ429*$C$108</f>
        <v>3.6877740947954033E+36</v>
      </c>
      <c r="C433" s="28"/>
      <c r="D433" s="20"/>
      <c r="E433" s="20"/>
      <c r="F433" s="20"/>
      <c r="G433" s="20"/>
      <c r="H433" s="20"/>
      <c r="I433" s="20"/>
      <c r="J433" s="20"/>
      <c r="K433" s="20"/>
      <c r="L433" s="2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20"/>
    </row>
    <row r="435" spans="1:36" x14ac:dyDescent="0.35">
      <c r="A435" s="15"/>
      <c r="B435" s="16" t="s">
        <v>122</v>
      </c>
      <c r="C435" s="16" t="s">
        <v>123</v>
      </c>
      <c r="D435" s="16" t="s">
        <v>124</v>
      </c>
      <c r="E435" s="16" t="s">
        <v>125</v>
      </c>
      <c r="F435" s="16" t="s">
        <v>126</v>
      </c>
      <c r="G435" s="16" t="s">
        <v>127</v>
      </c>
      <c r="H435" s="16" t="s">
        <v>128</v>
      </c>
      <c r="I435" s="16" t="s">
        <v>129</v>
      </c>
      <c r="J435" s="16" t="s">
        <v>130</v>
      </c>
      <c r="K435" s="16" t="s">
        <v>131</v>
      </c>
      <c r="L435" s="16" t="s">
        <v>132</v>
      </c>
      <c r="M435" s="16" t="s">
        <v>133</v>
      </c>
      <c r="N435" s="16" t="s">
        <v>134</v>
      </c>
      <c r="O435" s="16" t="s">
        <v>135</v>
      </c>
      <c r="P435" s="16" t="s">
        <v>136</v>
      </c>
      <c r="Q435" s="16" t="s">
        <v>137</v>
      </c>
      <c r="R435" s="16" t="s">
        <v>138</v>
      </c>
      <c r="S435" s="16" t="s">
        <v>139</v>
      </c>
      <c r="T435" s="16" t="s">
        <v>140</v>
      </c>
      <c r="U435" s="16" t="s">
        <v>141</v>
      </c>
      <c r="V435" s="16" t="s">
        <v>142</v>
      </c>
      <c r="W435" s="16" t="s">
        <v>143</v>
      </c>
      <c r="X435" s="16" t="s">
        <v>144</v>
      </c>
      <c r="Y435" s="16" t="s">
        <v>145</v>
      </c>
      <c r="Z435" s="16" t="s">
        <v>146</v>
      </c>
      <c r="AA435" s="16" t="s">
        <v>147</v>
      </c>
      <c r="AB435" s="16" t="s">
        <v>148</v>
      </c>
      <c r="AC435" s="16" t="s">
        <v>149</v>
      </c>
      <c r="AD435" s="16" t="s">
        <v>150</v>
      </c>
      <c r="AE435" s="16" t="s">
        <v>151</v>
      </c>
      <c r="AF435" s="16" t="s">
        <v>152</v>
      </c>
      <c r="AG435" s="16" t="s">
        <v>153</v>
      </c>
      <c r="AH435" s="16" t="s">
        <v>154</v>
      </c>
      <c r="AI435" s="16"/>
      <c r="AJ435" s="7"/>
    </row>
    <row r="436" spans="1:36" x14ac:dyDescent="0.35">
      <c r="A436" s="9" t="s">
        <v>298</v>
      </c>
      <c r="B436" s="38">
        <v>0.33333333333333298</v>
      </c>
      <c r="C436" s="38">
        <v>0.25</v>
      </c>
      <c r="D436" s="38">
        <v>0.33333333333333298</v>
      </c>
      <c r="E436" s="38">
        <v>0.66666666666666596</v>
      </c>
      <c r="F436" s="38">
        <v>0</v>
      </c>
      <c r="G436" s="38">
        <v>1</v>
      </c>
      <c r="H436" s="38">
        <v>0.55555555555555503</v>
      </c>
      <c r="I436" s="38">
        <v>1</v>
      </c>
      <c r="J436" s="38">
        <v>0</v>
      </c>
      <c r="K436" s="38">
        <v>0</v>
      </c>
      <c r="L436" s="38">
        <v>0</v>
      </c>
      <c r="M436" s="38">
        <v>0.2</v>
      </c>
      <c r="N436" s="38">
        <v>1</v>
      </c>
      <c r="O436" s="38">
        <v>0</v>
      </c>
      <c r="P436" s="38">
        <v>0</v>
      </c>
      <c r="Q436" s="38">
        <v>0</v>
      </c>
      <c r="R436" s="38">
        <v>1</v>
      </c>
      <c r="S436" s="38">
        <v>1</v>
      </c>
      <c r="T436" s="38">
        <v>1</v>
      </c>
      <c r="U436" s="38">
        <v>1</v>
      </c>
      <c r="V436" s="38">
        <v>1</v>
      </c>
      <c r="W436" s="38">
        <v>0</v>
      </c>
      <c r="X436" s="38">
        <v>1</v>
      </c>
      <c r="Y436" s="38">
        <v>1</v>
      </c>
      <c r="Z436" s="38">
        <v>1</v>
      </c>
      <c r="AA436" s="38">
        <v>1</v>
      </c>
      <c r="AB436" s="38">
        <v>1</v>
      </c>
      <c r="AC436" s="38">
        <v>1</v>
      </c>
      <c r="AD436" s="38">
        <v>1</v>
      </c>
      <c r="AE436" s="38">
        <v>1</v>
      </c>
      <c r="AF436" s="38">
        <v>1</v>
      </c>
      <c r="AG436" s="38">
        <v>1</v>
      </c>
      <c r="AH436" s="38">
        <v>0</v>
      </c>
      <c r="AI436" s="38" t="s">
        <v>195</v>
      </c>
      <c r="AJ436" s="7"/>
    </row>
    <row r="437" spans="1:36" x14ac:dyDescent="0.35">
      <c r="AJ437" s="7"/>
    </row>
    <row r="438" spans="1:36" x14ac:dyDescent="0.35">
      <c r="A438" s="17" t="s">
        <v>207</v>
      </c>
      <c r="B438" s="17"/>
      <c r="C438" s="18" t="s">
        <v>122</v>
      </c>
      <c r="D438" s="18" t="s">
        <v>123</v>
      </c>
      <c r="E438" s="18" t="s">
        <v>124</v>
      </c>
      <c r="F438" s="18" t="s">
        <v>125</v>
      </c>
      <c r="G438" s="18" t="s">
        <v>126</v>
      </c>
      <c r="H438" s="18" t="s">
        <v>127</v>
      </c>
      <c r="I438" s="18" t="s">
        <v>128</v>
      </c>
      <c r="J438" s="18" t="s">
        <v>129</v>
      </c>
      <c r="K438" s="18" t="s">
        <v>130</v>
      </c>
      <c r="L438" s="18" t="s">
        <v>131</v>
      </c>
      <c r="M438" s="18" t="s">
        <v>132</v>
      </c>
      <c r="N438" s="18" t="s">
        <v>133</v>
      </c>
      <c r="O438" s="18" t="s">
        <v>134</v>
      </c>
      <c r="P438" s="18" t="s">
        <v>135</v>
      </c>
      <c r="Q438" s="18" t="s">
        <v>136</v>
      </c>
      <c r="R438" s="18" t="s">
        <v>137</v>
      </c>
      <c r="S438" s="18" t="s">
        <v>138</v>
      </c>
      <c r="T438" s="18" t="s">
        <v>139</v>
      </c>
      <c r="U438" s="18" t="s">
        <v>140</v>
      </c>
      <c r="V438" s="18" t="s">
        <v>141</v>
      </c>
      <c r="W438" s="18" t="s">
        <v>142</v>
      </c>
      <c r="X438" s="18" t="s">
        <v>143</v>
      </c>
      <c r="Y438" s="18" t="s">
        <v>144</v>
      </c>
      <c r="Z438" s="18" t="s">
        <v>145</v>
      </c>
      <c r="AA438" s="18" t="s">
        <v>146</v>
      </c>
      <c r="AB438" s="18" t="s">
        <v>147</v>
      </c>
      <c r="AC438" s="18" t="s">
        <v>148</v>
      </c>
      <c r="AD438" s="18" t="s">
        <v>149</v>
      </c>
      <c r="AE438" s="18" t="s">
        <v>150</v>
      </c>
      <c r="AF438" s="18" t="s">
        <v>151</v>
      </c>
      <c r="AG438" s="18" t="s">
        <v>152</v>
      </c>
      <c r="AH438" s="18" t="s">
        <v>153</v>
      </c>
      <c r="AI438" s="18" t="s">
        <v>154</v>
      </c>
      <c r="AJ438" s="7"/>
    </row>
    <row r="439" spans="1:36" x14ac:dyDescent="0.35">
      <c r="A439" s="17" t="s">
        <v>208</v>
      </c>
      <c r="B439" s="17"/>
      <c r="C439" s="19">
        <f>COUNTIFS(B$4:B$63,B436,$AI$4:$AI$63,"YES")</f>
        <v>0</v>
      </c>
      <c r="D439" s="19">
        <f>COUNTIFS(C$4:C$63,C436,$AI$4:$AI$63,"YES")</f>
        <v>3</v>
      </c>
      <c r="E439" s="19">
        <f t="shared" ref="E439:AJ439" si="100">COUNTIFS(D$4:D$63,D436,$AI$4:$AI$63,"YES")</f>
        <v>3</v>
      </c>
      <c r="F439" s="19">
        <f t="shared" si="100"/>
        <v>2</v>
      </c>
      <c r="G439" s="19">
        <f t="shared" si="100"/>
        <v>2</v>
      </c>
      <c r="H439" s="19">
        <f t="shared" si="100"/>
        <v>4</v>
      </c>
      <c r="I439" s="19">
        <f t="shared" si="100"/>
        <v>4</v>
      </c>
      <c r="J439" s="19">
        <f t="shared" si="100"/>
        <v>4</v>
      </c>
      <c r="K439" s="19">
        <f t="shared" si="100"/>
        <v>0</v>
      </c>
      <c r="L439" s="19">
        <f t="shared" si="100"/>
        <v>2</v>
      </c>
      <c r="M439" s="19">
        <f t="shared" si="100"/>
        <v>4</v>
      </c>
      <c r="N439" s="19">
        <f t="shared" si="100"/>
        <v>3</v>
      </c>
      <c r="O439" s="19">
        <f t="shared" si="100"/>
        <v>4</v>
      </c>
      <c r="P439" s="19">
        <f t="shared" si="100"/>
        <v>4</v>
      </c>
      <c r="Q439" s="19">
        <f t="shared" si="100"/>
        <v>1</v>
      </c>
      <c r="R439" s="19">
        <f t="shared" si="100"/>
        <v>0</v>
      </c>
      <c r="S439" s="19">
        <f t="shared" si="100"/>
        <v>4</v>
      </c>
      <c r="T439" s="19">
        <f t="shared" si="100"/>
        <v>4</v>
      </c>
      <c r="U439" s="19">
        <f t="shared" si="100"/>
        <v>4</v>
      </c>
      <c r="V439" s="19">
        <f t="shared" si="100"/>
        <v>4</v>
      </c>
      <c r="W439" s="19">
        <f t="shared" si="100"/>
        <v>4</v>
      </c>
      <c r="X439" s="19">
        <f t="shared" si="100"/>
        <v>4</v>
      </c>
      <c r="Y439" s="19">
        <f t="shared" si="100"/>
        <v>4</v>
      </c>
      <c r="Z439" s="19">
        <f t="shared" si="100"/>
        <v>4</v>
      </c>
      <c r="AA439" s="19">
        <f t="shared" si="100"/>
        <v>4</v>
      </c>
      <c r="AB439" s="19">
        <f t="shared" si="100"/>
        <v>0</v>
      </c>
      <c r="AC439" s="19">
        <f t="shared" si="100"/>
        <v>4</v>
      </c>
      <c r="AD439" s="19">
        <f t="shared" si="100"/>
        <v>4</v>
      </c>
      <c r="AE439" s="19">
        <f t="shared" si="100"/>
        <v>4</v>
      </c>
      <c r="AF439" s="19">
        <f t="shared" si="100"/>
        <v>4</v>
      </c>
      <c r="AG439" s="19">
        <f t="shared" si="100"/>
        <v>4</v>
      </c>
      <c r="AH439" s="19">
        <f t="shared" si="100"/>
        <v>4</v>
      </c>
      <c r="AI439" s="19">
        <f t="shared" si="100"/>
        <v>3</v>
      </c>
      <c r="AJ439" s="20"/>
    </row>
    <row r="440" spans="1:36" x14ac:dyDescent="0.35">
      <c r="A440" s="17" t="s">
        <v>209</v>
      </c>
      <c r="B440" s="17"/>
      <c r="C440" s="19">
        <f>COUNTIFS(B$4:B$63,B436,$AI$4:$AI$63,"NO")</f>
        <v>11</v>
      </c>
      <c r="D440" s="19">
        <f t="shared" ref="D440:AI440" si="101">COUNTIFS(C$4:C$63,C436,$AI$4:$AI$63,"NO")</f>
        <v>22</v>
      </c>
      <c r="E440" s="19">
        <f t="shared" si="101"/>
        <v>12</v>
      </c>
      <c r="F440" s="19">
        <f t="shared" si="101"/>
        <v>31</v>
      </c>
      <c r="G440" s="19">
        <f t="shared" si="101"/>
        <v>34</v>
      </c>
      <c r="H440" s="19">
        <f t="shared" si="101"/>
        <v>45</v>
      </c>
      <c r="I440" s="19">
        <f t="shared" si="101"/>
        <v>47</v>
      </c>
      <c r="J440" s="19">
        <f t="shared" si="101"/>
        <v>45</v>
      </c>
      <c r="K440" s="19">
        <f t="shared" si="101"/>
        <v>17</v>
      </c>
      <c r="L440" s="19">
        <f t="shared" si="101"/>
        <v>39</v>
      </c>
      <c r="M440" s="19">
        <f t="shared" si="101"/>
        <v>44</v>
      </c>
      <c r="N440" s="19">
        <f t="shared" si="101"/>
        <v>31</v>
      </c>
      <c r="O440" s="19">
        <f t="shared" si="101"/>
        <v>44</v>
      </c>
      <c r="P440" s="19">
        <f t="shared" si="101"/>
        <v>42</v>
      </c>
      <c r="Q440" s="19">
        <f t="shared" si="101"/>
        <v>41</v>
      </c>
      <c r="R440" s="19">
        <f t="shared" si="101"/>
        <v>10</v>
      </c>
      <c r="S440" s="19">
        <f t="shared" si="101"/>
        <v>49</v>
      </c>
      <c r="T440" s="19">
        <f t="shared" si="101"/>
        <v>41</v>
      </c>
      <c r="U440" s="19">
        <f t="shared" si="101"/>
        <v>49</v>
      </c>
      <c r="V440" s="19">
        <f t="shared" si="101"/>
        <v>56</v>
      </c>
      <c r="W440" s="19">
        <f t="shared" si="101"/>
        <v>56</v>
      </c>
      <c r="X440" s="19">
        <f t="shared" si="101"/>
        <v>43</v>
      </c>
      <c r="Y440" s="19">
        <f t="shared" si="101"/>
        <v>56</v>
      </c>
      <c r="Z440" s="19">
        <f t="shared" si="101"/>
        <v>50</v>
      </c>
      <c r="AA440" s="19">
        <f t="shared" si="101"/>
        <v>45</v>
      </c>
      <c r="AB440" s="19">
        <f t="shared" si="101"/>
        <v>25</v>
      </c>
      <c r="AC440" s="19">
        <f t="shared" si="101"/>
        <v>56</v>
      </c>
      <c r="AD440" s="19">
        <f t="shared" si="101"/>
        <v>56</v>
      </c>
      <c r="AE440" s="19">
        <f t="shared" si="101"/>
        <v>56</v>
      </c>
      <c r="AF440" s="19">
        <f t="shared" si="101"/>
        <v>56</v>
      </c>
      <c r="AG440" s="19">
        <f t="shared" si="101"/>
        <v>47</v>
      </c>
      <c r="AH440" s="19">
        <f t="shared" si="101"/>
        <v>56</v>
      </c>
      <c r="AI440" s="19">
        <f t="shared" si="101"/>
        <v>20</v>
      </c>
      <c r="AJ440" s="20"/>
    </row>
    <row r="441" spans="1:36" x14ac:dyDescent="0.35">
      <c r="A441" s="17" t="s">
        <v>210</v>
      </c>
      <c r="B441" s="18" t="s">
        <v>208</v>
      </c>
      <c r="C441" s="19">
        <f>C439/$B$108</f>
        <v>0</v>
      </c>
      <c r="D441" s="19">
        <f t="shared" ref="D441:AI441" si="102">D439/$B$108</f>
        <v>45</v>
      </c>
      <c r="E441" s="19">
        <f t="shared" si="102"/>
        <v>45</v>
      </c>
      <c r="F441" s="19">
        <f t="shared" si="102"/>
        <v>30</v>
      </c>
      <c r="G441" s="19">
        <f t="shared" si="102"/>
        <v>30</v>
      </c>
      <c r="H441" s="19">
        <f t="shared" si="102"/>
        <v>60</v>
      </c>
      <c r="I441" s="19">
        <f t="shared" si="102"/>
        <v>60</v>
      </c>
      <c r="J441" s="19">
        <f t="shared" si="102"/>
        <v>60</v>
      </c>
      <c r="K441" s="19">
        <f t="shared" si="102"/>
        <v>0</v>
      </c>
      <c r="L441" s="19">
        <f t="shared" si="102"/>
        <v>30</v>
      </c>
      <c r="M441" s="19">
        <f t="shared" si="102"/>
        <v>60</v>
      </c>
      <c r="N441" s="19">
        <f t="shared" si="102"/>
        <v>45</v>
      </c>
      <c r="O441" s="19">
        <f t="shared" si="102"/>
        <v>60</v>
      </c>
      <c r="P441" s="19">
        <f t="shared" si="102"/>
        <v>60</v>
      </c>
      <c r="Q441" s="19">
        <f t="shared" si="102"/>
        <v>15</v>
      </c>
      <c r="R441" s="19">
        <f t="shared" si="102"/>
        <v>0</v>
      </c>
      <c r="S441" s="19">
        <f t="shared" si="102"/>
        <v>60</v>
      </c>
      <c r="T441" s="19">
        <f t="shared" si="102"/>
        <v>60</v>
      </c>
      <c r="U441" s="19">
        <f t="shared" si="102"/>
        <v>60</v>
      </c>
      <c r="V441" s="19">
        <f t="shared" si="102"/>
        <v>60</v>
      </c>
      <c r="W441" s="19">
        <f t="shared" si="102"/>
        <v>60</v>
      </c>
      <c r="X441" s="19">
        <f t="shared" si="102"/>
        <v>60</v>
      </c>
      <c r="Y441" s="19">
        <f t="shared" si="102"/>
        <v>60</v>
      </c>
      <c r="Z441" s="19">
        <f t="shared" si="102"/>
        <v>60</v>
      </c>
      <c r="AA441" s="19">
        <f t="shared" si="102"/>
        <v>60</v>
      </c>
      <c r="AB441" s="19">
        <f t="shared" si="102"/>
        <v>0</v>
      </c>
      <c r="AC441" s="19">
        <f t="shared" si="102"/>
        <v>60</v>
      </c>
      <c r="AD441" s="19">
        <f t="shared" si="102"/>
        <v>60</v>
      </c>
      <c r="AE441" s="19">
        <f t="shared" si="102"/>
        <v>60</v>
      </c>
      <c r="AF441" s="19">
        <f t="shared" si="102"/>
        <v>60</v>
      </c>
      <c r="AG441" s="19">
        <f t="shared" si="102"/>
        <v>60</v>
      </c>
      <c r="AH441" s="19">
        <f t="shared" si="102"/>
        <v>60</v>
      </c>
      <c r="AI441" s="19">
        <f t="shared" si="102"/>
        <v>45</v>
      </c>
      <c r="AJ441" s="19">
        <f>C441*D441*E441*F441*G441*H441*I441*J441*K441*L441*M441*N441*O441*P441*Q441*R441*S441*T441*U441*V441*W441*X441*Y441*Z441*AA441*AB441*AC441*AD441*AE441*AF441*AG441*AH441*AI441</f>
        <v>0</v>
      </c>
    </row>
    <row r="442" spans="1:36" x14ac:dyDescent="0.35">
      <c r="A442" s="17"/>
      <c r="B442" s="18" t="s">
        <v>209</v>
      </c>
      <c r="C442" s="19">
        <f>C440/$C$108</f>
        <v>11.785714285714285</v>
      </c>
      <c r="D442" s="19">
        <f t="shared" ref="D442:AI442" si="103">D440/$C$108</f>
        <v>23.571428571428569</v>
      </c>
      <c r="E442" s="19">
        <f t="shared" si="103"/>
        <v>12.857142857142858</v>
      </c>
      <c r="F442" s="19">
        <f t="shared" si="103"/>
        <v>33.214285714285715</v>
      </c>
      <c r="G442" s="19">
        <f t="shared" si="103"/>
        <v>36.428571428571431</v>
      </c>
      <c r="H442" s="19">
        <f t="shared" si="103"/>
        <v>48.214285714285715</v>
      </c>
      <c r="I442" s="19">
        <f t="shared" si="103"/>
        <v>50.357142857142854</v>
      </c>
      <c r="J442" s="19">
        <f t="shared" si="103"/>
        <v>48.214285714285715</v>
      </c>
      <c r="K442" s="19">
        <f t="shared" si="103"/>
        <v>18.214285714285715</v>
      </c>
      <c r="L442" s="19">
        <f t="shared" si="103"/>
        <v>41.785714285714285</v>
      </c>
      <c r="M442" s="19">
        <f t="shared" si="103"/>
        <v>47.142857142857139</v>
      </c>
      <c r="N442" s="19">
        <f t="shared" si="103"/>
        <v>33.214285714285715</v>
      </c>
      <c r="O442" s="19">
        <f t="shared" si="103"/>
        <v>47.142857142857139</v>
      </c>
      <c r="P442" s="19">
        <f t="shared" si="103"/>
        <v>45</v>
      </c>
      <c r="Q442" s="19">
        <f t="shared" si="103"/>
        <v>43.928571428571431</v>
      </c>
      <c r="R442" s="19">
        <f t="shared" si="103"/>
        <v>10.714285714285714</v>
      </c>
      <c r="S442" s="19">
        <f t="shared" si="103"/>
        <v>52.5</v>
      </c>
      <c r="T442" s="19">
        <f t="shared" si="103"/>
        <v>43.928571428571431</v>
      </c>
      <c r="U442" s="19">
        <f t="shared" si="103"/>
        <v>52.5</v>
      </c>
      <c r="V442" s="19">
        <f t="shared" si="103"/>
        <v>60</v>
      </c>
      <c r="W442" s="19">
        <f t="shared" si="103"/>
        <v>60</v>
      </c>
      <c r="X442" s="19">
        <f t="shared" si="103"/>
        <v>46.071428571428569</v>
      </c>
      <c r="Y442" s="19">
        <f t="shared" si="103"/>
        <v>60</v>
      </c>
      <c r="Z442" s="19">
        <f t="shared" si="103"/>
        <v>53.571428571428569</v>
      </c>
      <c r="AA442" s="19">
        <f t="shared" si="103"/>
        <v>48.214285714285715</v>
      </c>
      <c r="AB442" s="19">
        <f t="shared" si="103"/>
        <v>26.785714285714285</v>
      </c>
      <c r="AC442" s="19">
        <f t="shared" si="103"/>
        <v>60</v>
      </c>
      <c r="AD442" s="19">
        <f t="shared" si="103"/>
        <v>60</v>
      </c>
      <c r="AE442" s="19">
        <f t="shared" si="103"/>
        <v>60</v>
      </c>
      <c r="AF442" s="19">
        <f t="shared" si="103"/>
        <v>60</v>
      </c>
      <c r="AG442" s="19">
        <f t="shared" si="103"/>
        <v>50.357142857142854</v>
      </c>
      <c r="AH442" s="19">
        <f t="shared" si="103"/>
        <v>60</v>
      </c>
      <c r="AI442" s="19">
        <f t="shared" si="103"/>
        <v>21.428571428571427</v>
      </c>
      <c r="AJ442" s="19">
        <f>C442*D442*E442*F442*G442*H442*I442*J442*K442*L442*M442*N442*O442*P442*Q442*R442*S442*T442*U442*V442*W442*X442*Y442*Z442*AA442*AB442*AC442*AD442*AE442*AF442*AG442*AH442*AI442</f>
        <v>4.2107481931660566E+52</v>
      </c>
    </row>
    <row r="443" spans="1:36" x14ac:dyDescent="0.35">
      <c r="A443" s="21"/>
      <c r="B443" s="21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20"/>
    </row>
    <row r="444" spans="1:36" x14ac:dyDescent="0.35">
      <c r="A444" s="22" t="s">
        <v>211</v>
      </c>
      <c r="B444" s="23"/>
      <c r="C444" s="24" t="s">
        <v>212</v>
      </c>
      <c r="D444" s="20"/>
      <c r="E444" s="20"/>
      <c r="F444" s="20"/>
      <c r="G444" s="20"/>
      <c r="H444" s="20"/>
      <c r="I444" s="20"/>
      <c r="J444" s="20"/>
      <c r="K444" s="20"/>
      <c r="L444" s="2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20"/>
    </row>
    <row r="445" spans="1:36" x14ac:dyDescent="0.35">
      <c r="A445" s="25" t="s">
        <v>208</v>
      </c>
      <c r="B445" s="26">
        <f>AJ441*$B$108</f>
        <v>0</v>
      </c>
      <c r="C445" s="27" t="str">
        <f>IF(B445&gt;B446,A445,A446)</f>
        <v>No</v>
      </c>
      <c r="D445" s="20"/>
      <c r="E445" s="20"/>
      <c r="F445" s="20"/>
      <c r="G445" s="20"/>
      <c r="H445" s="20"/>
      <c r="I445" s="20"/>
      <c r="J445" s="20"/>
      <c r="K445" s="20"/>
      <c r="L445" s="2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20"/>
    </row>
    <row r="446" spans="1:36" x14ac:dyDescent="0.35">
      <c r="A446" s="25" t="s">
        <v>209</v>
      </c>
      <c r="B446" s="26">
        <f>AJ442*$C$108</f>
        <v>3.9300316469549862E+52</v>
      </c>
      <c r="C446" s="28"/>
      <c r="D446" s="20"/>
      <c r="E446" s="20"/>
      <c r="F446" s="20"/>
      <c r="G446" s="20"/>
      <c r="H446" s="20"/>
      <c r="I446" s="20"/>
      <c r="J446" s="20"/>
      <c r="K446" s="20"/>
      <c r="L446" s="2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20"/>
    </row>
    <row r="448" spans="1:36" x14ac:dyDescent="0.35">
      <c r="A448" s="15"/>
      <c r="B448" s="16" t="s">
        <v>122</v>
      </c>
      <c r="C448" s="16" t="s">
        <v>123</v>
      </c>
      <c r="D448" s="16" t="s">
        <v>124</v>
      </c>
      <c r="E448" s="16" t="s">
        <v>125</v>
      </c>
      <c r="F448" s="16" t="s">
        <v>126</v>
      </c>
      <c r="G448" s="16" t="s">
        <v>127</v>
      </c>
      <c r="H448" s="16" t="s">
        <v>128</v>
      </c>
      <c r="I448" s="16" t="s">
        <v>129</v>
      </c>
      <c r="J448" s="16" t="s">
        <v>130</v>
      </c>
      <c r="K448" s="16" t="s">
        <v>131</v>
      </c>
      <c r="L448" s="16" t="s">
        <v>132</v>
      </c>
      <c r="M448" s="16" t="s">
        <v>133</v>
      </c>
      <c r="N448" s="16" t="s">
        <v>134</v>
      </c>
      <c r="O448" s="16" t="s">
        <v>135</v>
      </c>
      <c r="P448" s="16" t="s">
        <v>136</v>
      </c>
      <c r="Q448" s="16" t="s">
        <v>137</v>
      </c>
      <c r="R448" s="16" t="s">
        <v>138</v>
      </c>
      <c r="S448" s="16" t="s">
        <v>139</v>
      </c>
      <c r="T448" s="16" t="s">
        <v>140</v>
      </c>
      <c r="U448" s="16" t="s">
        <v>141</v>
      </c>
      <c r="V448" s="16" t="s">
        <v>142</v>
      </c>
      <c r="W448" s="16" t="s">
        <v>143</v>
      </c>
      <c r="X448" s="16" t="s">
        <v>144</v>
      </c>
      <c r="Y448" s="16" t="s">
        <v>145</v>
      </c>
      <c r="Z448" s="16" t="s">
        <v>146</v>
      </c>
      <c r="AA448" s="16" t="s">
        <v>147</v>
      </c>
      <c r="AB448" s="16" t="s">
        <v>148</v>
      </c>
      <c r="AC448" s="16" t="s">
        <v>149</v>
      </c>
      <c r="AD448" s="16" t="s">
        <v>150</v>
      </c>
      <c r="AE448" s="16" t="s">
        <v>151</v>
      </c>
      <c r="AF448" s="16" t="s">
        <v>152</v>
      </c>
      <c r="AG448" s="16" t="s">
        <v>153</v>
      </c>
      <c r="AH448" s="16" t="s">
        <v>154</v>
      </c>
      <c r="AI448" s="16"/>
      <c r="AJ448" s="7"/>
    </row>
    <row r="449" spans="1:36" x14ac:dyDescent="0.35">
      <c r="A449" s="9" t="s">
        <v>299</v>
      </c>
      <c r="B449" s="38">
        <v>0.66666666666666596</v>
      </c>
      <c r="C449" s="38">
        <v>0.25</v>
      </c>
      <c r="D449" s="38">
        <v>0.23899371069182301</v>
      </c>
      <c r="E449" s="38">
        <v>1</v>
      </c>
      <c r="F449" s="38">
        <v>0.33333333333333298</v>
      </c>
      <c r="G449" s="38">
        <v>1</v>
      </c>
      <c r="H449" s="38">
        <v>0.55555555555555503</v>
      </c>
      <c r="I449" s="38">
        <v>1</v>
      </c>
      <c r="J449" s="38">
        <v>0.5</v>
      </c>
      <c r="K449" s="38">
        <v>0</v>
      </c>
      <c r="L449" s="38">
        <v>0</v>
      </c>
      <c r="M449" s="38">
        <v>0.2</v>
      </c>
      <c r="N449" s="38">
        <v>0.5</v>
      </c>
      <c r="O449" s="38">
        <v>0</v>
      </c>
      <c r="P449" s="38">
        <v>0</v>
      </c>
      <c r="Q449" s="38">
        <v>0.4</v>
      </c>
      <c r="R449" s="38">
        <v>1</v>
      </c>
      <c r="S449" s="38">
        <v>1</v>
      </c>
      <c r="T449" s="38">
        <v>1</v>
      </c>
      <c r="U449" s="38">
        <v>1</v>
      </c>
      <c r="V449" s="38">
        <v>1</v>
      </c>
      <c r="W449" s="38">
        <v>0</v>
      </c>
      <c r="X449" s="38">
        <v>1</v>
      </c>
      <c r="Y449" s="38">
        <v>1</v>
      </c>
      <c r="Z449" s="38">
        <v>1</v>
      </c>
      <c r="AA449" s="38">
        <v>0</v>
      </c>
      <c r="AB449" s="38">
        <v>1</v>
      </c>
      <c r="AC449" s="38">
        <v>1</v>
      </c>
      <c r="AD449" s="38">
        <v>1</v>
      </c>
      <c r="AE449" s="38">
        <v>1</v>
      </c>
      <c r="AF449" s="38">
        <v>1</v>
      </c>
      <c r="AG449" s="38">
        <v>1</v>
      </c>
      <c r="AH449" s="38">
        <v>0.19565217391304299</v>
      </c>
      <c r="AI449" s="38" t="s">
        <v>195</v>
      </c>
      <c r="AJ449" s="7"/>
    </row>
    <row r="450" spans="1:36" x14ac:dyDescent="0.35">
      <c r="AJ450" s="7"/>
    </row>
    <row r="451" spans="1:36" x14ac:dyDescent="0.35">
      <c r="A451" s="17" t="s">
        <v>207</v>
      </c>
      <c r="B451" s="17"/>
      <c r="C451" s="18" t="s">
        <v>122</v>
      </c>
      <c r="D451" s="18" t="s">
        <v>123</v>
      </c>
      <c r="E451" s="18" t="s">
        <v>124</v>
      </c>
      <c r="F451" s="18" t="s">
        <v>125</v>
      </c>
      <c r="G451" s="18" t="s">
        <v>126</v>
      </c>
      <c r="H451" s="18" t="s">
        <v>127</v>
      </c>
      <c r="I451" s="18" t="s">
        <v>128</v>
      </c>
      <c r="J451" s="18" t="s">
        <v>129</v>
      </c>
      <c r="K451" s="18" t="s">
        <v>130</v>
      </c>
      <c r="L451" s="18" t="s">
        <v>131</v>
      </c>
      <c r="M451" s="18" t="s">
        <v>132</v>
      </c>
      <c r="N451" s="18" t="s">
        <v>133</v>
      </c>
      <c r="O451" s="18" t="s">
        <v>134</v>
      </c>
      <c r="P451" s="18" t="s">
        <v>135</v>
      </c>
      <c r="Q451" s="18" t="s">
        <v>136</v>
      </c>
      <c r="R451" s="18" t="s">
        <v>137</v>
      </c>
      <c r="S451" s="18" t="s">
        <v>138</v>
      </c>
      <c r="T451" s="18" t="s">
        <v>139</v>
      </c>
      <c r="U451" s="18" t="s">
        <v>140</v>
      </c>
      <c r="V451" s="18" t="s">
        <v>141</v>
      </c>
      <c r="W451" s="18" t="s">
        <v>142</v>
      </c>
      <c r="X451" s="18" t="s">
        <v>143</v>
      </c>
      <c r="Y451" s="18" t="s">
        <v>144</v>
      </c>
      <c r="Z451" s="18" t="s">
        <v>145</v>
      </c>
      <c r="AA451" s="18" t="s">
        <v>146</v>
      </c>
      <c r="AB451" s="18" t="s">
        <v>147</v>
      </c>
      <c r="AC451" s="18" t="s">
        <v>148</v>
      </c>
      <c r="AD451" s="18" t="s">
        <v>149</v>
      </c>
      <c r="AE451" s="18" t="s">
        <v>150</v>
      </c>
      <c r="AF451" s="18" t="s">
        <v>151</v>
      </c>
      <c r="AG451" s="18" t="s">
        <v>152</v>
      </c>
      <c r="AH451" s="18" t="s">
        <v>153</v>
      </c>
      <c r="AI451" s="18" t="s">
        <v>154</v>
      </c>
      <c r="AJ451" s="7"/>
    </row>
    <row r="452" spans="1:36" x14ac:dyDescent="0.35">
      <c r="A452" s="17" t="s">
        <v>208</v>
      </c>
      <c r="B452" s="17"/>
      <c r="C452" s="19">
        <f>COUNTIFS(B$4:B$63,B449,$AI$4:$AI$63,"YES")</f>
        <v>0</v>
      </c>
      <c r="D452" s="19">
        <f>COUNTIFS(C$4:C$63,C449,$AI$4:$AI$63,"YES")</f>
        <v>3</v>
      </c>
      <c r="E452" s="19">
        <f t="shared" ref="E452:AJ452" si="104">COUNTIFS(D$4:D$63,D449,$AI$4:$AI$63,"YES")</f>
        <v>1</v>
      </c>
      <c r="F452" s="19">
        <f t="shared" si="104"/>
        <v>1</v>
      </c>
      <c r="G452" s="19">
        <f t="shared" si="104"/>
        <v>2</v>
      </c>
      <c r="H452" s="19">
        <f t="shared" si="104"/>
        <v>4</v>
      </c>
      <c r="I452" s="19">
        <f t="shared" si="104"/>
        <v>4</v>
      </c>
      <c r="J452" s="19">
        <f t="shared" si="104"/>
        <v>4</v>
      </c>
      <c r="K452" s="19">
        <f t="shared" si="104"/>
        <v>4</v>
      </c>
      <c r="L452" s="19">
        <f t="shared" si="104"/>
        <v>2</v>
      </c>
      <c r="M452" s="19">
        <f t="shared" si="104"/>
        <v>4</v>
      </c>
      <c r="N452" s="19">
        <f t="shared" si="104"/>
        <v>3</v>
      </c>
      <c r="O452" s="19">
        <f t="shared" si="104"/>
        <v>0</v>
      </c>
      <c r="P452" s="19">
        <f t="shared" si="104"/>
        <v>4</v>
      </c>
      <c r="Q452" s="19">
        <f t="shared" si="104"/>
        <v>1</v>
      </c>
      <c r="R452" s="19">
        <f t="shared" si="104"/>
        <v>3</v>
      </c>
      <c r="S452" s="19">
        <f t="shared" si="104"/>
        <v>4</v>
      </c>
      <c r="T452" s="19">
        <f t="shared" si="104"/>
        <v>4</v>
      </c>
      <c r="U452" s="19">
        <f t="shared" si="104"/>
        <v>4</v>
      </c>
      <c r="V452" s="19">
        <f t="shared" si="104"/>
        <v>4</v>
      </c>
      <c r="W452" s="19">
        <f t="shared" si="104"/>
        <v>4</v>
      </c>
      <c r="X452" s="19">
        <f t="shared" si="104"/>
        <v>4</v>
      </c>
      <c r="Y452" s="19">
        <f t="shared" si="104"/>
        <v>4</v>
      </c>
      <c r="Z452" s="19">
        <f t="shared" si="104"/>
        <v>4</v>
      </c>
      <c r="AA452" s="19">
        <f t="shared" si="104"/>
        <v>4</v>
      </c>
      <c r="AB452" s="19">
        <f t="shared" si="104"/>
        <v>4</v>
      </c>
      <c r="AC452" s="19">
        <f t="shared" si="104"/>
        <v>4</v>
      </c>
      <c r="AD452" s="19">
        <f t="shared" si="104"/>
        <v>4</v>
      </c>
      <c r="AE452" s="19">
        <f t="shared" si="104"/>
        <v>4</v>
      </c>
      <c r="AF452" s="19">
        <f t="shared" si="104"/>
        <v>4</v>
      </c>
      <c r="AG452" s="19">
        <f t="shared" si="104"/>
        <v>4</v>
      </c>
      <c r="AH452" s="19">
        <f t="shared" si="104"/>
        <v>4</v>
      </c>
      <c r="AI452" s="19">
        <f t="shared" si="104"/>
        <v>1</v>
      </c>
      <c r="AJ452" s="20"/>
    </row>
    <row r="453" spans="1:36" x14ac:dyDescent="0.35">
      <c r="A453" s="17" t="s">
        <v>209</v>
      </c>
      <c r="B453" s="17"/>
      <c r="C453" s="19">
        <f>COUNTIFS(B$4:B$63,B449,$AI$4:$AI$63,"NO")</f>
        <v>13</v>
      </c>
      <c r="D453" s="19">
        <f t="shared" ref="D453:AI453" si="105">COUNTIFS(C$4:C$63,C449,$AI$4:$AI$63,"NO")</f>
        <v>22</v>
      </c>
      <c r="E453" s="19">
        <f t="shared" si="105"/>
        <v>26</v>
      </c>
      <c r="F453" s="19">
        <f t="shared" si="105"/>
        <v>6</v>
      </c>
      <c r="G453" s="19">
        <f t="shared" si="105"/>
        <v>13</v>
      </c>
      <c r="H453" s="19">
        <f t="shared" si="105"/>
        <v>45</v>
      </c>
      <c r="I453" s="19">
        <f t="shared" si="105"/>
        <v>47</v>
      </c>
      <c r="J453" s="19">
        <f t="shared" si="105"/>
        <v>45</v>
      </c>
      <c r="K453" s="19">
        <f t="shared" si="105"/>
        <v>28</v>
      </c>
      <c r="L453" s="19">
        <f t="shared" si="105"/>
        <v>39</v>
      </c>
      <c r="M453" s="19">
        <f t="shared" si="105"/>
        <v>44</v>
      </c>
      <c r="N453" s="19">
        <f t="shared" si="105"/>
        <v>31</v>
      </c>
      <c r="O453" s="19">
        <f t="shared" si="105"/>
        <v>5</v>
      </c>
      <c r="P453" s="19">
        <f t="shared" si="105"/>
        <v>42</v>
      </c>
      <c r="Q453" s="19">
        <f t="shared" si="105"/>
        <v>41</v>
      </c>
      <c r="R453" s="19">
        <f t="shared" si="105"/>
        <v>38</v>
      </c>
      <c r="S453" s="19">
        <f t="shared" si="105"/>
        <v>49</v>
      </c>
      <c r="T453" s="19">
        <f t="shared" si="105"/>
        <v>41</v>
      </c>
      <c r="U453" s="19">
        <f t="shared" si="105"/>
        <v>49</v>
      </c>
      <c r="V453" s="19">
        <f t="shared" si="105"/>
        <v>56</v>
      </c>
      <c r="W453" s="19">
        <f t="shared" si="105"/>
        <v>56</v>
      </c>
      <c r="X453" s="19">
        <f t="shared" si="105"/>
        <v>43</v>
      </c>
      <c r="Y453" s="19">
        <f t="shared" si="105"/>
        <v>56</v>
      </c>
      <c r="Z453" s="19">
        <f t="shared" si="105"/>
        <v>50</v>
      </c>
      <c r="AA453" s="19">
        <f t="shared" si="105"/>
        <v>45</v>
      </c>
      <c r="AB453" s="19">
        <f t="shared" si="105"/>
        <v>25</v>
      </c>
      <c r="AC453" s="19">
        <f t="shared" si="105"/>
        <v>56</v>
      </c>
      <c r="AD453" s="19">
        <f t="shared" si="105"/>
        <v>56</v>
      </c>
      <c r="AE453" s="19">
        <f t="shared" si="105"/>
        <v>56</v>
      </c>
      <c r="AF453" s="19">
        <f t="shared" si="105"/>
        <v>56</v>
      </c>
      <c r="AG453" s="19">
        <f t="shared" si="105"/>
        <v>47</v>
      </c>
      <c r="AH453" s="19">
        <f t="shared" si="105"/>
        <v>56</v>
      </c>
      <c r="AI453" s="19">
        <f t="shared" si="105"/>
        <v>30</v>
      </c>
      <c r="AJ453" s="20"/>
    </row>
    <row r="454" spans="1:36" x14ac:dyDescent="0.35">
      <c r="A454" s="17" t="s">
        <v>210</v>
      </c>
      <c r="B454" s="18" t="s">
        <v>208</v>
      </c>
      <c r="C454" s="19">
        <f>C452/$B$108</f>
        <v>0</v>
      </c>
      <c r="D454" s="19">
        <f t="shared" ref="D454:AI454" si="106">D452/$B$108</f>
        <v>45</v>
      </c>
      <c r="E454" s="19">
        <f t="shared" si="106"/>
        <v>15</v>
      </c>
      <c r="F454" s="19">
        <f t="shared" si="106"/>
        <v>15</v>
      </c>
      <c r="G454" s="19">
        <f t="shared" si="106"/>
        <v>30</v>
      </c>
      <c r="H454" s="19">
        <f t="shared" si="106"/>
        <v>60</v>
      </c>
      <c r="I454" s="19">
        <f t="shared" si="106"/>
        <v>60</v>
      </c>
      <c r="J454" s="19">
        <f t="shared" si="106"/>
        <v>60</v>
      </c>
      <c r="K454" s="19">
        <f t="shared" si="106"/>
        <v>60</v>
      </c>
      <c r="L454" s="19">
        <f t="shared" si="106"/>
        <v>30</v>
      </c>
      <c r="M454" s="19">
        <f t="shared" si="106"/>
        <v>60</v>
      </c>
      <c r="N454" s="19">
        <f t="shared" si="106"/>
        <v>45</v>
      </c>
      <c r="O454" s="19">
        <f t="shared" si="106"/>
        <v>0</v>
      </c>
      <c r="P454" s="19">
        <f t="shared" si="106"/>
        <v>60</v>
      </c>
      <c r="Q454" s="19">
        <f t="shared" si="106"/>
        <v>15</v>
      </c>
      <c r="R454" s="19">
        <f t="shared" si="106"/>
        <v>45</v>
      </c>
      <c r="S454" s="19">
        <f t="shared" si="106"/>
        <v>60</v>
      </c>
      <c r="T454" s="19">
        <f t="shared" si="106"/>
        <v>60</v>
      </c>
      <c r="U454" s="19">
        <f t="shared" si="106"/>
        <v>60</v>
      </c>
      <c r="V454" s="19">
        <f t="shared" si="106"/>
        <v>60</v>
      </c>
      <c r="W454" s="19">
        <f t="shared" si="106"/>
        <v>60</v>
      </c>
      <c r="X454" s="19">
        <f t="shared" si="106"/>
        <v>60</v>
      </c>
      <c r="Y454" s="19">
        <f t="shared" si="106"/>
        <v>60</v>
      </c>
      <c r="Z454" s="19">
        <f t="shared" si="106"/>
        <v>60</v>
      </c>
      <c r="AA454" s="19">
        <f t="shared" si="106"/>
        <v>60</v>
      </c>
      <c r="AB454" s="19">
        <f t="shared" si="106"/>
        <v>60</v>
      </c>
      <c r="AC454" s="19">
        <f t="shared" si="106"/>
        <v>60</v>
      </c>
      <c r="AD454" s="19">
        <f t="shared" si="106"/>
        <v>60</v>
      </c>
      <c r="AE454" s="19">
        <f t="shared" si="106"/>
        <v>60</v>
      </c>
      <c r="AF454" s="19">
        <f t="shared" si="106"/>
        <v>60</v>
      </c>
      <c r="AG454" s="19">
        <f t="shared" si="106"/>
        <v>60</v>
      </c>
      <c r="AH454" s="19">
        <f t="shared" si="106"/>
        <v>60</v>
      </c>
      <c r="AI454" s="19">
        <f t="shared" si="106"/>
        <v>15</v>
      </c>
      <c r="AJ454" s="19">
        <f>C454*D454*E454*F454*G454*H454*I454*J454*K454*L454*M454*N454*O454*P454*Q454*R454*S454*T454*U454*V454*W454*X454*Y454*Z454*AA454*AB454*AC454*AD454*AE454*AF454*AG454*AH454*AI454</f>
        <v>0</v>
      </c>
    </row>
    <row r="455" spans="1:36" x14ac:dyDescent="0.35">
      <c r="A455" s="17"/>
      <c r="B455" s="18" t="s">
        <v>209</v>
      </c>
      <c r="C455" s="19">
        <f>C453/$C$108</f>
        <v>13.928571428571429</v>
      </c>
      <c r="D455" s="19">
        <f t="shared" ref="D455:AI455" si="107">D453/$C$108</f>
        <v>23.571428571428569</v>
      </c>
      <c r="E455" s="19">
        <f t="shared" si="107"/>
        <v>27.857142857142858</v>
      </c>
      <c r="F455" s="19">
        <f t="shared" si="107"/>
        <v>6.4285714285714288</v>
      </c>
      <c r="G455" s="19">
        <f t="shared" si="107"/>
        <v>13.928571428571429</v>
      </c>
      <c r="H455" s="19">
        <f t="shared" si="107"/>
        <v>48.214285714285715</v>
      </c>
      <c r="I455" s="19">
        <f t="shared" si="107"/>
        <v>50.357142857142854</v>
      </c>
      <c r="J455" s="19">
        <f t="shared" si="107"/>
        <v>48.214285714285715</v>
      </c>
      <c r="K455" s="19">
        <f t="shared" si="107"/>
        <v>30</v>
      </c>
      <c r="L455" s="19">
        <f t="shared" si="107"/>
        <v>41.785714285714285</v>
      </c>
      <c r="M455" s="19">
        <f t="shared" si="107"/>
        <v>47.142857142857139</v>
      </c>
      <c r="N455" s="19">
        <f t="shared" si="107"/>
        <v>33.214285714285715</v>
      </c>
      <c r="O455" s="19">
        <f t="shared" si="107"/>
        <v>5.3571428571428568</v>
      </c>
      <c r="P455" s="19">
        <f t="shared" si="107"/>
        <v>45</v>
      </c>
      <c r="Q455" s="19">
        <f t="shared" si="107"/>
        <v>43.928571428571431</v>
      </c>
      <c r="R455" s="19">
        <f t="shared" si="107"/>
        <v>40.714285714285715</v>
      </c>
      <c r="S455" s="19">
        <f t="shared" si="107"/>
        <v>52.5</v>
      </c>
      <c r="T455" s="19">
        <f t="shared" si="107"/>
        <v>43.928571428571431</v>
      </c>
      <c r="U455" s="19">
        <f t="shared" si="107"/>
        <v>52.5</v>
      </c>
      <c r="V455" s="19">
        <f t="shared" si="107"/>
        <v>60</v>
      </c>
      <c r="W455" s="19">
        <f t="shared" si="107"/>
        <v>60</v>
      </c>
      <c r="X455" s="19">
        <f t="shared" si="107"/>
        <v>46.071428571428569</v>
      </c>
      <c r="Y455" s="19">
        <f t="shared" si="107"/>
        <v>60</v>
      </c>
      <c r="Z455" s="19">
        <f t="shared" si="107"/>
        <v>53.571428571428569</v>
      </c>
      <c r="AA455" s="19">
        <f t="shared" si="107"/>
        <v>48.214285714285715</v>
      </c>
      <c r="AB455" s="19">
        <f t="shared" si="107"/>
        <v>26.785714285714285</v>
      </c>
      <c r="AC455" s="19">
        <f t="shared" si="107"/>
        <v>60</v>
      </c>
      <c r="AD455" s="19">
        <f t="shared" si="107"/>
        <v>60</v>
      </c>
      <c r="AE455" s="19">
        <f t="shared" si="107"/>
        <v>60</v>
      </c>
      <c r="AF455" s="19">
        <f t="shared" si="107"/>
        <v>60</v>
      </c>
      <c r="AG455" s="19">
        <f t="shared" si="107"/>
        <v>50.357142857142854</v>
      </c>
      <c r="AH455" s="19">
        <f t="shared" si="107"/>
        <v>60</v>
      </c>
      <c r="AI455" s="19">
        <f t="shared" si="107"/>
        <v>32.142857142857139</v>
      </c>
      <c r="AJ455" s="19">
        <f>C455*D455*E455*F455*G455*H455*I455*J455*K455*L455*M455*N455*O455*P455*Q455*R455*S455*T455*U455*V455*W455*X455*Y455*Z455*AA455*AB455*AC455*AD455*AE455*AF455*AG455*AH455*AI455</f>
        <v>8.5125039283041131E+51</v>
      </c>
    </row>
    <row r="456" spans="1:36" x14ac:dyDescent="0.35">
      <c r="A456" s="21"/>
      <c r="B456" s="21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20"/>
    </row>
    <row r="457" spans="1:36" x14ac:dyDescent="0.35">
      <c r="A457" s="22" t="s">
        <v>211</v>
      </c>
      <c r="B457" s="23"/>
      <c r="C457" s="24" t="s">
        <v>212</v>
      </c>
      <c r="D457" s="20"/>
      <c r="E457" s="20"/>
      <c r="F457" s="20"/>
      <c r="G457" s="20"/>
      <c r="H457" s="20"/>
      <c r="I457" s="20"/>
      <c r="J457" s="20"/>
      <c r="K457" s="20"/>
      <c r="L457" s="2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20"/>
    </row>
    <row r="458" spans="1:36" x14ac:dyDescent="0.35">
      <c r="A458" s="25" t="s">
        <v>208</v>
      </c>
      <c r="B458" s="26">
        <f>AJ454*$B$108</f>
        <v>0</v>
      </c>
      <c r="C458" s="27" t="str">
        <f>IF(B458&gt;B459,A458,A459)</f>
        <v>No</v>
      </c>
      <c r="D458" s="20"/>
      <c r="E458" s="20"/>
      <c r="F458" s="20"/>
      <c r="G458" s="20"/>
      <c r="H458" s="20"/>
      <c r="I458" s="20"/>
      <c r="J458" s="20"/>
      <c r="K458" s="20"/>
      <c r="L458" s="2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20"/>
    </row>
    <row r="459" spans="1:36" x14ac:dyDescent="0.35">
      <c r="A459" s="25" t="s">
        <v>209</v>
      </c>
      <c r="B459" s="26">
        <f>AJ455*$C$108</f>
        <v>7.9450036664171726E+51</v>
      </c>
      <c r="C459" s="28"/>
      <c r="D459" s="20"/>
      <c r="E459" s="20"/>
      <c r="F459" s="20"/>
      <c r="G459" s="20"/>
      <c r="H459" s="20"/>
      <c r="I459" s="20"/>
      <c r="J459" s="20"/>
      <c r="K459" s="20"/>
      <c r="L459" s="2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20"/>
    </row>
    <row r="461" spans="1:36" x14ac:dyDescent="0.35">
      <c r="A461" s="15"/>
      <c r="B461" s="16" t="s">
        <v>122</v>
      </c>
      <c r="C461" s="16" t="s">
        <v>123</v>
      </c>
      <c r="D461" s="16" t="s">
        <v>124</v>
      </c>
      <c r="E461" s="16" t="s">
        <v>125</v>
      </c>
      <c r="F461" s="16" t="s">
        <v>126</v>
      </c>
      <c r="G461" s="16" t="s">
        <v>127</v>
      </c>
      <c r="H461" s="16" t="s">
        <v>128</v>
      </c>
      <c r="I461" s="16" t="s">
        <v>129</v>
      </c>
      <c r="J461" s="16" t="s">
        <v>130</v>
      </c>
      <c r="K461" s="16" t="s">
        <v>131</v>
      </c>
      <c r="L461" s="16" t="s">
        <v>132</v>
      </c>
      <c r="M461" s="16" t="s">
        <v>133</v>
      </c>
      <c r="N461" s="16" t="s">
        <v>134</v>
      </c>
      <c r="O461" s="16" t="s">
        <v>135</v>
      </c>
      <c r="P461" s="16" t="s">
        <v>136</v>
      </c>
      <c r="Q461" s="16" t="s">
        <v>137</v>
      </c>
      <c r="R461" s="16" t="s">
        <v>138</v>
      </c>
      <c r="S461" s="16" t="s">
        <v>139</v>
      </c>
      <c r="T461" s="16" t="s">
        <v>140</v>
      </c>
      <c r="U461" s="16" t="s">
        <v>141</v>
      </c>
      <c r="V461" s="16" t="s">
        <v>142</v>
      </c>
      <c r="W461" s="16" t="s">
        <v>143</v>
      </c>
      <c r="X461" s="16" t="s">
        <v>144</v>
      </c>
      <c r="Y461" s="16" t="s">
        <v>145</v>
      </c>
      <c r="Z461" s="16" t="s">
        <v>146</v>
      </c>
      <c r="AA461" s="16" t="s">
        <v>147</v>
      </c>
      <c r="AB461" s="16" t="s">
        <v>148</v>
      </c>
      <c r="AC461" s="16" t="s">
        <v>149</v>
      </c>
      <c r="AD461" s="16" t="s">
        <v>150</v>
      </c>
      <c r="AE461" s="16" t="s">
        <v>151</v>
      </c>
      <c r="AF461" s="16" t="s">
        <v>152</v>
      </c>
      <c r="AG461" s="16" t="s">
        <v>153</v>
      </c>
      <c r="AH461" s="16" t="s">
        <v>154</v>
      </c>
      <c r="AI461" s="16"/>
      <c r="AJ461" s="7"/>
    </row>
    <row r="462" spans="1:36" x14ac:dyDescent="0.35">
      <c r="A462" s="9" t="s">
        <v>300</v>
      </c>
      <c r="B462" s="38">
        <v>0.83333333333333304</v>
      </c>
      <c r="C462" s="38">
        <v>0.25</v>
      </c>
      <c r="D462" s="38">
        <v>0.33333333333333298</v>
      </c>
      <c r="E462" s="38">
        <v>0.66666666666666596</v>
      </c>
      <c r="F462" s="38">
        <v>0</v>
      </c>
      <c r="G462" s="38">
        <v>1</v>
      </c>
      <c r="H462" s="38">
        <v>0.55555555555555503</v>
      </c>
      <c r="I462" s="38">
        <v>1</v>
      </c>
      <c r="J462" s="38">
        <v>0.5</v>
      </c>
      <c r="K462" s="38">
        <v>1</v>
      </c>
      <c r="L462" s="38">
        <v>0</v>
      </c>
      <c r="M462" s="38">
        <v>0.2</v>
      </c>
      <c r="N462" s="38">
        <v>1</v>
      </c>
      <c r="O462" s="38">
        <v>0</v>
      </c>
      <c r="P462" s="38">
        <v>1</v>
      </c>
      <c r="Q462" s="38">
        <v>0.4</v>
      </c>
      <c r="R462" s="38">
        <v>1</v>
      </c>
      <c r="S462" s="38">
        <v>1</v>
      </c>
      <c r="T462" s="38">
        <v>1</v>
      </c>
      <c r="U462" s="38">
        <v>1</v>
      </c>
      <c r="V462" s="38">
        <v>1</v>
      </c>
      <c r="W462" s="38">
        <v>0</v>
      </c>
      <c r="X462" s="38">
        <v>1</v>
      </c>
      <c r="Y462" s="38">
        <v>1</v>
      </c>
      <c r="Z462" s="38">
        <v>1</v>
      </c>
      <c r="AA462" s="38">
        <v>0</v>
      </c>
      <c r="AB462" s="38">
        <v>1</v>
      </c>
      <c r="AC462" s="38">
        <v>1</v>
      </c>
      <c r="AD462" s="38">
        <v>1</v>
      </c>
      <c r="AE462" s="38">
        <v>1</v>
      </c>
      <c r="AF462" s="38">
        <v>1</v>
      </c>
      <c r="AG462" s="38">
        <v>1</v>
      </c>
      <c r="AH462" s="38">
        <v>0</v>
      </c>
      <c r="AI462" s="38" t="s">
        <v>195</v>
      </c>
      <c r="AJ462" s="7"/>
    </row>
    <row r="463" spans="1:36" x14ac:dyDescent="0.35">
      <c r="AJ463" s="7"/>
    </row>
    <row r="464" spans="1:36" x14ac:dyDescent="0.35">
      <c r="A464" s="17" t="s">
        <v>207</v>
      </c>
      <c r="B464" s="17"/>
      <c r="C464" s="18" t="s">
        <v>122</v>
      </c>
      <c r="D464" s="18" t="s">
        <v>123</v>
      </c>
      <c r="E464" s="18" t="s">
        <v>124</v>
      </c>
      <c r="F464" s="18" t="s">
        <v>125</v>
      </c>
      <c r="G464" s="18" t="s">
        <v>126</v>
      </c>
      <c r="H464" s="18" t="s">
        <v>127</v>
      </c>
      <c r="I464" s="18" t="s">
        <v>128</v>
      </c>
      <c r="J464" s="18" t="s">
        <v>129</v>
      </c>
      <c r="K464" s="18" t="s">
        <v>130</v>
      </c>
      <c r="L464" s="18" t="s">
        <v>131</v>
      </c>
      <c r="M464" s="18" t="s">
        <v>132</v>
      </c>
      <c r="N464" s="18" t="s">
        <v>133</v>
      </c>
      <c r="O464" s="18" t="s">
        <v>134</v>
      </c>
      <c r="P464" s="18" t="s">
        <v>135</v>
      </c>
      <c r="Q464" s="18" t="s">
        <v>136</v>
      </c>
      <c r="R464" s="18" t="s">
        <v>137</v>
      </c>
      <c r="S464" s="18" t="s">
        <v>138</v>
      </c>
      <c r="T464" s="18" t="s">
        <v>139</v>
      </c>
      <c r="U464" s="18" t="s">
        <v>140</v>
      </c>
      <c r="V464" s="18" t="s">
        <v>141</v>
      </c>
      <c r="W464" s="18" t="s">
        <v>142</v>
      </c>
      <c r="X464" s="18" t="s">
        <v>143</v>
      </c>
      <c r="Y464" s="18" t="s">
        <v>144</v>
      </c>
      <c r="Z464" s="18" t="s">
        <v>145</v>
      </c>
      <c r="AA464" s="18" t="s">
        <v>146</v>
      </c>
      <c r="AB464" s="18" t="s">
        <v>147</v>
      </c>
      <c r="AC464" s="18" t="s">
        <v>148</v>
      </c>
      <c r="AD464" s="18" t="s">
        <v>149</v>
      </c>
      <c r="AE464" s="18" t="s">
        <v>150</v>
      </c>
      <c r="AF464" s="18" t="s">
        <v>151</v>
      </c>
      <c r="AG464" s="18" t="s">
        <v>152</v>
      </c>
      <c r="AH464" s="18" t="s">
        <v>153</v>
      </c>
      <c r="AI464" s="18" t="s">
        <v>154</v>
      </c>
      <c r="AJ464" s="7"/>
    </row>
    <row r="465" spans="1:36" x14ac:dyDescent="0.35">
      <c r="A465" s="17" t="s">
        <v>208</v>
      </c>
      <c r="B465" s="17"/>
      <c r="C465" s="19">
        <f>COUNTIFS(B$4:B$63,B462,$AI$4:$AI$63,"YES")</f>
        <v>3</v>
      </c>
      <c r="D465" s="19">
        <f>COUNTIFS(C$4:C$63,C462,$AI$4:$AI$63,"YES")</f>
        <v>3</v>
      </c>
      <c r="E465" s="19">
        <f t="shared" ref="E465:AJ465" si="108">COUNTIFS(D$4:D$63,D462,$AI$4:$AI$63,"YES")</f>
        <v>3</v>
      </c>
      <c r="F465" s="19">
        <f t="shared" si="108"/>
        <v>2</v>
      </c>
      <c r="G465" s="19">
        <f t="shared" si="108"/>
        <v>2</v>
      </c>
      <c r="H465" s="19">
        <f t="shared" si="108"/>
        <v>4</v>
      </c>
      <c r="I465" s="19">
        <f t="shared" si="108"/>
        <v>4</v>
      </c>
      <c r="J465" s="19">
        <f t="shared" si="108"/>
        <v>4</v>
      </c>
      <c r="K465" s="19">
        <f t="shared" si="108"/>
        <v>4</v>
      </c>
      <c r="L465" s="19">
        <f t="shared" si="108"/>
        <v>2</v>
      </c>
      <c r="M465" s="19">
        <f t="shared" si="108"/>
        <v>4</v>
      </c>
      <c r="N465" s="19">
        <f t="shared" si="108"/>
        <v>3</v>
      </c>
      <c r="O465" s="19">
        <f t="shared" si="108"/>
        <v>4</v>
      </c>
      <c r="P465" s="19">
        <f t="shared" si="108"/>
        <v>4</v>
      </c>
      <c r="Q465" s="19">
        <f t="shared" si="108"/>
        <v>3</v>
      </c>
      <c r="R465" s="19">
        <f t="shared" si="108"/>
        <v>3</v>
      </c>
      <c r="S465" s="19">
        <f t="shared" si="108"/>
        <v>4</v>
      </c>
      <c r="T465" s="19">
        <f t="shared" si="108"/>
        <v>4</v>
      </c>
      <c r="U465" s="19">
        <f t="shared" si="108"/>
        <v>4</v>
      </c>
      <c r="V465" s="19">
        <f t="shared" si="108"/>
        <v>4</v>
      </c>
      <c r="W465" s="19">
        <f t="shared" si="108"/>
        <v>4</v>
      </c>
      <c r="X465" s="19">
        <f t="shared" si="108"/>
        <v>4</v>
      </c>
      <c r="Y465" s="19">
        <f t="shared" si="108"/>
        <v>4</v>
      </c>
      <c r="Z465" s="19">
        <f t="shared" si="108"/>
        <v>4</v>
      </c>
      <c r="AA465" s="19">
        <f t="shared" si="108"/>
        <v>4</v>
      </c>
      <c r="AB465" s="19">
        <f t="shared" si="108"/>
        <v>4</v>
      </c>
      <c r="AC465" s="19">
        <f t="shared" si="108"/>
        <v>4</v>
      </c>
      <c r="AD465" s="19">
        <f t="shared" si="108"/>
        <v>4</v>
      </c>
      <c r="AE465" s="19">
        <f t="shared" si="108"/>
        <v>4</v>
      </c>
      <c r="AF465" s="19">
        <f t="shared" si="108"/>
        <v>4</v>
      </c>
      <c r="AG465" s="19">
        <f t="shared" si="108"/>
        <v>4</v>
      </c>
      <c r="AH465" s="19">
        <f t="shared" si="108"/>
        <v>4</v>
      </c>
      <c r="AI465" s="19">
        <f t="shared" si="108"/>
        <v>3</v>
      </c>
      <c r="AJ465" s="20"/>
    </row>
    <row r="466" spans="1:36" x14ac:dyDescent="0.35">
      <c r="A466" s="17" t="s">
        <v>209</v>
      </c>
      <c r="B466" s="17"/>
      <c r="C466" s="19">
        <f>COUNTIFS(B$4:B$63,B462,$AI$4:$AI$63,"NO")</f>
        <v>5</v>
      </c>
      <c r="D466" s="19">
        <f t="shared" ref="D466:AI466" si="109">COUNTIFS(C$4:C$63,C462,$AI$4:$AI$63,"NO")</f>
        <v>22</v>
      </c>
      <c r="E466" s="19">
        <f t="shared" si="109"/>
        <v>12</v>
      </c>
      <c r="F466" s="19">
        <f t="shared" si="109"/>
        <v>31</v>
      </c>
      <c r="G466" s="19">
        <f t="shared" si="109"/>
        <v>34</v>
      </c>
      <c r="H466" s="19">
        <f t="shared" si="109"/>
        <v>45</v>
      </c>
      <c r="I466" s="19">
        <f t="shared" si="109"/>
        <v>47</v>
      </c>
      <c r="J466" s="19">
        <f t="shared" si="109"/>
        <v>45</v>
      </c>
      <c r="K466" s="19">
        <f t="shared" si="109"/>
        <v>28</v>
      </c>
      <c r="L466" s="19">
        <f t="shared" si="109"/>
        <v>7</v>
      </c>
      <c r="M466" s="19">
        <f t="shared" si="109"/>
        <v>44</v>
      </c>
      <c r="N466" s="19">
        <f t="shared" si="109"/>
        <v>31</v>
      </c>
      <c r="O466" s="19">
        <f t="shared" si="109"/>
        <v>44</v>
      </c>
      <c r="P466" s="19">
        <f t="shared" si="109"/>
        <v>42</v>
      </c>
      <c r="Q466" s="19">
        <f t="shared" si="109"/>
        <v>8</v>
      </c>
      <c r="R466" s="19">
        <f t="shared" si="109"/>
        <v>38</v>
      </c>
      <c r="S466" s="19">
        <f t="shared" si="109"/>
        <v>49</v>
      </c>
      <c r="T466" s="19">
        <f t="shared" si="109"/>
        <v>41</v>
      </c>
      <c r="U466" s="19">
        <f t="shared" si="109"/>
        <v>49</v>
      </c>
      <c r="V466" s="19">
        <f t="shared" si="109"/>
        <v>56</v>
      </c>
      <c r="W466" s="19">
        <f t="shared" si="109"/>
        <v>56</v>
      </c>
      <c r="X466" s="19">
        <f t="shared" si="109"/>
        <v>43</v>
      </c>
      <c r="Y466" s="19">
        <f t="shared" si="109"/>
        <v>56</v>
      </c>
      <c r="Z466" s="19">
        <f t="shared" si="109"/>
        <v>50</v>
      </c>
      <c r="AA466" s="19">
        <f t="shared" si="109"/>
        <v>45</v>
      </c>
      <c r="AB466" s="19">
        <f t="shared" si="109"/>
        <v>25</v>
      </c>
      <c r="AC466" s="19">
        <f t="shared" si="109"/>
        <v>56</v>
      </c>
      <c r="AD466" s="19">
        <f t="shared" si="109"/>
        <v>56</v>
      </c>
      <c r="AE466" s="19">
        <f t="shared" si="109"/>
        <v>56</v>
      </c>
      <c r="AF466" s="19">
        <f t="shared" si="109"/>
        <v>56</v>
      </c>
      <c r="AG466" s="19">
        <f t="shared" si="109"/>
        <v>47</v>
      </c>
      <c r="AH466" s="19">
        <f t="shared" si="109"/>
        <v>56</v>
      </c>
      <c r="AI466" s="19">
        <f t="shared" si="109"/>
        <v>20</v>
      </c>
      <c r="AJ466" s="20"/>
    </row>
    <row r="467" spans="1:36" x14ac:dyDescent="0.35">
      <c r="A467" s="17" t="s">
        <v>210</v>
      </c>
      <c r="B467" s="18" t="s">
        <v>208</v>
      </c>
      <c r="C467" s="19">
        <f>C465/$B$108</f>
        <v>45</v>
      </c>
      <c r="D467" s="19">
        <f t="shared" ref="D467:AI467" si="110">D465/$B$108</f>
        <v>45</v>
      </c>
      <c r="E467" s="19">
        <f t="shared" si="110"/>
        <v>45</v>
      </c>
      <c r="F467" s="19">
        <f t="shared" si="110"/>
        <v>30</v>
      </c>
      <c r="G467" s="19">
        <f t="shared" si="110"/>
        <v>30</v>
      </c>
      <c r="H467" s="19">
        <f t="shared" si="110"/>
        <v>60</v>
      </c>
      <c r="I467" s="19">
        <f t="shared" si="110"/>
        <v>60</v>
      </c>
      <c r="J467" s="19">
        <f t="shared" si="110"/>
        <v>60</v>
      </c>
      <c r="K467" s="19">
        <f t="shared" si="110"/>
        <v>60</v>
      </c>
      <c r="L467" s="19">
        <f t="shared" si="110"/>
        <v>30</v>
      </c>
      <c r="M467" s="19">
        <f t="shared" si="110"/>
        <v>60</v>
      </c>
      <c r="N467" s="19">
        <f t="shared" si="110"/>
        <v>45</v>
      </c>
      <c r="O467" s="19">
        <f t="shared" si="110"/>
        <v>60</v>
      </c>
      <c r="P467" s="19">
        <f t="shared" si="110"/>
        <v>60</v>
      </c>
      <c r="Q467" s="19">
        <f t="shared" si="110"/>
        <v>45</v>
      </c>
      <c r="R467" s="19">
        <f t="shared" si="110"/>
        <v>45</v>
      </c>
      <c r="S467" s="19">
        <f t="shared" si="110"/>
        <v>60</v>
      </c>
      <c r="T467" s="19">
        <f t="shared" si="110"/>
        <v>60</v>
      </c>
      <c r="U467" s="19">
        <f t="shared" si="110"/>
        <v>60</v>
      </c>
      <c r="V467" s="19">
        <f t="shared" si="110"/>
        <v>60</v>
      </c>
      <c r="W467" s="19">
        <f t="shared" si="110"/>
        <v>60</v>
      </c>
      <c r="X467" s="19">
        <f t="shared" si="110"/>
        <v>60</v>
      </c>
      <c r="Y467" s="19">
        <f t="shared" si="110"/>
        <v>60</v>
      </c>
      <c r="Z467" s="19">
        <f t="shared" si="110"/>
        <v>60</v>
      </c>
      <c r="AA467" s="19">
        <f t="shared" si="110"/>
        <v>60</v>
      </c>
      <c r="AB467" s="19">
        <f t="shared" si="110"/>
        <v>60</v>
      </c>
      <c r="AC467" s="19">
        <f t="shared" si="110"/>
        <v>60</v>
      </c>
      <c r="AD467" s="19">
        <f t="shared" si="110"/>
        <v>60</v>
      </c>
      <c r="AE467" s="19">
        <f t="shared" si="110"/>
        <v>60</v>
      </c>
      <c r="AF467" s="19">
        <f t="shared" si="110"/>
        <v>60</v>
      </c>
      <c r="AG467" s="19">
        <f t="shared" si="110"/>
        <v>60</v>
      </c>
      <c r="AH467" s="19">
        <f t="shared" si="110"/>
        <v>60</v>
      </c>
      <c r="AI467" s="19">
        <f t="shared" si="110"/>
        <v>45</v>
      </c>
      <c r="AJ467" s="19">
        <f>C467*D467*E467*F467*G467*H467*I467*J467*K467*L467*M467*N467*O467*P467*Q467*R467*S467*T467*U467*V467*W467*X467*Y467*Z467*AA467*AB467*AC467*AD467*AE467*AF467*AG467*AH467*AI467</f>
        <v>7.9676476352475502E+56</v>
      </c>
    </row>
    <row r="468" spans="1:36" x14ac:dyDescent="0.35">
      <c r="A468" s="17"/>
      <c r="B468" s="18" t="s">
        <v>209</v>
      </c>
      <c r="C468" s="19">
        <f>C466/$C$108</f>
        <v>5.3571428571428568</v>
      </c>
      <c r="D468" s="19">
        <f t="shared" ref="D468:AI468" si="111">D466/$C$108</f>
        <v>23.571428571428569</v>
      </c>
      <c r="E468" s="19">
        <f t="shared" si="111"/>
        <v>12.857142857142858</v>
      </c>
      <c r="F468" s="19">
        <f t="shared" si="111"/>
        <v>33.214285714285715</v>
      </c>
      <c r="G468" s="19">
        <f t="shared" si="111"/>
        <v>36.428571428571431</v>
      </c>
      <c r="H468" s="19">
        <f t="shared" si="111"/>
        <v>48.214285714285715</v>
      </c>
      <c r="I468" s="19">
        <f t="shared" si="111"/>
        <v>50.357142857142854</v>
      </c>
      <c r="J468" s="19">
        <f t="shared" si="111"/>
        <v>48.214285714285715</v>
      </c>
      <c r="K468" s="19">
        <f t="shared" si="111"/>
        <v>30</v>
      </c>
      <c r="L468" s="19">
        <f t="shared" si="111"/>
        <v>7.5</v>
      </c>
      <c r="M468" s="19">
        <f t="shared" si="111"/>
        <v>47.142857142857139</v>
      </c>
      <c r="N468" s="19">
        <f t="shared" si="111"/>
        <v>33.214285714285715</v>
      </c>
      <c r="O468" s="19">
        <f t="shared" si="111"/>
        <v>47.142857142857139</v>
      </c>
      <c r="P468" s="19">
        <f t="shared" si="111"/>
        <v>45</v>
      </c>
      <c r="Q468" s="19">
        <f t="shared" si="111"/>
        <v>8.5714285714285712</v>
      </c>
      <c r="R468" s="19">
        <f t="shared" si="111"/>
        <v>40.714285714285715</v>
      </c>
      <c r="S468" s="19">
        <f t="shared" si="111"/>
        <v>52.5</v>
      </c>
      <c r="T468" s="19">
        <f t="shared" si="111"/>
        <v>43.928571428571431</v>
      </c>
      <c r="U468" s="19">
        <f t="shared" si="111"/>
        <v>52.5</v>
      </c>
      <c r="V468" s="19">
        <f t="shared" si="111"/>
        <v>60</v>
      </c>
      <c r="W468" s="19">
        <f t="shared" si="111"/>
        <v>60</v>
      </c>
      <c r="X468" s="19">
        <f t="shared" si="111"/>
        <v>46.071428571428569</v>
      </c>
      <c r="Y468" s="19">
        <f t="shared" si="111"/>
        <v>60</v>
      </c>
      <c r="Z468" s="19">
        <f t="shared" si="111"/>
        <v>53.571428571428569</v>
      </c>
      <c r="AA468" s="19">
        <f t="shared" si="111"/>
        <v>48.214285714285715</v>
      </c>
      <c r="AB468" s="19">
        <f t="shared" si="111"/>
        <v>26.785714285714285</v>
      </c>
      <c r="AC468" s="19">
        <f t="shared" si="111"/>
        <v>60</v>
      </c>
      <c r="AD468" s="19">
        <f t="shared" si="111"/>
        <v>60</v>
      </c>
      <c r="AE468" s="19">
        <f t="shared" si="111"/>
        <v>60</v>
      </c>
      <c r="AF468" s="19">
        <f t="shared" si="111"/>
        <v>60</v>
      </c>
      <c r="AG468" s="19">
        <f t="shared" si="111"/>
        <v>50.357142857142854</v>
      </c>
      <c r="AH468" s="19">
        <f t="shared" si="111"/>
        <v>60</v>
      </c>
      <c r="AI468" s="19">
        <f t="shared" si="111"/>
        <v>21.428571428571427</v>
      </c>
      <c r="AJ468" s="19">
        <f>C468*D468*E468*F468*G468*H468*I468*J468*K468*L468*M468*N468*O468*P468*Q468*R468*S468*T468*U468*V468*W468*X468*Y468*Z468*AA468*AB468*AC468*AD468*AE468*AF468*AG468*AH468*AI468</f>
        <v>4.1953563948993233E+51</v>
      </c>
    </row>
    <row r="469" spans="1:36" x14ac:dyDescent="0.35">
      <c r="A469" s="21"/>
      <c r="B469" s="21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20"/>
    </row>
    <row r="470" spans="1:36" x14ac:dyDescent="0.35">
      <c r="A470" s="22" t="s">
        <v>211</v>
      </c>
      <c r="B470" s="23"/>
      <c r="C470" s="24" t="s">
        <v>212</v>
      </c>
      <c r="D470" s="20"/>
      <c r="E470" s="20"/>
      <c r="F470" s="20"/>
      <c r="G470" s="20"/>
      <c r="H470" s="20"/>
      <c r="I470" s="20"/>
      <c r="J470" s="20"/>
      <c r="K470" s="20"/>
      <c r="L470" s="2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20"/>
    </row>
    <row r="471" spans="1:36" x14ac:dyDescent="0.35">
      <c r="A471" s="25" t="s">
        <v>208</v>
      </c>
      <c r="B471" s="26">
        <f>AJ467*$B$108</f>
        <v>5.3117650901650338E+55</v>
      </c>
      <c r="C471" s="27" t="str">
        <f>IF(B471&gt;B472,A471,A472)</f>
        <v>Yes</v>
      </c>
      <c r="D471" s="20"/>
      <c r="E471" s="20"/>
      <c r="F471" s="20"/>
      <c r="G471" s="20"/>
      <c r="H471" s="20"/>
      <c r="I471" s="20"/>
      <c r="J471" s="20"/>
      <c r="K471" s="20"/>
      <c r="L471" s="2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20"/>
    </row>
    <row r="472" spans="1:36" x14ac:dyDescent="0.35">
      <c r="A472" s="25" t="s">
        <v>209</v>
      </c>
      <c r="B472" s="26">
        <f>AJ468*$C$108</f>
        <v>3.9156659685727015E+51</v>
      </c>
      <c r="C472" s="28"/>
      <c r="D472" s="20"/>
      <c r="E472" s="20"/>
      <c r="F472" s="20"/>
      <c r="G472" s="20"/>
      <c r="H472" s="20"/>
      <c r="I472" s="20"/>
      <c r="J472" s="20"/>
      <c r="K472" s="20"/>
      <c r="L472" s="2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20"/>
    </row>
    <row r="474" spans="1:36" x14ac:dyDescent="0.35">
      <c r="A474" s="15"/>
      <c r="B474" s="16" t="s">
        <v>122</v>
      </c>
      <c r="C474" s="16" t="s">
        <v>123</v>
      </c>
      <c r="D474" s="16" t="s">
        <v>124</v>
      </c>
      <c r="E474" s="16" t="s">
        <v>125</v>
      </c>
      <c r="F474" s="16" t="s">
        <v>126</v>
      </c>
      <c r="G474" s="16" t="s">
        <v>127</v>
      </c>
      <c r="H474" s="16" t="s">
        <v>128</v>
      </c>
      <c r="I474" s="16" t="s">
        <v>129</v>
      </c>
      <c r="J474" s="16" t="s">
        <v>130</v>
      </c>
      <c r="K474" s="16" t="s">
        <v>131</v>
      </c>
      <c r="L474" s="16" t="s">
        <v>132</v>
      </c>
      <c r="M474" s="16" t="s">
        <v>133</v>
      </c>
      <c r="N474" s="16" t="s">
        <v>134</v>
      </c>
      <c r="O474" s="16" t="s">
        <v>135</v>
      </c>
      <c r="P474" s="16" t="s">
        <v>136</v>
      </c>
      <c r="Q474" s="16" t="s">
        <v>137</v>
      </c>
      <c r="R474" s="16" t="s">
        <v>138</v>
      </c>
      <c r="S474" s="16" t="s">
        <v>139</v>
      </c>
      <c r="T474" s="16" t="s">
        <v>140</v>
      </c>
      <c r="U474" s="16" t="s">
        <v>141</v>
      </c>
      <c r="V474" s="16" t="s">
        <v>142</v>
      </c>
      <c r="W474" s="16" t="s">
        <v>143</v>
      </c>
      <c r="X474" s="16" t="s">
        <v>144</v>
      </c>
      <c r="Y474" s="16" t="s">
        <v>145</v>
      </c>
      <c r="Z474" s="16" t="s">
        <v>146</v>
      </c>
      <c r="AA474" s="16" t="s">
        <v>147</v>
      </c>
      <c r="AB474" s="16" t="s">
        <v>148</v>
      </c>
      <c r="AC474" s="16" t="s">
        <v>149</v>
      </c>
      <c r="AD474" s="16" t="s">
        <v>150</v>
      </c>
      <c r="AE474" s="16" t="s">
        <v>151</v>
      </c>
      <c r="AF474" s="16" t="s">
        <v>152</v>
      </c>
      <c r="AG474" s="16" t="s">
        <v>153</v>
      </c>
      <c r="AH474" s="16" t="s">
        <v>154</v>
      </c>
      <c r="AI474" s="16"/>
      <c r="AJ474" s="7"/>
    </row>
    <row r="475" spans="1:36" x14ac:dyDescent="0.35">
      <c r="A475" s="9" t="s">
        <v>301</v>
      </c>
      <c r="B475" s="38">
        <v>0.66666666666666596</v>
      </c>
      <c r="C475" s="38">
        <v>0.25</v>
      </c>
      <c r="D475" s="38">
        <v>0.33333333333333298</v>
      </c>
      <c r="E475" s="38">
        <v>0.66666666666666596</v>
      </c>
      <c r="F475" s="38">
        <v>0.33333333333333298</v>
      </c>
      <c r="G475" s="38">
        <v>1</v>
      </c>
      <c r="H475" s="38">
        <v>0.55555555555555503</v>
      </c>
      <c r="I475" s="38">
        <v>1</v>
      </c>
      <c r="J475" s="38">
        <v>0</v>
      </c>
      <c r="K475" s="38">
        <v>0</v>
      </c>
      <c r="L475" s="38">
        <v>0</v>
      </c>
      <c r="M475" s="38">
        <v>0</v>
      </c>
      <c r="N475" s="38">
        <v>1</v>
      </c>
      <c r="O475" s="38">
        <v>0</v>
      </c>
      <c r="P475" s="38">
        <v>0</v>
      </c>
      <c r="Q475" s="38">
        <v>0</v>
      </c>
      <c r="R475" s="38">
        <v>1</v>
      </c>
      <c r="S475" s="38">
        <v>0</v>
      </c>
      <c r="T475" s="38">
        <v>1</v>
      </c>
      <c r="U475" s="38">
        <v>1</v>
      </c>
      <c r="V475" s="38">
        <v>1</v>
      </c>
      <c r="W475" s="38">
        <v>0</v>
      </c>
      <c r="X475" s="38">
        <v>1</v>
      </c>
      <c r="Y475" s="38">
        <v>1</v>
      </c>
      <c r="Z475" s="38">
        <v>1</v>
      </c>
      <c r="AA475" s="38">
        <v>0</v>
      </c>
      <c r="AB475" s="38">
        <v>1</v>
      </c>
      <c r="AC475" s="38">
        <v>1</v>
      </c>
      <c r="AD475" s="38">
        <v>1</v>
      </c>
      <c r="AE475" s="38">
        <v>1</v>
      </c>
      <c r="AF475" s="38">
        <v>1</v>
      </c>
      <c r="AG475" s="38">
        <v>1</v>
      </c>
      <c r="AH475" s="38">
        <v>1</v>
      </c>
      <c r="AI475" s="38" t="s">
        <v>195</v>
      </c>
      <c r="AJ475" s="7"/>
    </row>
    <row r="476" spans="1:36" x14ac:dyDescent="0.35">
      <c r="AJ476" s="7"/>
    </row>
    <row r="477" spans="1:36" x14ac:dyDescent="0.35">
      <c r="A477" s="17" t="s">
        <v>207</v>
      </c>
      <c r="B477" s="17"/>
      <c r="C477" s="18" t="s">
        <v>122</v>
      </c>
      <c r="D477" s="18" t="s">
        <v>123</v>
      </c>
      <c r="E477" s="18" t="s">
        <v>124</v>
      </c>
      <c r="F477" s="18" t="s">
        <v>125</v>
      </c>
      <c r="G477" s="18" t="s">
        <v>126</v>
      </c>
      <c r="H477" s="18" t="s">
        <v>127</v>
      </c>
      <c r="I477" s="18" t="s">
        <v>128</v>
      </c>
      <c r="J477" s="18" t="s">
        <v>129</v>
      </c>
      <c r="K477" s="18" t="s">
        <v>130</v>
      </c>
      <c r="L477" s="18" t="s">
        <v>131</v>
      </c>
      <c r="M477" s="18" t="s">
        <v>132</v>
      </c>
      <c r="N477" s="18" t="s">
        <v>133</v>
      </c>
      <c r="O477" s="18" t="s">
        <v>134</v>
      </c>
      <c r="P477" s="18" t="s">
        <v>135</v>
      </c>
      <c r="Q477" s="18" t="s">
        <v>136</v>
      </c>
      <c r="R477" s="18" t="s">
        <v>137</v>
      </c>
      <c r="S477" s="18" t="s">
        <v>138</v>
      </c>
      <c r="T477" s="18" t="s">
        <v>139</v>
      </c>
      <c r="U477" s="18" t="s">
        <v>140</v>
      </c>
      <c r="V477" s="18" t="s">
        <v>141</v>
      </c>
      <c r="W477" s="18" t="s">
        <v>142</v>
      </c>
      <c r="X477" s="18" t="s">
        <v>143</v>
      </c>
      <c r="Y477" s="18" t="s">
        <v>144</v>
      </c>
      <c r="Z477" s="18" t="s">
        <v>145</v>
      </c>
      <c r="AA477" s="18" t="s">
        <v>146</v>
      </c>
      <c r="AB477" s="18" t="s">
        <v>147</v>
      </c>
      <c r="AC477" s="18" t="s">
        <v>148</v>
      </c>
      <c r="AD477" s="18" t="s">
        <v>149</v>
      </c>
      <c r="AE477" s="18" t="s">
        <v>150</v>
      </c>
      <c r="AF477" s="18" t="s">
        <v>151</v>
      </c>
      <c r="AG477" s="18" t="s">
        <v>152</v>
      </c>
      <c r="AH477" s="18" t="s">
        <v>153</v>
      </c>
      <c r="AI477" s="18" t="s">
        <v>154</v>
      </c>
      <c r="AJ477" s="7"/>
    </row>
    <row r="478" spans="1:36" x14ac:dyDescent="0.35">
      <c r="A478" s="17" t="s">
        <v>208</v>
      </c>
      <c r="B478" s="17"/>
      <c r="C478" s="19">
        <f>COUNTIFS(B$4:B$63,B475,$AI$4:$AI$63,"YES")</f>
        <v>0</v>
      </c>
      <c r="D478" s="19">
        <f>COUNTIFS(C$4:C$63,C475,$AI$4:$AI$63,"YES")</f>
        <v>3</v>
      </c>
      <c r="E478" s="19">
        <f t="shared" ref="E478:AJ478" si="112">COUNTIFS(D$4:D$63,D475,$AI$4:$AI$63,"YES")</f>
        <v>3</v>
      </c>
      <c r="F478" s="19">
        <f t="shared" si="112"/>
        <v>2</v>
      </c>
      <c r="G478" s="19">
        <f t="shared" si="112"/>
        <v>2</v>
      </c>
      <c r="H478" s="19">
        <f t="shared" si="112"/>
        <v>4</v>
      </c>
      <c r="I478" s="19">
        <f t="shared" si="112"/>
        <v>4</v>
      </c>
      <c r="J478" s="19">
        <f t="shared" si="112"/>
        <v>4</v>
      </c>
      <c r="K478" s="19">
        <f t="shared" si="112"/>
        <v>0</v>
      </c>
      <c r="L478" s="19">
        <f t="shared" si="112"/>
        <v>2</v>
      </c>
      <c r="M478" s="19">
        <f t="shared" si="112"/>
        <v>4</v>
      </c>
      <c r="N478" s="19">
        <f t="shared" si="112"/>
        <v>0</v>
      </c>
      <c r="O478" s="19">
        <f t="shared" si="112"/>
        <v>4</v>
      </c>
      <c r="P478" s="19">
        <f t="shared" si="112"/>
        <v>4</v>
      </c>
      <c r="Q478" s="19">
        <f t="shared" si="112"/>
        <v>1</v>
      </c>
      <c r="R478" s="19">
        <f t="shared" si="112"/>
        <v>0</v>
      </c>
      <c r="S478" s="19">
        <f t="shared" si="112"/>
        <v>4</v>
      </c>
      <c r="T478" s="19">
        <f t="shared" si="112"/>
        <v>0</v>
      </c>
      <c r="U478" s="19">
        <f t="shared" si="112"/>
        <v>4</v>
      </c>
      <c r="V478" s="19">
        <f t="shared" si="112"/>
        <v>4</v>
      </c>
      <c r="W478" s="19">
        <f t="shared" si="112"/>
        <v>4</v>
      </c>
      <c r="X478" s="19">
        <f t="shared" si="112"/>
        <v>4</v>
      </c>
      <c r="Y478" s="19">
        <f t="shared" si="112"/>
        <v>4</v>
      </c>
      <c r="Z478" s="19">
        <f t="shared" si="112"/>
        <v>4</v>
      </c>
      <c r="AA478" s="19">
        <f t="shared" si="112"/>
        <v>4</v>
      </c>
      <c r="AB478" s="19">
        <f t="shared" si="112"/>
        <v>4</v>
      </c>
      <c r="AC478" s="19">
        <f t="shared" si="112"/>
        <v>4</v>
      </c>
      <c r="AD478" s="19">
        <f t="shared" si="112"/>
        <v>4</v>
      </c>
      <c r="AE478" s="19">
        <f t="shared" si="112"/>
        <v>4</v>
      </c>
      <c r="AF478" s="19">
        <f t="shared" si="112"/>
        <v>4</v>
      </c>
      <c r="AG478" s="19">
        <f t="shared" si="112"/>
        <v>4</v>
      </c>
      <c r="AH478" s="19">
        <f t="shared" si="112"/>
        <v>4</v>
      </c>
      <c r="AI478" s="19">
        <f t="shared" si="112"/>
        <v>0</v>
      </c>
      <c r="AJ478" s="20"/>
    </row>
    <row r="479" spans="1:36" x14ac:dyDescent="0.35">
      <c r="A479" s="17" t="s">
        <v>209</v>
      </c>
      <c r="B479" s="17"/>
      <c r="C479" s="19">
        <f>COUNTIFS(B$4:B$63,B475,$AI$4:$AI$63,"NO")</f>
        <v>13</v>
      </c>
      <c r="D479" s="19">
        <f t="shared" ref="D479:AI479" si="113">COUNTIFS(C$4:C$63,C475,$AI$4:$AI$63,"NO")</f>
        <v>22</v>
      </c>
      <c r="E479" s="19">
        <f t="shared" si="113"/>
        <v>12</v>
      </c>
      <c r="F479" s="19">
        <f t="shared" si="113"/>
        <v>31</v>
      </c>
      <c r="G479" s="19">
        <f t="shared" si="113"/>
        <v>13</v>
      </c>
      <c r="H479" s="19">
        <f t="shared" si="113"/>
        <v>45</v>
      </c>
      <c r="I479" s="19">
        <f t="shared" si="113"/>
        <v>47</v>
      </c>
      <c r="J479" s="19">
        <f t="shared" si="113"/>
        <v>45</v>
      </c>
      <c r="K479" s="19">
        <f t="shared" si="113"/>
        <v>17</v>
      </c>
      <c r="L479" s="19">
        <f t="shared" si="113"/>
        <v>39</v>
      </c>
      <c r="M479" s="19">
        <f t="shared" si="113"/>
        <v>44</v>
      </c>
      <c r="N479" s="19">
        <f t="shared" si="113"/>
        <v>13</v>
      </c>
      <c r="O479" s="19">
        <f t="shared" si="113"/>
        <v>44</v>
      </c>
      <c r="P479" s="19">
        <f t="shared" si="113"/>
        <v>42</v>
      </c>
      <c r="Q479" s="19">
        <f t="shared" si="113"/>
        <v>41</v>
      </c>
      <c r="R479" s="19">
        <f t="shared" si="113"/>
        <v>10</v>
      </c>
      <c r="S479" s="19">
        <f t="shared" si="113"/>
        <v>49</v>
      </c>
      <c r="T479" s="19">
        <f t="shared" si="113"/>
        <v>9</v>
      </c>
      <c r="U479" s="19">
        <f t="shared" si="113"/>
        <v>49</v>
      </c>
      <c r="V479" s="19">
        <f t="shared" si="113"/>
        <v>56</v>
      </c>
      <c r="W479" s="19">
        <f t="shared" si="113"/>
        <v>56</v>
      </c>
      <c r="X479" s="19">
        <f t="shared" si="113"/>
        <v>43</v>
      </c>
      <c r="Y479" s="19">
        <f t="shared" si="113"/>
        <v>56</v>
      </c>
      <c r="Z479" s="19">
        <f t="shared" si="113"/>
        <v>50</v>
      </c>
      <c r="AA479" s="19">
        <f t="shared" si="113"/>
        <v>45</v>
      </c>
      <c r="AB479" s="19">
        <f t="shared" si="113"/>
        <v>25</v>
      </c>
      <c r="AC479" s="19">
        <f t="shared" si="113"/>
        <v>56</v>
      </c>
      <c r="AD479" s="19">
        <f t="shared" si="113"/>
        <v>56</v>
      </c>
      <c r="AE479" s="19">
        <f t="shared" si="113"/>
        <v>56</v>
      </c>
      <c r="AF479" s="19">
        <f t="shared" si="113"/>
        <v>56</v>
      </c>
      <c r="AG479" s="19">
        <f t="shared" si="113"/>
        <v>47</v>
      </c>
      <c r="AH479" s="19">
        <f t="shared" si="113"/>
        <v>56</v>
      </c>
      <c r="AI479" s="19">
        <f t="shared" si="113"/>
        <v>5</v>
      </c>
      <c r="AJ479" s="20"/>
    </row>
    <row r="480" spans="1:36" x14ac:dyDescent="0.35">
      <c r="A480" s="17" t="s">
        <v>210</v>
      </c>
      <c r="B480" s="18" t="s">
        <v>208</v>
      </c>
      <c r="C480" s="19">
        <f>C478/$B$108</f>
        <v>0</v>
      </c>
      <c r="D480" s="19">
        <f t="shared" ref="D480:AI480" si="114">D478/$B$108</f>
        <v>45</v>
      </c>
      <c r="E480" s="19">
        <f t="shared" si="114"/>
        <v>45</v>
      </c>
      <c r="F480" s="19">
        <f t="shared" si="114"/>
        <v>30</v>
      </c>
      <c r="G480" s="19">
        <f t="shared" si="114"/>
        <v>30</v>
      </c>
      <c r="H480" s="19">
        <f t="shared" si="114"/>
        <v>60</v>
      </c>
      <c r="I480" s="19">
        <f t="shared" si="114"/>
        <v>60</v>
      </c>
      <c r="J480" s="19">
        <f t="shared" si="114"/>
        <v>60</v>
      </c>
      <c r="K480" s="19">
        <f t="shared" si="114"/>
        <v>0</v>
      </c>
      <c r="L480" s="19">
        <f t="shared" si="114"/>
        <v>30</v>
      </c>
      <c r="M480" s="19">
        <f t="shared" si="114"/>
        <v>60</v>
      </c>
      <c r="N480" s="19">
        <f t="shared" si="114"/>
        <v>0</v>
      </c>
      <c r="O480" s="19">
        <f t="shared" si="114"/>
        <v>60</v>
      </c>
      <c r="P480" s="19">
        <f t="shared" si="114"/>
        <v>60</v>
      </c>
      <c r="Q480" s="19">
        <f t="shared" si="114"/>
        <v>15</v>
      </c>
      <c r="R480" s="19">
        <f t="shared" si="114"/>
        <v>0</v>
      </c>
      <c r="S480" s="19">
        <f t="shared" si="114"/>
        <v>60</v>
      </c>
      <c r="T480" s="19">
        <f t="shared" si="114"/>
        <v>0</v>
      </c>
      <c r="U480" s="19">
        <f t="shared" si="114"/>
        <v>60</v>
      </c>
      <c r="V480" s="19">
        <f t="shared" si="114"/>
        <v>60</v>
      </c>
      <c r="W480" s="19">
        <f t="shared" si="114"/>
        <v>60</v>
      </c>
      <c r="X480" s="19">
        <f t="shared" si="114"/>
        <v>60</v>
      </c>
      <c r="Y480" s="19">
        <f t="shared" si="114"/>
        <v>60</v>
      </c>
      <c r="Z480" s="19">
        <f t="shared" si="114"/>
        <v>60</v>
      </c>
      <c r="AA480" s="19">
        <f t="shared" si="114"/>
        <v>60</v>
      </c>
      <c r="AB480" s="19">
        <f t="shared" si="114"/>
        <v>60</v>
      </c>
      <c r="AC480" s="19">
        <f t="shared" si="114"/>
        <v>60</v>
      </c>
      <c r="AD480" s="19">
        <f t="shared" si="114"/>
        <v>60</v>
      </c>
      <c r="AE480" s="19">
        <f t="shared" si="114"/>
        <v>60</v>
      </c>
      <c r="AF480" s="19">
        <f t="shared" si="114"/>
        <v>60</v>
      </c>
      <c r="AG480" s="19">
        <f t="shared" si="114"/>
        <v>60</v>
      </c>
      <c r="AH480" s="19">
        <f t="shared" si="114"/>
        <v>60</v>
      </c>
      <c r="AI480" s="19">
        <f t="shared" si="114"/>
        <v>0</v>
      </c>
      <c r="AJ480" s="19">
        <f>C480*D480*E480*F480*G480*H480*I480*J480*K480*L480*M480*N480*O480*P480*Q480*R480*S480*T480*U480*V480*W480*X480*Y480*Z480*AA480*AB480*AC480*AD480*AE480*AF480*AG480*AH480*AI480</f>
        <v>0</v>
      </c>
    </row>
    <row r="481" spans="1:36" x14ac:dyDescent="0.35">
      <c r="A481" s="17"/>
      <c r="B481" s="18" t="s">
        <v>209</v>
      </c>
      <c r="C481" s="19">
        <f>C479/$C$108</f>
        <v>13.928571428571429</v>
      </c>
      <c r="D481" s="19">
        <f t="shared" ref="D481:AI481" si="115">D479/$C$108</f>
        <v>23.571428571428569</v>
      </c>
      <c r="E481" s="19">
        <f t="shared" si="115"/>
        <v>12.857142857142858</v>
      </c>
      <c r="F481" s="19">
        <f t="shared" si="115"/>
        <v>33.214285714285715</v>
      </c>
      <c r="G481" s="19">
        <f t="shared" si="115"/>
        <v>13.928571428571429</v>
      </c>
      <c r="H481" s="19">
        <f t="shared" si="115"/>
        <v>48.214285714285715</v>
      </c>
      <c r="I481" s="19">
        <f t="shared" si="115"/>
        <v>50.357142857142854</v>
      </c>
      <c r="J481" s="19">
        <f t="shared" si="115"/>
        <v>48.214285714285715</v>
      </c>
      <c r="K481" s="19">
        <f t="shared" si="115"/>
        <v>18.214285714285715</v>
      </c>
      <c r="L481" s="19">
        <f t="shared" si="115"/>
        <v>41.785714285714285</v>
      </c>
      <c r="M481" s="19">
        <f t="shared" si="115"/>
        <v>47.142857142857139</v>
      </c>
      <c r="N481" s="19">
        <f t="shared" si="115"/>
        <v>13.928571428571429</v>
      </c>
      <c r="O481" s="19">
        <f t="shared" si="115"/>
        <v>47.142857142857139</v>
      </c>
      <c r="P481" s="19">
        <f t="shared" si="115"/>
        <v>45</v>
      </c>
      <c r="Q481" s="19">
        <f t="shared" si="115"/>
        <v>43.928571428571431</v>
      </c>
      <c r="R481" s="19">
        <f t="shared" si="115"/>
        <v>10.714285714285714</v>
      </c>
      <c r="S481" s="19">
        <f t="shared" si="115"/>
        <v>52.5</v>
      </c>
      <c r="T481" s="19">
        <f t="shared" si="115"/>
        <v>9.6428571428571423</v>
      </c>
      <c r="U481" s="19">
        <f t="shared" si="115"/>
        <v>52.5</v>
      </c>
      <c r="V481" s="19">
        <f t="shared" si="115"/>
        <v>60</v>
      </c>
      <c r="W481" s="19">
        <f t="shared" si="115"/>
        <v>60</v>
      </c>
      <c r="X481" s="19">
        <f t="shared" si="115"/>
        <v>46.071428571428569</v>
      </c>
      <c r="Y481" s="19">
        <f t="shared" si="115"/>
        <v>60</v>
      </c>
      <c r="Z481" s="19">
        <f t="shared" si="115"/>
        <v>53.571428571428569</v>
      </c>
      <c r="AA481" s="19">
        <f t="shared" si="115"/>
        <v>48.214285714285715</v>
      </c>
      <c r="AB481" s="19">
        <f t="shared" si="115"/>
        <v>26.785714285714285</v>
      </c>
      <c r="AC481" s="19">
        <f t="shared" si="115"/>
        <v>60</v>
      </c>
      <c r="AD481" s="19">
        <f t="shared" si="115"/>
        <v>60</v>
      </c>
      <c r="AE481" s="19">
        <f t="shared" si="115"/>
        <v>60</v>
      </c>
      <c r="AF481" s="19">
        <f t="shared" si="115"/>
        <v>60</v>
      </c>
      <c r="AG481" s="19">
        <f t="shared" si="115"/>
        <v>50.357142857142854</v>
      </c>
      <c r="AH481" s="19">
        <f t="shared" si="115"/>
        <v>60</v>
      </c>
      <c r="AI481" s="19">
        <f t="shared" si="115"/>
        <v>5.3571428571428568</v>
      </c>
      <c r="AJ481" s="19">
        <f>C481*D481*E481*F481*G481*H481*I481*J481*K481*L481*M481*N481*O481*P481*Q481*R481*S481*T481*U481*V481*W481*X481*Y481*Z481*AA481*AB481*AC481*AD481*AE481*AF481*AG481*AH481*AI481</f>
        <v>4.378795803941506E+50</v>
      </c>
    </row>
    <row r="482" spans="1:36" x14ac:dyDescent="0.35">
      <c r="A482" s="21"/>
      <c r="B482" s="21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20"/>
    </row>
    <row r="483" spans="1:36" x14ac:dyDescent="0.35">
      <c r="A483" s="22" t="s">
        <v>211</v>
      </c>
      <c r="B483" s="23"/>
      <c r="C483" s="24" t="s">
        <v>212</v>
      </c>
      <c r="D483" s="20"/>
      <c r="E483" s="20"/>
      <c r="F483" s="20"/>
      <c r="G483" s="20"/>
      <c r="H483" s="20"/>
      <c r="I483" s="20"/>
      <c r="J483" s="20"/>
      <c r="K483" s="20"/>
      <c r="L483" s="2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20"/>
    </row>
    <row r="484" spans="1:36" x14ac:dyDescent="0.35">
      <c r="A484" s="25" t="s">
        <v>208</v>
      </c>
      <c r="B484" s="26">
        <f>AJ480*$B$108</f>
        <v>0</v>
      </c>
      <c r="C484" s="27" t="str">
        <f>IF(B484&gt;B485,A484,A485)</f>
        <v>No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20"/>
    </row>
    <row r="485" spans="1:36" x14ac:dyDescent="0.35">
      <c r="A485" s="25" t="s">
        <v>209</v>
      </c>
      <c r="B485" s="26">
        <f>AJ481*$C$108</f>
        <v>4.0868760836787392E+50</v>
      </c>
      <c r="C485" s="28"/>
      <c r="D485" s="20"/>
      <c r="E485" s="20"/>
      <c r="F485" s="20"/>
      <c r="G485" s="20"/>
      <c r="H485" s="20"/>
      <c r="I485" s="20"/>
      <c r="J485" s="20"/>
      <c r="K485" s="20"/>
      <c r="L485" s="2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20"/>
    </row>
    <row r="487" spans="1:36" x14ac:dyDescent="0.35">
      <c r="A487" s="15"/>
      <c r="B487" s="16" t="s">
        <v>122</v>
      </c>
      <c r="C487" s="16" t="s">
        <v>123</v>
      </c>
      <c r="D487" s="16" t="s">
        <v>124</v>
      </c>
      <c r="E487" s="16" t="s">
        <v>125</v>
      </c>
      <c r="F487" s="16" t="s">
        <v>126</v>
      </c>
      <c r="G487" s="16" t="s">
        <v>127</v>
      </c>
      <c r="H487" s="16" t="s">
        <v>128</v>
      </c>
      <c r="I487" s="16" t="s">
        <v>129</v>
      </c>
      <c r="J487" s="16" t="s">
        <v>130</v>
      </c>
      <c r="K487" s="16" t="s">
        <v>131</v>
      </c>
      <c r="L487" s="16" t="s">
        <v>132</v>
      </c>
      <c r="M487" s="16" t="s">
        <v>133</v>
      </c>
      <c r="N487" s="16" t="s">
        <v>134</v>
      </c>
      <c r="O487" s="16" t="s">
        <v>135</v>
      </c>
      <c r="P487" s="16" t="s">
        <v>136</v>
      </c>
      <c r="Q487" s="16" t="s">
        <v>137</v>
      </c>
      <c r="R487" s="16" t="s">
        <v>138</v>
      </c>
      <c r="S487" s="16" t="s">
        <v>139</v>
      </c>
      <c r="T487" s="16" t="s">
        <v>140</v>
      </c>
      <c r="U487" s="16" t="s">
        <v>141</v>
      </c>
      <c r="V487" s="16" t="s">
        <v>142</v>
      </c>
      <c r="W487" s="16" t="s">
        <v>143</v>
      </c>
      <c r="X487" s="16" t="s">
        <v>144</v>
      </c>
      <c r="Y487" s="16" t="s">
        <v>145</v>
      </c>
      <c r="Z487" s="16" t="s">
        <v>146</v>
      </c>
      <c r="AA487" s="16" t="s">
        <v>147</v>
      </c>
      <c r="AB487" s="16" t="s">
        <v>148</v>
      </c>
      <c r="AC487" s="16" t="s">
        <v>149</v>
      </c>
      <c r="AD487" s="16" t="s">
        <v>150</v>
      </c>
      <c r="AE487" s="16" t="s">
        <v>151</v>
      </c>
      <c r="AF487" s="16" t="s">
        <v>152</v>
      </c>
      <c r="AG487" s="16" t="s">
        <v>153</v>
      </c>
      <c r="AH487" s="16" t="s">
        <v>154</v>
      </c>
      <c r="AI487" s="16"/>
      <c r="AJ487" s="7"/>
    </row>
    <row r="488" spans="1:36" x14ac:dyDescent="0.35">
      <c r="A488" s="9" t="s">
        <v>302</v>
      </c>
      <c r="B488" s="38">
        <v>0.16666666666666599</v>
      </c>
      <c r="C488" s="38">
        <v>0</v>
      </c>
      <c r="D488" s="38">
        <v>0</v>
      </c>
      <c r="E488" s="38">
        <v>0</v>
      </c>
      <c r="F488" s="38">
        <v>0</v>
      </c>
      <c r="G488" s="38">
        <v>1</v>
      </c>
      <c r="H488" s="38">
        <v>0.55555555555555503</v>
      </c>
      <c r="I488" s="38">
        <v>1</v>
      </c>
      <c r="J488" s="38">
        <v>1</v>
      </c>
      <c r="K488" s="38">
        <v>0.33333333333333298</v>
      </c>
      <c r="L488" s="38">
        <v>0</v>
      </c>
      <c r="M488" s="38">
        <v>0.2</v>
      </c>
      <c r="N488" s="38">
        <v>1</v>
      </c>
      <c r="O488" s="38">
        <v>0</v>
      </c>
      <c r="P488" s="38">
        <v>0</v>
      </c>
      <c r="Q488" s="38">
        <v>0</v>
      </c>
      <c r="R488" s="38">
        <v>1</v>
      </c>
      <c r="S488" s="38">
        <v>0</v>
      </c>
      <c r="T488" s="38">
        <v>1</v>
      </c>
      <c r="U488" s="38">
        <v>1</v>
      </c>
      <c r="V488" s="38">
        <v>1</v>
      </c>
      <c r="W488" s="38">
        <v>0</v>
      </c>
      <c r="X488" s="38">
        <v>1</v>
      </c>
      <c r="Y488" s="38">
        <v>1</v>
      </c>
      <c r="Z488" s="38">
        <v>1</v>
      </c>
      <c r="AA488" s="38">
        <v>1</v>
      </c>
      <c r="AB488" s="38">
        <v>1</v>
      </c>
      <c r="AC488" s="38">
        <v>1</v>
      </c>
      <c r="AD488" s="38">
        <v>1</v>
      </c>
      <c r="AE488" s="38">
        <v>1</v>
      </c>
      <c r="AF488" s="38">
        <v>0</v>
      </c>
      <c r="AG488" s="38">
        <v>1</v>
      </c>
      <c r="AH488" s="38">
        <v>0.5</v>
      </c>
      <c r="AI488" s="38" t="s">
        <v>195</v>
      </c>
      <c r="AJ488" s="7"/>
    </row>
    <row r="489" spans="1:36" x14ac:dyDescent="0.35">
      <c r="AJ489" s="7"/>
    </row>
    <row r="490" spans="1:36" x14ac:dyDescent="0.35">
      <c r="A490" s="17" t="s">
        <v>207</v>
      </c>
      <c r="B490" s="17"/>
      <c r="C490" s="18" t="s">
        <v>122</v>
      </c>
      <c r="D490" s="18" t="s">
        <v>123</v>
      </c>
      <c r="E490" s="18" t="s">
        <v>124</v>
      </c>
      <c r="F490" s="18" t="s">
        <v>125</v>
      </c>
      <c r="G490" s="18" t="s">
        <v>126</v>
      </c>
      <c r="H490" s="18" t="s">
        <v>127</v>
      </c>
      <c r="I490" s="18" t="s">
        <v>128</v>
      </c>
      <c r="J490" s="18" t="s">
        <v>129</v>
      </c>
      <c r="K490" s="18" t="s">
        <v>130</v>
      </c>
      <c r="L490" s="18" t="s">
        <v>131</v>
      </c>
      <c r="M490" s="18" t="s">
        <v>132</v>
      </c>
      <c r="N490" s="18" t="s">
        <v>133</v>
      </c>
      <c r="O490" s="18" t="s">
        <v>134</v>
      </c>
      <c r="P490" s="18" t="s">
        <v>135</v>
      </c>
      <c r="Q490" s="18" t="s">
        <v>136</v>
      </c>
      <c r="R490" s="18" t="s">
        <v>137</v>
      </c>
      <c r="S490" s="18" t="s">
        <v>138</v>
      </c>
      <c r="T490" s="18" t="s">
        <v>139</v>
      </c>
      <c r="U490" s="18" t="s">
        <v>140</v>
      </c>
      <c r="V490" s="18" t="s">
        <v>141</v>
      </c>
      <c r="W490" s="18" t="s">
        <v>142</v>
      </c>
      <c r="X490" s="18" t="s">
        <v>143</v>
      </c>
      <c r="Y490" s="18" t="s">
        <v>144</v>
      </c>
      <c r="Z490" s="18" t="s">
        <v>145</v>
      </c>
      <c r="AA490" s="18" t="s">
        <v>146</v>
      </c>
      <c r="AB490" s="18" t="s">
        <v>147</v>
      </c>
      <c r="AC490" s="18" t="s">
        <v>148</v>
      </c>
      <c r="AD490" s="18" t="s">
        <v>149</v>
      </c>
      <c r="AE490" s="18" t="s">
        <v>150</v>
      </c>
      <c r="AF490" s="18" t="s">
        <v>151</v>
      </c>
      <c r="AG490" s="18" t="s">
        <v>152</v>
      </c>
      <c r="AH490" s="18" t="s">
        <v>153</v>
      </c>
      <c r="AI490" s="18" t="s">
        <v>154</v>
      </c>
      <c r="AJ490" s="7"/>
    </row>
    <row r="491" spans="1:36" x14ac:dyDescent="0.35">
      <c r="A491" s="17" t="s">
        <v>208</v>
      </c>
      <c r="B491" s="17"/>
      <c r="C491" s="19">
        <f>COUNTIFS(B$4:B$63,B488,$AI$4:$AI$63,"YES")</f>
        <v>0</v>
      </c>
      <c r="D491" s="19">
        <f>COUNTIFS(C$4:C$63,C488,$AI$4:$AI$63,"YES")</f>
        <v>0</v>
      </c>
      <c r="E491" s="19">
        <f t="shared" ref="E491:AJ491" si="116">COUNTIFS(D$4:D$63,D488,$AI$4:$AI$63,"YES")</f>
        <v>0</v>
      </c>
      <c r="F491" s="19">
        <f t="shared" si="116"/>
        <v>0</v>
      </c>
      <c r="G491" s="19">
        <f t="shared" si="116"/>
        <v>2</v>
      </c>
      <c r="H491" s="19">
        <f t="shared" si="116"/>
        <v>4</v>
      </c>
      <c r="I491" s="19">
        <f t="shared" si="116"/>
        <v>4</v>
      </c>
      <c r="J491" s="19">
        <f t="shared" si="116"/>
        <v>4</v>
      </c>
      <c r="K491" s="19">
        <f t="shared" si="116"/>
        <v>0</v>
      </c>
      <c r="L491" s="19">
        <f t="shared" si="116"/>
        <v>0</v>
      </c>
      <c r="M491" s="19">
        <f t="shared" si="116"/>
        <v>4</v>
      </c>
      <c r="N491" s="19">
        <f t="shared" si="116"/>
        <v>3</v>
      </c>
      <c r="O491" s="19">
        <f t="shared" si="116"/>
        <v>4</v>
      </c>
      <c r="P491" s="19">
        <f t="shared" si="116"/>
        <v>4</v>
      </c>
      <c r="Q491" s="19">
        <f t="shared" si="116"/>
        <v>1</v>
      </c>
      <c r="R491" s="19">
        <f t="shared" si="116"/>
        <v>0</v>
      </c>
      <c r="S491" s="19">
        <f t="shared" si="116"/>
        <v>4</v>
      </c>
      <c r="T491" s="19">
        <f t="shared" si="116"/>
        <v>0</v>
      </c>
      <c r="U491" s="19">
        <f t="shared" si="116"/>
        <v>4</v>
      </c>
      <c r="V491" s="19">
        <f t="shared" si="116"/>
        <v>4</v>
      </c>
      <c r="W491" s="19">
        <f t="shared" si="116"/>
        <v>4</v>
      </c>
      <c r="X491" s="19">
        <f t="shared" si="116"/>
        <v>4</v>
      </c>
      <c r="Y491" s="19">
        <f t="shared" si="116"/>
        <v>4</v>
      </c>
      <c r="Z491" s="19">
        <f t="shared" si="116"/>
        <v>4</v>
      </c>
      <c r="AA491" s="19">
        <f t="shared" si="116"/>
        <v>4</v>
      </c>
      <c r="AB491" s="19">
        <f t="shared" si="116"/>
        <v>0</v>
      </c>
      <c r="AC491" s="19">
        <f t="shared" si="116"/>
        <v>4</v>
      </c>
      <c r="AD491" s="19">
        <f t="shared" si="116"/>
        <v>4</v>
      </c>
      <c r="AE491" s="19">
        <f t="shared" si="116"/>
        <v>4</v>
      </c>
      <c r="AF491" s="19">
        <f t="shared" si="116"/>
        <v>4</v>
      </c>
      <c r="AG491" s="19">
        <f t="shared" si="116"/>
        <v>0</v>
      </c>
      <c r="AH491" s="19">
        <f t="shared" si="116"/>
        <v>4</v>
      </c>
      <c r="AI491" s="19">
        <f t="shared" si="116"/>
        <v>0</v>
      </c>
      <c r="AJ491" s="20"/>
    </row>
    <row r="492" spans="1:36" x14ac:dyDescent="0.35">
      <c r="A492" s="17" t="s">
        <v>209</v>
      </c>
      <c r="B492" s="17"/>
      <c r="C492" s="19">
        <f>COUNTIFS(B$4:B$63,B488,$AI$4:$AI$63,"NO")</f>
        <v>8</v>
      </c>
      <c r="D492" s="19">
        <f t="shared" ref="D492:AI492" si="117">COUNTIFS(C$4:C$63,C488,$AI$4:$AI$63,"NO")</f>
        <v>15</v>
      </c>
      <c r="E492" s="19">
        <f t="shared" si="117"/>
        <v>15</v>
      </c>
      <c r="F492" s="19">
        <f t="shared" si="117"/>
        <v>13</v>
      </c>
      <c r="G492" s="19">
        <f t="shared" si="117"/>
        <v>34</v>
      </c>
      <c r="H492" s="19">
        <f t="shared" si="117"/>
        <v>45</v>
      </c>
      <c r="I492" s="19">
        <f t="shared" si="117"/>
        <v>47</v>
      </c>
      <c r="J492" s="19">
        <f t="shared" si="117"/>
        <v>45</v>
      </c>
      <c r="K492" s="19">
        <f t="shared" si="117"/>
        <v>5</v>
      </c>
      <c r="L492" s="19">
        <f t="shared" si="117"/>
        <v>0</v>
      </c>
      <c r="M492" s="19">
        <f t="shared" si="117"/>
        <v>44</v>
      </c>
      <c r="N492" s="19">
        <f t="shared" si="117"/>
        <v>31</v>
      </c>
      <c r="O492" s="19">
        <f t="shared" si="117"/>
        <v>44</v>
      </c>
      <c r="P492" s="19">
        <f t="shared" si="117"/>
        <v>42</v>
      </c>
      <c r="Q492" s="19">
        <f t="shared" si="117"/>
        <v>41</v>
      </c>
      <c r="R492" s="19">
        <f t="shared" si="117"/>
        <v>10</v>
      </c>
      <c r="S492" s="19">
        <f t="shared" si="117"/>
        <v>49</v>
      </c>
      <c r="T492" s="19">
        <f t="shared" si="117"/>
        <v>9</v>
      </c>
      <c r="U492" s="19">
        <f t="shared" si="117"/>
        <v>49</v>
      </c>
      <c r="V492" s="19">
        <f t="shared" si="117"/>
        <v>56</v>
      </c>
      <c r="W492" s="19">
        <f t="shared" si="117"/>
        <v>56</v>
      </c>
      <c r="X492" s="19">
        <f t="shared" si="117"/>
        <v>43</v>
      </c>
      <c r="Y492" s="19">
        <f t="shared" si="117"/>
        <v>56</v>
      </c>
      <c r="Z492" s="19">
        <f t="shared" si="117"/>
        <v>50</v>
      </c>
      <c r="AA492" s="19">
        <f t="shared" si="117"/>
        <v>45</v>
      </c>
      <c r="AB492" s="19">
        <f t="shared" si="117"/>
        <v>25</v>
      </c>
      <c r="AC492" s="19">
        <f t="shared" si="117"/>
        <v>56</v>
      </c>
      <c r="AD492" s="19">
        <f t="shared" si="117"/>
        <v>56</v>
      </c>
      <c r="AE492" s="19">
        <f t="shared" si="117"/>
        <v>56</v>
      </c>
      <c r="AF492" s="19">
        <f t="shared" si="117"/>
        <v>56</v>
      </c>
      <c r="AG492" s="19">
        <f t="shared" si="117"/>
        <v>3</v>
      </c>
      <c r="AH492" s="19">
        <f t="shared" si="117"/>
        <v>56</v>
      </c>
      <c r="AI492" s="19">
        <f t="shared" si="117"/>
        <v>1</v>
      </c>
      <c r="AJ492" s="20"/>
    </row>
    <row r="493" spans="1:36" x14ac:dyDescent="0.35">
      <c r="A493" s="17" t="s">
        <v>210</v>
      </c>
      <c r="B493" s="18" t="s">
        <v>208</v>
      </c>
      <c r="C493" s="19">
        <f>C491/$B$108</f>
        <v>0</v>
      </c>
      <c r="D493" s="19">
        <f t="shared" ref="D493:AI493" si="118">D491/$B$108</f>
        <v>0</v>
      </c>
      <c r="E493" s="19">
        <f t="shared" si="118"/>
        <v>0</v>
      </c>
      <c r="F493" s="19">
        <f t="shared" si="118"/>
        <v>0</v>
      </c>
      <c r="G493" s="19">
        <f t="shared" si="118"/>
        <v>30</v>
      </c>
      <c r="H493" s="19">
        <f t="shared" si="118"/>
        <v>60</v>
      </c>
      <c r="I493" s="19">
        <f t="shared" si="118"/>
        <v>60</v>
      </c>
      <c r="J493" s="19">
        <f t="shared" si="118"/>
        <v>60</v>
      </c>
      <c r="K493" s="19">
        <f t="shared" si="118"/>
        <v>0</v>
      </c>
      <c r="L493" s="19">
        <f t="shared" si="118"/>
        <v>0</v>
      </c>
      <c r="M493" s="19">
        <f t="shared" si="118"/>
        <v>60</v>
      </c>
      <c r="N493" s="19">
        <f t="shared" si="118"/>
        <v>45</v>
      </c>
      <c r="O493" s="19">
        <f t="shared" si="118"/>
        <v>60</v>
      </c>
      <c r="P493" s="19">
        <f t="shared" si="118"/>
        <v>60</v>
      </c>
      <c r="Q493" s="19">
        <f t="shared" si="118"/>
        <v>15</v>
      </c>
      <c r="R493" s="19">
        <f t="shared" si="118"/>
        <v>0</v>
      </c>
      <c r="S493" s="19">
        <f t="shared" si="118"/>
        <v>60</v>
      </c>
      <c r="T493" s="19">
        <f t="shared" si="118"/>
        <v>0</v>
      </c>
      <c r="U493" s="19">
        <f t="shared" si="118"/>
        <v>60</v>
      </c>
      <c r="V493" s="19">
        <f t="shared" si="118"/>
        <v>60</v>
      </c>
      <c r="W493" s="19">
        <f t="shared" si="118"/>
        <v>60</v>
      </c>
      <c r="X493" s="19">
        <f t="shared" si="118"/>
        <v>60</v>
      </c>
      <c r="Y493" s="19">
        <f t="shared" si="118"/>
        <v>60</v>
      </c>
      <c r="Z493" s="19">
        <f t="shared" si="118"/>
        <v>60</v>
      </c>
      <c r="AA493" s="19">
        <f t="shared" si="118"/>
        <v>60</v>
      </c>
      <c r="AB493" s="19">
        <f t="shared" si="118"/>
        <v>0</v>
      </c>
      <c r="AC493" s="19">
        <f t="shared" si="118"/>
        <v>60</v>
      </c>
      <c r="AD493" s="19">
        <f t="shared" si="118"/>
        <v>60</v>
      </c>
      <c r="AE493" s="19">
        <f t="shared" si="118"/>
        <v>60</v>
      </c>
      <c r="AF493" s="19">
        <f t="shared" si="118"/>
        <v>60</v>
      </c>
      <c r="AG493" s="19">
        <f t="shared" si="118"/>
        <v>0</v>
      </c>
      <c r="AH493" s="19">
        <f t="shared" si="118"/>
        <v>60</v>
      </c>
      <c r="AI493" s="19">
        <f t="shared" si="118"/>
        <v>0</v>
      </c>
      <c r="AJ493" s="19">
        <f>C493*D493*E493*F493*G493*H493*I493*J493*K493*L493*M493*N493*O493*P493*Q493*R493*S493*T493*U493*V493*W493*X493*Y493*Z493*AA493*AB493*AC493*AD493*AE493*AF493*AG493*AH493*AI493</f>
        <v>0</v>
      </c>
    </row>
    <row r="494" spans="1:36" x14ac:dyDescent="0.35">
      <c r="A494" s="17"/>
      <c r="B494" s="18" t="s">
        <v>209</v>
      </c>
      <c r="C494" s="19">
        <f>C492/$C$108</f>
        <v>8.5714285714285712</v>
      </c>
      <c r="D494" s="19">
        <f t="shared" ref="D494:AI494" si="119">D492/$C$108</f>
        <v>16.071428571428569</v>
      </c>
      <c r="E494" s="19">
        <f t="shared" si="119"/>
        <v>16.071428571428569</v>
      </c>
      <c r="F494" s="19">
        <f t="shared" si="119"/>
        <v>13.928571428571429</v>
      </c>
      <c r="G494" s="19">
        <f t="shared" si="119"/>
        <v>36.428571428571431</v>
      </c>
      <c r="H494" s="19">
        <f t="shared" si="119"/>
        <v>48.214285714285715</v>
      </c>
      <c r="I494" s="19">
        <f t="shared" si="119"/>
        <v>50.357142857142854</v>
      </c>
      <c r="J494" s="19">
        <f t="shared" si="119"/>
        <v>48.214285714285715</v>
      </c>
      <c r="K494" s="19">
        <f t="shared" si="119"/>
        <v>5.3571428571428568</v>
      </c>
      <c r="L494" s="19">
        <f t="shared" si="119"/>
        <v>0</v>
      </c>
      <c r="M494" s="19">
        <f t="shared" si="119"/>
        <v>47.142857142857139</v>
      </c>
      <c r="N494" s="19">
        <f t="shared" si="119"/>
        <v>33.214285714285715</v>
      </c>
      <c r="O494" s="19">
        <f t="shared" si="119"/>
        <v>47.142857142857139</v>
      </c>
      <c r="P494" s="19">
        <f t="shared" si="119"/>
        <v>45</v>
      </c>
      <c r="Q494" s="19">
        <f t="shared" si="119"/>
        <v>43.928571428571431</v>
      </c>
      <c r="R494" s="19">
        <f t="shared" si="119"/>
        <v>10.714285714285714</v>
      </c>
      <c r="S494" s="19">
        <f t="shared" si="119"/>
        <v>52.5</v>
      </c>
      <c r="T494" s="19">
        <f t="shared" si="119"/>
        <v>9.6428571428571423</v>
      </c>
      <c r="U494" s="19">
        <f t="shared" si="119"/>
        <v>52.5</v>
      </c>
      <c r="V494" s="19">
        <f t="shared" si="119"/>
        <v>60</v>
      </c>
      <c r="W494" s="19">
        <f t="shared" si="119"/>
        <v>60</v>
      </c>
      <c r="X494" s="19">
        <f t="shared" si="119"/>
        <v>46.071428571428569</v>
      </c>
      <c r="Y494" s="19">
        <f t="shared" si="119"/>
        <v>60</v>
      </c>
      <c r="Z494" s="19">
        <f t="shared" si="119"/>
        <v>53.571428571428569</v>
      </c>
      <c r="AA494" s="19">
        <f t="shared" si="119"/>
        <v>48.214285714285715</v>
      </c>
      <c r="AB494" s="19">
        <f t="shared" si="119"/>
        <v>26.785714285714285</v>
      </c>
      <c r="AC494" s="19">
        <f t="shared" si="119"/>
        <v>60</v>
      </c>
      <c r="AD494" s="19">
        <f t="shared" si="119"/>
        <v>60</v>
      </c>
      <c r="AE494" s="19">
        <f t="shared" si="119"/>
        <v>60</v>
      </c>
      <c r="AF494" s="19">
        <f t="shared" si="119"/>
        <v>60</v>
      </c>
      <c r="AG494" s="19">
        <f t="shared" si="119"/>
        <v>3.2142857142857144</v>
      </c>
      <c r="AH494" s="19">
        <f t="shared" si="119"/>
        <v>60</v>
      </c>
      <c r="AI494" s="19">
        <f t="shared" si="119"/>
        <v>1.0714285714285714</v>
      </c>
      <c r="AJ494" s="19">
        <f>C494*D494*E494*F494*G494*H494*I494*J494*K494*L494*M494*N494*O494*P494*Q494*R494*S494*T494*U494*V494*W494*X494*Y494*Z494*AA494*AB494*AC494*AD494*AE494*AF494*AG494*AH494*AI494</f>
        <v>0</v>
      </c>
    </row>
    <row r="495" spans="1:36" x14ac:dyDescent="0.35">
      <c r="A495" s="21"/>
      <c r="B495" s="21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20"/>
    </row>
    <row r="496" spans="1:36" x14ac:dyDescent="0.35">
      <c r="A496" s="22" t="s">
        <v>211</v>
      </c>
      <c r="B496" s="23"/>
      <c r="C496" s="24" t="s">
        <v>212</v>
      </c>
      <c r="D496" s="20"/>
      <c r="E496" s="20"/>
      <c r="F496" s="20"/>
      <c r="G496" s="20"/>
      <c r="H496" s="20"/>
      <c r="I496" s="20"/>
      <c r="J496" s="20"/>
      <c r="K496" s="20"/>
      <c r="L496" s="2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20"/>
    </row>
    <row r="497" spans="1:36" x14ac:dyDescent="0.35">
      <c r="A497" s="25" t="s">
        <v>208</v>
      </c>
      <c r="B497" s="26">
        <f>AJ493*$B$108</f>
        <v>0</v>
      </c>
      <c r="C497" s="27" t="str">
        <f>IF(B497&gt;B498,A497,A498)</f>
        <v>No</v>
      </c>
      <c r="D497" s="20"/>
      <c r="E497" s="20"/>
      <c r="F497" s="20"/>
      <c r="G497" s="20"/>
      <c r="H497" s="20"/>
      <c r="I497" s="20"/>
      <c r="J497" s="20"/>
      <c r="K497" s="20"/>
      <c r="L497" s="2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20"/>
    </row>
    <row r="498" spans="1:36" x14ac:dyDescent="0.35">
      <c r="A498" s="25" t="s">
        <v>209</v>
      </c>
      <c r="B498" s="26">
        <f>AJ494*$C$108</f>
        <v>0</v>
      </c>
      <c r="C498" s="28"/>
      <c r="D498" s="20"/>
      <c r="E498" s="20"/>
      <c r="F498" s="20"/>
      <c r="G498" s="20"/>
      <c r="H498" s="20"/>
      <c r="I498" s="20"/>
      <c r="J498" s="20"/>
      <c r="K498" s="20"/>
      <c r="L498" s="2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20"/>
    </row>
    <row r="500" spans="1:36" x14ac:dyDescent="0.35">
      <c r="A500" s="15"/>
      <c r="B500" s="16" t="s">
        <v>122</v>
      </c>
      <c r="C500" s="16" t="s">
        <v>123</v>
      </c>
      <c r="D500" s="16" t="s">
        <v>124</v>
      </c>
      <c r="E500" s="16" t="s">
        <v>125</v>
      </c>
      <c r="F500" s="16" t="s">
        <v>126</v>
      </c>
      <c r="G500" s="16" t="s">
        <v>127</v>
      </c>
      <c r="H500" s="16" t="s">
        <v>128</v>
      </c>
      <c r="I500" s="16" t="s">
        <v>129</v>
      </c>
      <c r="J500" s="16" t="s">
        <v>130</v>
      </c>
      <c r="K500" s="16" t="s">
        <v>131</v>
      </c>
      <c r="L500" s="16" t="s">
        <v>132</v>
      </c>
      <c r="M500" s="16" t="s">
        <v>133</v>
      </c>
      <c r="N500" s="16" t="s">
        <v>134</v>
      </c>
      <c r="O500" s="16" t="s">
        <v>135</v>
      </c>
      <c r="P500" s="16" t="s">
        <v>136</v>
      </c>
      <c r="Q500" s="16" t="s">
        <v>137</v>
      </c>
      <c r="R500" s="16" t="s">
        <v>138</v>
      </c>
      <c r="S500" s="16" t="s">
        <v>139</v>
      </c>
      <c r="T500" s="16" t="s">
        <v>140</v>
      </c>
      <c r="U500" s="16" t="s">
        <v>141</v>
      </c>
      <c r="V500" s="16" t="s">
        <v>142</v>
      </c>
      <c r="W500" s="16" t="s">
        <v>143</v>
      </c>
      <c r="X500" s="16" t="s">
        <v>144</v>
      </c>
      <c r="Y500" s="16" t="s">
        <v>145</v>
      </c>
      <c r="Z500" s="16" t="s">
        <v>146</v>
      </c>
      <c r="AA500" s="16" t="s">
        <v>147</v>
      </c>
      <c r="AB500" s="16" t="s">
        <v>148</v>
      </c>
      <c r="AC500" s="16" t="s">
        <v>149</v>
      </c>
      <c r="AD500" s="16" t="s">
        <v>150</v>
      </c>
      <c r="AE500" s="16" t="s">
        <v>151</v>
      </c>
      <c r="AF500" s="16" t="s">
        <v>152</v>
      </c>
      <c r="AG500" s="16" t="s">
        <v>153</v>
      </c>
      <c r="AH500" s="16" t="s">
        <v>154</v>
      </c>
      <c r="AI500" s="16"/>
      <c r="AJ500" s="7"/>
    </row>
    <row r="501" spans="1:36" x14ac:dyDescent="0.35">
      <c r="A501" s="9" t="s">
        <v>303</v>
      </c>
      <c r="B501" s="38">
        <v>1</v>
      </c>
      <c r="C501" s="38">
        <v>0.25</v>
      </c>
      <c r="D501" s="38">
        <v>0.23899371069182301</v>
      </c>
      <c r="E501" s="38">
        <v>0.66666666666666596</v>
      </c>
      <c r="F501" s="38">
        <v>0</v>
      </c>
      <c r="G501" s="38">
        <v>1</v>
      </c>
      <c r="H501" s="38">
        <v>0.55555555555555503</v>
      </c>
      <c r="I501" s="38">
        <v>1</v>
      </c>
      <c r="J501" s="38">
        <v>0.5</v>
      </c>
      <c r="K501" s="38">
        <v>0</v>
      </c>
      <c r="L501" s="38">
        <v>0</v>
      </c>
      <c r="M501" s="38">
        <v>0.2</v>
      </c>
      <c r="N501" s="38">
        <v>1</v>
      </c>
      <c r="O501" s="38">
        <v>0</v>
      </c>
      <c r="P501" s="38">
        <v>0</v>
      </c>
      <c r="Q501" s="38">
        <v>0.4</v>
      </c>
      <c r="R501" s="38">
        <v>1</v>
      </c>
      <c r="S501" s="38">
        <v>1</v>
      </c>
      <c r="T501" s="38">
        <v>1</v>
      </c>
      <c r="U501" s="38">
        <v>1</v>
      </c>
      <c r="V501" s="38">
        <v>1</v>
      </c>
      <c r="W501" s="38">
        <v>1</v>
      </c>
      <c r="X501" s="38">
        <v>1</v>
      </c>
      <c r="Y501" s="38">
        <v>1</v>
      </c>
      <c r="Z501" s="38">
        <v>1</v>
      </c>
      <c r="AA501" s="38">
        <v>1</v>
      </c>
      <c r="AB501" s="38">
        <v>1</v>
      </c>
      <c r="AC501" s="38">
        <v>1</v>
      </c>
      <c r="AD501" s="38">
        <v>1</v>
      </c>
      <c r="AE501" s="38">
        <v>1</v>
      </c>
      <c r="AF501" s="38">
        <v>1</v>
      </c>
      <c r="AG501" s="38">
        <v>1</v>
      </c>
      <c r="AH501" s="38">
        <v>0.19565217391304299</v>
      </c>
      <c r="AI501" s="38" t="s">
        <v>195</v>
      </c>
      <c r="AJ501" s="7"/>
    </row>
    <row r="502" spans="1:36" x14ac:dyDescent="0.35">
      <c r="AJ502" s="7"/>
    </row>
    <row r="503" spans="1:36" x14ac:dyDescent="0.35">
      <c r="A503" s="17" t="s">
        <v>207</v>
      </c>
      <c r="B503" s="17"/>
      <c r="C503" s="18" t="s">
        <v>122</v>
      </c>
      <c r="D503" s="18" t="s">
        <v>123</v>
      </c>
      <c r="E503" s="18" t="s">
        <v>124</v>
      </c>
      <c r="F503" s="18" t="s">
        <v>125</v>
      </c>
      <c r="G503" s="18" t="s">
        <v>126</v>
      </c>
      <c r="H503" s="18" t="s">
        <v>127</v>
      </c>
      <c r="I503" s="18" t="s">
        <v>128</v>
      </c>
      <c r="J503" s="18" t="s">
        <v>129</v>
      </c>
      <c r="K503" s="18" t="s">
        <v>130</v>
      </c>
      <c r="L503" s="18" t="s">
        <v>131</v>
      </c>
      <c r="M503" s="18" t="s">
        <v>132</v>
      </c>
      <c r="N503" s="18" t="s">
        <v>133</v>
      </c>
      <c r="O503" s="18" t="s">
        <v>134</v>
      </c>
      <c r="P503" s="18" t="s">
        <v>135</v>
      </c>
      <c r="Q503" s="18" t="s">
        <v>136</v>
      </c>
      <c r="R503" s="18" t="s">
        <v>137</v>
      </c>
      <c r="S503" s="18" t="s">
        <v>138</v>
      </c>
      <c r="T503" s="18" t="s">
        <v>139</v>
      </c>
      <c r="U503" s="18" t="s">
        <v>140</v>
      </c>
      <c r="V503" s="18" t="s">
        <v>141</v>
      </c>
      <c r="W503" s="18" t="s">
        <v>142</v>
      </c>
      <c r="X503" s="18" t="s">
        <v>143</v>
      </c>
      <c r="Y503" s="18" t="s">
        <v>144</v>
      </c>
      <c r="Z503" s="18" t="s">
        <v>145</v>
      </c>
      <c r="AA503" s="18" t="s">
        <v>146</v>
      </c>
      <c r="AB503" s="18" t="s">
        <v>147</v>
      </c>
      <c r="AC503" s="18" t="s">
        <v>148</v>
      </c>
      <c r="AD503" s="18" t="s">
        <v>149</v>
      </c>
      <c r="AE503" s="18" t="s">
        <v>150</v>
      </c>
      <c r="AF503" s="18" t="s">
        <v>151</v>
      </c>
      <c r="AG503" s="18" t="s">
        <v>152</v>
      </c>
      <c r="AH503" s="18" t="s">
        <v>153</v>
      </c>
      <c r="AI503" s="18" t="s">
        <v>154</v>
      </c>
      <c r="AJ503" s="7"/>
    </row>
    <row r="504" spans="1:36" x14ac:dyDescent="0.35">
      <c r="A504" s="17" t="s">
        <v>208</v>
      </c>
      <c r="B504" s="17"/>
      <c r="C504" s="19">
        <f>COUNTIFS(B$4:B$63,B501,$AI$4:$AI$63,"YES")</f>
        <v>1</v>
      </c>
      <c r="D504" s="19">
        <f>COUNTIFS(C$4:C$63,C501,$AI$4:$AI$63,"YES")</f>
        <v>3</v>
      </c>
      <c r="E504" s="19">
        <f t="shared" ref="E504:AJ504" si="120">COUNTIFS(D$4:D$63,D501,$AI$4:$AI$63,"YES")</f>
        <v>1</v>
      </c>
      <c r="F504" s="19">
        <f t="shared" si="120"/>
        <v>2</v>
      </c>
      <c r="G504" s="19">
        <f t="shared" si="120"/>
        <v>2</v>
      </c>
      <c r="H504" s="19">
        <f t="shared" si="120"/>
        <v>4</v>
      </c>
      <c r="I504" s="19">
        <f t="shared" si="120"/>
        <v>4</v>
      </c>
      <c r="J504" s="19">
        <f t="shared" si="120"/>
        <v>4</v>
      </c>
      <c r="K504" s="19">
        <f t="shared" si="120"/>
        <v>4</v>
      </c>
      <c r="L504" s="19">
        <f t="shared" si="120"/>
        <v>2</v>
      </c>
      <c r="M504" s="19">
        <f t="shared" si="120"/>
        <v>4</v>
      </c>
      <c r="N504" s="19">
        <f t="shared" si="120"/>
        <v>3</v>
      </c>
      <c r="O504" s="19">
        <f t="shared" si="120"/>
        <v>4</v>
      </c>
      <c r="P504" s="19">
        <f t="shared" si="120"/>
        <v>4</v>
      </c>
      <c r="Q504" s="19">
        <f t="shared" si="120"/>
        <v>1</v>
      </c>
      <c r="R504" s="19">
        <f t="shared" si="120"/>
        <v>3</v>
      </c>
      <c r="S504" s="19">
        <f t="shared" si="120"/>
        <v>4</v>
      </c>
      <c r="T504" s="19">
        <f t="shared" si="120"/>
        <v>4</v>
      </c>
      <c r="U504" s="19">
        <f t="shared" si="120"/>
        <v>4</v>
      </c>
      <c r="V504" s="19">
        <f t="shared" si="120"/>
        <v>4</v>
      </c>
      <c r="W504" s="19">
        <f t="shared" si="120"/>
        <v>4</v>
      </c>
      <c r="X504" s="19">
        <f t="shared" si="120"/>
        <v>0</v>
      </c>
      <c r="Y504" s="19">
        <f t="shared" si="120"/>
        <v>4</v>
      </c>
      <c r="Z504" s="19">
        <f t="shared" si="120"/>
        <v>4</v>
      </c>
      <c r="AA504" s="19">
        <f t="shared" si="120"/>
        <v>4</v>
      </c>
      <c r="AB504" s="19">
        <f t="shared" si="120"/>
        <v>0</v>
      </c>
      <c r="AC504" s="19">
        <f t="shared" si="120"/>
        <v>4</v>
      </c>
      <c r="AD504" s="19">
        <f t="shared" si="120"/>
        <v>4</v>
      </c>
      <c r="AE504" s="19">
        <f t="shared" si="120"/>
        <v>4</v>
      </c>
      <c r="AF504" s="19">
        <f t="shared" si="120"/>
        <v>4</v>
      </c>
      <c r="AG504" s="19">
        <f t="shared" si="120"/>
        <v>4</v>
      </c>
      <c r="AH504" s="19">
        <f t="shared" si="120"/>
        <v>4</v>
      </c>
      <c r="AI504" s="19">
        <f t="shared" si="120"/>
        <v>1</v>
      </c>
      <c r="AJ504" s="20"/>
    </row>
    <row r="505" spans="1:36" x14ac:dyDescent="0.35">
      <c r="A505" s="17" t="s">
        <v>209</v>
      </c>
      <c r="B505" s="17"/>
      <c r="C505" s="19">
        <f>COUNTIFS(B$4:B$63,B501,$AI$4:$AI$63,"NO")</f>
        <v>0</v>
      </c>
      <c r="D505" s="19">
        <f t="shared" ref="D505:AI505" si="121">COUNTIFS(C$4:C$63,C501,$AI$4:$AI$63,"NO")</f>
        <v>22</v>
      </c>
      <c r="E505" s="19">
        <f t="shared" si="121"/>
        <v>26</v>
      </c>
      <c r="F505" s="19">
        <f t="shared" si="121"/>
        <v>31</v>
      </c>
      <c r="G505" s="19">
        <f t="shared" si="121"/>
        <v>34</v>
      </c>
      <c r="H505" s="19">
        <f t="shared" si="121"/>
        <v>45</v>
      </c>
      <c r="I505" s="19">
        <f t="shared" si="121"/>
        <v>47</v>
      </c>
      <c r="J505" s="19">
        <f t="shared" si="121"/>
        <v>45</v>
      </c>
      <c r="K505" s="19">
        <f t="shared" si="121"/>
        <v>28</v>
      </c>
      <c r="L505" s="19">
        <f t="shared" si="121"/>
        <v>39</v>
      </c>
      <c r="M505" s="19">
        <f t="shared" si="121"/>
        <v>44</v>
      </c>
      <c r="N505" s="19">
        <f t="shared" si="121"/>
        <v>31</v>
      </c>
      <c r="O505" s="19">
        <f t="shared" si="121"/>
        <v>44</v>
      </c>
      <c r="P505" s="19">
        <f t="shared" si="121"/>
        <v>42</v>
      </c>
      <c r="Q505" s="19">
        <f t="shared" si="121"/>
        <v>41</v>
      </c>
      <c r="R505" s="19">
        <f t="shared" si="121"/>
        <v>38</v>
      </c>
      <c r="S505" s="19">
        <f t="shared" si="121"/>
        <v>49</v>
      </c>
      <c r="T505" s="19">
        <f t="shared" si="121"/>
        <v>41</v>
      </c>
      <c r="U505" s="19">
        <f t="shared" si="121"/>
        <v>49</v>
      </c>
      <c r="V505" s="19">
        <f t="shared" si="121"/>
        <v>56</v>
      </c>
      <c r="W505" s="19">
        <f t="shared" si="121"/>
        <v>56</v>
      </c>
      <c r="X505" s="19">
        <f t="shared" si="121"/>
        <v>7</v>
      </c>
      <c r="Y505" s="19">
        <f t="shared" si="121"/>
        <v>56</v>
      </c>
      <c r="Z505" s="19">
        <f t="shared" si="121"/>
        <v>50</v>
      </c>
      <c r="AA505" s="19">
        <f t="shared" si="121"/>
        <v>45</v>
      </c>
      <c r="AB505" s="19">
        <f t="shared" si="121"/>
        <v>25</v>
      </c>
      <c r="AC505" s="19">
        <f t="shared" si="121"/>
        <v>56</v>
      </c>
      <c r="AD505" s="19">
        <f t="shared" si="121"/>
        <v>56</v>
      </c>
      <c r="AE505" s="19">
        <f t="shared" si="121"/>
        <v>56</v>
      </c>
      <c r="AF505" s="19">
        <f t="shared" si="121"/>
        <v>56</v>
      </c>
      <c r="AG505" s="19">
        <f t="shared" si="121"/>
        <v>47</v>
      </c>
      <c r="AH505" s="19">
        <f t="shared" si="121"/>
        <v>56</v>
      </c>
      <c r="AI505" s="19">
        <f t="shared" si="121"/>
        <v>30</v>
      </c>
      <c r="AJ505" s="20"/>
    </row>
    <row r="506" spans="1:36" x14ac:dyDescent="0.35">
      <c r="A506" s="17" t="s">
        <v>210</v>
      </c>
      <c r="B506" s="18" t="s">
        <v>208</v>
      </c>
      <c r="C506" s="19">
        <f>C504/$B$108</f>
        <v>15</v>
      </c>
      <c r="D506" s="19">
        <f t="shared" ref="D506:AI506" si="122">D504/$B$108</f>
        <v>45</v>
      </c>
      <c r="E506" s="19">
        <f t="shared" si="122"/>
        <v>15</v>
      </c>
      <c r="F506" s="19">
        <f t="shared" si="122"/>
        <v>30</v>
      </c>
      <c r="G506" s="19">
        <f t="shared" si="122"/>
        <v>30</v>
      </c>
      <c r="H506" s="19">
        <f t="shared" si="122"/>
        <v>60</v>
      </c>
      <c r="I506" s="19">
        <f t="shared" si="122"/>
        <v>60</v>
      </c>
      <c r="J506" s="19">
        <f t="shared" si="122"/>
        <v>60</v>
      </c>
      <c r="K506" s="19">
        <f t="shared" si="122"/>
        <v>60</v>
      </c>
      <c r="L506" s="19">
        <f t="shared" si="122"/>
        <v>30</v>
      </c>
      <c r="M506" s="19">
        <f t="shared" si="122"/>
        <v>60</v>
      </c>
      <c r="N506" s="19">
        <f t="shared" si="122"/>
        <v>45</v>
      </c>
      <c r="O506" s="19">
        <f t="shared" si="122"/>
        <v>60</v>
      </c>
      <c r="P506" s="19">
        <f t="shared" si="122"/>
        <v>60</v>
      </c>
      <c r="Q506" s="19">
        <f t="shared" si="122"/>
        <v>15</v>
      </c>
      <c r="R506" s="19">
        <f t="shared" si="122"/>
        <v>45</v>
      </c>
      <c r="S506" s="19">
        <f t="shared" si="122"/>
        <v>60</v>
      </c>
      <c r="T506" s="19">
        <f t="shared" si="122"/>
        <v>60</v>
      </c>
      <c r="U506" s="19">
        <f t="shared" si="122"/>
        <v>60</v>
      </c>
      <c r="V506" s="19">
        <f t="shared" si="122"/>
        <v>60</v>
      </c>
      <c r="W506" s="19">
        <f t="shared" si="122"/>
        <v>60</v>
      </c>
      <c r="X506" s="19">
        <f t="shared" si="122"/>
        <v>0</v>
      </c>
      <c r="Y506" s="19">
        <f t="shared" si="122"/>
        <v>60</v>
      </c>
      <c r="Z506" s="19">
        <f t="shared" si="122"/>
        <v>60</v>
      </c>
      <c r="AA506" s="19">
        <f t="shared" si="122"/>
        <v>60</v>
      </c>
      <c r="AB506" s="19">
        <f t="shared" si="122"/>
        <v>0</v>
      </c>
      <c r="AC506" s="19">
        <f t="shared" si="122"/>
        <v>60</v>
      </c>
      <c r="AD506" s="19">
        <f t="shared" si="122"/>
        <v>60</v>
      </c>
      <c r="AE506" s="19">
        <f t="shared" si="122"/>
        <v>60</v>
      </c>
      <c r="AF506" s="19">
        <f t="shared" si="122"/>
        <v>60</v>
      </c>
      <c r="AG506" s="19">
        <f t="shared" si="122"/>
        <v>60</v>
      </c>
      <c r="AH506" s="19">
        <f t="shared" si="122"/>
        <v>60</v>
      </c>
      <c r="AI506" s="19">
        <f t="shared" si="122"/>
        <v>15</v>
      </c>
      <c r="AJ506" s="19">
        <f>C506*D506*E506*F506*G506*H506*I506*J506*K506*L506*M506*N506*O506*P506*Q506*R506*S506*T506*U506*V506*W506*X506*Y506*Z506*AA506*AB506*AC506*AD506*AE506*AF506*AG506*AH506*AI506</f>
        <v>0</v>
      </c>
    </row>
    <row r="507" spans="1:36" x14ac:dyDescent="0.35">
      <c r="A507" s="17"/>
      <c r="B507" s="18" t="s">
        <v>209</v>
      </c>
      <c r="C507" s="19">
        <f>C505/$C$108</f>
        <v>0</v>
      </c>
      <c r="D507" s="19">
        <f t="shared" ref="D507:AI507" si="123">D505/$C$108</f>
        <v>23.571428571428569</v>
      </c>
      <c r="E507" s="19">
        <f t="shared" si="123"/>
        <v>27.857142857142858</v>
      </c>
      <c r="F507" s="19">
        <f t="shared" si="123"/>
        <v>33.214285714285715</v>
      </c>
      <c r="G507" s="19">
        <f t="shared" si="123"/>
        <v>36.428571428571431</v>
      </c>
      <c r="H507" s="19">
        <f t="shared" si="123"/>
        <v>48.214285714285715</v>
      </c>
      <c r="I507" s="19">
        <f t="shared" si="123"/>
        <v>50.357142857142854</v>
      </c>
      <c r="J507" s="19">
        <f t="shared" si="123"/>
        <v>48.214285714285715</v>
      </c>
      <c r="K507" s="19">
        <f t="shared" si="123"/>
        <v>30</v>
      </c>
      <c r="L507" s="19">
        <f t="shared" si="123"/>
        <v>41.785714285714285</v>
      </c>
      <c r="M507" s="19">
        <f t="shared" si="123"/>
        <v>47.142857142857139</v>
      </c>
      <c r="N507" s="19">
        <f t="shared" si="123"/>
        <v>33.214285714285715</v>
      </c>
      <c r="O507" s="19">
        <f t="shared" si="123"/>
        <v>47.142857142857139</v>
      </c>
      <c r="P507" s="19">
        <f t="shared" si="123"/>
        <v>45</v>
      </c>
      <c r="Q507" s="19">
        <f t="shared" si="123"/>
        <v>43.928571428571431</v>
      </c>
      <c r="R507" s="19">
        <f t="shared" si="123"/>
        <v>40.714285714285715</v>
      </c>
      <c r="S507" s="19">
        <f t="shared" si="123"/>
        <v>52.5</v>
      </c>
      <c r="T507" s="19">
        <f t="shared" si="123"/>
        <v>43.928571428571431</v>
      </c>
      <c r="U507" s="19">
        <f t="shared" si="123"/>
        <v>52.5</v>
      </c>
      <c r="V507" s="19">
        <f t="shared" si="123"/>
        <v>60</v>
      </c>
      <c r="W507" s="19">
        <f t="shared" si="123"/>
        <v>60</v>
      </c>
      <c r="X507" s="19">
        <f t="shared" si="123"/>
        <v>7.5</v>
      </c>
      <c r="Y507" s="19">
        <f t="shared" si="123"/>
        <v>60</v>
      </c>
      <c r="Z507" s="19">
        <f t="shared" si="123"/>
        <v>53.571428571428569</v>
      </c>
      <c r="AA507" s="19">
        <f t="shared" si="123"/>
        <v>48.214285714285715</v>
      </c>
      <c r="AB507" s="19">
        <f t="shared" si="123"/>
        <v>26.785714285714285</v>
      </c>
      <c r="AC507" s="19">
        <f t="shared" si="123"/>
        <v>60</v>
      </c>
      <c r="AD507" s="19">
        <f t="shared" si="123"/>
        <v>60</v>
      </c>
      <c r="AE507" s="19">
        <f t="shared" si="123"/>
        <v>60</v>
      </c>
      <c r="AF507" s="19">
        <f t="shared" si="123"/>
        <v>60</v>
      </c>
      <c r="AG507" s="19">
        <f t="shared" si="123"/>
        <v>50.357142857142854</v>
      </c>
      <c r="AH507" s="19">
        <f t="shared" si="123"/>
        <v>60</v>
      </c>
      <c r="AI507" s="19">
        <f t="shared" si="123"/>
        <v>32.142857142857139</v>
      </c>
      <c r="AJ507" s="19">
        <f>C507*D507*E507*F507*G507*H507*I507*J507*K507*L507*M507*N507*O507*P507*Q507*R507*S507*T507*U507*V507*W507*X507*Y507*Z507*AA507*AB507*AC507*AD507*AE507*AF507*AG507*AH507*AI507</f>
        <v>0</v>
      </c>
    </row>
    <row r="508" spans="1:36" x14ac:dyDescent="0.35">
      <c r="A508" s="21"/>
      <c r="B508" s="21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20"/>
    </row>
    <row r="509" spans="1:36" x14ac:dyDescent="0.35">
      <c r="A509" s="22" t="s">
        <v>211</v>
      </c>
      <c r="B509" s="23"/>
      <c r="C509" s="24" t="s">
        <v>212</v>
      </c>
      <c r="D509" s="20"/>
      <c r="E509" s="20"/>
      <c r="F509" s="20"/>
      <c r="G509" s="20"/>
      <c r="H509" s="20"/>
      <c r="I509" s="20"/>
      <c r="J509" s="20"/>
      <c r="K509" s="20"/>
      <c r="L509" s="2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20"/>
    </row>
    <row r="510" spans="1:36" x14ac:dyDescent="0.35">
      <c r="A510" s="25" t="s">
        <v>208</v>
      </c>
      <c r="B510" s="26">
        <f>AJ506*$B$108</f>
        <v>0</v>
      </c>
      <c r="C510" s="27" t="str">
        <f>IF(B510&gt;B511,A510,A511)</f>
        <v>No</v>
      </c>
      <c r="D510" s="20"/>
      <c r="E510" s="20"/>
      <c r="F510" s="20"/>
      <c r="G510" s="20"/>
      <c r="H510" s="20"/>
      <c r="I510" s="20"/>
      <c r="J510" s="20"/>
      <c r="K510" s="20"/>
      <c r="L510" s="2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20"/>
    </row>
    <row r="511" spans="1:36" x14ac:dyDescent="0.35">
      <c r="A511" s="25" t="s">
        <v>209</v>
      </c>
      <c r="B511" s="26">
        <f>AJ507*$C$108</f>
        <v>0</v>
      </c>
      <c r="C511" s="28"/>
      <c r="D511" s="20"/>
      <c r="E511" s="20"/>
      <c r="F511" s="20"/>
      <c r="G511" s="20"/>
      <c r="H511" s="20"/>
      <c r="I511" s="20"/>
      <c r="J511" s="20"/>
      <c r="K511" s="20"/>
      <c r="L511" s="2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20"/>
    </row>
    <row r="513" spans="1:36" x14ac:dyDescent="0.35">
      <c r="A513" s="15"/>
      <c r="B513" s="16" t="s">
        <v>122</v>
      </c>
      <c r="C513" s="16" t="s">
        <v>123</v>
      </c>
      <c r="D513" s="16" t="s">
        <v>124</v>
      </c>
      <c r="E513" s="16" t="s">
        <v>125</v>
      </c>
      <c r="F513" s="16" t="s">
        <v>126</v>
      </c>
      <c r="G513" s="16" t="s">
        <v>127</v>
      </c>
      <c r="H513" s="16" t="s">
        <v>128</v>
      </c>
      <c r="I513" s="16" t="s">
        <v>129</v>
      </c>
      <c r="J513" s="16" t="s">
        <v>130</v>
      </c>
      <c r="K513" s="16" t="s">
        <v>131</v>
      </c>
      <c r="L513" s="16" t="s">
        <v>132</v>
      </c>
      <c r="M513" s="16" t="s">
        <v>133</v>
      </c>
      <c r="N513" s="16" t="s">
        <v>134</v>
      </c>
      <c r="O513" s="16" t="s">
        <v>135</v>
      </c>
      <c r="P513" s="16" t="s">
        <v>136</v>
      </c>
      <c r="Q513" s="16" t="s">
        <v>137</v>
      </c>
      <c r="R513" s="16" t="s">
        <v>138</v>
      </c>
      <c r="S513" s="16" t="s">
        <v>139</v>
      </c>
      <c r="T513" s="16" t="s">
        <v>140</v>
      </c>
      <c r="U513" s="16" t="s">
        <v>141</v>
      </c>
      <c r="V513" s="16" t="s">
        <v>142</v>
      </c>
      <c r="W513" s="16" t="s">
        <v>143</v>
      </c>
      <c r="X513" s="16" t="s">
        <v>144</v>
      </c>
      <c r="Y513" s="16" t="s">
        <v>145</v>
      </c>
      <c r="Z513" s="16" t="s">
        <v>146</v>
      </c>
      <c r="AA513" s="16" t="s">
        <v>147</v>
      </c>
      <c r="AB513" s="16" t="s">
        <v>148</v>
      </c>
      <c r="AC513" s="16" t="s">
        <v>149</v>
      </c>
      <c r="AD513" s="16" t="s">
        <v>150</v>
      </c>
      <c r="AE513" s="16" t="s">
        <v>151</v>
      </c>
      <c r="AF513" s="16" t="s">
        <v>152</v>
      </c>
      <c r="AG513" s="16" t="s">
        <v>153</v>
      </c>
      <c r="AH513" s="16" t="s">
        <v>154</v>
      </c>
      <c r="AI513" s="16"/>
      <c r="AJ513" s="7"/>
    </row>
    <row r="514" spans="1:36" x14ac:dyDescent="0.35">
      <c r="A514" s="9" t="s">
        <v>304</v>
      </c>
      <c r="B514" s="38">
        <v>0</v>
      </c>
      <c r="C514" s="38">
        <v>0</v>
      </c>
      <c r="D514" s="38">
        <v>0</v>
      </c>
      <c r="E514" s="38">
        <v>0.66666666666666596</v>
      </c>
      <c r="F514" s="38">
        <v>0</v>
      </c>
      <c r="G514" s="38">
        <v>1</v>
      </c>
      <c r="H514" s="38">
        <v>0.55555555555555503</v>
      </c>
      <c r="I514" s="38">
        <v>1</v>
      </c>
      <c r="J514" s="38">
        <v>1</v>
      </c>
      <c r="K514" s="38">
        <v>0</v>
      </c>
      <c r="L514" s="38">
        <v>0</v>
      </c>
      <c r="M514" s="38">
        <v>0</v>
      </c>
      <c r="N514" s="38">
        <v>1</v>
      </c>
      <c r="O514" s="38">
        <v>0</v>
      </c>
      <c r="P514" s="38">
        <v>0</v>
      </c>
      <c r="Q514" s="38">
        <v>0</v>
      </c>
      <c r="R514" s="38">
        <v>1</v>
      </c>
      <c r="S514" s="38">
        <v>0</v>
      </c>
      <c r="T514" s="38">
        <v>1</v>
      </c>
      <c r="U514" s="38">
        <v>1</v>
      </c>
      <c r="V514" s="38">
        <v>1</v>
      </c>
      <c r="W514" s="38">
        <v>0</v>
      </c>
      <c r="X514" s="38">
        <v>1</v>
      </c>
      <c r="Y514" s="38">
        <v>1</v>
      </c>
      <c r="Z514" s="38">
        <v>1</v>
      </c>
      <c r="AA514" s="38">
        <v>1</v>
      </c>
      <c r="AB514" s="38">
        <v>1</v>
      </c>
      <c r="AC514" s="38">
        <v>1</v>
      </c>
      <c r="AD514" s="38">
        <v>1</v>
      </c>
      <c r="AE514" s="38">
        <v>1</v>
      </c>
      <c r="AF514" s="38">
        <v>0</v>
      </c>
      <c r="AG514" s="38">
        <v>1</v>
      </c>
      <c r="AH514" s="38">
        <v>1</v>
      </c>
      <c r="AI514" s="38" t="s">
        <v>195</v>
      </c>
      <c r="AJ514" s="7"/>
    </row>
    <row r="515" spans="1:36" x14ac:dyDescent="0.35">
      <c r="AJ515" s="7"/>
    </row>
    <row r="516" spans="1:36" x14ac:dyDescent="0.35">
      <c r="A516" s="17" t="s">
        <v>207</v>
      </c>
      <c r="B516" s="17"/>
      <c r="C516" s="18" t="s">
        <v>122</v>
      </c>
      <c r="D516" s="18" t="s">
        <v>123</v>
      </c>
      <c r="E516" s="18" t="s">
        <v>124</v>
      </c>
      <c r="F516" s="18" t="s">
        <v>125</v>
      </c>
      <c r="G516" s="18" t="s">
        <v>126</v>
      </c>
      <c r="H516" s="18" t="s">
        <v>127</v>
      </c>
      <c r="I516" s="18" t="s">
        <v>128</v>
      </c>
      <c r="J516" s="18" t="s">
        <v>129</v>
      </c>
      <c r="K516" s="18" t="s">
        <v>130</v>
      </c>
      <c r="L516" s="18" t="s">
        <v>131</v>
      </c>
      <c r="M516" s="18" t="s">
        <v>132</v>
      </c>
      <c r="N516" s="18" t="s">
        <v>133</v>
      </c>
      <c r="O516" s="18" t="s">
        <v>134</v>
      </c>
      <c r="P516" s="18" t="s">
        <v>135</v>
      </c>
      <c r="Q516" s="18" t="s">
        <v>136</v>
      </c>
      <c r="R516" s="18" t="s">
        <v>137</v>
      </c>
      <c r="S516" s="18" t="s">
        <v>138</v>
      </c>
      <c r="T516" s="18" t="s">
        <v>139</v>
      </c>
      <c r="U516" s="18" t="s">
        <v>140</v>
      </c>
      <c r="V516" s="18" t="s">
        <v>141</v>
      </c>
      <c r="W516" s="18" t="s">
        <v>142</v>
      </c>
      <c r="X516" s="18" t="s">
        <v>143</v>
      </c>
      <c r="Y516" s="18" t="s">
        <v>144</v>
      </c>
      <c r="Z516" s="18" t="s">
        <v>145</v>
      </c>
      <c r="AA516" s="18" t="s">
        <v>146</v>
      </c>
      <c r="AB516" s="18" t="s">
        <v>147</v>
      </c>
      <c r="AC516" s="18" t="s">
        <v>148</v>
      </c>
      <c r="AD516" s="18" t="s">
        <v>149</v>
      </c>
      <c r="AE516" s="18" t="s">
        <v>150</v>
      </c>
      <c r="AF516" s="18" t="s">
        <v>151</v>
      </c>
      <c r="AG516" s="18" t="s">
        <v>152</v>
      </c>
      <c r="AH516" s="18" t="s">
        <v>153</v>
      </c>
      <c r="AI516" s="18" t="s">
        <v>154</v>
      </c>
      <c r="AJ516" s="7"/>
    </row>
    <row r="517" spans="1:36" x14ac:dyDescent="0.35">
      <c r="A517" s="17" t="s">
        <v>208</v>
      </c>
      <c r="B517" s="17"/>
      <c r="C517" s="19">
        <f>COUNTIFS(B$4:B$63,B514,$AI$4:$AI$63,"YES")</f>
        <v>0</v>
      </c>
      <c r="D517" s="19">
        <f>COUNTIFS(C$4:C$63,C514,$AI$4:$AI$63,"YES")</f>
        <v>0</v>
      </c>
      <c r="E517" s="19">
        <f t="shared" ref="E517:AJ517" si="124">COUNTIFS(D$4:D$63,D514,$AI$4:$AI$63,"YES")</f>
        <v>0</v>
      </c>
      <c r="F517" s="19">
        <f t="shared" si="124"/>
        <v>2</v>
      </c>
      <c r="G517" s="19">
        <f t="shared" si="124"/>
        <v>2</v>
      </c>
      <c r="H517" s="19">
        <f t="shared" si="124"/>
        <v>4</v>
      </c>
      <c r="I517" s="19">
        <f t="shared" si="124"/>
        <v>4</v>
      </c>
      <c r="J517" s="19">
        <f t="shared" si="124"/>
        <v>4</v>
      </c>
      <c r="K517" s="19">
        <f t="shared" si="124"/>
        <v>0</v>
      </c>
      <c r="L517" s="19">
        <f t="shared" si="124"/>
        <v>2</v>
      </c>
      <c r="M517" s="19">
        <f t="shared" si="124"/>
        <v>4</v>
      </c>
      <c r="N517" s="19">
        <f t="shared" si="124"/>
        <v>0</v>
      </c>
      <c r="O517" s="19">
        <f t="shared" si="124"/>
        <v>4</v>
      </c>
      <c r="P517" s="19">
        <f t="shared" si="124"/>
        <v>4</v>
      </c>
      <c r="Q517" s="19">
        <f t="shared" si="124"/>
        <v>1</v>
      </c>
      <c r="R517" s="19">
        <f t="shared" si="124"/>
        <v>0</v>
      </c>
      <c r="S517" s="19">
        <f t="shared" si="124"/>
        <v>4</v>
      </c>
      <c r="T517" s="19">
        <f t="shared" si="124"/>
        <v>0</v>
      </c>
      <c r="U517" s="19">
        <f t="shared" si="124"/>
        <v>4</v>
      </c>
      <c r="V517" s="19">
        <f t="shared" si="124"/>
        <v>4</v>
      </c>
      <c r="W517" s="19">
        <f t="shared" si="124"/>
        <v>4</v>
      </c>
      <c r="X517" s="19">
        <f t="shared" si="124"/>
        <v>4</v>
      </c>
      <c r="Y517" s="19">
        <f t="shared" si="124"/>
        <v>4</v>
      </c>
      <c r="Z517" s="19">
        <f t="shared" si="124"/>
        <v>4</v>
      </c>
      <c r="AA517" s="19">
        <f t="shared" si="124"/>
        <v>4</v>
      </c>
      <c r="AB517" s="19">
        <f t="shared" si="124"/>
        <v>0</v>
      </c>
      <c r="AC517" s="19">
        <f t="shared" si="124"/>
        <v>4</v>
      </c>
      <c r="AD517" s="19">
        <f t="shared" si="124"/>
        <v>4</v>
      </c>
      <c r="AE517" s="19">
        <f t="shared" si="124"/>
        <v>4</v>
      </c>
      <c r="AF517" s="19">
        <f t="shared" si="124"/>
        <v>4</v>
      </c>
      <c r="AG517" s="19">
        <f t="shared" si="124"/>
        <v>0</v>
      </c>
      <c r="AH517" s="19">
        <f t="shared" si="124"/>
        <v>4</v>
      </c>
      <c r="AI517" s="19">
        <f t="shared" si="124"/>
        <v>0</v>
      </c>
      <c r="AJ517" s="20"/>
    </row>
    <row r="518" spans="1:36" x14ac:dyDescent="0.35">
      <c r="A518" s="17" t="s">
        <v>209</v>
      </c>
      <c r="B518" s="17"/>
      <c r="C518" s="19">
        <f>COUNTIFS(B$4:B$63,B514,$AI$4:$AI$63,"NO")</f>
        <v>10</v>
      </c>
      <c r="D518" s="19">
        <f t="shared" ref="D518:AI518" si="125">COUNTIFS(C$4:C$63,C514,$AI$4:$AI$63,"NO")</f>
        <v>15</v>
      </c>
      <c r="E518" s="19">
        <f t="shared" si="125"/>
        <v>15</v>
      </c>
      <c r="F518" s="19">
        <f t="shared" si="125"/>
        <v>31</v>
      </c>
      <c r="G518" s="19">
        <f t="shared" si="125"/>
        <v>34</v>
      </c>
      <c r="H518" s="19">
        <f t="shared" si="125"/>
        <v>45</v>
      </c>
      <c r="I518" s="19">
        <f t="shared" si="125"/>
        <v>47</v>
      </c>
      <c r="J518" s="19">
        <f t="shared" si="125"/>
        <v>45</v>
      </c>
      <c r="K518" s="19">
        <f t="shared" si="125"/>
        <v>5</v>
      </c>
      <c r="L518" s="19">
        <f t="shared" si="125"/>
        <v>39</v>
      </c>
      <c r="M518" s="19">
        <f t="shared" si="125"/>
        <v>44</v>
      </c>
      <c r="N518" s="19">
        <f t="shared" si="125"/>
        <v>13</v>
      </c>
      <c r="O518" s="19">
        <f t="shared" si="125"/>
        <v>44</v>
      </c>
      <c r="P518" s="19">
        <f t="shared" si="125"/>
        <v>42</v>
      </c>
      <c r="Q518" s="19">
        <f t="shared" si="125"/>
        <v>41</v>
      </c>
      <c r="R518" s="19">
        <f t="shared" si="125"/>
        <v>10</v>
      </c>
      <c r="S518" s="19">
        <f t="shared" si="125"/>
        <v>49</v>
      </c>
      <c r="T518" s="19">
        <f t="shared" si="125"/>
        <v>9</v>
      </c>
      <c r="U518" s="19">
        <f t="shared" si="125"/>
        <v>49</v>
      </c>
      <c r="V518" s="19">
        <f t="shared" si="125"/>
        <v>56</v>
      </c>
      <c r="W518" s="19">
        <f t="shared" si="125"/>
        <v>56</v>
      </c>
      <c r="X518" s="19">
        <f t="shared" si="125"/>
        <v>43</v>
      </c>
      <c r="Y518" s="19">
        <f t="shared" si="125"/>
        <v>56</v>
      </c>
      <c r="Z518" s="19">
        <f t="shared" si="125"/>
        <v>50</v>
      </c>
      <c r="AA518" s="19">
        <f t="shared" si="125"/>
        <v>45</v>
      </c>
      <c r="AB518" s="19">
        <f t="shared" si="125"/>
        <v>25</v>
      </c>
      <c r="AC518" s="19">
        <f t="shared" si="125"/>
        <v>56</v>
      </c>
      <c r="AD518" s="19">
        <f t="shared" si="125"/>
        <v>56</v>
      </c>
      <c r="AE518" s="19">
        <f t="shared" si="125"/>
        <v>56</v>
      </c>
      <c r="AF518" s="19">
        <f t="shared" si="125"/>
        <v>56</v>
      </c>
      <c r="AG518" s="19">
        <f t="shared" si="125"/>
        <v>3</v>
      </c>
      <c r="AH518" s="19">
        <f t="shared" si="125"/>
        <v>56</v>
      </c>
      <c r="AI518" s="19">
        <f t="shared" si="125"/>
        <v>5</v>
      </c>
      <c r="AJ518" s="20"/>
    </row>
    <row r="519" spans="1:36" x14ac:dyDescent="0.35">
      <c r="A519" s="17" t="s">
        <v>210</v>
      </c>
      <c r="B519" s="18" t="s">
        <v>208</v>
      </c>
      <c r="C519" s="19">
        <f>C517/$B$108</f>
        <v>0</v>
      </c>
      <c r="D519" s="19">
        <f t="shared" ref="D519:AI519" si="126">D517/$B$108</f>
        <v>0</v>
      </c>
      <c r="E519" s="19">
        <f t="shared" si="126"/>
        <v>0</v>
      </c>
      <c r="F519" s="19">
        <f t="shared" si="126"/>
        <v>30</v>
      </c>
      <c r="G519" s="19">
        <f t="shared" si="126"/>
        <v>30</v>
      </c>
      <c r="H519" s="19">
        <f t="shared" si="126"/>
        <v>60</v>
      </c>
      <c r="I519" s="19">
        <f t="shared" si="126"/>
        <v>60</v>
      </c>
      <c r="J519" s="19">
        <f t="shared" si="126"/>
        <v>60</v>
      </c>
      <c r="K519" s="19">
        <f t="shared" si="126"/>
        <v>0</v>
      </c>
      <c r="L519" s="19">
        <f t="shared" si="126"/>
        <v>30</v>
      </c>
      <c r="M519" s="19">
        <f t="shared" si="126"/>
        <v>60</v>
      </c>
      <c r="N519" s="19">
        <f t="shared" si="126"/>
        <v>0</v>
      </c>
      <c r="O519" s="19">
        <f t="shared" si="126"/>
        <v>60</v>
      </c>
      <c r="P519" s="19">
        <f t="shared" si="126"/>
        <v>60</v>
      </c>
      <c r="Q519" s="19">
        <f t="shared" si="126"/>
        <v>15</v>
      </c>
      <c r="R519" s="19">
        <f t="shared" si="126"/>
        <v>0</v>
      </c>
      <c r="S519" s="19">
        <f t="shared" si="126"/>
        <v>60</v>
      </c>
      <c r="T519" s="19">
        <f t="shared" si="126"/>
        <v>0</v>
      </c>
      <c r="U519" s="19">
        <f t="shared" si="126"/>
        <v>60</v>
      </c>
      <c r="V519" s="19">
        <f t="shared" si="126"/>
        <v>60</v>
      </c>
      <c r="W519" s="19">
        <f t="shared" si="126"/>
        <v>60</v>
      </c>
      <c r="X519" s="19">
        <f t="shared" si="126"/>
        <v>60</v>
      </c>
      <c r="Y519" s="19">
        <f t="shared" si="126"/>
        <v>60</v>
      </c>
      <c r="Z519" s="19">
        <f t="shared" si="126"/>
        <v>60</v>
      </c>
      <c r="AA519" s="19">
        <f t="shared" si="126"/>
        <v>60</v>
      </c>
      <c r="AB519" s="19">
        <f t="shared" si="126"/>
        <v>0</v>
      </c>
      <c r="AC519" s="19">
        <f t="shared" si="126"/>
        <v>60</v>
      </c>
      <c r="AD519" s="19">
        <f t="shared" si="126"/>
        <v>60</v>
      </c>
      <c r="AE519" s="19">
        <f t="shared" si="126"/>
        <v>60</v>
      </c>
      <c r="AF519" s="19">
        <f t="shared" si="126"/>
        <v>60</v>
      </c>
      <c r="AG519" s="19">
        <f t="shared" si="126"/>
        <v>0</v>
      </c>
      <c r="AH519" s="19">
        <f t="shared" si="126"/>
        <v>60</v>
      </c>
      <c r="AI519" s="19">
        <f t="shared" si="126"/>
        <v>0</v>
      </c>
      <c r="AJ519" s="19">
        <f>C519*D519*E519*F519*G519*H519*I519*J519*K519*L519*M519*N519*O519*P519*Q519*R519*S519*T519*U519*V519*W519*X519*Y519*Z519*AA519*AB519*AC519*AD519*AE519*AF519*AG519*AH519*AI519</f>
        <v>0</v>
      </c>
    </row>
    <row r="520" spans="1:36" x14ac:dyDescent="0.35">
      <c r="A520" s="17"/>
      <c r="B520" s="18" t="s">
        <v>209</v>
      </c>
      <c r="C520" s="19">
        <f>C518/$C$108</f>
        <v>10.714285714285714</v>
      </c>
      <c r="D520" s="19">
        <f t="shared" ref="D520:AI520" si="127">D518/$C$108</f>
        <v>16.071428571428569</v>
      </c>
      <c r="E520" s="19">
        <f t="shared" si="127"/>
        <v>16.071428571428569</v>
      </c>
      <c r="F520" s="19">
        <f t="shared" si="127"/>
        <v>33.214285714285715</v>
      </c>
      <c r="G520" s="19">
        <f t="shared" si="127"/>
        <v>36.428571428571431</v>
      </c>
      <c r="H520" s="19">
        <f t="shared" si="127"/>
        <v>48.214285714285715</v>
      </c>
      <c r="I520" s="19">
        <f t="shared" si="127"/>
        <v>50.357142857142854</v>
      </c>
      <c r="J520" s="19">
        <f t="shared" si="127"/>
        <v>48.214285714285715</v>
      </c>
      <c r="K520" s="19">
        <f t="shared" si="127"/>
        <v>5.3571428571428568</v>
      </c>
      <c r="L520" s="19">
        <f t="shared" si="127"/>
        <v>41.785714285714285</v>
      </c>
      <c r="M520" s="19">
        <f t="shared" si="127"/>
        <v>47.142857142857139</v>
      </c>
      <c r="N520" s="19">
        <f t="shared" si="127"/>
        <v>13.928571428571429</v>
      </c>
      <c r="O520" s="19">
        <f t="shared" si="127"/>
        <v>47.142857142857139</v>
      </c>
      <c r="P520" s="19">
        <f t="shared" si="127"/>
        <v>45</v>
      </c>
      <c r="Q520" s="19">
        <f t="shared" si="127"/>
        <v>43.928571428571431</v>
      </c>
      <c r="R520" s="19">
        <f t="shared" si="127"/>
        <v>10.714285714285714</v>
      </c>
      <c r="S520" s="19">
        <f t="shared" si="127"/>
        <v>52.5</v>
      </c>
      <c r="T520" s="19">
        <f t="shared" si="127"/>
        <v>9.6428571428571423</v>
      </c>
      <c r="U520" s="19">
        <f t="shared" si="127"/>
        <v>52.5</v>
      </c>
      <c r="V520" s="19">
        <f t="shared" si="127"/>
        <v>60</v>
      </c>
      <c r="W520" s="19">
        <f t="shared" si="127"/>
        <v>60</v>
      </c>
      <c r="X520" s="19">
        <f t="shared" si="127"/>
        <v>46.071428571428569</v>
      </c>
      <c r="Y520" s="19">
        <f t="shared" si="127"/>
        <v>60</v>
      </c>
      <c r="Z520" s="19">
        <f t="shared" si="127"/>
        <v>53.571428571428569</v>
      </c>
      <c r="AA520" s="19">
        <f t="shared" si="127"/>
        <v>48.214285714285715</v>
      </c>
      <c r="AB520" s="19">
        <f t="shared" si="127"/>
        <v>26.785714285714285</v>
      </c>
      <c r="AC520" s="19">
        <f t="shared" si="127"/>
        <v>60</v>
      </c>
      <c r="AD520" s="19">
        <f t="shared" si="127"/>
        <v>60</v>
      </c>
      <c r="AE520" s="19">
        <f t="shared" si="127"/>
        <v>60</v>
      </c>
      <c r="AF520" s="19">
        <f t="shared" si="127"/>
        <v>60</v>
      </c>
      <c r="AG520" s="19">
        <f t="shared" si="127"/>
        <v>3.2142857142857144</v>
      </c>
      <c r="AH520" s="19">
        <f t="shared" si="127"/>
        <v>60</v>
      </c>
      <c r="AI520" s="19">
        <f t="shared" si="127"/>
        <v>5.3571428571428568</v>
      </c>
      <c r="AJ520" s="19">
        <f>C520*D520*E520*F520*G520*H520*I520*J520*K520*L520*M520*N520*O520*P520*Q520*R520*S520*T520*U520*V520*W520*X520*Y520*Z520*AA520*AB520*AC520*AD520*AE520*AF520*AG520*AH520*AI520</f>
        <v>1.4095158914751109E+49</v>
      </c>
    </row>
    <row r="521" spans="1:36" x14ac:dyDescent="0.35">
      <c r="A521" s="21"/>
      <c r="B521" s="21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20"/>
    </row>
    <row r="522" spans="1:36" x14ac:dyDescent="0.35">
      <c r="A522" s="22" t="s">
        <v>211</v>
      </c>
      <c r="B522" s="23"/>
      <c r="C522" s="24" t="s">
        <v>212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20"/>
    </row>
    <row r="523" spans="1:36" x14ac:dyDescent="0.35">
      <c r="A523" s="25" t="s">
        <v>208</v>
      </c>
      <c r="B523" s="26">
        <f>AJ519*$B$108</f>
        <v>0</v>
      </c>
      <c r="C523" s="27" t="str">
        <f>IF(B523&gt;B524,A523,A524)</f>
        <v>No</v>
      </c>
      <c r="D523" s="20"/>
      <c r="E523" s="20"/>
      <c r="F523" s="20"/>
      <c r="G523" s="20"/>
      <c r="H523" s="20"/>
      <c r="I523" s="20"/>
      <c r="J523" s="20"/>
      <c r="K523" s="20"/>
      <c r="L523" s="2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20"/>
    </row>
    <row r="524" spans="1:36" x14ac:dyDescent="0.35">
      <c r="A524" s="25" t="s">
        <v>209</v>
      </c>
      <c r="B524" s="26">
        <f>AJ520*$C$108</f>
        <v>1.3155481653767701E+49</v>
      </c>
      <c r="C524" s="28"/>
      <c r="D524" s="20"/>
      <c r="E524" s="20"/>
      <c r="F524" s="20"/>
      <c r="G524" s="20"/>
      <c r="H524" s="20"/>
      <c r="I524" s="20"/>
      <c r="J524" s="20"/>
      <c r="K524" s="20"/>
      <c r="L524" s="2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20"/>
    </row>
    <row r="526" spans="1:36" x14ac:dyDescent="0.35">
      <c r="A526" s="15"/>
      <c r="B526" s="16" t="s">
        <v>122</v>
      </c>
      <c r="C526" s="16" t="s">
        <v>123</v>
      </c>
      <c r="D526" s="16" t="s">
        <v>124</v>
      </c>
      <c r="E526" s="16" t="s">
        <v>125</v>
      </c>
      <c r="F526" s="16" t="s">
        <v>126</v>
      </c>
      <c r="G526" s="16" t="s">
        <v>127</v>
      </c>
      <c r="H526" s="16" t="s">
        <v>128</v>
      </c>
      <c r="I526" s="16" t="s">
        <v>129</v>
      </c>
      <c r="J526" s="16" t="s">
        <v>130</v>
      </c>
      <c r="K526" s="16" t="s">
        <v>131</v>
      </c>
      <c r="L526" s="16" t="s">
        <v>132</v>
      </c>
      <c r="M526" s="16" t="s">
        <v>133</v>
      </c>
      <c r="N526" s="16" t="s">
        <v>134</v>
      </c>
      <c r="O526" s="16" t="s">
        <v>135</v>
      </c>
      <c r="P526" s="16" t="s">
        <v>136</v>
      </c>
      <c r="Q526" s="16" t="s">
        <v>137</v>
      </c>
      <c r="R526" s="16" t="s">
        <v>138</v>
      </c>
      <c r="S526" s="16" t="s">
        <v>139</v>
      </c>
      <c r="T526" s="16" t="s">
        <v>140</v>
      </c>
      <c r="U526" s="16" t="s">
        <v>141</v>
      </c>
      <c r="V526" s="16" t="s">
        <v>142</v>
      </c>
      <c r="W526" s="16" t="s">
        <v>143</v>
      </c>
      <c r="X526" s="16" t="s">
        <v>144</v>
      </c>
      <c r="Y526" s="16" t="s">
        <v>145</v>
      </c>
      <c r="Z526" s="16" t="s">
        <v>146</v>
      </c>
      <c r="AA526" s="16" t="s">
        <v>147</v>
      </c>
      <c r="AB526" s="16" t="s">
        <v>148</v>
      </c>
      <c r="AC526" s="16" t="s">
        <v>149</v>
      </c>
      <c r="AD526" s="16" t="s">
        <v>150</v>
      </c>
      <c r="AE526" s="16" t="s">
        <v>151</v>
      </c>
      <c r="AF526" s="16" t="s">
        <v>152</v>
      </c>
      <c r="AG526" s="16" t="s">
        <v>153</v>
      </c>
      <c r="AH526" s="16" t="s">
        <v>154</v>
      </c>
      <c r="AI526" s="16"/>
      <c r="AJ526" s="7"/>
    </row>
    <row r="527" spans="1:36" x14ac:dyDescent="0.35">
      <c r="A527" s="9" t="s">
        <v>305</v>
      </c>
      <c r="B527" s="38">
        <v>0</v>
      </c>
      <c r="C527" s="38">
        <v>0</v>
      </c>
      <c r="D527" s="38">
        <v>0.33333333333333298</v>
      </c>
      <c r="E527" s="38">
        <v>1</v>
      </c>
      <c r="F527" s="38">
        <v>0.33333333333333298</v>
      </c>
      <c r="G527" s="38">
        <v>1</v>
      </c>
      <c r="H527" s="38">
        <v>0.55555555555555503</v>
      </c>
      <c r="I527" s="38">
        <v>1</v>
      </c>
      <c r="J527" s="38">
        <v>0</v>
      </c>
      <c r="K527" s="38">
        <v>0</v>
      </c>
      <c r="L527" s="38">
        <v>0</v>
      </c>
      <c r="M527" s="38">
        <v>0.2</v>
      </c>
      <c r="N527" s="38">
        <v>1</v>
      </c>
      <c r="O527" s="38">
        <v>0.33333333333333298</v>
      </c>
      <c r="P527" s="38">
        <v>0</v>
      </c>
      <c r="Q527" s="38">
        <v>0.4</v>
      </c>
      <c r="R527" s="38">
        <v>1</v>
      </c>
      <c r="S527" s="38">
        <v>1</v>
      </c>
      <c r="T527" s="38">
        <v>1</v>
      </c>
      <c r="U527" s="38">
        <v>1</v>
      </c>
      <c r="V527" s="38">
        <v>1</v>
      </c>
      <c r="W527" s="38">
        <v>0</v>
      </c>
      <c r="X527" s="38">
        <v>1</v>
      </c>
      <c r="Y527" s="38">
        <v>1</v>
      </c>
      <c r="Z527" s="38">
        <v>1</v>
      </c>
      <c r="AA527" s="38">
        <v>1</v>
      </c>
      <c r="AB527" s="38">
        <v>1</v>
      </c>
      <c r="AC527" s="38">
        <v>1</v>
      </c>
      <c r="AD527" s="38">
        <v>1</v>
      </c>
      <c r="AE527" s="38">
        <v>1</v>
      </c>
      <c r="AF527" s="38">
        <v>1</v>
      </c>
      <c r="AG527" s="38">
        <v>1</v>
      </c>
      <c r="AH527" s="38">
        <v>0.19565217391304299</v>
      </c>
      <c r="AI527" s="38" t="s">
        <v>195</v>
      </c>
      <c r="AJ527" s="7"/>
    </row>
    <row r="528" spans="1:36" x14ac:dyDescent="0.35">
      <c r="AJ528" s="7"/>
    </row>
    <row r="529" spans="1:36" x14ac:dyDescent="0.35">
      <c r="A529" s="17" t="s">
        <v>207</v>
      </c>
      <c r="B529" s="17"/>
      <c r="C529" s="18" t="s">
        <v>122</v>
      </c>
      <c r="D529" s="18" t="s">
        <v>123</v>
      </c>
      <c r="E529" s="18" t="s">
        <v>124</v>
      </c>
      <c r="F529" s="18" t="s">
        <v>125</v>
      </c>
      <c r="G529" s="18" t="s">
        <v>126</v>
      </c>
      <c r="H529" s="18" t="s">
        <v>127</v>
      </c>
      <c r="I529" s="18" t="s">
        <v>128</v>
      </c>
      <c r="J529" s="18" t="s">
        <v>129</v>
      </c>
      <c r="K529" s="18" t="s">
        <v>130</v>
      </c>
      <c r="L529" s="18" t="s">
        <v>131</v>
      </c>
      <c r="M529" s="18" t="s">
        <v>132</v>
      </c>
      <c r="N529" s="18" t="s">
        <v>133</v>
      </c>
      <c r="O529" s="18" t="s">
        <v>134</v>
      </c>
      <c r="P529" s="18" t="s">
        <v>135</v>
      </c>
      <c r="Q529" s="18" t="s">
        <v>136</v>
      </c>
      <c r="R529" s="18" t="s">
        <v>137</v>
      </c>
      <c r="S529" s="18" t="s">
        <v>138</v>
      </c>
      <c r="T529" s="18" t="s">
        <v>139</v>
      </c>
      <c r="U529" s="18" t="s">
        <v>140</v>
      </c>
      <c r="V529" s="18" t="s">
        <v>141</v>
      </c>
      <c r="W529" s="18" t="s">
        <v>142</v>
      </c>
      <c r="X529" s="18" t="s">
        <v>143</v>
      </c>
      <c r="Y529" s="18" t="s">
        <v>144</v>
      </c>
      <c r="Z529" s="18" t="s">
        <v>145</v>
      </c>
      <c r="AA529" s="18" t="s">
        <v>146</v>
      </c>
      <c r="AB529" s="18" t="s">
        <v>147</v>
      </c>
      <c r="AC529" s="18" t="s">
        <v>148</v>
      </c>
      <c r="AD529" s="18" t="s">
        <v>149</v>
      </c>
      <c r="AE529" s="18" t="s">
        <v>150</v>
      </c>
      <c r="AF529" s="18" t="s">
        <v>151</v>
      </c>
      <c r="AG529" s="18" t="s">
        <v>152</v>
      </c>
      <c r="AH529" s="18" t="s">
        <v>153</v>
      </c>
      <c r="AI529" s="18" t="s">
        <v>154</v>
      </c>
      <c r="AJ529" s="7"/>
    </row>
    <row r="530" spans="1:36" x14ac:dyDescent="0.35">
      <c r="A530" s="17" t="s">
        <v>208</v>
      </c>
      <c r="B530" s="17"/>
      <c r="C530" s="19">
        <f>COUNTIFS(B$4:B$63,B527,$AI$4:$AI$63,"YES")</f>
        <v>0</v>
      </c>
      <c r="D530" s="19">
        <f>COUNTIFS(C$4:C$63,C527,$AI$4:$AI$63,"YES")</f>
        <v>0</v>
      </c>
      <c r="E530" s="19">
        <f t="shared" ref="E530:AJ530" si="128">COUNTIFS(D$4:D$63,D527,$AI$4:$AI$63,"YES")</f>
        <v>3</v>
      </c>
      <c r="F530" s="19">
        <f t="shared" si="128"/>
        <v>1</v>
      </c>
      <c r="G530" s="19">
        <f t="shared" si="128"/>
        <v>2</v>
      </c>
      <c r="H530" s="19">
        <f t="shared" si="128"/>
        <v>4</v>
      </c>
      <c r="I530" s="19">
        <f t="shared" si="128"/>
        <v>4</v>
      </c>
      <c r="J530" s="19">
        <f t="shared" si="128"/>
        <v>4</v>
      </c>
      <c r="K530" s="19">
        <f t="shared" si="128"/>
        <v>0</v>
      </c>
      <c r="L530" s="19">
        <f t="shared" si="128"/>
        <v>2</v>
      </c>
      <c r="M530" s="19">
        <f t="shared" si="128"/>
        <v>4</v>
      </c>
      <c r="N530" s="19">
        <f t="shared" si="128"/>
        <v>3</v>
      </c>
      <c r="O530" s="19">
        <f t="shared" si="128"/>
        <v>4</v>
      </c>
      <c r="P530" s="19">
        <f t="shared" si="128"/>
        <v>0</v>
      </c>
      <c r="Q530" s="19">
        <f t="shared" si="128"/>
        <v>1</v>
      </c>
      <c r="R530" s="19">
        <f t="shared" si="128"/>
        <v>3</v>
      </c>
      <c r="S530" s="19">
        <f t="shared" si="128"/>
        <v>4</v>
      </c>
      <c r="T530" s="19">
        <f t="shared" si="128"/>
        <v>4</v>
      </c>
      <c r="U530" s="19">
        <f t="shared" si="128"/>
        <v>4</v>
      </c>
      <c r="V530" s="19">
        <f t="shared" si="128"/>
        <v>4</v>
      </c>
      <c r="W530" s="19">
        <f t="shared" si="128"/>
        <v>4</v>
      </c>
      <c r="X530" s="19">
        <f t="shared" si="128"/>
        <v>4</v>
      </c>
      <c r="Y530" s="19">
        <f t="shared" si="128"/>
        <v>4</v>
      </c>
      <c r="Z530" s="19">
        <f t="shared" si="128"/>
        <v>4</v>
      </c>
      <c r="AA530" s="19">
        <f t="shared" si="128"/>
        <v>4</v>
      </c>
      <c r="AB530" s="19">
        <f t="shared" si="128"/>
        <v>0</v>
      </c>
      <c r="AC530" s="19">
        <f t="shared" si="128"/>
        <v>4</v>
      </c>
      <c r="AD530" s="19">
        <f t="shared" si="128"/>
        <v>4</v>
      </c>
      <c r="AE530" s="19">
        <f t="shared" si="128"/>
        <v>4</v>
      </c>
      <c r="AF530" s="19">
        <f t="shared" si="128"/>
        <v>4</v>
      </c>
      <c r="AG530" s="19">
        <f t="shared" si="128"/>
        <v>4</v>
      </c>
      <c r="AH530" s="19">
        <f t="shared" si="128"/>
        <v>4</v>
      </c>
      <c r="AI530" s="19">
        <f t="shared" si="128"/>
        <v>1</v>
      </c>
      <c r="AJ530" s="20"/>
    </row>
    <row r="531" spans="1:36" x14ac:dyDescent="0.35">
      <c r="A531" s="17" t="s">
        <v>209</v>
      </c>
      <c r="B531" s="17"/>
      <c r="C531" s="19">
        <f>COUNTIFS(B$4:B$63,B527,$AI$4:$AI$63,"NO")</f>
        <v>10</v>
      </c>
      <c r="D531" s="19">
        <f t="shared" ref="D531:AI531" si="129">COUNTIFS(C$4:C$63,C527,$AI$4:$AI$63,"NO")</f>
        <v>15</v>
      </c>
      <c r="E531" s="19">
        <f t="shared" si="129"/>
        <v>12</v>
      </c>
      <c r="F531" s="19">
        <f t="shared" si="129"/>
        <v>6</v>
      </c>
      <c r="G531" s="19">
        <f t="shared" si="129"/>
        <v>13</v>
      </c>
      <c r="H531" s="19">
        <f t="shared" si="129"/>
        <v>45</v>
      </c>
      <c r="I531" s="19">
        <f t="shared" si="129"/>
        <v>47</v>
      </c>
      <c r="J531" s="19">
        <f t="shared" si="129"/>
        <v>45</v>
      </c>
      <c r="K531" s="19">
        <f t="shared" si="129"/>
        <v>17</v>
      </c>
      <c r="L531" s="19">
        <f t="shared" si="129"/>
        <v>39</v>
      </c>
      <c r="M531" s="19">
        <f t="shared" si="129"/>
        <v>44</v>
      </c>
      <c r="N531" s="19">
        <f t="shared" si="129"/>
        <v>31</v>
      </c>
      <c r="O531" s="19">
        <f t="shared" si="129"/>
        <v>44</v>
      </c>
      <c r="P531" s="19">
        <f t="shared" si="129"/>
        <v>6</v>
      </c>
      <c r="Q531" s="19">
        <f t="shared" si="129"/>
        <v>41</v>
      </c>
      <c r="R531" s="19">
        <f t="shared" si="129"/>
        <v>38</v>
      </c>
      <c r="S531" s="19">
        <f t="shared" si="129"/>
        <v>49</v>
      </c>
      <c r="T531" s="19">
        <f t="shared" si="129"/>
        <v>41</v>
      </c>
      <c r="U531" s="19">
        <f t="shared" si="129"/>
        <v>49</v>
      </c>
      <c r="V531" s="19">
        <f t="shared" si="129"/>
        <v>56</v>
      </c>
      <c r="W531" s="19">
        <f t="shared" si="129"/>
        <v>56</v>
      </c>
      <c r="X531" s="19">
        <f t="shared" si="129"/>
        <v>43</v>
      </c>
      <c r="Y531" s="19">
        <f t="shared" si="129"/>
        <v>56</v>
      </c>
      <c r="Z531" s="19">
        <f t="shared" si="129"/>
        <v>50</v>
      </c>
      <c r="AA531" s="19">
        <f t="shared" si="129"/>
        <v>45</v>
      </c>
      <c r="AB531" s="19">
        <f t="shared" si="129"/>
        <v>25</v>
      </c>
      <c r="AC531" s="19">
        <f t="shared" si="129"/>
        <v>56</v>
      </c>
      <c r="AD531" s="19">
        <f t="shared" si="129"/>
        <v>56</v>
      </c>
      <c r="AE531" s="19">
        <f t="shared" si="129"/>
        <v>56</v>
      </c>
      <c r="AF531" s="19">
        <f t="shared" si="129"/>
        <v>56</v>
      </c>
      <c r="AG531" s="19">
        <f t="shared" si="129"/>
        <v>47</v>
      </c>
      <c r="AH531" s="19">
        <f t="shared" si="129"/>
        <v>56</v>
      </c>
      <c r="AI531" s="19">
        <f t="shared" si="129"/>
        <v>30</v>
      </c>
      <c r="AJ531" s="20"/>
    </row>
    <row r="532" spans="1:36" x14ac:dyDescent="0.35">
      <c r="A532" s="17" t="s">
        <v>210</v>
      </c>
      <c r="B532" s="18" t="s">
        <v>208</v>
      </c>
      <c r="C532" s="19">
        <f>C530/$B$108</f>
        <v>0</v>
      </c>
      <c r="D532" s="19">
        <f t="shared" ref="D532:AI532" si="130">D530/$B$108</f>
        <v>0</v>
      </c>
      <c r="E532" s="19">
        <f t="shared" si="130"/>
        <v>45</v>
      </c>
      <c r="F532" s="19">
        <f t="shared" si="130"/>
        <v>15</v>
      </c>
      <c r="G532" s="19">
        <f t="shared" si="130"/>
        <v>30</v>
      </c>
      <c r="H532" s="19">
        <f t="shared" si="130"/>
        <v>60</v>
      </c>
      <c r="I532" s="19">
        <f t="shared" si="130"/>
        <v>60</v>
      </c>
      <c r="J532" s="19">
        <f t="shared" si="130"/>
        <v>60</v>
      </c>
      <c r="K532" s="19">
        <f t="shared" si="130"/>
        <v>0</v>
      </c>
      <c r="L532" s="19">
        <f t="shared" si="130"/>
        <v>30</v>
      </c>
      <c r="M532" s="19">
        <f t="shared" si="130"/>
        <v>60</v>
      </c>
      <c r="N532" s="19">
        <f t="shared" si="130"/>
        <v>45</v>
      </c>
      <c r="O532" s="19">
        <f t="shared" si="130"/>
        <v>60</v>
      </c>
      <c r="P532" s="19">
        <f t="shared" si="130"/>
        <v>0</v>
      </c>
      <c r="Q532" s="19">
        <f t="shared" si="130"/>
        <v>15</v>
      </c>
      <c r="R532" s="19">
        <f t="shared" si="130"/>
        <v>45</v>
      </c>
      <c r="S532" s="19">
        <f t="shared" si="130"/>
        <v>60</v>
      </c>
      <c r="T532" s="19">
        <f t="shared" si="130"/>
        <v>60</v>
      </c>
      <c r="U532" s="19">
        <f t="shared" si="130"/>
        <v>60</v>
      </c>
      <c r="V532" s="19">
        <f t="shared" si="130"/>
        <v>60</v>
      </c>
      <c r="W532" s="19">
        <f t="shared" si="130"/>
        <v>60</v>
      </c>
      <c r="X532" s="19">
        <f t="shared" si="130"/>
        <v>60</v>
      </c>
      <c r="Y532" s="19">
        <f t="shared" si="130"/>
        <v>60</v>
      </c>
      <c r="Z532" s="19">
        <f t="shared" si="130"/>
        <v>60</v>
      </c>
      <c r="AA532" s="19">
        <f t="shared" si="130"/>
        <v>60</v>
      </c>
      <c r="AB532" s="19">
        <f t="shared" si="130"/>
        <v>0</v>
      </c>
      <c r="AC532" s="19">
        <f t="shared" si="130"/>
        <v>60</v>
      </c>
      <c r="AD532" s="19">
        <f t="shared" si="130"/>
        <v>60</v>
      </c>
      <c r="AE532" s="19">
        <f t="shared" si="130"/>
        <v>60</v>
      </c>
      <c r="AF532" s="19">
        <f t="shared" si="130"/>
        <v>60</v>
      </c>
      <c r="AG532" s="19">
        <f t="shared" si="130"/>
        <v>60</v>
      </c>
      <c r="AH532" s="19">
        <f t="shared" si="130"/>
        <v>60</v>
      </c>
      <c r="AI532" s="19">
        <f t="shared" si="130"/>
        <v>15</v>
      </c>
      <c r="AJ532" s="19">
        <f>C532*D532*E532*F532*G532*H532*I532*J532*K532*L532*M532*N532*O532*P532*Q532*R532*S532*T532*U532*V532*W532*X532*Y532*Z532*AA532*AB532*AC532*AD532*AE532*AF532*AG532*AH532*AI532</f>
        <v>0</v>
      </c>
    </row>
    <row r="533" spans="1:36" x14ac:dyDescent="0.35">
      <c r="A533" s="17"/>
      <c r="B533" s="18" t="s">
        <v>209</v>
      </c>
      <c r="C533" s="19">
        <f>C531/$C$108</f>
        <v>10.714285714285714</v>
      </c>
      <c r="D533" s="19">
        <f t="shared" ref="D533:AI533" si="131">D531/$C$108</f>
        <v>16.071428571428569</v>
      </c>
      <c r="E533" s="19">
        <f t="shared" si="131"/>
        <v>12.857142857142858</v>
      </c>
      <c r="F533" s="19">
        <f t="shared" si="131"/>
        <v>6.4285714285714288</v>
      </c>
      <c r="G533" s="19">
        <f t="shared" si="131"/>
        <v>13.928571428571429</v>
      </c>
      <c r="H533" s="19">
        <f t="shared" si="131"/>
        <v>48.214285714285715</v>
      </c>
      <c r="I533" s="19">
        <f t="shared" si="131"/>
        <v>50.357142857142854</v>
      </c>
      <c r="J533" s="19">
        <f t="shared" si="131"/>
        <v>48.214285714285715</v>
      </c>
      <c r="K533" s="19">
        <f t="shared" si="131"/>
        <v>18.214285714285715</v>
      </c>
      <c r="L533" s="19">
        <f t="shared" si="131"/>
        <v>41.785714285714285</v>
      </c>
      <c r="M533" s="19">
        <f t="shared" si="131"/>
        <v>47.142857142857139</v>
      </c>
      <c r="N533" s="19">
        <f t="shared" si="131"/>
        <v>33.214285714285715</v>
      </c>
      <c r="O533" s="19">
        <f t="shared" si="131"/>
        <v>47.142857142857139</v>
      </c>
      <c r="P533" s="19">
        <f t="shared" si="131"/>
        <v>6.4285714285714288</v>
      </c>
      <c r="Q533" s="19">
        <f t="shared" si="131"/>
        <v>43.928571428571431</v>
      </c>
      <c r="R533" s="19">
        <f t="shared" si="131"/>
        <v>40.714285714285715</v>
      </c>
      <c r="S533" s="19">
        <f t="shared" si="131"/>
        <v>52.5</v>
      </c>
      <c r="T533" s="19">
        <f t="shared" si="131"/>
        <v>43.928571428571431</v>
      </c>
      <c r="U533" s="19">
        <f t="shared" si="131"/>
        <v>52.5</v>
      </c>
      <c r="V533" s="19">
        <f t="shared" si="131"/>
        <v>60</v>
      </c>
      <c r="W533" s="19">
        <f t="shared" si="131"/>
        <v>60</v>
      </c>
      <c r="X533" s="19">
        <f t="shared" si="131"/>
        <v>46.071428571428569</v>
      </c>
      <c r="Y533" s="19">
        <f t="shared" si="131"/>
        <v>60</v>
      </c>
      <c r="Z533" s="19">
        <f t="shared" si="131"/>
        <v>53.571428571428569</v>
      </c>
      <c r="AA533" s="19">
        <f t="shared" si="131"/>
        <v>48.214285714285715</v>
      </c>
      <c r="AB533" s="19">
        <f t="shared" si="131"/>
        <v>26.785714285714285</v>
      </c>
      <c r="AC533" s="19">
        <f t="shared" si="131"/>
        <v>60</v>
      </c>
      <c r="AD533" s="19">
        <f t="shared" si="131"/>
        <v>60</v>
      </c>
      <c r="AE533" s="19">
        <f t="shared" si="131"/>
        <v>60</v>
      </c>
      <c r="AF533" s="19">
        <f t="shared" si="131"/>
        <v>60</v>
      </c>
      <c r="AG533" s="19">
        <f t="shared" si="131"/>
        <v>50.357142857142854</v>
      </c>
      <c r="AH533" s="19">
        <f t="shared" si="131"/>
        <v>60</v>
      </c>
      <c r="AI533" s="19">
        <f t="shared" si="131"/>
        <v>32.142857142857139</v>
      </c>
      <c r="AJ533" s="19">
        <f>C533*D533*E533*F533*G533*H533*I533*J533*K533*L533*M533*N533*O533*P533*Q533*R533*S533*T533*U533*V533*W533*X533*Y533*Z533*AA533*AB533*AC533*AD533*AE533*AF533*AG533*AH533*AI533</f>
        <v>1.5727727340061942E+51</v>
      </c>
    </row>
    <row r="534" spans="1:36" x14ac:dyDescent="0.35">
      <c r="A534" s="21"/>
      <c r="B534" s="21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20"/>
    </row>
    <row r="535" spans="1:36" x14ac:dyDescent="0.35">
      <c r="A535" s="22" t="s">
        <v>211</v>
      </c>
      <c r="B535" s="23"/>
      <c r="C535" s="24" t="s">
        <v>212</v>
      </c>
      <c r="D535" s="20"/>
      <c r="E535" s="20"/>
      <c r="F535" s="20"/>
      <c r="G535" s="20"/>
      <c r="H535" s="20"/>
      <c r="I535" s="20"/>
      <c r="J535" s="20"/>
      <c r="K535" s="20"/>
      <c r="L535" s="2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20"/>
    </row>
    <row r="536" spans="1:36" x14ac:dyDescent="0.35">
      <c r="A536" s="25" t="s">
        <v>208</v>
      </c>
      <c r="B536" s="26">
        <f>AJ532*$B$108</f>
        <v>0</v>
      </c>
      <c r="C536" s="27" t="str">
        <f>IF(B536&gt;B537,A536,A537)</f>
        <v>No</v>
      </c>
      <c r="D536" s="20"/>
      <c r="E536" s="20"/>
      <c r="F536" s="20"/>
      <c r="G536" s="20"/>
      <c r="H536" s="20"/>
      <c r="I536" s="20"/>
      <c r="J536" s="20"/>
      <c r="K536" s="20"/>
      <c r="L536" s="2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20"/>
    </row>
    <row r="537" spans="1:36" x14ac:dyDescent="0.35">
      <c r="A537" s="25" t="s">
        <v>209</v>
      </c>
      <c r="B537" s="26">
        <f>AJ533*$C$108</f>
        <v>1.4679212184057812E+51</v>
      </c>
      <c r="C537" s="28"/>
      <c r="D537" s="20"/>
      <c r="E537" s="20"/>
      <c r="F537" s="20"/>
      <c r="G537" s="20"/>
      <c r="H537" s="20"/>
      <c r="I537" s="20"/>
      <c r="J537" s="20"/>
      <c r="K537" s="20"/>
      <c r="L537" s="2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20"/>
    </row>
    <row r="539" spans="1:36" x14ac:dyDescent="0.35">
      <c r="A539" s="15"/>
      <c r="B539" s="16" t="s">
        <v>122</v>
      </c>
      <c r="C539" s="16" t="s">
        <v>123</v>
      </c>
      <c r="D539" s="16" t="s">
        <v>124</v>
      </c>
      <c r="E539" s="16" t="s">
        <v>125</v>
      </c>
      <c r="F539" s="16" t="s">
        <v>126</v>
      </c>
      <c r="G539" s="16" t="s">
        <v>127</v>
      </c>
      <c r="H539" s="16" t="s">
        <v>128</v>
      </c>
      <c r="I539" s="16" t="s">
        <v>129</v>
      </c>
      <c r="J539" s="16" t="s">
        <v>130</v>
      </c>
      <c r="K539" s="16" t="s">
        <v>131</v>
      </c>
      <c r="L539" s="16" t="s">
        <v>132</v>
      </c>
      <c r="M539" s="16" t="s">
        <v>133</v>
      </c>
      <c r="N539" s="16" t="s">
        <v>134</v>
      </c>
      <c r="O539" s="16" t="s">
        <v>135</v>
      </c>
      <c r="P539" s="16" t="s">
        <v>136</v>
      </c>
      <c r="Q539" s="16" t="s">
        <v>137</v>
      </c>
      <c r="R539" s="16" t="s">
        <v>138</v>
      </c>
      <c r="S539" s="16" t="s">
        <v>139</v>
      </c>
      <c r="T539" s="16" t="s">
        <v>140</v>
      </c>
      <c r="U539" s="16" t="s">
        <v>141</v>
      </c>
      <c r="V539" s="16" t="s">
        <v>142</v>
      </c>
      <c r="W539" s="16" t="s">
        <v>143</v>
      </c>
      <c r="X539" s="16" t="s">
        <v>144</v>
      </c>
      <c r="Y539" s="16" t="s">
        <v>145</v>
      </c>
      <c r="Z539" s="16" t="s">
        <v>146</v>
      </c>
      <c r="AA539" s="16" t="s">
        <v>147</v>
      </c>
      <c r="AB539" s="16" t="s">
        <v>148</v>
      </c>
      <c r="AC539" s="16" t="s">
        <v>149</v>
      </c>
      <c r="AD539" s="16" t="s">
        <v>150</v>
      </c>
      <c r="AE539" s="16" t="s">
        <v>151</v>
      </c>
      <c r="AF539" s="16" t="s">
        <v>152</v>
      </c>
      <c r="AG539" s="16" t="s">
        <v>153</v>
      </c>
      <c r="AH539" s="16" t="s">
        <v>154</v>
      </c>
      <c r="AI539" s="16"/>
      <c r="AJ539" s="7"/>
    </row>
    <row r="540" spans="1:36" x14ac:dyDescent="0.35">
      <c r="A540" s="9" t="s">
        <v>306</v>
      </c>
      <c r="B540" s="38">
        <v>0.66666666666666596</v>
      </c>
      <c r="C540" s="38">
        <v>0</v>
      </c>
      <c r="D540" s="38">
        <v>0</v>
      </c>
      <c r="E540" s="38">
        <v>0</v>
      </c>
      <c r="F540" s="38">
        <v>0</v>
      </c>
      <c r="G540" s="38">
        <v>0</v>
      </c>
      <c r="H540" s="38">
        <v>0.55555555555555503</v>
      </c>
      <c r="I540" s="38">
        <v>1</v>
      </c>
      <c r="J540" s="38">
        <v>1</v>
      </c>
      <c r="K540" s="38">
        <v>0</v>
      </c>
      <c r="L540" s="38">
        <v>0</v>
      </c>
      <c r="M540" s="38">
        <v>0.2</v>
      </c>
      <c r="N540" s="38">
        <v>1</v>
      </c>
      <c r="O540" s="38">
        <v>0</v>
      </c>
      <c r="P540" s="38">
        <v>0</v>
      </c>
      <c r="Q540" s="38">
        <v>0</v>
      </c>
      <c r="R540" s="38">
        <v>1</v>
      </c>
      <c r="S540" s="38">
        <v>0</v>
      </c>
      <c r="T540" s="38">
        <v>0</v>
      </c>
      <c r="U540" s="38">
        <v>1</v>
      </c>
      <c r="V540" s="38">
        <v>1</v>
      </c>
      <c r="W540" s="38">
        <v>0</v>
      </c>
      <c r="X540" s="38">
        <v>1</v>
      </c>
      <c r="Y540" s="38">
        <v>0</v>
      </c>
      <c r="Z540" s="38">
        <v>1</v>
      </c>
      <c r="AA540" s="38">
        <v>0</v>
      </c>
      <c r="AB540" s="38">
        <v>1</v>
      </c>
      <c r="AC540" s="38">
        <v>1</v>
      </c>
      <c r="AD540" s="38">
        <v>1</v>
      </c>
      <c r="AE540" s="38">
        <v>1</v>
      </c>
      <c r="AF540" s="38">
        <v>1</v>
      </c>
      <c r="AG540" s="38">
        <v>1</v>
      </c>
      <c r="AH540" s="38">
        <v>0</v>
      </c>
      <c r="AI540" s="38" t="s">
        <v>195</v>
      </c>
      <c r="AJ540" s="7"/>
    </row>
    <row r="541" spans="1:36" x14ac:dyDescent="0.35">
      <c r="AJ541" s="7"/>
    </row>
    <row r="542" spans="1:36" x14ac:dyDescent="0.35">
      <c r="A542" s="17" t="s">
        <v>207</v>
      </c>
      <c r="B542" s="17"/>
      <c r="C542" s="18" t="s">
        <v>122</v>
      </c>
      <c r="D542" s="18" t="s">
        <v>123</v>
      </c>
      <c r="E542" s="18" t="s">
        <v>124</v>
      </c>
      <c r="F542" s="18" t="s">
        <v>125</v>
      </c>
      <c r="G542" s="18" t="s">
        <v>126</v>
      </c>
      <c r="H542" s="18" t="s">
        <v>127</v>
      </c>
      <c r="I542" s="18" t="s">
        <v>128</v>
      </c>
      <c r="J542" s="18" t="s">
        <v>129</v>
      </c>
      <c r="K542" s="18" t="s">
        <v>130</v>
      </c>
      <c r="L542" s="18" t="s">
        <v>131</v>
      </c>
      <c r="M542" s="18" t="s">
        <v>132</v>
      </c>
      <c r="N542" s="18" t="s">
        <v>133</v>
      </c>
      <c r="O542" s="18" t="s">
        <v>134</v>
      </c>
      <c r="P542" s="18" t="s">
        <v>135</v>
      </c>
      <c r="Q542" s="18" t="s">
        <v>136</v>
      </c>
      <c r="R542" s="18" t="s">
        <v>137</v>
      </c>
      <c r="S542" s="18" t="s">
        <v>138</v>
      </c>
      <c r="T542" s="18" t="s">
        <v>139</v>
      </c>
      <c r="U542" s="18" t="s">
        <v>140</v>
      </c>
      <c r="V542" s="18" t="s">
        <v>141</v>
      </c>
      <c r="W542" s="18" t="s">
        <v>142</v>
      </c>
      <c r="X542" s="18" t="s">
        <v>143</v>
      </c>
      <c r="Y542" s="18" t="s">
        <v>144</v>
      </c>
      <c r="Z542" s="18" t="s">
        <v>145</v>
      </c>
      <c r="AA542" s="18" t="s">
        <v>146</v>
      </c>
      <c r="AB542" s="18" t="s">
        <v>147</v>
      </c>
      <c r="AC542" s="18" t="s">
        <v>148</v>
      </c>
      <c r="AD542" s="18" t="s">
        <v>149</v>
      </c>
      <c r="AE542" s="18" t="s">
        <v>150</v>
      </c>
      <c r="AF542" s="18" t="s">
        <v>151</v>
      </c>
      <c r="AG542" s="18" t="s">
        <v>152</v>
      </c>
      <c r="AH542" s="18" t="s">
        <v>153</v>
      </c>
      <c r="AI542" s="18" t="s">
        <v>154</v>
      </c>
      <c r="AJ542" s="7"/>
    </row>
    <row r="543" spans="1:36" x14ac:dyDescent="0.35">
      <c r="A543" s="17" t="s">
        <v>208</v>
      </c>
      <c r="B543" s="17"/>
      <c r="C543" s="19">
        <f>COUNTIFS(B$4:B$63,B540,$AI$4:$AI$63,"YES")</f>
        <v>0</v>
      </c>
      <c r="D543" s="19">
        <f>COUNTIFS(C$4:C$63,C540,$AI$4:$AI$63,"YES")</f>
        <v>0</v>
      </c>
      <c r="E543" s="19">
        <f t="shared" ref="E543:AJ543" si="132">COUNTIFS(D$4:D$63,D540,$AI$4:$AI$63,"YES")</f>
        <v>0</v>
      </c>
      <c r="F543" s="19">
        <f t="shared" si="132"/>
        <v>0</v>
      </c>
      <c r="G543" s="19">
        <f t="shared" si="132"/>
        <v>2</v>
      </c>
      <c r="H543" s="19">
        <f t="shared" si="132"/>
        <v>0</v>
      </c>
      <c r="I543" s="19">
        <f t="shared" si="132"/>
        <v>4</v>
      </c>
      <c r="J543" s="19">
        <f t="shared" si="132"/>
        <v>4</v>
      </c>
      <c r="K543" s="19">
        <f t="shared" si="132"/>
        <v>0</v>
      </c>
      <c r="L543" s="19">
        <f t="shared" si="132"/>
        <v>2</v>
      </c>
      <c r="M543" s="19">
        <f t="shared" si="132"/>
        <v>4</v>
      </c>
      <c r="N543" s="19">
        <f t="shared" si="132"/>
        <v>3</v>
      </c>
      <c r="O543" s="19">
        <f t="shared" si="132"/>
        <v>4</v>
      </c>
      <c r="P543" s="19">
        <f t="shared" si="132"/>
        <v>4</v>
      </c>
      <c r="Q543" s="19">
        <f t="shared" si="132"/>
        <v>1</v>
      </c>
      <c r="R543" s="19">
        <f t="shared" si="132"/>
        <v>0</v>
      </c>
      <c r="S543" s="19">
        <f t="shared" si="132"/>
        <v>4</v>
      </c>
      <c r="T543" s="19">
        <f t="shared" si="132"/>
        <v>0</v>
      </c>
      <c r="U543" s="19">
        <f t="shared" si="132"/>
        <v>0</v>
      </c>
      <c r="V543" s="19">
        <f t="shared" si="132"/>
        <v>4</v>
      </c>
      <c r="W543" s="19">
        <f t="shared" si="132"/>
        <v>4</v>
      </c>
      <c r="X543" s="19">
        <f t="shared" si="132"/>
        <v>4</v>
      </c>
      <c r="Y543" s="19">
        <f t="shared" si="132"/>
        <v>4</v>
      </c>
      <c r="Z543" s="19">
        <f t="shared" si="132"/>
        <v>0</v>
      </c>
      <c r="AA543" s="19">
        <f t="shared" si="132"/>
        <v>4</v>
      </c>
      <c r="AB543" s="19">
        <f t="shared" si="132"/>
        <v>4</v>
      </c>
      <c r="AC543" s="19">
        <f t="shared" si="132"/>
        <v>4</v>
      </c>
      <c r="AD543" s="19">
        <f t="shared" si="132"/>
        <v>4</v>
      </c>
      <c r="AE543" s="19">
        <f t="shared" si="132"/>
        <v>4</v>
      </c>
      <c r="AF543" s="19">
        <f t="shared" si="132"/>
        <v>4</v>
      </c>
      <c r="AG543" s="19">
        <f t="shared" si="132"/>
        <v>4</v>
      </c>
      <c r="AH543" s="19">
        <f t="shared" si="132"/>
        <v>4</v>
      </c>
      <c r="AI543" s="19">
        <f t="shared" si="132"/>
        <v>3</v>
      </c>
      <c r="AJ543" s="20"/>
    </row>
    <row r="544" spans="1:36" x14ac:dyDescent="0.35">
      <c r="A544" s="17" t="s">
        <v>209</v>
      </c>
      <c r="B544" s="17"/>
      <c r="C544" s="19">
        <f>COUNTIFS(B$4:B$63,B540,$AI$4:$AI$63,"NO")</f>
        <v>13</v>
      </c>
      <c r="D544" s="19">
        <f t="shared" ref="D544:AI544" si="133">COUNTIFS(C$4:C$63,C540,$AI$4:$AI$63,"NO")</f>
        <v>15</v>
      </c>
      <c r="E544" s="19">
        <f t="shared" si="133"/>
        <v>15</v>
      </c>
      <c r="F544" s="19">
        <f t="shared" si="133"/>
        <v>13</v>
      </c>
      <c r="G544" s="19">
        <f t="shared" si="133"/>
        <v>34</v>
      </c>
      <c r="H544" s="19">
        <f t="shared" si="133"/>
        <v>2</v>
      </c>
      <c r="I544" s="19">
        <f t="shared" si="133"/>
        <v>47</v>
      </c>
      <c r="J544" s="19">
        <f t="shared" si="133"/>
        <v>45</v>
      </c>
      <c r="K544" s="19">
        <f t="shared" si="133"/>
        <v>5</v>
      </c>
      <c r="L544" s="19">
        <f t="shared" si="133"/>
        <v>39</v>
      </c>
      <c r="M544" s="19">
        <f t="shared" si="133"/>
        <v>44</v>
      </c>
      <c r="N544" s="19">
        <f t="shared" si="133"/>
        <v>31</v>
      </c>
      <c r="O544" s="19">
        <f t="shared" si="133"/>
        <v>44</v>
      </c>
      <c r="P544" s="19">
        <f t="shared" si="133"/>
        <v>42</v>
      </c>
      <c r="Q544" s="19">
        <f t="shared" si="133"/>
        <v>41</v>
      </c>
      <c r="R544" s="19">
        <f t="shared" si="133"/>
        <v>10</v>
      </c>
      <c r="S544" s="19">
        <f t="shared" si="133"/>
        <v>49</v>
      </c>
      <c r="T544" s="19">
        <f t="shared" si="133"/>
        <v>9</v>
      </c>
      <c r="U544" s="19">
        <f t="shared" si="133"/>
        <v>1</v>
      </c>
      <c r="V544" s="19">
        <f t="shared" si="133"/>
        <v>56</v>
      </c>
      <c r="W544" s="19">
        <f t="shared" si="133"/>
        <v>56</v>
      </c>
      <c r="X544" s="19">
        <f t="shared" si="133"/>
        <v>43</v>
      </c>
      <c r="Y544" s="19">
        <f t="shared" si="133"/>
        <v>56</v>
      </c>
      <c r="Z544" s="19">
        <f t="shared" si="133"/>
        <v>0</v>
      </c>
      <c r="AA544" s="19">
        <f t="shared" si="133"/>
        <v>45</v>
      </c>
      <c r="AB544" s="19">
        <f t="shared" si="133"/>
        <v>25</v>
      </c>
      <c r="AC544" s="19">
        <f t="shared" si="133"/>
        <v>56</v>
      </c>
      <c r="AD544" s="19">
        <f t="shared" si="133"/>
        <v>56</v>
      </c>
      <c r="AE544" s="19">
        <f t="shared" si="133"/>
        <v>56</v>
      </c>
      <c r="AF544" s="19">
        <f t="shared" si="133"/>
        <v>56</v>
      </c>
      <c r="AG544" s="19">
        <f t="shared" si="133"/>
        <v>47</v>
      </c>
      <c r="AH544" s="19">
        <f t="shared" si="133"/>
        <v>56</v>
      </c>
      <c r="AI544" s="19">
        <f t="shared" si="133"/>
        <v>20</v>
      </c>
      <c r="AJ544" s="20"/>
    </row>
    <row r="545" spans="1:36" x14ac:dyDescent="0.35">
      <c r="A545" s="17" t="s">
        <v>210</v>
      </c>
      <c r="B545" s="18" t="s">
        <v>208</v>
      </c>
      <c r="C545" s="19">
        <f>C543/$B$108</f>
        <v>0</v>
      </c>
      <c r="D545" s="19">
        <f t="shared" ref="D545:AI545" si="134">D543/$B$108</f>
        <v>0</v>
      </c>
      <c r="E545" s="19">
        <f t="shared" si="134"/>
        <v>0</v>
      </c>
      <c r="F545" s="19">
        <f t="shared" si="134"/>
        <v>0</v>
      </c>
      <c r="G545" s="19">
        <f t="shared" si="134"/>
        <v>30</v>
      </c>
      <c r="H545" s="19">
        <f t="shared" si="134"/>
        <v>0</v>
      </c>
      <c r="I545" s="19">
        <f t="shared" si="134"/>
        <v>60</v>
      </c>
      <c r="J545" s="19">
        <f t="shared" si="134"/>
        <v>60</v>
      </c>
      <c r="K545" s="19">
        <f t="shared" si="134"/>
        <v>0</v>
      </c>
      <c r="L545" s="19">
        <f t="shared" si="134"/>
        <v>30</v>
      </c>
      <c r="M545" s="19">
        <f t="shared" si="134"/>
        <v>60</v>
      </c>
      <c r="N545" s="19">
        <f t="shared" si="134"/>
        <v>45</v>
      </c>
      <c r="O545" s="19">
        <f t="shared" si="134"/>
        <v>60</v>
      </c>
      <c r="P545" s="19">
        <f t="shared" si="134"/>
        <v>60</v>
      </c>
      <c r="Q545" s="19">
        <f t="shared" si="134"/>
        <v>15</v>
      </c>
      <c r="R545" s="19">
        <f t="shared" si="134"/>
        <v>0</v>
      </c>
      <c r="S545" s="19">
        <f t="shared" si="134"/>
        <v>60</v>
      </c>
      <c r="T545" s="19">
        <f t="shared" si="134"/>
        <v>0</v>
      </c>
      <c r="U545" s="19">
        <f t="shared" si="134"/>
        <v>0</v>
      </c>
      <c r="V545" s="19">
        <f t="shared" si="134"/>
        <v>60</v>
      </c>
      <c r="W545" s="19">
        <f t="shared" si="134"/>
        <v>60</v>
      </c>
      <c r="X545" s="19">
        <f t="shared" si="134"/>
        <v>60</v>
      </c>
      <c r="Y545" s="19">
        <f t="shared" si="134"/>
        <v>60</v>
      </c>
      <c r="Z545" s="19">
        <f t="shared" si="134"/>
        <v>0</v>
      </c>
      <c r="AA545" s="19">
        <f t="shared" si="134"/>
        <v>60</v>
      </c>
      <c r="AB545" s="19">
        <f t="shared" si="134"/>
        <v>60</v>
      </c>
      <c r="AC545" s="19">
        <f t="shared" si="134"/>
        <v>60</v>
      </c>
      <c r="AD545" s="19">
        <f t="shared" si="134"/>
        <v>60</v>
      </c>
      <c r="AE545" s="19">
        <f t="shared" si="134"/>
        <v>60</v>
      </c>
      <c r="AF545" s="19">
        <f t="shared" si="134"/>
        <v>60</v>
      </c>
      <c r="AG545" s="19">
        <f t="shared" si="134"/>
        <v>60</v>
      </c>
      <c r="AH545" s="19">
        <f t="shared" si="134"/>
        <v>60</v>
      </c>
      <c r="AI545" s="19">
        <f t="shared" si="134"/>
        <v>45</v>
      </c>
      <c r="AJ545" s="19">
        <f>C545*D545*E545*F545*G545*H545*I545*J545*K545*L545*M545*N545*O545*P545*Q545*R545*S545*T545*U545*V545*W545*X545*Y545*Z545*AA545*AB545*AC545*AD545*AE545*AF545*AG545*AH545*AI545</f>
        <v>0</v>
      </c>
    </row>
    <row r="546" spans="1:36" x14ac:dyDescent="0.35">
      <c r="A546" s="17"/>
      <c r="B546" s="18" t="s">
        <v>209</v>
      </c>
      <c r="C546" s="19">
        <f>C544/$C$108</f>
        <v>13.928571428571429</v>
      </c>
      <c r="D546" s="19">
        <f t="shared" ref="D546:AI546" si="135">D544/$C$108</f>
        <v>16.071428571428569</v>
      </c>
      <c r="E546" s="19">
        <f t="shared" si="135"/>
        <v>16.071428571428569</v>
      </c>
      <c r="F546" s="19">
        <f t="shared" si="135"/>
        <v>13.928571428571429</v>
      </c>
      <c r="G546" s="19">
        <f t="shared" si="135"/>
        <v>36.428571428571431</v>
      </c>
      <c r="H546" s="19">
        <f t="shared" si="135"/>
        <v>2.1428571428571428</v>
      </c>
      <c r="I546" s="19">
        <f t="shared" si="135"/>
        <v>50.357142857142854</v>
      </c>
      <c r="J546" s="19">
        <f t="shared" si="135"/>
        <v>48.214285714285715</v>
      </c>
      <c r="K546" s="19">
        <f t="shared" si="135"/>
        <v>5.3571428571428568</v>
      </c>
      <c r="L546" s="19">
        <f t="shared" si="135"/>
        <v>41.785714285714285</v>
      </c>
      <c r="M546" s="19">
        <f t="shared" si="135"/>
        <v>47.142857142857139</v>
      </c>
      <c r="N546" s="19">
        <f t="shared" si="135"/>
        <v>33.214285714285715</v>
      </c>
      <c r="O546" s="19">
        <f t="shared" si="135"/>
        <v>47.142857142857139</v>
      </c>
      <c r="P546" s="19">
        <f t="shared" si="135"/>
        <v>45</v>
      </c>
      <c r="Q546" s="19">
        <f t="shared" si="135"/>
        <v>43.928571428571431</v>
      </c>
      <c r="R546" s="19">
        <f t="shared" si="135"/>
        <v>10.714285714285714</v>
      </c>
      <c r="S546" s="19">
        <f t="shared" si="135"/>
        <v>52.5</v>
      </c>
      <c r="T546" s="19">
        <f t="shared" si="135"/>
        <v>9.6428571428571423</v>
      </c>
      <c r="U546" s="19">
        <f t="shared" si="135"/>
        <v>1.0714285714285714</v>
      </c>
      <c r="V546" s="19">
        <f t="shared" si="135"/>
        <v>60</v>
      </c>
      <c r="W546" s="19">
        <f t="shared" si="135"/>
        <v>60</v>
      </c>
      <c r="X546" s="19">
        <f t="shared" si="135"/>
        <v>46.071428571428569</v>
      </c>
      <c r="Y546" s="19">
        <f t="shared" si="135"/>
        <v>60</v>
      </c>
      <c r="Z546" s="19">
        <f t="shared" si="135"/>
        <v>0</v>
      </c>
      <c r="AA546" s="19">
        <f t="shared" si="135"/>
        <v>48.214285714285715</v>
      </c>
      <c r="AB546" s="19">
        <f t="shared" si="135"/>
        <v>26.785714285714285</v>
      </c>
      <c r="AC546" s="19">
        <f t="shared" si="135"/>
        <v>60</v>
      </c>
      <c r="AD546" s="19">
        <f t="shared" si="135"/>
        <v>60</v>
      </c>
      <c r="AE546" s="19">
        <f t="shared" si="135"/>
        <v>60</v>
      </c>
      <c r="AF546" s="19">
        <f t="shared" si="135"/>
        <v>60</v>
      </c>
      <c r="AG546" s="19">
        <f t="shared" si="135"/>
        <v>50.357142857142854</v>
      </c>
      <c r="AH546" s="19">
        <f t="shared" si="135"/>
        <v>60</v>
      </c>
      <c r="AI546" s="19">
        <f t="shared" si="135"/>
        <v>21.428571428571427</v>
      </c>
      <c r="AJ546" s="19">
        <f>C546*D546*E546*F546*G546*H546*I546*J546*K546*L546*M546*N546*O546*P546*Q546*R546*S546*T546*U546*V546*W546*X546*Y546*Z546*AA546*AB546*AC546*AD546*AE546*AF546*AG546*AH546*AI546</f>
        <v>0</v>
      </c>
    </row>
    <row r="547" spans="1:36" x14ac:dyDescent="0.35">
      <c r="A547" s="21"/>
      <c r="B547" s="21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20"/>
    </row>
    <row r="548" spans="1:36" x14ac:dyDescent="0.35">
      <c r="A548" s="22" t="s">
        <v>211</v>
      </c>
      <c r="B548" s="23"/>
      <c r="C548" s="24" t="s">
        <v>212</v>
      </c>
      <c r="D548" s="20"/>
      <c r="E548" s="20"/>
      <c r="F548" s="20"/>
      <c r="G548" s="20"/>
      <c r="H548" s="20"/>
      <c r="I548" s="20"/>
      <c r="J548" s="20"/>
      <c r="K548" s="20"/>
      <c r="L548" s="2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20"/>
    </row>
    <row r="549" spans="1:36" x14ac:dyDescent="0.35">
      <c r="A549" s="25" t="s">
        <v>208</v>
      </c>
      <c r="B549" s="26">
        <f>AJ545*$B$108</f>
        <v>0</v>
      </c>
      <c r="C549" s="27" t="str">
        <f>IF(B549&gt;B550,A549,A550)</f>
        <v>No</v>
      </c>
      <c r="D549" s="20"/>
      <c r="E549" s="20"/>
      <c r="F549" s="20"/>
      <c r="G549" s="20"/>
      <c r="H549" s="20"/>
      <c r="I549" s="20"/>
      <c r="J549" s="20"/>
      <c r="K549" s="20"/>
      <c r="L549" s="2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20"/>
    </row>
    <row r="550" spans="1:36" x14ac:dyDescent="0.35">
      <c r="A550" s="25" t="s">
        <v>209</v>
      </c>
      <c r="B550" s="26">
        <f>AJ546*$C$108</f>
        <v>0</v>
      </c>
      <c r="C550" s="28"/>
      <c r="D550" s="20"/>
      <c r="E550" s="20"/>
      <c r="F550" s="20"/>
      <c r="G550" s="20"/>
      <c r="H550" s="20"/>
      <c r="I550" s="20"/>
      <c r="J550" s="20"/>
      <c r="K550" s="20"/>
      <c r="L550" s="2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20"/>
    </row>
    <row r="552" spans="1:36" x14ac:dyDescent="0.35">
      <c r="A552" s="15"/>
      <c r="B552" s="16" t="s">
        <v>122</v>
      </c>
      <c r="C552" s="16" t="s">
        <v>123</v>
      </c>
      <c r="D552" s="16" t="s">
        <v>124</v>
      </c>
      <c r="E552" s="16" t="s">
        <v>125</v>
      </c>
      <c r="F552" s="16" t="s">
        <v>126</v>
      </c>
      <c r="G552" s="16" t="s">
        <v>127</v>
      </c>
      <c r="H552" s="16" t="s">
        <v>128</v>
      </c>
      <c r="I552" s="16" t="s">
        <v>129</v>
      </c>
      <c r="J552" s="16" t="s">
        <v>130</v>
      </c>
      <c r="K552" s="16" t="s">
        <v>131</v>
      </c>
      <c r="L552" s="16" t="s">
        <v>132</v>
      </c>
      <c r="M552" s="16" t="s">
        <v>133</v>
      </c>
      <c r="N552" s="16" t="s">
        <v>134</v>
      </c>
      <c r="O552" s="16" t="s">
        <v>135</v>
      </c>
      <c r="P552" s="16" t="s">
        <v>136</v>
      </c>
      <c r="Q552" s="16" t="s">
        <v>137</v>
      </c>
      <c r="R552" s="16" t="s">
        <v>138</v>
      </c>
      <c r="S552" s="16" t="s">
        <v>139</v>
      </c>
      <c r="T552" s="16" t="s">
        <v>140</v>
      </c>
      <c r="U552" s="16" t="s">
        <v>141</v>
      </c>
      <c r="V552" s="16" t="s">
        <v>142</v>
      </c>
      <c r="W552" s="16" t="s">
        <v>143</v>
      </c>
      <c r="X552" s="16" t="s">
        <v>144</v>
      </c>
      <c r="Y552" s="16" t="s">
        <v>145</v>
      </c>
      <c r="Z552" s="16" t="s">
        <v>146</v>
      </c>
      <c r="AA552" s="16" t="s">
        <v>147</v>
      </c>
      <c r="AB552" s="16" t="s">
        <v>148</v>
      </c>
      <c r="AC552" s="16" t="s">
        <v>149</v>
      </c>
      <c r="AD552" s="16" t="s">
        <v>150</v>
      </c>
      <c r="AE552" s="16" t="s">
        <v>151</v>
      </c>
      <c r="AF552" s="16" t="s">
        <v>152</v>
      </c>
      <c r="AG552" s="16" t="s">
        <v>153</v>
      </c>
      <c r="AH552" s="16" t="s">
        <v>154</v>
      </c>
      <c r="AI552" s="16"/>
      <c r="AJ552" s="7"/>
    </row>
    <row r="553" spans="1:36" x14ac:dyDescent="0.35">
      <c r="A553" s="9" t="s">
        <v>307</v>
      </c>
      <c r="B553" s="38">
        <v>0.5</v>
      </c>
      <c r="C553" s="38">
        <v>0</v>
      </c>
      <c r="D553" s="38">
        <v>0</v>
      </c>
      <c r="E553" s="38">
        <v>0</v>
      </c>
      <c r="F553" s="38">
        <v>0</v>
      </c>
      <c r="G553" s="38">
        <v>0</v>
      </c>
      <c r="H553" s="38">
        <v>0.55555555555555503</v>
      </c>
      <c r="I553" s="38">
        <v>0</v>
      </c>
      <c r="J553" s="38">
        <v>0.5</v>
      </c>
      <c r="K553" s="38">
        <v>0</v>
      </c>
      <c r="L553" s="38">
        <v>0</v>
      </c>
      <c r="M553" s="38">
        <v>0</v>
      </c>
      <c r="N553" s="38">
        <v>1</v>
      </c>
      <c r="O553" s="38">
        <v>0</v>
      </c>
      <c r="P553" s="38">
        <v>0</v>
      </c>
      <c r="Q553" s="38">
        <v>0</v>
      </c>
      <c r="R553" s="38">
        <v>1</v>
      </c>
      <c r="S553" s="38">
        <v>0</v>
      </c>
      <c r="T553" s="38">
        <v>1</v>
      </c>
      <c r="U553" s="38">
        <v>1</v>
      </c>
      <c r="V553" s="38">
        <v>1</v>
      </c>
      <c r="W553" s="38">
        <v>0</v>
      </c>
      <c r="X553" s="38">
        <v>1</v>
      </c>
      <c r="Y553" s="38">
        <v>0</v>
      </c>
      <c r="Z553" s="38">
        <v>1</v>
      </c>
      <c r="AA553" s="38">
        <v>0</v>
      </c>
      <c r="AB553" s="38">
        <v>1</v>
      </c>
      <c r="AC553" s="38">
        <v>1</v>
      </c>
      <c r="AD553" s="38">
        <v>1</v>
      </c>
      <c r="AE553" s="38">
        <v>1</v>
      </c>
      <c r="AF553" s="38">
        <v>1</v>
      </c>
      <c r="AG553" s="38">
        <v>1</v>
      </c>
      <c r="AH553" s="38">
        <v>0</v>
      </c>
      <c r="AI553" s="38" t="s">
        <v>195</v>
      </c>
      <c r="AJ553" s="7"/>
    </row>
    <row r="554" spans="1:36" x14ac:dyDescent="0.35">
      <c r="AJ554" s="7"/>
    </row>
    <row r="555" spans="1:36" x14ac:dyDescent="0.35">
      <c r="A555" s="17" t="s">
        <v>207</v>
      </c>
      <c r="B555" s="17"/>
      <c r="C555" s="18" t="s">
        <v>122</v>
      </c>
      <c r="D555" s="18" t="s">
        <v>123</v>
      </c>
      <c r="E555" s="18" t="s">
        <v>124</v>
      </c>
      <c r="F555" s="18" t="s">
        <v>125</v>
      </c>
      <c r="G555" s="18" t="s">
        <v>126</v>
      </c>
      <c r="H555" s="18" t="s">
        <v>127</v>
      </c>
      <c r="I555" s="18" t="s">
        <v>128</v>
      </c>
      <c r="J555" s="18" t="s">
        <v>129</v>
      </c>
      <c r="K555" s="18" t="s">
        <v>130</v>
      </c>
      <c r="L555" s="18" t="s">
        <v>131</v>
      </c>
      <c r="M555" s="18" t="s">
        <v>132</v>
      </c>
      <c r="N555" s="18" t="s">
        <v>133</v>
      </c>
      <c r="O555" s="18" t="s">
        <v>134</v>
      </c>
      <c r="P555" s="18" t="s">
        <v>135</v>
      </c>
      <c r="Q555" s="18" t="s">
        <v>136</v>
      </c>
      <c r="R555" s="18" t="s">
        <v>137</v>
      </c>
      <c r="S555" s="18" t="s">
        <v>138</v>
      </c>
      <c r="T555" s="18" t="s">
        <v>139</v>
      </c>
      <c r="U555" s="18" t="s">
        <v>140</v>
      </c>
      <c r="V555" s="18" t="s">
        <v>141</v>
      </c>
      <c r="W555" s="18" t="s">
        <v>142</v>
      </c>
      <c r="X555" s="18" t="s">
        <v>143</v>
      </c>
      <c r="Y555" s="18" t="s">
        <v>144</v>
      </c>
      <c r="Z555" s="18" t="s">
        <v>145</v>
      </c>
      <c r="AA555" s="18" t="s">
        <v>146</v>
      </c>
      <c r="AB555" s="18" t="s">
        <v>147</v>
      </c>
      <c r="AC555" s="18" t="s">
        <v>148</v>
      </c>
      <c r="AD555" s="18" t="s">
        <v>149</v>
      </c>
      <c r="AE555" s="18" t="s">
        <v>150</v>
      </c>
      <c r="AF555" s="18" t="s">
        <v>151</v>
      </c>
      <c r="AG555" s="18" t="s">
        <v>152</v>
      </c>
      <c r="AH555" s="18" t="s">
        <v>153</v>
      </c>
      <c r="AI555" s="18" t="s">
        <v>154</v>
      </c>
      <c r="AJ555" s="7"/>
    </row>
    <row r="556" spans="1:36" x14ac:dyDescent="0.35">
      <c r="A556" s="17" t="s">
        <v>208</v>
      </c>
      <c r="B556" s="17"/>
      <c r="C556" s="19">
        <f>COUNTIFS(B$4:B$63,B553,$AI$4:$AI$63,"YES")</f>
        <v>0</v>
      </c>
      <c r="D556" s="19">
        <f>COUNTIFS(C$4:C$63,C553,$AI$4:$AI$63,"YES")</f>
        <v>0</v>
      </c>
      <c r="E556" s="19">
        <f t="shared" ref="E556:AJ556" si="136">COUNTIFS(D$4:D$63,D553,$AI$4:$AI$63,"YES")</f>
        <v>0</v>
      </c>
      <c r="F556" s="19">
        <f t="shared" si="136"/>
        <v>0</v>
      </c>
      <c r="G556" s="19">
        <f t="shared" si="136"/>
        <v>2</v>
      </c>
      <c r="H556" s="19">
        <f t="shared" si="136"/>
        <v>0</v>
      </c>
      <c r="I556" s="19">
        <f t="shared" si="136"/>
        <v>4</v>
      </c>
      <c r="J556" s="19">
        <f t="shared" si="136"/>
        <v>0</v>
      </c>
      <c r="K556" s="19">
        <f t="shared" si="136"/>
        <v>4</v>
      </c>
      <c r="L556" s="19">
        <f t="shared" si="136"/>
        <v>2</v>
      </c>
      <c r="M556" s="19">
        <f t="shared" si="136"/>
        <v>4</v>
      </c>
      <c r="N556" s="19">
        <f t="shared" si="136"/>
        <v>0</v>
      </c>
      <c r="O556" s="19">
        <f t="shared" si="136"/>
        <v>4</v>
      </c>
      <c r="P556" s="19">
        <f t="shared" si="136"/>
        <v>4</v>
      </c>
      <c r="Q556" s="19">
        <f t="shared" si="136"/>
        <v>1</v>
      </c>
      <c r="R556" s="19">
        <f t="shared" si="136"/>
        <v>0</v>
      </c>
      <c r="S556" s="19">
        <f t="shared" si="136"/>
        <v>4</v>
      </c>
      <c r="T556" s="19">
        <f t="shared" si="136"/>
        <v>0</v>
      </c>
      <c r="U556" s="19">
        <f t="shared" si="136"/>
        <v>4</v>
      </c>
      <c r="V556" s="19">
        <f t="shared" si="136"/>
        <v>4</v>
      </c>
      <c r="W556" s="19">
        <f t="shared" si="136"/>
        <v>4</v>
      </c>
      <c r="X556" s="19">
        <f t="shared" si="136"/>
        <v>4</v>
      </c>
      <c r="Y556" s="19">
        <f t="shared" si="136"/>
        <v>4</v>
      </c>
      <c r="Z556" s="19">
        <f t="shared" si="136"/>
        <v>0</v>
      </c>
      <c r="AA556" s="19">
        <f t="shared" si="136"/>
        <v>4</v>
      </c>
      <c r="AB556" s="19">
        <f t="shared" si="136"/>
        <v>4</v>
      </c>
      <c r="AC556" s="19">
        <f t="shared" si="136"/>
        <v>4</v>
      </c>
      <c r="AD556" s="19">
        <f t="shared" si="136"/>
        <v>4</v>
      </c>
      <c r="AE556" s="19">
        <f t="shared" si="136"/>
        <v>4</v>
      </c>
      <c r="AF556" s="19">
        <f t="shared" si="136"/>
        <v>4</v>
      </c>
      <c r="AG556" s="19">
        <f t="shared" si="136"/>
        <v>4</v>
      </c>
      <c r="AH556" s="19">
        <f t="shared" si="136"/>
        <v>4</v>
      </c>
      <c r="AI556" s="19">
        <f t="shared" si="136"/>
        <v>3</v>
      </c>
      <c r="AJ556" s="20"/>
    </row>
    <row r="557" spans="1:36" x14ac:dyDescent="0.35">
      <c r="A557" s="17" t="s">
        <v>209</v>
      </c>
      <c r="B557" s="17"/>
      <c r="C557" s="19">
        <f>COUNTIFS(B$4:B$63,B553,$AI$4:$AI$63,"NO")</f>
        <v>9</v>
      </c>
      <c r="D557" s="19">
        <f t="shared" ref="D557:AI557" si="137">COUNTIFS(C$4:C$63,C553,$AI$4:$AI$63,"NO")</f>
        <v>15</v>
      </c>
      <c r="E557" s="19">
        <f t="shared" si="137"/>
        <v>15</v>
      </c>
      <c r="F557" s="19">
        <f t="shared" si="137"/>
        <v>13</v>
      </c>
      <c r="G557" s="19">
        <f t="shared" si="137"/>
        <v>34</v>
      </c>
      <c r="H557" s="19">
        <f t="shared" si="137"/>
        <v>2</v>
      </c>
      <c r="I557" s="19">
        <f t="shared" si="137"/>
        <v>47</v>
      </c>
      <c r="J557" s="19">
        <f t="shared" si="137"/>
        <v>4</v>
      </c>
      <c r="K557" s="19">
        <f t="shared" si="137"/>
        <v>28</v>
      </c>
      <c r="L557" s="19">
        <f t="shared" si="137"/>
        <v>39</v>
      </c>
      <c r="M557" s="19">
        <f t="shared" si="137"/>
        <v>44</v>
      </c>
      <c r="N557" s="19">
        <f t="shared" si="137"/>
        <v>13</v>
      </c>
      <c r="O557" s="19">
        <f t="shared" si="137"/>
        <v>44</v>
      </c>
      <c r="P557" s="19">
        <f t="shared" si="137"/>
        <v>42</v>
      </c>
      <c r="Q557" s="19">
        <f t="shared" si="137"/>
        <v>41</v>
      </c>
      <c r="R557" s="19">
        <f t="shared" si="137"/>
        <v>10</v>
      </c>
      <c r="S557" s="19">
        <f t="shared" si="137"/>
        <v>49</v>
      </c>
      <c r="T557" s="19">
        <f t="shared" si="137"/>
        <v>9</v>
      </c>
      <c r="U557" s="19">
        <f t="shared" si="137"/>
        <v>49</v>
      </c>
      <c r="V557" s="19">
        <f t="shared" si="137"/>
        <v>56</v>
      </c>
      <c r="W557" s="19">
        <f t="shared" si="137"/>
        <v>56</v>
      </c>
      <c r="X557" s="19">
        <f t="shared" si="137"/>
        <v>43</v>
      </c>
      <c r="Y557" s="19">
        <f t="shared" si="137"/>
        <v>56</v>
      </c>
      <c r="Z557" s="19">
        <f t="shared" si="137"/>
        <v>0</v>
      </c>
      <c r="AA557" s="19">
        <f t="shared" si="137"/>
        <v>45</v>
      </c>
      <c r="AB557" s="19">
        <f t="shared" si="137"/>
        <v>25</v>
      </c>
      <c r="AC557" s="19">
        <f t="shared" si="137"/>
        <v>56</v>
      </c>
      <c r="AD557" s="19">
        <f t="shared" si="137"/>
        <v>56</v>
      </c>
      <c r="AE557" s="19">
        <f t="shared" si="137"/>
        <v>56</v>
      </c>
      <c r="AF557" s="19">
        <f t="shared" si="137"/>
        <v>56</v>
      </c>
      <c r="AG557" s="19">
        <f t="shared" si="137"/>
        <v>47</v>
      </c>
      <c r="AH557" s="19">
        <f t="shared" si="137"/>
        <v>56</v>
      </c>
      <c r="AI557" s="19">
        <f t="shared" si="137"/>
        <v>20</v>
      </c>
      <c r="AJ557" s="20"/>
    </row>
    <row r="558" spans="1:36" x14ac:dyDescent="0.35">
      <c r="A558" s="17" t="s">
        <v>210</v>
      </c>
      <c r="B558" s="18" t="s">
        <v>208</v>
      </c>
      <c r="C558" s="19">
        <f>C556/$B$108</f>
        <v>0</v>
      </c>
      <c r="D558" s="19">
        <f t="shared" ref="D558:AI558" si="138">D556/$B$108</f>
        <v>0</v>
      </c>
      <c r="E558" s="19">
        <f t="shared" si="138"/>
        <v>0</v>
      </c>
      <c r="F558" s="19">
        <f t="shared" si="138"/>
        <v>0</v>
      </c>
      <c r="G558" s="19">
        <f t="shared" si="138"/>
        <v>30</v>
      </c>
      <c r="H558" s="19">
        <f t="shared" si="138"/>
        <v>0</v>
      </c>
      <c r="I558" s="19">
        <f t="shared" si="138"/>
        <v>60</v>
      </c>
      <c r="J558" s="19">
        <f t="shared" si="138"/>
        <v>0</v>
      </c>
      <c r="K558" s="19">
        <f t="shared" si="138"/>
        <v>60</v>
      </c>
      <c r="L558" s="19">
        <f t="shared" si="138"/>
        <v>30</v>
      </c>
      <c r="M558" s="19">
        <f t="shared" si="138"/>
        <v>60</v>
      </c>
      <c r="N558" s="19">
        <f t="shared" si="138"/>
        <v>0</v>
      </c>
      <c r="O558" s="19">
        <f t="shared" si="138"/>
        <v>60</v>
      </c>
      <c r="P558" s="19">
        <f t="shared" si="138"/>
        <v>60</v>
      </c>
      <c r="Q558" s="19">
        <f t="shared" si="138"/>
        <v>15</v>
      </c>
      <c r="R558" s="19">
        <f t="shared" si="138"/>
        <v>0</v>
      </c>
      <c r="S558" s="19">
        <f t="shared" si="138"/>
        <v>60</v>
      </c>
      <c r="T558" s="19">
        <f t="shared" si="138"/>
        <v>0</v>
      </c>
      <c r="U558" s="19">
        <f t="shared" si="138"/>
        <v>60</v>
      </c>
      <c r="V558" s="19">
        <f t="shared" si="138"/>
        <v>60</v>
      </c>
      <c r="W558" s="19">
        <f t="shared" si="138"/>
        <v>60</v>
      </c>
      <c r="X558" s="19">
        <f t="shared" si="138"/>
        <v>60</v>
      </c>
      <c r="Y558" s="19">
        <f t="shared" si="138"/>
        <v>60</v>
      </c>
      <c r="Z558" s="19">
        <f t="shared" si="138"/>
        <v>0</v>
      </c>
      <c r="AA558" s="19">
        <f t="shared" si="138"/>
        <v>60</v>
      </c>
      <c r="AB558" s="19">
        <f t="shared" si="138"/>
        <v>60</v>
      </c>
      <c r="AC558" s="19">
        <f t="shared" si="138"/>
        <v>60</v>
      </c>
      <c r="AD558" s="19">
        <f t="shared" si="138"/>
        <v>60</v>
      </c>
      <c r="AE558" s="19">
        <f t="shared" si="138"/>
        <v>60</v>
      </c>
      <c r="AF558" s="19">
        <f t="shared" si="138"/>
        <v>60</v>
      </c>
      <c r="AG558" s="19">
        <f t="shared" si="138"/>
        <v>60</v>
      </c>
      <c r="AH558" s="19">
        <f t="shared" si="138"/>
        <v>60</v>
      </c>
      <c r="AI558" s="19">
        <f t="shared" si="138"/>
        <v>45</v>
      </c>
      <c r="AJ558" s="19">
        <f>C558*D558*E558*F558*G558*H558*I558*J558*K558*L558*M558*N558*O558*P558*Q558*R558*S558*T558*U558*V558*W558*X558*Y558*Z558*AA558*AB558*AC558*AD558*AE558*AF558*AG558*AH558*AI558</f>
        <v>0</v>
      </c>
    </row>
    <row r="559" spans="1:36" x14ac:dyDescent="0.35">
      <c r="A559" s="17"/>
      <c r="B559" s="18" t="s">
        <v>209</v>
      </c>
      <c r="C559" s="19">
        <f>C557/$C$108</f>
        <v>9.6428571428571423</v>
      </c>
      <c r="D559" s="19">
        <f t="shared" ref="D559:AI559" si="139">D557/$C$108</f>
        <v>16.071428571428569</v>
      </c>
      <c r="E559" s="19">
        <f t="shared" si="139"/>
        <v>16.071428571428569</v>
      </c>
      <c r="F559" s="19">
        <f t="shared" si="139"/>
        <v>13.928571428571429</v>
      </c>
      <c r="G559" s="19">
        <f t="shared" si="139"/>
        <v>36.428571428571431</v>
      </c>
      <c r="H559" s="19">
        <f t="shared" si="139"/>
        <v>2.1428571428571428</v>
      </c>
      <c r="I559" s="19">
        <f t="shared" si="139"/>
        <v>50.357142857142854</v>
      </c>
      <c r="J559" s="19">
        <f t="shared" si="139"/>
        <v>4.2857142857142856</v>
      </c>
      <c r="K559" s="19">
        <f t="shared" si="139"/>
        <v>30</v>
      </c>
      <c r="L559" s="19">
        <f t="shared" si="139"/>
        <v>41.785714285714285</v>
      </c>
      <c r="M559" s="19">
        <f t="shared" si="139"/>
        <v>47.142857142857139</v>
      </c>
      <c r="N559" s="19">
        <f t="shared" si="139"/>
        <v>13.928571428571429</v>
      </c>
      <c r="O559" s="19">
        <f t="shared" si="139"/>
        <v>47.142857142857139</v>
      </c>
      <c r="P559" s="19">
        <f t="shared" si="139"/>
        <v>45</v>
      </c>
      <c r="Q559" s="19">
        <f t="shared" si="139"/>
        <v>43.928571428571431</v>
      </c>
      <c r="R559" s="19">
        <f t="shared" si="139"/>
        <v>10.714285714285714</v>
      </c>
      <c r="S559" s="19">
        <f t="shared" si="139"/>
        <v>52.5</v>
      </c>
      <c r="T559" s="19">
        <f t="shared" si="139"/>
        <v>9.6428571428571423</v>
      </c>
      <c r="U559" s="19">
        <f t="shared" si="139"/>
        <v>52.5</v>
      </c>
      <c r="V559" s="19">
        <f t="shared" si="139"/>
        <v>60</v>
      </c>
      <c r="W559" s="19">
        <f t="shared" si="139"/>
        <v>60</v>
      </c>
      <c r="X559" s="19">
        <f t="shared" si="139"/>
        <v>46.071428571428569</v>
      </c>
      <c r="Y559" s="19">
        <f t="shared" si="139"/>
        <v>60</v>
      </c>
      <c r="Z559" s="19">
        <f t="shared" si="139"/>
        <v>0</v>
      </c>
      <c r="AA559" s="19">
        <f t="shared" si="139"/>
        <v>48.214285714285715</v>
      </c>
      <c r="AB559" s="19">
        <f t="shared" si="139"/>
        <v>26.785714285714285</v>
      </c>
      <c r="AC559" s="19">
        <f t="shared" si="139"/>
        <v>60</v>
      </c>
      <c r="AD559" s="19">
        <f t="shared" si="139"/>
        <v>60</v>
      </c>
      <c r="AE559" s="19">
        <f t="shared" si="139"/>
        <v>60</v>
      </c>
      <c r="AF559" s="19">
        <f t="shared" si="139"/>
        <v>60</v>
      </c>
      <c r="AG559" s="19">
        <f t="shared" si="139"/>
        <v>50.357142857142854</v>
      </c>
      <c r="AH559" s="19">
        <f t="shared" si="139"/>
        <v>60</v>
      </c>
      <c r="AI559" s="19">
        <f t="shared" si="139"/>
        <v>21.428571428571427</v>
      </c>
      <c r="AJ559" s="19">
        <f>C559*D559*E559*F559*G559*H559*I559*J559*K559*L559*M559*N559*O559*P559*Q559*R559*S559*T559*U559*V559*W559*X559*Y559*Z559*AA559*AB559*AC559*AD559*AE559*AF559*AG559*AH559*AI559</f>
        <v>0</v>
      </c>
    </row>
    <row r="560" spans="1:36" x14ac:dyDescent="0.35">
      <c r="A560" s="21"/>
      <c r="B560" s="21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20"/>
    </row>
    <row r="561" spans="1:36" x14ac:dyDescent="0.35">
      <c r="A561" s="22" t="s">
        <v>211</v>
      </c>
      <c r="B561" s="23"/>
      <c r="C561" s="24" t="s">
        <v>212</v>
      </c>
      <c r="D561" s="20"/>
      <c r="E561" s="20"/>
      <c r="F561" s="20"/>
      <c r="G561" s="20"/>
      <c r="H561" s="20"/>
      <c r="I561" s="20"/>
      <c r="J561" s="20"/>
      <c r="K561" s="20"/>
      <c r="L561" s="2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20"/>
    </row>
    <row r="562" spans="1:36" x14ac:dyDescent="0.35">
      <c r="A562" s="25" t="s">
        <v>208</v>
      </c>
      <c r="B562" s="26">
        <f>AJ558*$B$108</f>
        <v>0</v>
      </c>
      <c r="C562" s="27" t="str">
        <f>IF(B562&gt;B563,A562,A563)</f>
        <v>No</v>
      </c>
      <c r="D562" s="20"/>
      <c r="E562" s="20"/>
      <c r="F562" s="20"/>
      <c r="G562" s="20"/>
      <c r="H562" s="20"/>
      <c r="I562" s="20"/>
      <c r="J562" s="20"/>
      <c r="K562" s="20"/>
      <c r="L562" s="2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20"/>
    </row>
    <row r="563" spans="1:36" x14ac:dyDescent="0.35">
      <c r="A563" s="25" t="s">
        <v>209</v>
      </c>
      <c r="B563" s="26">
        <f>AJ559*$C$108</f>
        <v>0</v>
      </c>
      <c r="C563" s="28"/>
      <c r="D563" s="20"/>
      <c r="E563" s="20"/>
      <c r="F563" s="20"/>
      <c r="G563" s="20"/>
      <c r="H563" s="20"/>
      <c r="I563" s="20"/>
      <c r="J563" s="20"/>
      <c r="K563" s="20"/>
      <c r="L563" s="2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20"/>
    </row>
    <row r="565" spans="1:36" x14ac:dyDescent="0.35">
      <c r="A565" s="15"/>
      <c r="B565" s="16" t="s">
        <v>122</v>
      </c>
      <c r="C565" s="16" t="s">
        <v>123</v>
      </c>
      <c r="D565" s="16" t="s">
        <v>124</v>
      </c>
      <c r="E565" s="16" t="s">
        <v>125</v>
      </c>
      <c r="F565" s="16" t="s">
        <v>126</v>
      </c>
      <c r="G565" s="16" t="s">
        <v>127</v>
      </c>
      <c r="H565" s="16" t="s">
        <v>128</v>
      </c>
      <c r="I565" s="16" t="s">
        <v>129</v>
      </c>
      <c r="J565" s="16" t="s">
        <v>130</v>
      </c>
      <c r="K565" s="16" t="s">
        <v>131</v>
      </c>
      <c r="L565" s="16" t="s">
        <v>132</v>
      </c>
      <c r="M565" s="16" t="s">
        <v>133</v>
      </c>
      <c r="N565" s="16" t="s">
        <v>134</v>
      </c>
      <c r="O565" s="16" t="s">
        <v>135</v>
      </c>
      <c r="P565" s="16" t="s">
        <v>136</v>
      </c>
      <c r="Q565" s="16" t="s">
        <v>137</v>
      </c>
      <c r="R565" s="16" t="s">
        <v>138</v>
      </c>
      <c r="S565" s="16" t="s">
        <v>139</v>
      </c>
      <c r="T565" s="16" t="s">
        <v>140</v>
      </c>
      <c r="U565" s="16" t="s">
        <v>141</v>
      </c>
      <c r="V565" s="16" t="s">
        <v>142</v>
      </c>
      <c r="W565" s="16" t="s">
        <v>143</v>
      </c>
      <c r="X565" s="16" t="s">
        <v>144</v>
      </c>
      <c r="Y565" s="16" t="s">
        <v>145</v>
      </c>
      <c r="Z565" s="16" t="s">
        <v>146</v>
      </c>
      <c r="AA565" s="16" t="s">
        <v>147</v>
      </c>
      <c r="AB565" s="16" t="s">
        <v>148</v>
      </c>
      <c r="AC565" s="16" t="s">
        <v>149</v>
      </c>
      <c r="AD565" s="16" t="s">
        <v>150</v>
      </c>
      <c r="AE565" s="16" t="s">
        <v>151</v>
      </c>
      <c r="AF565" s="16" t="s">
        <v>152</v>
      </c>
      <c r="AG565" s="16" t="s">
        <v>153</v>
      </c>
      <c r="AH565" s="16" t="s">
        <v>154</v>
      </c>
      <c r="AI565" s="16"/>
      <c r="AJ565" s="7"/>
    </row>
    <row r="566" spans="1:36" x14ac:dyDescent="0.35">
      <c r="A566" s="9" t="s">
        <v>308</v>
      </c>
      <c r="B566" s="38">
        <v>0</v>
      </c>
      <c r="C566" s="38">
        <v>0.23765432098765399</v>
      </c>
      <c r="D566" s="38">
        <v>0.23899371069182301</v>
      </c>
      <c r="E566" s="38">
        <v>0.53703703703703698</v>
      </c>
      <c r="F566" s="38">
        <v>0.12757201646090499</v>
      </c>
      <c r="G566" s="38">
        <v>0.94805194805194803</v>
      </c>
      <c r="H566" s="38">
        <v>0.55692729766803795</v>
      </c>
      <c r="I566" s="38">
        <v>0.936708860759493</v>
      </c>
      <c r="J566" s="38">
        <v>0.407407407407407</v>
      </c>
      <c r="K566" s="38">
        <v>0.19478737997256501</v>
      </c>
      <c r="L566" s="38">
        <v>5.5555555555555497E-2</v>
      </c>
      <c r="M566" s="38">
        <v>0.158904109589041</v>
      </c>
      <c r="N566" s="38">
        <v>0.95061728395061695</v>
      </c>
      <c r="O566" s="38">
        <v>6.1728395061728301E-2</v>
      </c>
      <c r="P566" s="38">
        <v>0.189873417721519</v>
      </c>
      <c r="Q566" s="38">
        <v>0.32345679012345602</v>
      </c>
      <c r="R566" s="38">
        <v>0.98765432098765404</v>
      </c>
      <c r="S566" s="38">
        <v>0.76543209876543195</v>
      </c>
      <c r="T566" s="38">
        <v>0.97530864197530798</v>
      </c>
      <c r="U566" s="38">
        <v>1</v>
      </c>
      <c r="V566" s="38">
        <v>1</v>
      </c>
      <c r="W566" s="38">
        <v>0.11111111111111099</v>
      </c>
      <c r="X566" s="38">
        <v>1</v>
      </c>
      <c r="Y566" s="38">
        <v>0.97530864197530798</v>
      </c>
      <c r="Z566" s="38">
        <v>0.90123456790123402</v>
      </c>
      <c r="AA566" s="38">
        <v>0.44444444444444398</v>
      </c>
      <c r="AB566" s="38">
        <v>1</v>
      </c>
      <c r="AC566" s="38">
        <v>1</v>
      </c>
      <c r="AD566" s="38">
        <v>1</v>
      </c>
      <c r="AE566" s="38">
        <v>1</v>
      </c>
      <c r="AF566" s="38">
        <v>0.938271604938271</v>
      </c>
      <c r="AG566" s="38">
        <v>1</v>
      </c>
      <c r="AH566" s="38">
        <v>0.19565217391304299</v>
      </c>
      <c r="AI566" s="38" t="s">
        <v>195</v>
      </c>
      <c r="AJ566" s="7"/>
    </row>
    <row r="567" spans="1:36" x14ac:dyDescent="0.35">
      <c r="AJ567" s="7"/>
    </row>
    <row r="568" spans="1:36" x14ac:dyDescent="0.35">
      <c r="A568" s="17" t="s">
        <v>207</v>
      </c>
      <c r="B568" s="17"/>
      <c r="C568" s="18" t="s">
        <v>122</v>
      </c>
      <c r="D568" s="18" t="s">
        <v>123</v>
      </c>
      <c r="E568" s="18" t="s">
        <v>124</v>
      </c>
      <c r="F568" s="18" t="s">
        <v>125</v>
      </c>
      <c r="G568" s="18" t="s">
        <v>126</v>
      </c>
      <c r="H568" s="18" t="s">
        <v>127</v>
      </c>
      <c r="I568" s="18" t="s">
        <v>128</v>
      </c>
      <c r="J568" s="18" t="s">
        <v>129</v>
      </c>
      <c r="K568" s="18" t="s">
        <v>130</v>
      </c>
      <c r="L568" s="18" t="s">
        <v>131</v>
      </c>
      <c r="M568" s="18" t="s">
        <v>132</v>
      </c>
      <c r="N568" s="18" t="s">
        <v>133</v>
      </c>
      <c r="O568" s="18" t="s">
        <v>134</v>
      </c>
      <c r="P568" s="18" t="s">
        <v>135</v>
      </c>
      <c r="Q568" s="18" t="s">
        <v>136</v>
      </c>
      <c r="R568" s="18" t="s">
        <v>137</v>
      </c>
      <c r="S568" s="18" t="s">
        <v>138</v>
      </c>
      <c r="T568" s="18" t="s">
        <v>139</v>
      </c>
      <c r="U568" s="18" t="s">
        <v>140</v>
      </c>
      <c r="V568" s="18" t="s">
        <v>141</v>
      </c>
      <c r="W568" s="18" t="s">
        <v>142</v>
      </c>
      <c r="X568" s="18" t="s">
        <v>143</v>
      </c>
      <c r="Y568" s="18" t="s">
        <v>144</v>
      </c>
      <c r="Z568" s="18" t="s">
        <v>145</v>
      </c>
      <c r="AA568" s="18" t="s">
        <v>146</v>
      </c>
      <c r="AB568" s="18" t="s">
        <v>147</v>
      </c>
      <c r="AC568" s="18" t="s">
        <v>148</v>
      </c>
      <c r="AD568" s="18" t="s">
        <v>149</v>
      </c>
      <c r="AE568" s="18" t="s">
        <v>150</v>
      </c>
      <c r="AF568" s="18" t="s">
        <v>151</v>
      </c>
      <c r="AG568" s="18" t="s">
        <v>152</v>
      </c>
      <c r="AH568" s="18" t="s">
        <v>153</v>
      </c>
      <c r="AI568" s="18" t="s">
        <v>154</v>
      </c>
      <c r="AJ568" s="7"/>
    </row>
    <row r="569" spans="1:36" x14ac:dyDescent="0.35">
      <c r="A569" s="17" t="s">
        <v>208</v>
      </c>
      <c r="B569" s="17"/>
      <c r="C569" s="19">
        <f>COUNTIFS(B$4:B$63,B566,$AI$4:$AI$63,"YES")</f>
        <v>0</v>
      </c>
      <c r="D569" s="19">
        <f>COUNTIFS(C$4:C$63,C566,$AI$4:$AI$63,"YES")</f>
        <v>0</v>
      </c>
      <c r="E569" s="19">
        <f t="shared" ref="E569:AJ569" si="140">COUNTIFS(D$4:D$63,D566,$AI$4:$AI$63,"YES")</f>
        <v>1</v>
      </c>
      <c r="F569" s="19">
        <f t="shared" si="140"/>
        <v>0</v>
      </c>
      <c r="G569" s="19">
        <f t="shared" si="140"/>
        <v>0</v>
      </c>
      <c r="H569" s="19">
        <f t="shared" si="140"/>
        <v>0</v>
      </c>
      <c r="I569" s="19">
        <f t="shared" si="140"/>
        <v>0</v>
      </c>
      <c r="J569" s="19">
        <f t="shared" si="140"/>
        <v>0</v>
      </c>
      <c r="K569" s="19">
        <f t="shared" si="140"/>
        <v>0</v>
      </c>
      <c r="L569" s="19">
        <f t="shared" si="140"/>
        <v>0</v>
      </c>
      <c r="M569" s="19">
        <f t="shared" si="140"/>
        <v>0</v>
      </c>
      <c r="N569" s="19">
        <f t="shared" si="140"/>
        <v>0</v>
      </c>
      <c r="O569" s="19">
        <f t="shared" si="140"/>
        <v>0</v>
      </c>
      <c r="P569" s="19">
        <f t="shared" si="140"/>
        <v>0</v>
      </c>
      <c r="Q569" s="19">
        <f t="shared" si="140"/>
        <v>0</v>
      </c>
      <c r="R569" s="19">
        <f t="shared" si="140"/>
        <v>0</v>
      </c>
      <c r="S569" s="19">
        <f t="shared" si="140"/>
        <v>0</v>
      </c>
      <c r="T569" s="19">
        <f t="shared" si="140"/>
        <v>0</v>
      </c>
      <c r="U569" s="19">
        <f t="shared" si="140"/>
        <v>0</v>
      </c>
      <c r="V569" s="19">
        <f t="shared" si="140"/>
        <v>4</v>
      </c>
      <c r="W569" s="19">
        <f t="shared" si="140"/>
        <v>4</v>
      </c>
      <c r="X569" s="19">
        <f t="shared" si="140"/>
        <v>0</v>
      </c>
      <c r="Y569" s="19">
        <f t="shared" si="140"/>
        <v>4</v>
      </c>
      <c r="Z569" s="19">
        <f t="shared" si="140"/>
        <v>0</v>
      </c>
      <c r="AA569" s="19">
        <f t="shared" si="140"/>
        <v>0</v>
      </c>
      <c r="AB569" s="19">
        <f t="shared" si="140"/>
        <v>0</v>
      </c>
      <c r="AC569" s="19">
        <f t="shared" si="140"/>
        <v>4</v>
      </c>
      <c r="AD569" s="19">
        <f t="shared" si="140"/>
        <v>4</v>
      </c>
      <c r="AE569" s="19">
        <f t="shared" si="140"/>
        <v>4</v>
      </c>
      <c r="AF569" s="19">
        <f t="shared" si="140"/>
        <v>4</v>
      </c>
      <c r="AG569" s="19">
        <f t="shared" si="140"/>
        <v>0</v>
      </c>
      <c r="AH569" s="19">
        <f t="shared" si="140"/>
        <v>4</v>
      </c>
      <c r="AI569" s="19">
        <f t="shared" si="140"/>
        <v>1</v>
      </c>
      <c r="AJ569" s="20"/>
    </row>
    <row r="570" spans="1:36" x14ac:dyDescent="0.35">
      <c r="A570" s="17" t="s">
        <v>209</v>
      </c>
      <c r="B570" s="17"/>
      <c r="C570" s="19">
        <f>COUNTIFS(B$4:B$63,B566,$AI$4:$AI$63,"NO")</f>
        <v>10</v>
      </c>
      <c r="D570" s="19">
        <f t="shared" ref="D570:AI570" si="141">COUNTIFS(C$4:C$63,C566,$AI$4:$AI$63,"NO")</f>
        <v>6</v>
      </c>
      <c r="E570" s="19">
        <f t="shared" si="141"/>
        <v>26</v>
      </c>
      <c r="F570" s="19">
        <f t="shared" si="141"/>
        <v>6</v>
      </c>
      <c r="G570" s="19">
        <f t="shared" si="141"/>
        <v>6</v>
      </c>
      <c r="H570" s="19">
        <f t="shared" si="141"/>
        <v>9</v>
      </c>
      <c r="I570" s="19">
        <f t="shared" si="141"/>
        <v>6</v>
      </c>
      <c r="J570" s="19">
        <f t="shared" si="141"/>
        <v>7</v>
      </c>
      <c r="K570" s="19">
        <f t="shared" si="141"/>
        <v>6</v>
      </c>
      <c r="L570" s="19">
        <f t="shared" si="141"/>
        <v>6</v>
      </c>
      <c r="M570" s="19">
        <f t="shared" si="141"/>
        <v>6</v>
      </c>
      <c r="N570" s="19">
        <f t="shared" si="141"/>
        <v>12</v>
      </c>
      <c r="O570" s="19">
        <f t="shared" si="141"/>
        <v>6</v>
      </c>
      <c r="P570" s="19">
        <f t="shared" si="141"/>
        <v>6</v>
      </c>
      <c r="Q570" s="19">
        <f t="shared" si="141"/>
        <v>7</v>
      </c>
      <c r="R570" s="19">
        <f t="shared" si="141"/>
        <v>6</v>
      </c>
      <c r="S570" s="19">
        <f t="shared" si="141"/>
        <v>6</v>
      </c>
      <c r="T570" s="19">
        <f t="shared" si="141"/>
        <v>6</v>
      </c>
      <c r="U570" s="19">
        <f t="shared" si="141"/>
        <v>6</v>
      </c>
      <c r="V570" s="19">
        <f t="shared" si="141"/>
        <v>56</v>
      </c>
      <c r="W570" s="19">
        <f t="shared" si="141"/>
        <v>56</v>
      </c>
      <c r="X570" s="19">
        <f t="shared" si="141"/>
        <v>6</v>
      </c>
      <c r="Y570" s="19">
        <f t="shared" si="141"/>
        <v>56</v>
      </c>
      <c r="Z570" s="19">
        <f t="shared" si="141"/>
        <v>6</v>
      </c>
      <c r="AA570" s="19">
        <f t="shared" si="141"/>
        <v>6</v>
      </c>
      <c r="AB570" s="19">
        <f t="shared" si="141"/>
        <v>6</v>
      </c>
      <c r="AC570" s="19">
        <f t="shared" si="141"/>
        <v>56</v>
      </c>
      <c r="AD570" s="19">
        <f t="shared" si="141"/>
        <v>56</v>
      </c>
      <c r="AE570" s="19">
        <f t="shared" si="141"/>
        <v>56</v>
      </c>
      <c r="AF570" s="19">
        <f t="shared" si="141"/>
        <v>56</v>
      </c>
      <c r="AG570" s="19">
        <f t="shared" si="141"/>
        <v>6</v>
      </c>
      <c r="AH570" s="19">
        <f t="shared" si="141"/>
        <v>56</v>
      </c>
      <c r="AI570" s="19">
        <f t="shared" si="141"/>
        <v>30</v>
      </c>
      <c r="AJ570" s="20"/>
    </row>
    <row r="571" spans="1:36" x14ac:dyDescent="0.35">
      <c r="A571" s="17" t="s">
        <v>210</v>
      </c>
      <c r="B571" s="18" t="s">
        <v>208</v>
      </c>
      <c r="C571" s="19">
        <f>C569/$B$108</f>
        <v>0</v>
      </c>
      <c r="D571" s="19">
        <f t="shared" ref="D571:AI571" si="142">D569/$B$108</f>
        <v>0</v>
      </c>
      <c r="E571" s="19">
        <f t="shared" si="142"/>
        <v>15</v>
      </c>
      <c r="F571" s="19">
        <f t="shared" si="142"/>
        <v>0</v>
      </c>
      <c r="G571" s="19">
        <f t="shared" si="142"/>
        <v>0</v>
      </c>
      <c r="H571" s="19">
        <f t="shared" si="142"/>
        <v>0</v>
      </c>
      <c r="I571" s="19">
        <f t="shared" si="142"/>
        <v>0</v>
      </c>
      <c r="J571" s="19">
        <f t="shared" si="142"/>
        <v>0</v>
      </c>
      <c r="K571" s="19">
        <f t="shared" si="142"/>
        <v>0</v>
      </c>
      <c r="L571" s="19">
        <f t="shared" si="142"/>
        <v>0</v>
      </c>
      <c r="M571" s="19">
        <f t="shared" si="142"/>
        <v>0</v>
      </c>
      <c r="N571" s="19">
        <f t="shared" si="142"/>
        <v>0</v>
      </c>
      <c r="O571" s="19">
        <f t="shared" si="142"/>
        <v>0</v>
      </c>
      <c r="P571" s="19">
        <f t="shared" si="142"/>
        <v>0</v>
      </c>
      <c r="Q571" s="19">
        <f t="shared" si="142"/>
        <v>0</v>
      </c>
      <c r="R571" s="19">
        <f t="shared" si="142"/>
        <v>0</v>
      </c>
      <c r="S571" s="19">
        <f t="shared" si="142"/>
        <v>0</v>
      </c>
      <c r="T571" s="19">
        <f t="shared" si="142"/>
        <v>0</v>
      </c>
      <c r="U571" s="19">
        <f t="shared" si="142"/>
        <v>0</v>
      </c>
      <c r="V571" s="19">
        <f t="shared" si="142"/>
        <v>60</v>
      </c>
      <c r="W571" s="19">
        <f t="shared" si="142"/>
        <v>60</v>
      </c>
      <c r="X571" s="19">
        <f t="shared" si="142"/>
        <v>0</v>
      </c>
      <c r="Y571" s="19">
        <f t="shared" si="142"/>
        <v>60</v>
      </c>
      <c r="Z571" s="19">
        <f t="shared" si="142"/>
        <v>0</v>
      </c>
      <c r="AA571" s="19">
        <f t="shared" si="142"/>
        <v>0</v>
      </c>
      <c r="AB571" s="19">
        <f t="shared" si="142"/>
        <v>0</v>
      </c>
      <c r="AC571" s="19">
        <f t="shared" si="142"/>
        <v>60</v>
      </c>
      <c r="AD571" s="19">
        <f t="shared" si="142"/>
        <v>60</v>
      </c>
      <c r="AE571" s="19">
        <f t="shared" si="142"/>
        <v>60</v>
      </c>
      <c r="AF571" s="19">
        <f t="shared" si="142"/>
        <v>60</v>
      </c>
      <c r="AG571" s="19">
        <f t="shared" si="142"/>
        <v>0</v>
      </c>
      <c r="AH571" s="19">
        <f t="shared" si="142"/>
        <v>60</v>
      </c>
      <c r="AI571" s="19">
        <f t="shared" si="142"/>
        <v>15</v>
      </c>
      <c r="AJ571" s="19">
        <f>C571*D571*E571*F571*G571*H571*I571*J571*K571*L571*M571*N571*O571*P571*Q571*R571*S571*T571*U571*V571*W571*X571*Y571*Z571*AA571*AB571*AC571*AD571*AE571*AF571*AG571*AH571*AI571</f>
        <v>0</v>
      </c>
    </row>
    <row r="572" spans="1:36" x14ac:dyDescent="0.35">
      <c r="A572" s="17"/>
      <c r="B572" s="18" t="s">
        <v>209</v>
      </c>
      <c r="C572" s="19">
        <f>C570/$C$108</f>
        <v>10.714285714285714</v>
      </c>
      <c r="D572" s="19">
        <f t="shared" ref="D572:AI572" si="143">D570/$C$108</f>
        <v>6.4285714285714288</v>
      </c>
      <c r="E572" s="19">
        <f t="shared" si="143"/>
        <v>27.857142857142858</v>
      </c>
      <c r="F572" s="19">
        <f t="shared" si="143"/>
        <v>6.4285714285714288</v>
      </c>
      <c r="G572" s="19">
        <f t="shared" si="143"/>
        <v>6.4285714285714288</v>
      </c>
      <c r="H572" s="19">
        <f t="shared" si="143"/>
        <v>9.6428571428571423</v>
      </c>
      <c r="I572" s="19">
        <f t="shared" si="143"/>
        <v>6.4285714285714288</v>
      </c>
      <c r="J572" s="19">
        <f t="shared" si="143"/>
        <v>7.5</v>
      </c>
      <c r="K572" s="19">
        <f t="shared" si="143"/>
        <v>6.4285714285714288</v>
      </c>
      <c r="L572" s="19">
        <f t="shared" si="143"/>
        <v>6.4285714285714288</v>
      </c>
      <c r="M572" s="19">
        <f t="shared" si="143"/>
        <v>6.4285714285714288</v>
      </c>
      <c r="N572" s="19">
        <f t="shared" si="143"/>
        <v>12.857142857142858</v>
      </c>
      <c r="O572" s="19">
        <f t="shared" si="143"/>
        <v>6.4285714285714288</v>
      </c>
      <c r="P572" s="19">
        <f t="shared" si="143"/>
        <v>6.4285714285714288</v>
      </c>
      <c r="Q572" s="19">
        <f t="shared" si="143"/>
        <v>7.5</v>
      </c>
      <c r="R572" s="19">
        <f t="shared" si="143"/>
        <v>6.4285714285714288</v>
      </c>
      <c r="S572" s="19">
        <f t="shared" si="143"/>
        <v>6.4285714285714288</v>
      </c>
      <c r="T572" s="19">
        <f t="shared" si="143"/>
        <v>6.4285714285714288</v>
      </c>
      <c r="U572" s="19">
        <f t="shared" si="143"/>
        <v>6.4285714285714288</v>
      </c>
      <c r="V572" s="19">
        <f t="shared" si="143"/>
        <v>60</v>
      </c>
      <c r="W572" s="19">
        <f t="shared" si="143"/>
        <v>60</v>
      </c>
      <c r="X572" s="19">
        <f t="shared" si="143"/>
        <v>6.4285714285714288</v>
      </c>
      <c r="Y572" s="19">
        <f t="shared" si="143"/>
        <v>60</v>
      </c>
      <c r="Z572" s="19">
        <f t="shared" si="143"/>
        <v>6.4285714285714288</v>
      </c>
      <c r="AA572" s="19">
        <f t="shared" si="143"/>
        <v>6.4285714285714288</v>
      </c>
      <c r="AB572" s="19">
        <f t="shared" si="143"/>
        <v>6.4285714285714288</v>
      </c>
      <c r="AC572" s="19">
        <f t="shared" si="143"/>
        <v>60</v>
      </c>
      <c r="AD572" s="19">
        <f t="shared" si="143"/>
        <v>60</v>
      </c>
      <c r="AE572" s="19">
        <f t="shared" si="143"/>
        <v>60</v>
      </c>
      <c r="AF572" s="19">
        <f t="shared" si="143"/>
        <v>60</v>
      </c>
      <c r="AG572" s="19">
        <f t="shared" si="143"/>
        <v>6.4285714285714288</v>
      </c>
      <c r="AH572" s="19">
        <f t="shared" si="143"/>
        <v>60</v>
      </c>
      <c r="AI572" s="19">
        <f t="shared" si="143"/>
        <v>32.142857142857139</v>
      </c>
      <c r="AJ572" s="19">
        <f>C572*D572*E572*F572*G572*H572*I572*J572*K572*L572*M572*N572*O572*P572*Q572*R572*S572*T572*U572*V572*W572*X572*Y572*Z572*AA572*AB572*AC572*AD572*AE572*AF572*AG572*AH572*AI572</f>
        <v>3.9511865301379321E+36</v>
      </c>
    </row>
    <row r="573" spans="1:36" x14ac:dyDescent="0.35">
      <c r="A573" s="21"/>
      <c r="B573" s="21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20"/>
    </row>
    <row r="574" spans="1:36" x14ac:dyDescent="0.35">
      <c r="A574" s="22" t="s">
        <v>211</v>
      </c>
      <c r="B574" s="23"/>
      <c r="C574" s="24" t="s">
        <v>212</v>
      </c>
      <c r="D574" s="20"/>
      <c r="E574" s="20"/>
      <c r="F574" s="20"/>
      <c r="G574" s="20"/>
      <c r="H574" s="20"/>
      <c r="I574" s="20"/>
      <c r="J574" s="20"/>
      <c r="K574" s="20"/>
      <c r="L574" s="2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20"/>
    </row>
    <row r="575" spans="1:36" x14ac:dyDescent="0.35">
      <c r="A575" s="25" t="s">
        <v>208</v>
      </c>
      <c r="B575" s="26">
        <f>AJ571*$B$108</f>
        <v>0</v>
      </c>
      <c r="C575" s="27" t="str">
        <f>IF(B575&gt;B576,A575,A576)</f>
        <v>No</v>
      </c>
      <c r="D575" s="20"/>
      <c r="E575" s="20"/>
      <c r="F575" s="20"/>
      <c r="G575" s="20"/>
      <c r="H575" s="20"/>
      <c r="I575" s="20"/>
      <c r="J575" s="20"/>
      <c r="K575" s="20"/>
      <c r="L575" s="2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20"/>
    </row>
    <row r="576" spans="1:36" x14ac:dyDescent="0.35">
      <c r="A576" s="25" t="s">
        <v>209</v>
      </c>
      <c r="B576" s="26">
        <f>AJ572*$C$108</f>
        <v>3.6877740947954033E+36</v>
      </c>
      <c r="C576" s="28"/>
      <c r="D576" s="20"/>
      <c r="E576" s="20"/>
      <c r="F576" s="20"/>
      <c r="G576" s="20"/>
      <c r="H576" s="20"/>
      <c r="I576" s="20"/>
      <c r="J576" s="20"/>
      <c r="K576" s="20"/>
      <c r="L576" s="2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20"/>
    </row>
    <row r="578" spans="1:36" x14ac:dyDescent="0.35">
      <c r="A578" s="15"/>
      <c r="B578" s="16" t="s">
        <v>122</v>
      </c>
      <c r="C578" s="16" t="s">
        <v>123</v>
      </c>
      <c r="D578" s="16" t="s">
        <v>124</v>
      </c>
      <c r="E578" s="16" t="s">
        <v>125</v>
      </c>
      <c r="F578" s="16" t="s">
        <v>126</v>
      </c>
      <c r="G578" s="16" t="s">
        <v>127</v>
      </c>
      <c r="H578" s="16" t="s">
        <v>128</v>
      </c>
      <c r="I578" s="16" t="s">
        <v>129</v>
      </c>
      <c r="J578" s="16" t="s">
        <v>130</v>
      </c>
      <c r="K578" s="16" t="s">
        <v>131</v>
      </c>
      <c r="L578" s="16" t="s">
        <v>132</v>
      </c>
      <c r="M578" s="16" t="s">
        <v>133</v>
      </c>
      <c r="N578" s="16" t="s">
        <v>134</v>
      </c>
      <c r="O578" s="16" t="s">
        <v>135</v>
      </c>
      <c r="P578" s="16" t="s">
        <v>136</v>
      </c>
      <c r="Q578" s="16" t="s">
        <v>137</v>
      </c>
      <c r="R578" s="16" t="s">
        <v>138</v>
      </c>
      <c r="S578" s="16" t="s">
        <v>139</v>
      </c>
      <c r="T578" s="16" t="s">
        <v>140</v>
      </c>
      <c r="U578" s="16" t="s">
        <v>141</v>
      </c>
      <c r="V578" s="16" t="s">
        <v>142</v>
      </c>
      <c r="W578" s="16" t="s">
        <v>143</v>
      </c>
      <c r="X578" s="16" t="s">
        <v>144</v>
      </c>
      <c r="Y578" s="16" t="s">
        <v>145</v>
      </c>
      <c r="Z578" s="16" t="s">
        <v>146</v>
      </c>
      <c r="AA578" s="16" t="s">
        <v>147</v>
      </c>
      <c r="AB578" s="16" t="s">
        <v>148</v>
      </c>
      <c r="AC578" s="16" t="s">
        <v>149</v>
      </c>
      <c r="AD578" s="16" t="s">
        <v>150</v>
      </c>
      <c r="AE578" s="16" t="s">
        <v>151</v>
      </c>
      <c r="AF578" s="16" t="s">
        <v>152</v>
      </c>
      <c r="AG578" s="16" t="s">
        <v>153</v>
      </c>
      <c r="AH578" s="16" t="s">
        <v>154</v>
      </c>
      <c r="AI578" s="16"/>
      <c r="AJ578" s="7"/>
    </row>
    <row r="579" spans="1:36" x14ac:dyDescent="0.35">
      <c r="A579" s="9" t="s">
        <v>309</v>
      </c>
      <c r="B579" s="38">
        <v>0</v>
      </c>
      <c r="C579" s="38">
        <v>0.23765432098765399</v>
      </c>
      <c r="D579" s="38">
        <v>0.23899371069182301</v>
      </c>
      <c r="E579" s="38">
        <v>0.53703703703703698</v>
      </c>
      <c r="F579" s="38">
        <v>0.12757201646090499</v>
      </c>
      <c r="G579" s="38">
        <v>0.94805194805194803</v>
      </c>
      <c r="H579" s="38">
        <v>0.55692729766803795</v>
      </c>
      <c r="I579" s="38">
        <v>0.936708860759493</v>
      </c>
      <c r="J579" s="38">
        <v>0.407407407407407</v>
      </c>
      <c r="K579" s="38">
        <v>0.19478737997256501</v>
      </c>
      <c r="L579" s="38">
        <v>5.5555555555555497E-2</v>
      </c>
      <c r="M579" s="38">
        <v>0.158904109589041</v>
      </c>
      <c r="N579" s="38">
        <v>0.95061728395061695</v>
      </c>
      <c r="O579" s="38">
        <v>6.1728395061728301E-2</v>
      </c>
      <c r="P579" s="38">
        <v>0.189873417721519</v>
      </c>
      <c r="Q579" s="38">
        <v>0.32345679012345602</v>
      </c>
      <c r="R579" s="38">
        <v>0.98765432098765404</v>
      </c>
      <c r="S579" s="38">
        <v>0.76543209876543195</v>
      </c>
      <c r="T579" s="38">
        <v>0.97530864197530798</v>
      </c>
      <c r="U579" s="38">
        <v>1</v>
      </c>
      <c r="V579" s="38">
        <v>1</v>
      </c>
      <c r="W579" s="38">
        <v>0.11111111111111099</v>
      </c>
      <c r="X579" s="38">
        <v>1</v>
      </c>
      <c r="Y579" s="38">
        <v>0.97530864197530798</v>
      </c>
      <c r="Z579" s="38">
        <v>0.90123456790123402</v>
      </c>
      <c r="AA579" s="38">
        <v>0.44444444444444398</v>
      </c>
      <c r="AB579" s="38">
        <v>1</v>
      </c>
      <c r="AC579" s="38">
        <v>1</v>
      </c>
      <c r="AD579" s="38">
        <v>1</v>
      </c>
      <c r="AE579" s="38">
        <v>1</v>
      </c>
      <c r="AF579" s="38">
        <v>0.938271604938271</v>
      </c>
      <c r="AG579" s="38">
        <v>1</v>
      </c>
      <c r="AH579" s="38">
        <v>0.19565217391304299</v>
      </c>
      <c r="AI579" s="38" t="s">
        <v>195</v>
      </c>
      <c r="AJ579" s="7"/>
    </row>
    <row r="580" spans="1:36" x14ac:dyDescent="0.35">
      <c r="AJ580" s="7"/>
    </row>
    <row r="581" spans="1:36" x14ac:dyDescent="0.35">
      <c r="A581" s="17" t="s">
        <v>207</v>
      </c>
      <c r="B581" s="17"/>
      <c r="C581" s="18" t="s">
        <v>122</v>
      </c>
      <c r="D581" s="18" t="s">
        <v>123</v>
      </c>
      <c r="E581" s="18" t="s">
        <v>124</v>
      </c>
      <c r="F581" s="18" t="s">
        <v>125</v>
      </c>
      <c r="G581" s="18" t="s">
        <v>126</v>
      </c>
      <c r="H581" s="18" t="s">
        <v>127</v>
      </c>
      <c r="I581" s="18" t="s">
        <v>128</v>
      </c>
      <c r="J581" s="18" t="s">
        <v>129</v>
      </c>
      <c r="K581" s="18" t="s">
        <v>130</v>
      </c>
      <c r="L581" s="18" t="s">
        <v>131</v>
      </c>
      <c r="M581" s="18" t="s">
        <v>132</v>
      </c>
      <c r="N581" s="18" t="s">
        <v>133</v>
      </c>
      <c r="O581" s="18" t="s">
        <v>134</v>
      </c>
      <c r="P581" s="18" t="s">
        <v>135</v>
      </c>
      <c r="Q581" s="18" t="s">
        <v>136</v>
      </c>
      <c r="R581" s="18" t="s">
        <v>137</v>
      </c>
      <c r="S581" s="18" t="s">
        <v>138</v>
      </c>
      <c r="T581" s="18" t="s">
        <v>139</v>
      </c>
      <c r="U581" s="18" t="s">
        <v>140</v>
      </c>
      <c r="V581" s="18" t="s">
        <v>141</v>
      </c>
      <c r="W581" s="18" t="s">
        <v>142</v>
      </c>
      <c r="X581" s="18" t="s">
        <v>143</v>
      </c>
      <c r="Y581" s="18" t="s">
        <v>144</v>
      </c>
      <c r="Z581" s="18" t="s">
        <v>145</v>
      </c>
      <c r="AA581" s="18" t="s">
        <v>146</v>
      </c>
      <c r="AB581" s="18" t="s">
        <v>147</v>
      </c>
      <c r="AC581" s="18" t="s">
        <v>148</v>
      </c>
      <c r="AD581" s="18" t="s">
        <v>149</v>
      </c>
      <c r="AE581" s="18" t="s">
        <v>150</v>
      </c>
      <c r="AF581" s="18" t="s">
        <v>151</v>
      </c>
      <c r="AG581" s="18" t="s">
        <v>152</v>
      </c>
      <c r="AH581" s="18" t="s">
        <v>153</v>
      </c>
      <c r="AI581" s="18" t="s">
        <v>154</v>
      </c>
      <c r="AJ581" s="7"/>
    </row>
    <row r="582" spans="1:36" x14ac:dyDescent="0.35">
      <c r="A582" s="17" t="s">
        <v>208</v>
      </c>
      <c r="B582" s="17"/>
      <c r="C582" s="19">
        <f>COUNTIFS(B$4:B$63,B579,$AI$4:$AI$63,"YES")</f>
        <v>0</v>
      </c>
      <c r="D582" s="19">
        <f>COUNTIFS(C$4:C$63,C579,$AI$4:$AI$63,"YES")</f>
        <v>0</v>
      </c>
      <c r="E582" s="19">
        <f t="shared" ref="E582:AJ582" si="144">COUNTIFS(D$4:D$63,D579,$AI$4:$AI$63,"YES")</f>
        <v>1</v>
      </c>
      <c r="F582" s="19">
        <f t="shared" si="144"/>
        <v>0</v>
      </c>
      <c r="G582" s="19">
        <f t="shared" si="144"/>
        <v>0</v>
      </c>
      <c r="H582" s="19">
        <f t="shared" si="144"/>
        <v>0</v>
      </c>
      <c r="I582" s="19">
        <f t="shared" si="144"/>
        <v>0</v>
      </c>
      <c r="J582" s="19">
        <f t="shared" si="144"/>
        <v>0</v>
      </c>
      <c r="K582" s="19">
        <f t="shared" si="144"/>
        <v>0</v>
      </c>
      <c r="L582" s="19">
        <f t="shared" si="144"/>
        <v>0</v>
      </c>
      <c r="M582" s="19">
        <f t="shared" si="144"/>
        <v>0</v>
      </c>
      <c r="N582" s="19">
        <f t="shared" si="144"/>
        <v>0</v>
      </c>
      <c r="O582" s="19">
        <f t="shared" si="144"/>
        <v>0</v>
      </c>
      <c r="P582" s="19">
        <f t="shared" si="144"/>
        <v>0</v>
      </c>
      <c r="Q582" s="19">
        <f t="shared" si="144"/>
        <v>0</v>
      </c>
      <c r="R582" s="19">
        <f t="shared" si="144"/>
        <v>0</v>
      </c>
      <c r="S582" s="19">
        <f t="shared" si="144"/>
        <v>0</v>
      </c>
      <c r="T582" s="19">
        <f t="shared" si="144"/>
        <v>0</v>
      </c>
      <c r="U582" s="19">
        <f t="shared" si="144"/>
        <v>0</v>
      </c>
      <c r="V582" s="19">
        <f t="shared" si="144"/>
        <v>4</v>
      </c>
      <c r="W582" s="19">
        <f t="shared" si="144"/>
        <v>4</v>
      </c>
      <c r="X582" s="19">
        <f t="shared" si="144"/>
        <v>0</v>
      </c>
      <c r="Y582" s="19">
        <f t="shared" si="144"/>
        <v>4</v>
      </c>
      <c r="Z582" s="19">
        <f t="shared" si="144"/>
        <v>0</v>
      </c>
      <c r="AA582" s="19">
        <f t="shared" si="144"/>
        <v>0</v>
      </c>
      <c r="AB582" s="19">
        <f t="shared" si="144"/>
        <v>0</v>
      </c>
      <c r="AC582" s="19">
        <f t="shared" si="144"/>
        <v>4</v>
      </c>
      <c r="AD582" s="19">
        <f t="shared" si="144"/>
        <v>4</v>
      </c>
      <c r="AE582" s="19">
        <f t="shared" si="144"/>
        <v>4</v>
      </c>
      <c r="AF582" s="19">
        <f t="shared" si="144"/>
        <v>4</v>
      </c>
      <c r="AG582" s="19">
        <f t="shared" si="144"/>
        <v>0</v>
      </c>
      <c r="AH582" s="19">
        <f t="shared" si="144"/>
        <v>4</v>
      </c>
      <c r="AI582" s="19">
        <f t="shared" si="144"/>
        <v>1</v>
      </c>
      <c r="AJ582" s="20"/>
    </row>
    <row r="583" spans="1:36" x14ac:dyDescent="0.35">
      <c r="A583" s="17" t="s">
        <v>209</v>
      </c>
      <c r="B583" s="17"/>
      <c r="C583" s="19">
        <f>COUNTIFS(B$4:B$63,B579,$AI$4:$AI$63,"NO")</f>
        <v>10</v>
      </c>
      <c r="D583" s="19">
        <f t="shared" ref="D583:AI583" si="145">COUNTIFS(C$4:C$63,C579,$AI$4:$AI$63,"NO")</f>
        <v>6</v>
      </c>
      <c r="E583" s="19">
        <f t="shared" si="145"/>
        <v>26</v>
      </c>
      <c r="F583" s="19">
        <f t="shared" si="145"/>
        <v>6</v>
      </c>
      <c r="G583" s="19">
        <f t="shared" si="145"/>
        <v>6</v>
      </c>
      <c r="H583" s="19">
        <f t="shared" si="145"/>
        <v>9</v>
      </c>
      <c r="I583" s="19">
        <f t="shared" si="145"/>
        <v>6</v>
      </c>
      <c r="J583" s="19">
        <f t="shared" si="145"/>
        <v>7</v>
      </c>
      <c r="K583" s="19">
        <f t="shared" si="145"/>
        <v>6</v>
      </c>
      <c r="L583" s="19">
        <f t="shared" si="145"/>
        <v>6</v>
      </c>
      <c r="M583" s="19">
        <f t="shared" si="145"/>
        <v>6</v>
      </c>
      <c r="N583" s="19">
        <f t="shared" si="145"/>
        <v>12</v>
      </c>
      <c r="O583" s="19">
        <f t="shared" si="145"/>
        <v>6</v>
      </c>
      <c r="P583" s="19">
        <f t="shared" si="145"/>
        <v>6</v>
      </c>
      <c r="Q583" s="19">
        <f t="shared" si="145"/>
        <v>7</v>
      </c>
      <c r="R583" s="19">
        <f t="shared" si="145"/>
        <v>6</v>
      </c>
      <c r="S583" s="19">
        <f t="shared" si="145"/>
        <v>6</v>
      </c>
      <c r="T583" s="19">
        <f t="shared" si="145"/>
        <v>6</v>
      </c>
      <c r="U583" s="19">
        <f t="shared" si="145"/>
        <v>6</v>
      </c>
      <c r="V583" s="19">
        <f t="shared" si="145"/>
        <v>56</v>
      </c>
      <c r="W583" s="19">
        <f t="shared" si="145"/>
        <v>56</v>
      </c>
      <c r="X583" s="19">
        <f t="shared" si="145"/>
        <v>6</v>
      </c>
      <c r="Y583" s="19">
        <f t="shared" si="145"/>
        <v>56</v>
      </c>
      <c r="Z583" s="19">
        <f t="shared" si="145"/>
        <v>6</v>
      </c>
      <c r="AA583" s="19">
        <f t="shared" si="145"/>
        <v>6</v>
      </c>
      <c r="AB583" s="19">
        <f t="shared" si="145"/>
        <v>6</v>
      </c>
      <c r="AC583" s="19">
        <f t="shared" si="145"/>
        <v>56</v>
      </c>
      <c r="AD583" s="19">
        <f t="shared" si="145"/>
        <v>56</v>
      </c>
      <c r="AE583" s="19">
        <f t="shared" si="145"/>
        <v>56</v>
      </c>
      <c r="AF583" s="19">
        <f t="shared" si="145"/>
        <v>56</v>
      </c>
      <c r="AG583" s="19">
        <f t="shared" si="145"/>
        <v>6</v>
      </c>
      <c r="AH583" s="19">
        <f t="shared" si="145"/>
        <v>56</v>
      </c>
      <c r="AI583" s="19">
        <f t="shared" si="145"/>
        <v>30</v>
      </c>
      <c r="AJ583" s="20"/>
    </row>
    <row r="584" spans="1:36" x14ac:dyDescent="0.35">
      <c r="A584" s="17" t="s">
        <v>210</v>
      </c>
      <c r="B584" s="18" t="s">
        <v>208</v>
      </c>
      <c r="C584" s="19">
        <f>C582/$B$108</f>
        <v>0</v>
      </c>
      <c r="D584" s="19">
        <f t="shared" ref="D584:AI584" si="146">D582/$B$108</f>
        <v>0</v>
      </c>
      <c r="E584" s="19">
        <f t="shared" si="146"/>
        <v>15</v>
      </c>
      <c r="F584" s="19">
        <f t="shared" si="146"/>
        <v>0</v>
      </c>
      <c r="G584" s="19">
        <f t="shared" si="146"/>
        <v>0</v>
      </c>
      <c r="H584" s="19">
        <f t="shared" si="146"/>
        <v>0</v>
      </c>
      <c r="I584" s="19">
        <f t="shared" si="146"/>
        <v>0</v>
      </c>
      <c r="J584" s="19">
        <f t="shared" si="146"/>
        <v>0</v>
      </c>
      <c r="K584" s="19">
        <f t="shared" si="146"/>
        <v>0</v>
      </c>
      <c r="L584" s="19">
        <f t="shared" si="146"/>
        <v>0</v>
      </c>
      <c r="M584" s="19">
        <f t="shared" si="146"/>
        <v>0</v>
      </c>
      <c r="N584" s="19">
        <f t="shared" si="146"/>
        <v>0</v>
      </c>
      <c r="O584" s="19">
        <f t="shared" si="146"/>
        <v>0</v>
      </c>
      <c r="P584" s="19">
        <f t="shared" si="146"/>
        <v>0</v>
      </c>
      <c r="Q584" s="19">
        <f t="shared" si="146"/>
        <v>0</v>
      </c>
      <c r="R584" s="19">
        <f t="shared" si="146"/>
        <v>0</v>
      </c>
      <c r="S584" s="19">
        <f t="shared" si="146"/>
        <v>0</v>
      </c>
      <c r="T584" s="19">
        <f t="shared" si="146"/>
        <v>0</v>
      </c>
      <c r="U584" s="19">
        <f t="shared" si="146"/>
        <v>0</v>
      </c>
      <c r="V584" s="19">
        <f t="shared" si="146"/>
        <v>60</v>
      </c>
      <c r="W584" s="19">
        <f t="shared" si="146"/>
        <v>60</v>
      </c>
      <c r="X584" s="19">
        <f t="shared" si="146"/>
        <v>0</v>
      </c>
      <c r="Y584" s="19">
        <f t="shared" si="146"/>
        <v>60</v>
      </c>
      <c r="Z584" s="19">
        <f t="shared" si="146"/>
        <v>0</v>
      </c>
      <c r="AA584" s="19">
        <f t="shared" si="146"/>
        <v>0</v>
      </c>
      <c r="AB584" s="19">
        <f t="shared" si="146"/>
        <v>0</v>
      </c>
      <c r="AC584" s="19">
        <f t="shared" si="146"/>
        <v>60</v>
      </c>
      <c r="AD584" s="19">
        <f t="shared" si="146"/>
        <v>60</v>
      </c>
      <c r="AE584" s="19">
        <f t="shared" si="146"/>
        <v>60</v>
      </c>
      <c r="AF584" s="19">
        <f t="shared" si="146"/>
        <v>60</v>
      </c>
      <c r="AG584" s="19">
        <f t="shared" si="146"/>
        <v>0</v>
      </c>
      <c r="AH584" s="19">
        <f t="shared" si="146"/>
        <v>60</v>
      </c>
      <c r="AI584" s="19">
        <f t="shared" si="146"/>
        <v>15</v>
      </c>
      <c r="AJ584" s="19">
        <f>C584*D584*E584*F584*G584*H584*I584*J584*K584*L584*M584*N584*O584*P584*Q584*R584*S584*T584*U584*V584*W584*X584*Y584*Z584*AA584*AB584*AC584*AD584*AE584*AF584*AG584*AH584*AI584</f>
        <v>0</v>
      </c>
    </row>
    <row r="585" spans="1:36" x14ac:dyDescent="0.35">
      <c r="A585" s="17"/>
      <c r="B585" s="18" t="s">
        <v>209</v>
      </c>
      <c r="C585" s="19">
        <f>C583/$C$108</f>
        <v>10.714285714285714</v>
      </c>
      <c r="D585" s="19">
        <f t="shared" ref="D585:AI585" si="147">D583/$C$108</f>
        <v>6.4285714285714288</v>
      </c>
      <c r="E585" s="19">
        <f t="shared" si="147"/>
        <v>27.857142857142858</v>
      </c>
      <c r="F585" s="19">
        <f t="shared" si="147"/>
        <v>6.4285714285714288</v>
      </c>
      <c r="G585" s="19">
        <f t="shared" si="147"/>
        <v>6.4285714285714288</v>
      </c>
      <c r="H585" s="19">
        <f t="shared" si="147"/>
        <v>9.6428571428571423</v>
      </c>
      <c r="I585" s="19">
        <f t="shared" si="147"/>
        <v>6.4285714285714288</v>
      </c>
      <c r="J585" s="19">
        <f t="shared" si="147"/>
        <v>7.5</v>
      </c>
      <c r="K585" s="19">
        <f t="shared" si="147"/>
        <v>6.4285714285714288</v>
      </c>
      <c r="L585" s="19">
        <f t="shared" si="147"/>
        <v>6.4285714285714288</v>
      </c>
      <c r="M585" s="19">
        <f t="shared" si="147"/>
        <v>6.4285714285714288</v>
      </c>
      <c r="N585" s="19">
        <f t="shared" si="147"/>
        <v>12.857142857142858</v>
      </c>
      <c r="O585" s="19">
        <f t="shared" si="147"/>
        <v>6.4285714285714288</v>
      </c>
      <c r="P585" s="19">
        <f t="shared" si="147"/>
        <v>6.4285714285714288</v>
      </c>
      <c r="Q585" s="19">
        <f t="shared" si="147"/>
        <v>7.5</v>
      </c>
      <c r="R585" s="19">
        <f t="shared" si="147"/>
        <v>6.4285714285714288</v>
      </c>
      <c r="S585" s="19">
        <f t="shared" si="147"/>
        <v>6.4285714285714288</v>
      </c>
      <c r="T585" s="19">
        <f t="shared" si="147"/>
        <v>6.4285714285714288</v>
      </c>
      <c r="U585" s="19">
        <f t="shared" si="147"/>
        <v>6.4285714285714288</v>
      </c>
      <c r="V585" s="19">
        <f t="shared" si="147"/>
        <v>60</v>
      </c>
      <c r="W585" s="19">
        <f t="shared" si="147"/>
        <v>60</v>
      </c>
      <c r="X585" s="19">
        <f t="shared" si="147"/>
        <v>6.4285714285714288</v>
      </c>
      <c r="Y585" s="19">
        <f t="shared" si="147"/>
        <v>60</v>
      </c>
      <c r="Z585" s="19">
        <f t="shared" si="147"/>
        <v>6.4285714285714288</v>
      </c>
      <c r="AA585" s="19">
        <f t="shared" si="147"/>
        <v>6.4285714285714288</v>
      </c>
      <c r="AB585" s="19">
        <f t="shared" si="147"/>
        <v>6.4285714285714288</v>
      </c>
      <c r="AC585" s="19">
        <f t="shared" si="147"/>
        <v>60</v>
      </c>
      <c r="AD585" s="19">
        <f t="shared" si="147"/>
        <v>60</v>
      </c>
      <c r="AE585" s="19">
        <f t="shared" si="147"/>
        <v>60</v>
      </c>
      <c r="AF585" s="19">
        <f t="shared" si="147"/>
        <v>60</v>
      </c>
      <c r="AG585" s="19">
        <f t="shared" si="147"/>
        <v>6.4285714285714288</v>
      </c>
      <c r="AH585" s="19">
        <f t="shared" si="147"/>
        <v>60</v>
      </c>
      <c r="AI585" s="19">
        <f t="shared" si="147"/>
        <v>32.142857142857139</v>
      </c>
      <c r="AJ585" s="19">
        <f>C585*D585*E585*F585*G585*H585*I585*J585*K585*L585*M585*N585*O585*P585*Q585*R585*S585*T585*U585*V585*W585*X585*Y585*Z585*AA585*AB585*AC585*AD585*AE585*AF585*AG585*AH585*AI585</f>
        <v>3.9511865301379321E+36</v>
      </c>
    </row>
    <row r="586" spans="1:36" x14ac:dyDescent="0.35">
      <c r="A586" s="21"/>
      <c r="B586" s="21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20"/>
    </row>
    <row r="587" spans="1:36" x14ac:dyDescent="0.35">
      <c r="A587" s="22" t="s">
        <v>211</v>
      </c>
      <c r="B587" s="23"/>
      <c r="C587" s="24" t="s">
        <v>212</v>
      </c>
      <c r="D587" s="20"/>
      <c r="E587" s="20"/>
      <c r="F587" s="20"/>
      <c r="G587" s="20"/>
      <c r="H587" s="20"/>
      <c r="I587" s="20"/>
      <c r="J587" s="20"/>
      <c r="K587" s="20"/>
      <c r="L587" s="2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20"/>
    </row>
    <row r="588" spans="1:36" x14ac:dyDescent="0.35">
      <c r="A588" s="25" t="s">
        <v>208</v>
      </c>
      <c r="B588" s="26">
        <f>AJ584*$B$108</f>
        <v>0</v>
      </c>
      <c r="C588" s="27" t="str">
        <f>IF(B588&gt;B589,A588,A589)</f>
        <v>No</v>
      </c>
      <c r="D588" s="20"/>
      <c r="E588" s="20"/>
      <c r="F588" s="20"/>
      <c r="G588" s="20"/>
      <c r="H588" s="20"/>
      <c r="I588" s="20"/>
      <c r="J588" s="20"/>
      <c r="K588" s="20"/>
      <c r="L588" s="2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20"/>
    </row>
    <row r="589" spans="1:36" x14ac:dyDescent="0.35">
      <c r="A589" s="25" t="s">
        <v>209</v>
      </c>
      <c r="B589" s="26">
        <f>AJ585*$C$108</f>
        <v>3.6877740947954033E+36</v>
      </c>
      <c r="C589" s="28"/>
      <c r="D589" s="20"/>
      <c r="E589" s="20"/>
      <c r="F589" s="20"/>
      <c r="G589" s="20"/>
      <c r="H589" s="20"/>
      <c r="I589" s="20"/>
      <c r="J589" s="20"/>
      <c r="K589" s="20"/>
      <c r="L589" s="2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20"/>
    </row>
    <row r="591" spans="1:36" x14ac:dyDescent="0.35">
      <c r="A591" s="15"/>
      <c r="B591" s="16" t="s">
        <v>122</v>
      </c>
      <c r="C591" s="16" t="s">
        <v>123</v>
      </c>
      <c r="D591" s="16" t="s">
        <v>124</v>
      </c>
      <c r="E591" s="16" t="s">
        <v>125</v>
      </c>
      <c r="F591" s="16" t="s">
        <v>126</v>
      </c>
      <c r="G591" s="16" t="s">
        <v>127</v>
      </c>
      <c r="H591" s="16" t="s">
        <v>128</v>
      </c>
      <c r="I591" s="16" t="s">
        <v>129</v>
      </c>
      <c r="J591" s="16" t="s">
        <v>130</v>
      </c>
      <c r="K591" s="16" t="s">
        <v>131</v>
      </c>
      <c r="L591" s="16" t="s">
        <v>132</v>
      </c>
      <c r="M591" s="16" t="s">
        <v>133</v>
      </c>
      <c r="N591" s="16" t="s">
        <v>134</v>
      </c>
      <c r="O591" s="16" t="s">
        <v>135</v>
      </c>
      <c r="P591" s="16" t="s">
        <v>136</v>
      </c>
      <c r="Q591" s="16" t="s">
        <v>137</v>
      </c>
      <c r="R591" s="16" t="s">
        <v>138</v>
      </c>
      <c r="S591" s="16" t="s">
        <v>139</v>
      </c>
      <c r="T591" s="16" t="s">
        <v>140</v>
      </c>
      <c r="U591" s="16" t="s">
        <v>141</v>
      </c>
      <c r="V591" s="16" t="s">
        <v>142</v>
      </c>
      <c r="W591" s="16" t="s">
        <v>143</v>
      </c>
      <c r="X591" s="16" t="s">
        <v>144</v>
      </c>
      <c r="Y591" s="16" t="s">
        <v>145</v>
      </c>
      <c r="Z591" s="16" t="s">
        <v>146</v>
      </c>
      <c r="AA591" s="16" t="s">
        <v>147</v>
      </c>
      <c r="AB591" s="16" t="s">
        <v>148</v>
      </c>
      <c r="AC591" s="16" t="s">
        <v>149</v>
      </c>
      <c r="AD591" s="16" t="s">
        <v>150</v>
      </c>
      <c r="AE591" s="16" t="s">
        <v>151</v>
      </c>
      <c r="AF591" s="16" t="s">
        <v>152</v>
      </c>
      <c r="AG591" s="16" t="s">
        <v>153</v>
      </c>
      <c r="AH591" s="16" t="s">
        <v>154</v>
      </c>
      <c r="AI591" s="16"/>
      <c r="AJ591" s="7"/>
    </row>
    <row r="592" spans="1:36" x14ac:dyDescent="0.35">
      <c r="A592" s="9" t="s">
        <v>310</v>
      </c>
      <c r="B592" s="38">
        <v>0</v>
      </c>
      <c r="C592" s="38">
        <v>0.23765432098765399</v>
      </c>
      <c r="D592" s="38">
        <v>0.23899371069182301</v>
      </c>
      <c r="E592" s="38">
        <v>0.53703703703703698</v>
      </c>
      <c r="F592" s="38">
        <v>0.12757201646090499</v>
      </c>
      <c r="G592" s="38">
        <v>0.94805194805194803</v>
      </c>
      <c r="H592" s="38">
        <v>0.55692729766803795</v>
      </c>
      <c r="I592" s="38">
        <v>0.936708860759493</v>
      </c>
      <c r="J592" s="38">
        <v>0.407407407407407</v>
      </c>
      <c r="K592" s="38">
        <v>0.19478737997256501</v>
      </c>
      <c r="L592" s="38">
        <v>5.5555555555555497E-2</v>
      </c>
      <c r="M592" s="38">
        <v>0.158904109589041</v>
      </c>
      <c r="N592" s="38">
        <v>0.95061728395061695</v>
      </c>
      <c r="O592" s="38">
        <v>6.1728395061728301E-2</v>
      </c>
      <c r="P592" s="38">
        <v>0.189873417721519</v>
      </c>
      <c r="Q592" s="38">
        <v>0.32345679012345602</v>
      </c>
      <c r="R592" s="38">
        <v>0.98765432098765404</v>
      </c>
      <c r="S592" s="38">
        <v>0.76543209876543195</v>
      </c>
      <c r="T592" s="38">
        <v>0.97530864197530798</v>
      </c>
      <c r="U592" s="38">
        <v>1</v>
      </c>
      <c r="V592" s="38">
        <v>1</v>
      </c>
      <c r="W592" s="38">
        <v>0.11111111111111099</v>
      </c>
      <c r="X592" s="38">
        <v>1</v>
      </c>
      <c r="Y592" s="38">
        <v>0.97530864197530798</v>
      </c>
      <c r="Z592" s="38">
        <v>0.90123456790123402</v>
      </c>
      <c r="AA592" s="38">
        <v>0.44444444444444398</v>
      </c>
      <c r="AB592" s="38">
        <v>1</v>
      </c>
      <c r="AC592" s="38">
        <v>1</v>
      </c>
      <c r="AD592" s="38">
        <v>1</v>
      </c>
      <c r="AE592" s="38">
        <v>1</v>
      </c>
      <c r="AF592" s="38">
        <v>0.938271604938271</v>
      </c>
      <c r="AG592" s="38">
        <v>1</v>
      </c>
      <c r="AH592" s="38">
        <v>0.19565217391304299</v>
      </c>
      <c r="AI592" s="38" t="s">
        <v>195</v>
      </c>
      <c r="AJ592" s="7"/>
    </row>
    <row r="593" spans="1:36" x14ac:dyDescent="0.35">
      <c r="AJ593" s="7"/>
    </row>
    <row r="594" spans="1:36" x14ac:dyDescent="0.35">
      <c r="A594" s="17" t="s">
        <v>207</v>
      </c>
      <c r="B594" s="17"/>
      <c r="C594" s="18" t="s">
        <v>122</v>
      </c>
      <c r="D594" s="18" t="s">
        <v>123</v>
      </c>
      <c r="E594" s="18" t="s">
        <v>124</v>
      </c>
      <c r="F594" s="18" t="s">
        <v>125</v>
      </c>
      <c r="G594" s="18" t="s">
        <v>126</v>
      </c>
      <c r="H594" s="18" t="s">
        <v>127</v>
      </c>
      <c r="I594" s="18" t="s">
        <v>128</v>
      </c>
      <c r="J594" s="18" t="s">
        <v>129</v>
      </c>
      <c r="K594" s="18" t="s">
        <v>130</v>
      </c>
      <c r="L594" s="18" t="s">
        <v>131</v>
      </c>
      <c r="M594" s="18" t="s">
        <v>132</v>
      </c>
      <c r="N594" s="18" t="s">
        <v>133</v>
      </c>
      <c r="O594" s="18" t="s">
        <v>134</v>
      </c>
      <c r="P594" s="18" t="s">
        <v>135</v>
      </c>
      <c r="Q594" s="18" t="s">
        <v>136</v>
      </c>
      <c r="R594" s="18" t="s">
        <v>137</v>
      </c>
      <c r="S594" s="18" t="s">
        <v>138</v>
      </c>
      <c r="T594" s="18" t="s">
        <v>139</v>
      </c>
      <c r="U594" s="18" t="s">
        <v>140</v>
      </c>
      <c r="V594" s="18" t="s">
        <v>141</v>
      </c>
      <c r="W594" s="18" t="s">
        <v>142</v>
      </c>
      <c r="X594" s="18" t="s">
        <v>143</v>
      </c>
      <c r="Y594" s="18" t="s">
        <v>144</v>
      </c>
      <c r="Z594" s="18" t="s">
        <v>145</v>
      </c>
      <c r="AA594" s="18" t="s">
        <v>146</v>
      </c>
      <c r="AB594" s="18" t="s">
        <v>147</v>
      </c>
      <c r="AC594" s="18" t="s">
        <v>148</v>
      </c>
      <c r="AD594" s="18" t="s">
        <v>149</v>
      </c>
      <c r="AE594" s="18" t="s">
        <v>150</v>
      </c>
      <c r="AF594" s="18" t="s">
        <v>151</v>
      </c>
      <c r="AG594" s="18" t="s">
        <v>152</v>
      </c>
      <c r="AH594" s="18" t="s">
        <v>153</v>
      </c>
      <c r="AI594" s="18" t="s">
        <v>154</v>
      </c>
      <c r="AJ594" s="7"/>
    </row>
    <row r="595" spans="1:36" x14ac:dyDescent="0.35">
      <c r="A595" s="17" t="s">
        <v>208</v>
      </c>
      <c r="B595" s="17"/>
      <c r="C595" s="19">
        <f>COUNTIFS(B$4:B$63,B592,$AI$4:$AI$63,"YES")</f>
        <v>0</v>
      </c>
      <c r="D595" s="19">
        <f>COUNTIFS(C$4:C$63,C592,$AI$4:$AI$63,"YES")</f>
        <v>0</v>
      </c>
      <c r="E595" s="19">
        <f t="shared" ref="E595:AJ595" si="148">COUNTIFS(D$4:D$63,D592,$AI$4:$AI$63,"YES")</f>
        <v>1</v>
      </c>
      <c r="F595" s="19">
        <f t="shared" si="148"/>
        <v>0</v>
      </c>
      <c r="G595" s="19">
        <f t="shared" si="148"/>
        <v>0</v>
      </c>
      <c r="H595" s="19">
        <f t="shared" si="148"/>
        <v>0</v>
      </c>
      <c r="I595" s="19">
        <f t="shared" si="148"/>
        <v>0</v>
      </c>
      <c r="J595" s="19">
        <f t="shared" si="148"/>
        <v>0</v>
      </c>
      <c r="K595" s="19">
        <f t="shared" si="148"/>
        <v>0</v>
      </c>
      <c r="L595" s="19">
        <f t="shared" si="148"/>
        <v>0</v>
      </c>
      <c r="M595" s="19">
        <f t="shared" si="148"/>
        <v>0</v>
      </c>
      <c r="N595" s="19">
        <f t="shared" si="148"/>
        <v>0</v>
      </c>
      <c r="O595" s="19">
        <f t="shared" si="148"/>
        <v>0</v>
      </c>
      <c r="P595" s="19">
        <f t="shared" si="148"/>
        <v>0</v>
      </c>
      <c r="Q595" s="19">
        <f t="shared" si="148"/>
        <v>0</v>
      </c>
      <c r="R595" s="19">
        <f t="shared" si="148"/>
        <v>0</v>
      </c>
      <c r="S595" s="19">
        <f t="shared" si="148"/>
        <v>0</v>
      </c>
      <c r="T595" s="19">
        <f t="shared" si="148"/>
        <v>0</v>
      </c>
      <c r="U595" s="19">
        <f t="shared" si="148"/>
        <v>0</v>
      </c>
      <c r="V595" s="19">
        <f t="shared" si="148"/>
        <v>4</v>
      </c>
      <c r="W595" s="19">
        <f t="shared" si="148"/>
        <v>4</v>
      </c>
      <c r="X595" s="19">
        <f t="shared" si="148"/>
        <v>0</v>
      </c>
      <c r="Y595" s="19">
        <f t="shared" si="148"/>
        <v>4</v>
      </c>
      <c r="Z595" s="19">
        <f t="shared" si="148"/>
        <v>0</v>
      </c>
      <c r="AA595" s="19">
        <f t="shared" si="148"/>
        <v>0</v>
      </c>
      <c r="AB595" s="19">
        <f t="shared" si="148"/>
        <v>0</v>
      </c>
      <c r="AC595" s="19">
        <f t="shared" si="148"/>
        <v>4</v>
      </c>
      <c r="AD595" s="19">
        <f t="shared" si="148"/>
        <v>4</v>
      </c>
      <c r="AE595" s="19">
        <f t="shared" si="148"/>
        <v>4</v>
      </c>
      <c r="AF595" s="19">
        <f t="shared" si="148"/>
        <v>4</v>
      </c>
      <c r="AG595" s="19">
        <f t="shared" si="148"/>
        <v>0</v>
      </c>
      <c r="AH595" s="19">
        <f t="shared" si="148"/>
        <v>4</v>
      </c>
      <c r="AI595" s="19">
        <f t="shared" si="148"/>
        <v>1</v>
      </c>
      <c r="AJ595" s="20"/>
    </row>
    <row r="596" spans="1:36" x14ac:dyDescent="0.35">
      <c r="A596" s="17" t="s">
        <v>209</v>
      </c>
      <c r="B596" s="17"/>
      <c r="C596" s="19">
        <f>COUNTIFS(B$4:B$63,B592,$AI$4:$AI$63,"NO")</f>
        <v>10</v>
      </c>
      <c r="D596" s="19">
        <f t="shared" ref="D596:AI596" si="149">COUNTIFS(C$4:C$63,C592,$AI$4:$AI$63,"NO")</f>
        <v>6</v>
      </c>
      <c r="E596" s="19">
        <f t="shared" si="149"/>
        <v>26</v>
      </c>
      <c r="F596" s="19">
        <f t="shared" si="149"/>
        <v>6</v>
      </c>
      <c r="G596" s="19">
        <f t="shared" si="149"/>
        <v>6</v>
      </c>
      <c r="H596" s="19">
        <f t="shared" si="149"/>
        <v>9</v>
      </c>
      <c r="I596" s="19">
        <f t="shared" si="149"/>
        <v>6</v>
      </c>
      <c r="J596" s="19">
        <f t="shared" si="149"/>
        <v>7</v>
      </c>
      <c r="K596" s="19">
        <f t="shared" si="149"/>
        <v>6</v>
      </c>
      <c r="L596" s="19">
        <f t="shared" si="149"/>
        <v>6</v>
      </c>
      <c r="M596" s="19">
        <f t="shared" si="149"/>
        <v>6</v>
      </c>
      <c r="N596" s="19">
        <f t="shared" si="149"/>
        <v>12</v>
      </c>
      <c r="O596" s="19">
        <f t="shared" si="149"/>
        <v>6</v>
      </c>
      <c r="P596" s="19">
        <f t="shared" si="149"/>
        <v>6</v>
      </c>
      <c r="Q596" s="19">
        <f t="shared" si="149"/>
        <v>7</v>
      </c>
      <c r="R596" s="19">
        <f t="shared" si="149"/>
        <v>6</v>
      </c>
      <c r="S596" s="19">
        <f t="shared" si="149"/>
        <v>6</v>
      </c>
      <c r="T596" s="19">
        <f t="shared" si="149"/>
        <v>6</v>
      </c>
      <c r="U596" s="19">
        <f t="shared" si="149"/>
        <v>6</v>
      </c>
      <c r="V596" s="19">
        <f t="shared" si="149"/>
        <v>56</v>
      </c>
      <c r="W596" s="19">
        <f t="shared" si="149"/>
        <v>56</v>
      </c>
      <c r="X596" s="19">
        <f t="shared" si="149"/>
        <v>6</v>
      </c>
      <c r="Y596" s="19">
        <f t="shared" si="149"/>
        <v>56</v>
      </c>
      <c r="Z596" s="19">
        <f t="shared" si="149"/>
        <v>6</v>
      </c>
      <c r="AA596" s="19">
        <f t="shared" si="149"/>
        <v>6</v>
      </c>
      <c r="AB596" s="19">
        <f t="shared" si="149"/>
        <v>6</v>
      </c>
      <c r="AC596" s="19">
        <f t="shared" si="149"/>
        <v>56</v>
      </c>
      <c r="AD596" s="19">
        <f t="shared" si="149"/>
        <v>56</v>
      </c>
      <c r="AE596" s="19">
        <f t="shared" si="149"/>
        <v>56</v>
      </c>
      <c r="AF596" s="19">
        <f t="shared" si="149"/>
        <v>56</v>
      </c>
      <c r="AG596" s="19">
        <f t="shared" si="149"/>
        <v>6</v>
      </c>
      <c r="AH596" s="19">
        <f t="shared" si="149"/>
        <v>56</v>
      </c>
      <c r="AI596" s="19">
        <f t="shared" si="149"/>
        <v>30</v>
      </c>
      <c r="AJ596" s="20"/>
    </row>
    <row r="597" spans="1:36" x14ac:dyDescent="0.35">
      <c r="A597" s="17" t="s">
        <v>210</v>
      </c>
      <c r="B597" s="18" t="s">
        <v>208</v>
      </c>
      <c r="C597" s="19">
        <f>C595/$B$108</f>
        <v>0</v>
      </c>
      <c r="D597" s="19">
        <f t="shared" ref="D597:AI597" si="150">D595/$B$108</f>
        <v>0</v>
      </c>
      <c r="E597" s="19">
        <f t="shared" si="150"/>
        <v>15</v>
      </c>
      <c r="F597" s="19">
        <f t="shared" si="150"/>
        <v>0</v>
      </c>
      <c r="G597" s="19">
        <f t="shared" si="150"/>
        <v>0</v>
      </c>
      <c r="H597" s="19">
        <f t="shared" si="150"/>
        <v>0</v>
      </c>
      <c r="I597" s="19">
        <f t="shared" si="150"/>
        <v>0</v>
      </c>
      <c r="J597" s="19">
        <f t="shared" si="150"/>
        <v>0</v>
      </c>
      <c r="K597" s="19">
        <f t="shared" si="150"/>
        <v>0</v>
      </c>
      <c r="L597" s="19">
        <f t="shared" si="150"/>
        <v>0</v>
      </c>
      <c r="M597" s="19">
        <f t="shared" si="150"/>
        <v>0</v>
      </c>
      <c r="N597" s="19">
        <f t="shared" si="150"/>
        <v>0</v>
      </c>
      <c r="O597" s="19">
        <f t="shared" si="150"/>
        <v>0</v>
      </c>
      <c r="P597" s="19">
        <f t="shared" si="150"/>
        <v>0</v>
      </c>
      <c r="Q597" s="19">
        <f t="shared" si="150"/>
        <v>0</v>
      </c>
      <c r="R597" s="19">
        <f t="shared" si="150"/>
        <v>0</v>
      </c>
      <c r="S597" s="19">
        <f t="shared" si="150"/>
        <v>0</v>
      </c>
      <c r="T597" s="19">
        <f t="shared" si="150"/>
        <v>0</v>
      </c>
      <c r="U597" s="19">
        <f t="shared" si="150"/>
        <v>0</v>
      </c>
      <c r="V597" s="19">
        <f t="shared" si="150"/>
        <v>60</v>
      </c>
      <c r="W597" s="19">
        <f t="shared" si="150"/>
        <v>60</v>
      </c>
      <c r="X597" s="19">
        <f t="shared" si="150"/>
        <v>0</v>
      </c>
      <c r="Y597" s="19">
        <f t="shared" si="150"/>
        <v>60</v>
      </c>
      <c r="Z597" s="19">
        <f t="shared" si="150"/>
        <v>0</v>
      </c>
      <c r="AA597" s="19">
        <f t="shared" si="150"/>
        <v>0</v>
      </c>
      <c r="AB597" s="19">
        <f t="shared" si="150"/>
        <v>0</v>
      </c>
      <c r="AC597" s="19">
        <f t="shared" si="150"/>
        <v>60</v>
      </c>
      <c r="AD597" s="19">
        <f t="shared" si="150"/>
        <v>60</v>
      </c>
      <c r="AE597" s="19">
        <f t="shared" si="150"/>
        <v>60</v>
      </c>
      <c r="AF597" s="19">
        <f t="shared" si="150"/>
        <v>60</v>
      </c>
      <c r="AG597" s="19">
        <f t="shared" si="150"/>
        <v>0</v>
      </c>
      <c r="AH597" s="19">
        <f t="shared" si="150"/>
        <v>60</v>
      </c>
      <c r="AI597" s="19">
        <f t="shared" si="150"/>
        <v>15</v>
      </c>
      <c r="AJ597" s="19">
        <f>C597*D597*E597*F597*G597*H597*I597*J597*K597*L597*M597*N597*O597*P597*Q597*R597*S597*T597*U597*V597*W597*X597*Y597*Z597*AA597*AB597*AC597*AD597*AE597*AF597*AG597*AH597*AI597</f>
        <v>0</v>
      </c>
    </row>
    <row r="598" spans="1:36" x14ac:dyDescent="0.35">
      <c r="A598" s="17"/>
      <c r="B598" s="18" t="s">
        <v>209</v>
      </c>
      <c r="C598" s="19">
        <f>C596/$C$108</f>
        <v>10.714285714285714</v>
      </c>
      <c r="D598" s="19">
        <f t="shared" ref="D598:AI598" si="151">D596/$C$108</f>
        <v>6.4285714285714288</v>
      </c>
      <c r="E598" s="19">
        <f t="shared" si="151"/>
        <v>27.857142857142858</v>
      </c>
      <c r="F598" s="19">
        <f t="shared" si="151"/>
        <v>6.4285714285714288</v>
      </c>
      <c r="G598" s="19">
        <f t="shared" si="151"/>
        <v>6.4285714285714288</v>
      </c>
      <c r="H598" s="19">
        <f t="shared" si="151"/>
        <v>9.6428571428571423</v>
      </c>
      <c r="I598" s="19">
        <f t="shared" si="151"/>
        <v>6.4285714285714288</v>
      </c>
      <c r="J598" s="19">
        <f t="shared" si="151"/>
        <v>7.5</v>
      </c>
      <c r="K598" s="19">
        <f t="shared" si="151"/>
        <v>6.4285714285714288</v>
      </c>
      <c r="L598" s="19">
        <f t="shared" si="151"/>
        <v>6.4285714285714288</v>
      </c>
      <c r="M598" s="19">
        <f t="shared" si="151"/>
        <v>6.4285714285714288</v>
      </c>
      <c r="N598" s="19">
        <f t="shared" si="151"/>
        <v>12.857142857142858</v>
      </c>
      <c r="O598" s="19">
        <f t="shared" si="151"/>
        <v>6.4285714285714288</v>
      </c>
      <c r="P598" s="19">
        <f t="shared" si="151"/>
        <v>6.4285714285714288</v>
      </c>
      <c r="Q598" s="19">
        <f t="shared" si="151"/>
        <v>7.5</v>
      </c>
      <c r="R598" s="19">
        <f t="shared" si="151"/>
        <v>6.4285714285714288</v>
      </c>
      <c r="S598" s="19">
        <f t="shared" si="151"/>
        <v>6.4285714285714288</v>
      </c>
      <c r="T598" s="19">
        <f t="shared" si="151"/>
        <v>6.4285714285714288</v>
      </c>
      <c r="U598" s="19">
        <f t="shared" si="151"/>
        <v>6.4285714285714288</v>
      </c>
      <c r="V598" s="19">
        <f t="shared" si="151"/>
        <v>60</v>
      </c>
      <c r="W598" s="19">
        <f t="shared" si="151"/>
        <v>60</v>
      </c>
      <c r="X598" s="19">
        <f t="shared" si="151"/>
        <v>6.4285714285714288</v>
      </c>
      <c r="Y598" s="19">
        <f t="shared" si="151"/>
        <v>60</v>
      </c>
      <c r="Z598" s="19">
        <f t="shared" si="151"/>
        <v>6.4285714285714288</v>
      </c>
      <c r="AA598" s="19">
        <f t="shared" si="151"/>
        <v>6.4285714285714288</v>
      </c>
      <c r="AB598" s="19">
        <f t="shared" si="151"/>
        <v>6.4285714285714288</v>
      </c>
      <c r="AC598" s="19">
        <f t="shared" si="151"/>
        <v>60</v>
      </c>
      <c r="AD598" s="19">
        <f t="shared" si="151"/>
        <v>60</v>
      </c>
      <c r="AE598" s="19">
        <f t="shared" si="151"/>
        <v>60</v>
      </c>
      <c r="AF598" s="19">
        <f t="shared" si="151"/>
        <v>60</v>
      </c>
      <c r="AG598" s="19">
        <f t="shared" si="151"/>
        <v>6.4285714285714288</v>
      </c>
      <c r="AH598" s="19">
        <f t="shared" si="151"/>
        <v>60</v>
      </c>
      <c r="AI598" s="19">
        <f t="shared" si="151"/>
        <v>32.142857142857139</v>
      </c>
      <c r="AJ598" s="19">
        <f>C598*D598*E598*F598*G598*H598*I598*J598*K598*L598*M598*N598*O598*P598*Q598*R598*S598*T598*U598*V598*W598*X598*Y598*Z598*AA598*AB598*AC598*AD598*AE598*AF598*AG598*AH598*AI598</f>
        <v>3.9511865301379321E+36</v>
      </c>
    </row>
    <row r="599" spans="1:36" x14ac:dyDescent="0.35">
      <c r="A599" s="21"/>
      <c r="B599" s="21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20"/>
    </row>
    <row r="600" spans="1:36" x14ac:dyDescent="0.35">
      <c r="A600" s="22" t="s">
        <v>211</v>
      </c>
      <c r="B600" s="23"/>
      <c r="C600" s="24" t="s">
        <v>212</v>
      </c>
      <c r="D600" s="20"/>
      <c r="E600" s="20"/>
      <c r="F600" s="20"/>
      <c r="G600" s="20"/>
      <c r="H600" s="20"/>
      <c r="I600" s="20"/>
      <c r="J600" s="20"/>
      <c r="K600" s="20"/>
      <c r="L600" s="2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20"/>
    </row>
    <row r="601" spans="1:36" x14ac:dyDescent="0.35">
      <c r="A601" s="25" t="s">
        <v>208</v>
      </c>
      <c r="B601" s="26">
        <f>AJ597*$B$108</f>
        <v>0</v>
      </c>
      <c r="C601" s="27" t="str">
        <f>IF(B601&gt;B602,A601,A602)</f>
        <v>No</v>
      </c>
      <c r="D601" s="20"/>
      <c r="E601" s="20"/>
      <c r="F601" s="20"/>
      <c r="G601" s="20"/>
      <c r="H601" s="20"/>
      <c r="I601" s="20"/>
      <c r="J601" s="20"/>
      <c r="K601" s="20"/>
      <c r="L601" s="2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20"/>
    </row>
    <row r="602" spans="1:36" x14ac:dyDescent="0.35">
      <c r="A602" s="25" t="s">
        <v>209</v>
      </c>
      <c r="B602" s="26">
        <f>AJ598*$C$108</f>
        <v>3.6877740947954033E+36</v>
      </c>
      <c r="C602" s="28"/>
      <c r="D602" s="20"/>
      <c r="E602" s="20"/>
      <c r="F602" s="20"/>
      <c r="G602" s="20"/>
      <c r="H602" s="20"/>
      <c r="I602" s="20"/>
      <c r="J602" s="20"/>
      <c r="K602" s="20"/>
      <c r="L602" s="2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20"/>
    </row>
    <row r="604" spans="1:36" x14ac:dyDescent="0.35">
      <c r="A604" s="15"/>
      <c r="B604" s="16" t="s">
        <v>122</v>
      </c>
      <c r="C604" s="16" t="s">
        <v>123</v>
      </c>
      <c r="D604" s="16" t="s">
        <v>124</v>
      </c>
      <c r="E604" s="16" t="s">
        <v>125</v>
      </c>
      <c r="F604" s="16" t="s">
        <v>126</v>
      </c>
      <c r="G604" s="16" t="s">
        <v>127</v>
      </c>
      <c r="H604" s="16" t="s">
        <v>128</v>
      </c>
      <c r="I604" s="16" t="s">
        <v>129</v>
      </c>
      <c r="J604" s="16" t="s">
        <v>130</v>
      </c>
      <c r="K604" s="16" t="s">
        <v>131</v>
      </c>
      <c r="L604" s="16" t="s">
        <v>132</v>
      </c>
      <c r="M604" s="16" t="s">
        <v>133</v>
      </c>
      <c r="N604" s="16" t="s">
        <v>134</v>
      </c>
      <c r="O604" s="16" t="s">
        <v>135</v>
      </c>
      <c r="P604" s="16" t="s">
        <v>136</v>
      </c>
      <c r="Q604" s="16" t="s">
        <v>137</v>
      </c>
      <c r="R604" s="16" t="s">
        <v>138</v>
      </c>
      <c r="S604" s="16" t="s">
        <v>139</v>
      </c>
      <c r="T604" s="16" t="s">
        <v>140</v>
      </c>
      <c r="U604" s="16" t="s">
        <v>141</v>
      </c>
      <c r="V604" s="16" t="s">
        <v>142</v>
      </c>
      <c r="W604" s="16" t="s">
        <v>143</v>
      </c>
      <c r="X604" s="16" t="s">
        <v>144</v>
      </c>
      <c r="Y604" s="16" t="s">
        <v>145</v>
      </c>
      <c r="Z604" s="16" t="s">
        <v>146</v>
      </c>
      <c r="AA604" s="16" t="s">
        <v>147</v>
      </c>
      <c r="AB604" s="16" t="s">
        <v>148</v>
      </c>
      <c r="AC604" s="16" t="s">
        <v>149</v>
      </c>
      <c r="AD604" s="16" t="s">
        <v>150</v>
      </c>
      <c r="AE604" s="16" t="s">
        <v>151</v>
      </c>
      <c r="AF604" s="16" t="s">
        <v>152</v>
      </c>
      <c r="AG604" s="16" t="s">
        <v>153</v>
      </c>
      <c r="AH604" s="16" t="s">
        <v>154</v>
      </c>
      <c r="AI604" s="16"/>
      <c r="AJ604" s="7"/>
    </row>
    <row r="605" spans="1:36" x14ac:dyDescent="0.35">
      <c r="A605" s="9" t="s">
        <v>311</v>
      </c>
      <c r="B605" s="38">
        <v>0</v>
      </c>
      <c r="C605" s="38">
        <v>0.23765432098765399</v>
      </c>
      <c r="D605" s="38">
        <v>0.23899371069182301</v>
      </c>
      <c r="E605" s="38">
        <v>0.53703703703703698</v>
      </c>
      <c r="F605" s="38">
        <v>0.12757201646090499</v>
      </c>
      <c r="G605" s="38">
        <v>0.94805194805194803</v>
      </c>
      <c r="H605" s="38">
        <v>0.55692729766803795</v>
      </c>
      <c r="I605" s="38">
        <v>0.936708860759493</v>
      </c>
      <c r="J605" s="38">
        <v>0.407407407407407</v>
      </c>
      <c r="K605" s="38">
        <v>0.19478737997256501</v>
      </c>
      <c r="L605" s="38">
        <v>5.5555555555555497E-2</v>
      </c>
      <c r="M605" s="38">
        <v>0.158904109589041</v>
      </c>
      <c r="N605" s="38">
        <v>0.95061728395061695</v>
      </c>
      <c r="O605" s="38">
        <v>6.1728395061728301E-2</v>
      </c>
      <c r="P605" s="38">
        <v>0.189873417721519</v>
      </c>
      <c r="Q605" s="38">
        <v>0.32345679012345602</v>
      </c>
      <c r="R605" s="38">
        <v>0.98765432098765404</v>
      </c>
      <c r="S605" s="38">
        <v>0.76543209876543195</v>
      </c>
      <c r="T605" s="38">
        <v>0.97530864197530798</v>
      </c>
      <c r="U605" s="38">
        <v>1</v>
      </c>
      <c r="V605" s="38">
        <v>1</v>
      </c>
      <c r="W605" s="38">
        <v>0.11111111111111099</v>
      </c>
      <c r="X605" s="38">
        <v>1</v>
      </c>
      <c r="Y605" s="38">
        <v>0.97530864197530798</v>
      </c>
      <c r="Z605" s="38">
        <v>0.90123456790123402</v>
      </c>
      <c r="AA605" s="38">
        <v>0.44444444444444398</v>
      </c>
      <c r="AB605" s="38">
        <v>1</v>
      </c>
      <c r="AC605" s="38">
        <v>1</v>
      </c>
      <c r="AD605" s="38">
        <v>1</v>
      </c>
      <c r="AE605" s="38">
        <v>1</v>
      </c>
      <c r="AF605" s="38">
        <v>0.938271604938271</v>
      </c>
      <c r="AG605" s="38">
        <v>1</v>
      </c>
      <c r="AH605" s="38">
        <v>0.19565217391304299</v>
      </c>
      <c r="AI605" s="38" t="s">
        <v>195</v>
      </c>
      <c r="AJ605" s="7"/>
    </row>
    <row r="606" spans="1:36" x14ac:dyDescent="0.35">
      <c r="AJ606" s="7"/>
    </row>
    <row r="607" spans="1:36" x14ac:dyDescent="0.35">
      <c r="A607" s="17" t="s">
        <v>207</v>
      </c>
      <c r="B607" s="17"/>
      <c r="C607" s="18" t="s">
        <v>122</v>
      </c>
      <c r="D607" s="18" t="s">
        <v>123</v>
      </c>
      <c r="E607" s="18" t="s">
        <v>124</v>
      </c>
      <c r="F607" s="18" t="s">
        <v>125</v>
      </c>
      <c r="G607" s="18" t="s">
        <v>126</v>
      </c>
      <c r="H607" s="18" t="s">
        <v>127</v>
      </c>
      <c r="I607" s="18" t="s">
        <v>128</v>
      </c>
      <c r="J607" s="18" t="s">
        <v>129</v>
      </c>
      <c r="K607" s="18" t="s">
        <v>130</v>
      </c>
      <c r="L607" s="18" t="s">
        <v>131</v>
      </c>
      <c r="M607" s="18" t="s">
        <v>132</v>
      </c>
      <c r="N607" s="18" t="s">
        <v>133</v>
      </c>
      <c r="O607" s="18" t="s">
        <v>134</v>
      </c>
      <c r="P607" s="18" t="s">
        <v>135</v>
      </c>
      <c r="Q607" s="18" t="s">
        <v>136</v>
      </c>
      <c r="R607" s="18" t="s">
        <v>137</v>
      </c>
      <c r="S607" s="18" t="s">
        <v>138</v>
      </c>
      <c r="T607" s="18" t="s">
        <v>139</v>
      </c>
      <c r="U607" s="18" t="s">
        <v>140</v>
      </c>
      <c r="V607" s="18" t="s">
        <v>141</v>
      </c>
      <c r="W607" s="18" t="s">
        <v>142</v>
      </c>
      <c r="X607" s="18" t="s">
        <v>143</v>
      </c>
      <c r="Y607" s="18" t="s">
        <v>144</v>
      </c>
      <c r="Z607" s="18" t="s">
        <v>145</v>
      </c>
      <c r="AA607" s="18" t="s">
        <v>146</v>
      </c>
      <c r="AB607" s="18" t="s">
        <v>147</v>
      </c>
      <c r="AC607" s="18" t="s">
        <v>148</v>
      </c>
      <c r="AD607" s="18" t="s">
        <v>149</v>
      </c>
      <c r="AE607" s="18" t="s">
        <v>150</v>
      </c>
      <c r="AF607" s="18" t="s">
        <v>151</v>
      </c>
      <c r="AG607" s="18" t="s">
        <v>152</v>
      </c>
      <c r="AH607" s="18" t="s">
        <v>153</v>
      </c>
      <c r="AI607" s="18" t="s">
        <v>154</v>
      </c>
      <c r="AJ607" s="7"/>
    </row>
    <row r="608" spans="1:36" x14ac:dyDescent="0.35">
      <c r="A608" s="17" t="s">
        <v>208</v>
      </c>
      <c r="B608" s="17"/>
      <c r="C608" s="19">
        <f>COUNTIFS(B$4:B$63,B605,$AI$4:$AI$63,"YES")</f>
        <v>0</v>
      </c>
      <c r="D608" s="19">
        <f>COUNTIFS(C$4:C$63,C605,$AI$4:$AI$63,"YES")</f>
        <v>0</v>
      </c>
      <c r="E608" s="19">
        <f t="shared" ref="E608:AJ608" si="152">COUNTIFS(D$4:D$63,D605,$AI$4:$AI$63,"YES")</f>
        <v>1</v>
      </c>
      <c r="F608" s="19">
        <f t="shared" si="152"/>
        <v>0</v>
      </c>
      <c r="G608" s="19">
        <f t="shared" si="152"/>
        <v>0</v>
      </c>
      <c r="H608" s="19">
        <f t="shared" si="152"/>
        <v>0</v>
      </c>
      <c r="I608" s="19">
        <f t="shared" si="152"/>
        <v>0</v>
      </c>
      <c r="J608" s="19">
        <f t="shared" si="152"/>
        <v>0</v>
      </c>
      <c r="K608" s="19">
        <f t="shared" si="152"/>
        <v>0</v>
      </c>
      <c r="L608" s="19">
        <f t="shared" si="152"/>
        <v>0</v>
      </c>
      <c r="M608" s="19">
        <f t="shared" si="152"/>
        <v>0</v>
      </c>
      <c r="N608" s="19">
        <f t="shared" si="152"/>
        <v>0</v>
      </c>
      <c r="O608" s="19">
        <f t="shared" si="152"/>
        <v>0</v>
      </c>
      <c r="P608" s="19">
        <f t="shared" si="152"/>
        <v>0</v>
      </c>
      <c r="Q608" s="19">
        <f t="shared" si="152"/>
        <v>0</v>
      </c>
      <c r="R608" s="19">
        <f t="shared" si="152"/>
        <v>0</v>
      </c>
      <c r="S608" s="19">
        <f t="shared" si="152"/>
        <v>0</v>
      </c>
      <c r="T608" s="19">
        <f t="shared" si="152"/>
        <v>0</v>
      </c>
      <c r="U608" s="19">
        <f t="shared" si="152"/>
        <v>0</v>
      </c>
      <c r="V608" s="19">
        <f t="shared" si="152"/>
        <v>4</v>
      </c>
      <c r="W608" s="19">
        <f t="shared" si="152"/>
        <v>4</v>
      </c>
      <c r="X608" s="19">
        <f t="shared" si="152"/>
        <v>0</v>
      </c>
      <c r="Y608" s="19">
        <f t="shared" si="152"/>
        <v>4</v>
      </c>
      <c r="Z608" s="19">
        <f t="shared" si="152"/>
        <v>0</v>
      </c>
      <c r="AA608" s="19">
        <f t="shared" si="152"/>
        <v>0</v>
      </c>
      <c r="AB608" s="19">
        <f t="shared" si="152"/>
        <v>0</v>
      </c>
      <c r="AC608" s="19">
        <f t="shared" si="152"/>
        <v>4</v>
      </c>
      <c r="AD608" s="19">
        <f t="shared" si="152"/>
        <v>4</v>
      </c>
      <c r="AE608" s="19">
        <f t="shared" si="152"/>
        <v>4</v>
      </c>
      <c r="AF608" s="19">
        <f t="shared" si="152"/>
        <v>4</v>
      </c>
      <c r="AG608" s="19">
        <f t="shared" si="152"/>
        <v>0</v>
      </c>
      <c r="AH608" s="19">
        <f t="shared" si="152"/>
        <v>4</v>
      </c>
      <c r="AI608" s="19">
        <f t="shared" si="152"/>
        <v>1</v>
      </c>
      <c r="AJ608" s="20"/>
    </row>
    <row r="609" spans="1:36" x14ac:dyDescent="0.35">
      <c r="A609" s="17" t="s">
        <v>209</v>
      </c>
      <c r="B609" s="17"/>
      <c r="C609" s="19">
        <f>COUNTIFS(B$4:B$63,B605,$AI$4:$AI$63,"NO")</f>
        <v>10</v>
      </c>
      <c r="D609" s="19">
        <f t="shared" ref="D609:AI609" si="153">COUNTIFS(C$4:C$63,C605,$AI$4:$AI$63,"NO")</f>
        <v>6</v>
      </c>
      <c r="E609" s="19">
        <f t="shared" si="153"/>
        <v>26</v>
      </c>
      <c r="F609" s="19">
        <f t="shared" si="153"/>
        <v>6</v>
      </c>
      <c r="G609" s="19">
        <f t="shared" si="153"/>
        <v>6</v>
      </c>
      <c r="H609" s="19">
        <f t="shared" si="153"/>
        <v>9</v>
      </c>
      <c r="I609" s="19">
        <f t="shared" si="153"/>
        <v>6</v>
      </c>
      <c r="J609" s="19">
        <f t="shared" si="153"/>
        <v>7</v>
      </c>
      <c r="K609" s="19">
        <f t="shared" si="153"/>
        <v>6</v>
      </c>
      <c r="L609" s="19">
        <f t="shared" si="153"/>
        <v>6</v>
      </c>
      <c r="M609" s="19">
        <f t="shared" si="153"/>
        <v>6</v>
      </c>
      <c r="N609" s="19">
        <f t="shared" si="153"/>
        <v>12</v>
      </c>
      <c r="O609" s="19">
        <f t="shared" si="153"/>
        <v>6</v>
      </c>
      <c r="P609" s="19">
        <f t="shared" si="153"/>
        <v>6</v>
      </c>
      <c r="Q609" s="19">
        <f t="shared" si="153"/>
        <v>7</v>
      </c>
      <c r="R609" s="19">
        <f t="shared" si="153"/>
        <v>6</v>
      </c>
      <c r="S609" s="19">
        <f t="shared" si="153"/>
        <v>6</v>
      </c>
      <c r="T609" s="19">
        <f t="shared" si="153"/>
        <v>6</v>
      </c>
      <c r="U609" s="19">
        <f t="shared" si="153"/>
        <v>6</v>
      </c>
      <c r="V609" s="19">
        <f t="shared" si="153"/>
        <v>56</v>
      </c>
      <c r="W609" s="19">
        <f t="shared" si="153"/>
        <v>56</v>
      </c>
      <c r="X609" s="19">
        <f t="shared" si="153"/>
        <v>6</v>
      </c>
      <c r="Y609" s="19">
        <f t="shared" si="153"/>
        <v>56</v>
      </c>
      <c r="Z609" s="19">
        <f t="shared" si="153"/>
        <v>6</v>
      </c>
      <c r="AA609" s="19">
        <f t="shared" si="153"/>
        <v>6</v>
      </c>
      <c r="AB609" s="19">
        <f t="shared" si="153"/>
        <v>6</v>
      </c>
      <c r="AC609" s="19">
        <f t="shared" si="153"/>
        <v>56</v>
      </c>
      <c r="AD609" s="19">
        <f t="shared" si="153"/>
        <v>56</v>
      </c>
      <c r="AE609" s="19">
        <f t="shared" si="153"/>
        <v>56</v>
      </c>
      <c r="AF609" s="19">
        <f t="shared" si="153"/>
        <v>56</v>
      </c>
      <c r="AG609" s="19">
        <f t="shared" si="153"/>
        <v>6</v>
      </c>
      <c r="AH609" s="19">
        <f t="shared" si="153"/>
        <v>56</v>
      </c>
      <c r="AI609" s="19">
        <f t="shared" si="153"/>
        <v>30</v>
      </c>
      <c r="AJ609" s="20"/>
    </row>
    <row r="610" spans="1:36" x14ac:dyDescent="0.35">
      <c r="A610" s="17" t="s">
        <v>210</v>
      </c>
      <c r="B610" s="18" t="s">
        <v>208</v>
      </c>
      <c r="C610" s="19">
        <f>C608/$B$108</f>
        <v>0</v>
      </c>
      <c r="D610" s="19">
        <f t="shared" ref="D610:AI610" si="154">D608/$B$108</f>
        <v>0</v>
      </c>
      <c r="E610" s="19">
        <f t="shared" si="154"/>
        <v>15</v>
      </c>
      <c r="F610" s="19">
        <f t="shared" si="154"/>
        <v>0</v>
      </c>
      <c r="G610" s="19">
        <f t="shared" si="154"/>
        <v>0</v>
      </c>
      <c r="H610" s="19">
        <f t="shared" si="154"/>
        <v>0</v>
      </c>
      <c r="I610" s="19">
        <f t="shared" si="154"/>
        <v>0</v>
      </c>
      <c r="J610" s="19">
        <f t="shared" si="154"/>
        <v>0</v>
      </c>
      <c r="K610" s="19">
        <f t="shared" si="154"/>
        <v>0</v>
      </c>
      <c r="L610" s="19">
        <f t="shared" si="154"/>
        <v>0</v>
      </c>
      <c r="M610" s="19">
        <f t="shared" si="154"/>
        <v>0</v>
      </c>
      <c r="N610" s="19">
        <f t="shared" si="154"/>
        <v>0</v>
      </c>
      <c r="O610" s="19">
        <f t="shared" si="154"/>
        <v>0</v>
      </c>
      <c r="P610" s="19">
        <f t="shared" si="154"/>
        <v>0</v>
      </c>
      <c r="Q610" s="19">
        <f t="shared" si="154"/>
        <v>0</v>
      </c>
      <c r="R610" s="19">
        <f t="shared" si="154"/>
        <v>0</v>
      </c>
      <c r="S610" s="19">
        <f t="shared" si="154"/>
        <v>0</v>
      </c>
      <c r="T610" s="19">
        <f t="shared" si="154"/>
        <v>0</v>
      </c>
      <c r="U610" s="19">
        <f t="shared" si="154"/>
        <v>0</v>
      </c>
      <c r="V610" s="19">
        <f t="shared" si="154"/>
        <v>60</v>
      </c>
      <c r="W610" s="19">
        <f t="shared" si="154"/>
        <v>60</v>
      </c>
      <c r="X610" s="19">
        <f t="shared" si="154"/>
        <v>0</v>
      </c>
      <c r="Y610" s="19">
        <f t="shared" si="154"/>
        <v>60</v>
      </c>
      <c r="Z610" s="19">
        <f t="shared" si="154"/>
        <v>0</v>
      </c>
      <c r="AA610" s="19">
        <f t="shared" si="154"/>
        <v>0</v>
      </c>
      <c r="AB610" s="19">
        <f t="shared" si="154"/>
        <v>0</v>
      </c>
      <c r="AC610" s="19">
        <f t="shared" si="154"/>
        <v>60</v>
      </c>
      <c r="AD610" s="19">
        <f t="shared" si="154"/>
        <v>60</v>
      </c>
      <c r="AE610" s="19">
        <f t="shared" si="154"/>
        <v>60</v>
      </c>
      <c r="AF610" s="19">
        <f t="shared" si="154"/>
        <v>60</v>
      </c>
      <c r="AG610" s="19">
        <f t="shared" si="154"/>
        <v>0</v>
      </c>
      <c r="AH610" s="19">
        <f t="shared" si="154"/>
        <v>60</v>
      </c>
      <c r="AI610" s="19">
        <f t="shared" si="154"/>
        <v>15</v>
      </c>
      <c r="AJ610" s="19">
        <f>C610*D610*E610*F610*G610*H610*I610*J610*K610*L610*M610*N610*O610*P610*Q610*R610*S610*T610*U610*V610*W610*X610*Y610*Z610*AA610*AB610*AC610*AD610*AE610*AF610*AG610*AH610*AI610</f>
        <v>0</v>
      </c>
    </row>
    <row r="611" spans="1:36" x14ac:dyDescent="0.35">
      <c r="A611" s="17"/>
      <c r="B611" s="18" t="s">
        <v>209</v>
      </c>
      <c r="C611" s="19">
        <f>C609/$C$108</f>
        <v>10.714285714285714</v>
      </c>
      <c r="D611" s="19">
        <f t="shared" ref="D611:AI611" si="155">D609/$C$108</f>
        <v>6.4285714285714288</v>
      </c>
      <c r="E611" s="19">
        <f t="shared" si="155"/>
        <v>27.857142857142858</v>
      </c>
      <c r="F611" s="19">
        <f t="shared" si="155"/>
        <v>6.4285714285714288</v>
      </c>
      <c r="G611" s="19">
        <f t="shared" si="155"/>
        <v>6.4285714285714288</v>
      </c>
      <c r="H611" s="19">
        <f t="shared" si="155"/>
        <v>9.6428571428571423</v>
      </c>
      <c r="I611" s="19">
        <f t="shared" si="155"/>
        <v>6.4285714285714288</v>
      </c>
      <c r="J611" s="19">
        <f t="shared" si="155"/>
        <v>7.5</v>
      </c>
      <c r="K611" s="19">
        <f t="shared" si="155"/>
        <v>6.4285714285714288</v>
      </c>
      <c r="L611" s="19">
        <f t="shared" si="155"/>
        <v>6.4285714285714288</v>
      </c>
      <c r="M611" s="19">
        <f t="shared" si="155"/>
        <v>6.4285714285714288</v>
      </c>
      <c r="N611" s="19">
        <f t="shared" si="155"/>
        <v>12.857142857142858</v>
      </c>
      <c r="O611" s="19">
        <f t="shared" si="155"/>
        <v>6.4285714285714288</v>
      </c>
      <c r="P611" s="19">
        <f t="shared" si="155"/>
        <v>6.4285714285714288</v>
      </c>
      <c r="Q611" s="19">
        <f t="shared" si="155"/>
        <v>7.5</v>
      </c>
      <c r="R611" s="19">
        <f t="shared" si="155"/>
        <v>6.4285714285714288</v>
      </c>
      <c r="S611" s="19">
        <f t="shared" si="155"/>
        <v>6.4285714285714288</v>
      </c>
      <c r="T611" s="19">
        <f t="shared" si="155"/>
        <v>6.4285714285714288</v>
      </c>
      <c r="U611" s="19">
        <f t="shared" si="155"/>
        <v>6.4285714285714288</v>
      </c>
      <c r="V611" s="19">
        <f t="shared" si="155"/>
        <v>60</v>
      </c>
      <c r="W611" s="19">
        <f t="shared" si="155"/>
        <v>60</v>
      </c>
      <c r="X611" s="19">
        <f t="shared" si="155"/>
        <v>6.4285714285714288</v>
      </c>
      <c r="Y611" s="19">
        <f t="shared" si="155"/>
        <v>60</v>
      </c>
      <c r="Z611" s="19">
        <f t="shared" si="155"/>
        <v>6.4285714285714288</v>
      </c>
      <c r="AA611" s="19">
        <f t="shared" si="155"/>
        <v>6.4285714285714288</v>
      </c>
      <c r="AB611" s="19">
        <f t="shared" si="155"/>
        <v>6.4285714285714288</v>
      </c>
      <c r="AC611" s="19">
        <f t="shared" si="155"/>
        <v>60</v>
      </c>
      <c r="AD611" s="19">
        <f t="shared" si="155"/>
        <v>60</v>
      </c>
      <c r="AE611" s="19">
        <f t="shared" si="155"/>
        <v>60</v>
      </c>
      <c r="AF611" s="19">
        <f t="shared" si="155"/>
        <v>60</v>
      </c>
      <c r="AG611" s="19">
        <f t="shared" si="155"/>
        <v>6.4285714285714288</v>
      </c>
      <c r="AH611" s="19">
        <f t="shared" si="155"/>
        <v>60</v>
      </c>
      <c r="AI611" s="19">
        <f t="shared" si="155"/>
        <v>32.142857142857139</v>
      </c>
      <c r="AJ611" s="19">
        <f>C611*D611*E611*F611*G611*H611*I611*J611*K611*L611*M611*N611*O611*P611*Q611*R611*S611*T611*U611*V611*W611*X611*Y611*Z611*AA611*AB611*AC611*AD611*AE611*AF611*AG611*AH611*AI611</f>
        <v>3.9511865301379321E+36</v>
      </c>
    </row>
    <row r="612" spans="1:36" x14ac:dyDescent="0.35">
      <c r="A612" s="21"/>
      <c r="B612" s="21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20"/>
    </row>
    <row r="613" spans="1:36" x14ac:dyDescent="0.35">
      <c r="A613" s="22" t="s">
        <v>211</v>
      </c>
      <c r="B613" s="23"/>
      <c r="C613" s="24" t="s">
        <v>212</v>
      </c>
      <c r="D613" s="20"/>
      <c r="E613" s="20"/>
      <c r="F613" s="20"/>
      <c r="G613" s="20"/>
      <c r="H613" s="20"/>
      <c r="I613" s="20"/>
      <c r="J613" s="20"/>
      <c r="K613" s="20"/>
      <c r="L613" s="2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20"/>
    </row>
    <row r="614" spans="1:36" x14ac:dyDescent="0.35">
      <c r="A614" s="25" t="s">
        <v>208</v>
      </c>
      <c r="B614" s="26">
        <f>AJ610*$B$108</f>
        <v>0</v>
      </c>
      <c r="C614" s="27" t="str">
        <f>IF(B614&gt;B615,A614,A615)</f>
        <v>No</v>
      </c>
      <c r="D614" s="20"/>
      <c r="E614" s="20"/>
      <c r="F614" s="20"/>
      <c r="G614" s="20"/>
      <c r="H614" s="20"/>
      <c r="I614" s="20"/>
      <c r="J614" s="20"/>
      <c r="K614" s="20"/>
      <c r="L614" s="2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20"/>
    </row>
    <row r="615" spans="1:36" x14ac:dyDescent="0.35">
      <c r="A615" s="25" t="s">
        <v>209</v>
      </c>
      <c r="B615" s="26">
        <f>AJ611*$C$108</f>
        <v>3.6877740947954033E+36</v>
      </c>
      <c r="C615" s="28"/>
      <c r="D615" s="20"/>
      <c r="E615" s="20"/>
      <c r="F615" s="20"/>
      <c r="G615" s="20"/>
      <c r="H615" s="20"/>
      <c r="I615" s="20"/>
      <c r="J615" s="20"/>
      <c r="K615" s="20"/>
      <c r="L615" s="2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20"/>
    </row>
    <row r="617" spans="1:36" x14ac:dyDescent="0.35">
      <c r="A617" s="15"/>
      <c r="B617" s="16" t="s">
        <v>122</v>
      </c>
      <c r="C617" s="16" t="s">
        <v>123</v>
      </c>
      <c r="D617" s="16" t="s">
        <v>124</v>
      </c>
      <c r="E617" s="16" t="s">
        <v>125</v>
      </c>
      <c r="F617" s="16" t="s">
        <v>126</v>
      </c>
      <c r="G617" s="16" t="s">
        <v>127</v>
      </c>
      <c r="H617" s="16" t="s">
        <v>128</v>
      </c>
      <c r="I617" s="16" t="s">
        <v>129</v>
      </c>
      <c r="J617" s="16" t="s">
        <v>130</v>
      </c>
      <c r="K617" s="16" t="s">
        <v>131</v>
      </c>
      <c r="L617" s="16" t="s">
        <v>132</v>
      </c>
      <c r="M617" s="16" t="s">
        <v>133</v>
      </c>
      <c r="N617" s="16" t="s">
        <v>134</v>
      </c>
      <c r="O617" s="16" t="s">
        <v>135</v>
      </c>
      <c r="P617" s="16" t="s">
        <v>136</v>
      </c>
      <c r="Q617" s="16" t="s">
        <v>137</v>
      </c>
      <c r="R617" s="16" t="s">
        <v>138</v>
      </c>
      <c r="S617" s="16" t="s">
        <v>139</v>
      </c>
      <c r="T617" s="16" t="s">
        <v>140</v>
      </c>
      <c r="U617" s="16" t="s">
        <v>141</v>
      </c>
      <c r="V617" s="16" t="s">
        <v>142</v>
      </c>
      <c r="W617" s="16" t="s">
        <v>143</v>
      </c>
      <c r="X617" s="16" t="s">
        <v>144</v>
      </c>
      <c r="Y617" s="16" t="s">
        <v>145</v>
      </c>
      <c r="Z617" s="16" t="s">
        <v>146</v>
      </c>
      <c r="AA617" s="16" t="s">
        <v>147</v>
      </c>
      <c r="AB617" s="16" t="s">
        <v>148</v>
      </c>
      <c r="AC617" s="16" t="s">
        <v>149</v>
      </c>
      <c r="AD617" s="16" t="s">
        <v>150</v>
      </c>
      <c r="AE617" s="16" t="s">
        <v>151</v>
      </c>
      <c r="AF617" s="16" t="s">
        <v>152</v>
      </c>
      <c r="AG617" s="16" t="s">
        <v>153</v>
      </c>
      <c r="AH617" s="16" t="s">
        <v>154</v>
      </c>
      <c r="AI617" s="16"/>
      <c r="AJ617" s="7"/>
    </row>
    <row r="618" spans="1:36" x14ac:dyDescent="0.35">
      <c r="A618" s="9" t="s">
        <v>312</v>
      </c>
      <c r="B618" s="38">
        <v>0.5</v>
      </c>
      <c r="C618" s="38">
        <v>0</v>
      </c>
      <c r="D618" s="38">
        <v>0</v>
      </c>
      <c r="E618" s="38">
        <v>0.66666666666666596</v>
      </c>
      <c r="F618" s="38">
        <v>0</v>
      </c>
      <c r="G618" s="38">
        <v>1</v>
      </c>
      <c r="H618" s="38">
        <v>0.55555555555555503</v>
      </c>
      <c r="I618" s="38">
        <v>1</v>
      </c>
      <c r="J618" s="38">
        <v>0.5</v>
      </c>
      <c r="K618" s="38">
        <v>1</v>
      </c>
      <c r="L618" s="38">
        <v>0</v>
      </c>
      <c r="M618" s="38">
        <v>0</v>
      </c>
      <c r="N618" s="38">
        <v>1</v>
      </c>
      <c r="O618" s="38">
        <v>0</v>
      </c>
      <c r="P618" s="38">
        <v>1</v>
      </c>
      <c r="Q618" s="38">
        <v>0.4</v>
      </c>
      <c r="R618" s="38">
        <v>1</v>
      </c>
      <c r="S618" s="38">
        <v>1</v>
      </c>
      <c r="T618" s="38">
        <v>1</v>
      </c>
      <c r="U618" s="38">
        <v>1</v>
      </c>
      <c r="V618" s="38">
        <v>1</v>
      </c>
      <c r="W618" s="38">
        <v>0</v>
      </c>
      <c r="X618" s="38">
        <v>1</v>
      </c>
      <c r="Y618" s="38">
        <v>1</v>
      </c>
      <c r="Z618" s="38">
        <v>1</v>
      </c>
      <c r="AA618" s="38">
        <v>0</v>
      </c>
      <c r="AB618" s="38">
        <v>1</v>
      </c>
      <c r="AC618" s="38">
        <v>1</v>
      </c>
      <c r="AD618" s="38">
        <v>1</v>
      </c>
      <c r="AE618" s="38">
        <v>1</v>
      </c>
      <c r="AF618" s="38">
        <v>1</v>
      </c>
      <c r="AG618" s="38">
        <v>1</v>
      </c>
      <c r="AH618" s="38">
        <v>0</v>
      </c>
      <c r="AI618" s="38" t="s">
        <v>195</v>
      </c>
      <c r="AJ618" s="7"/>
    </row>
    <row r="619" spans="1:36" x14ac:dyDescent="0.35">
      <c r="AJ619" s="7"/>
    </row>
    <row r="620" spans="1:36" x14ac:dyDescent="0.35">
      <c r="A620" s="17" t="s">
        <v>207</v>
      </c>
      <c r="B620" s="17"/>
      <c r="C620" s="18" t="s">
        <v>122</v>
      </c>
      <c r="D620" s="18" t="s">
        <v>123</v>
      </c>
      <c r="E620" s="18" t="s">
        <v>124</v>
      </c>
      <c r="F620" s="18" t="s">
        <v>125</v>
      </c>
      <c r="G620" s="18" t="s">
        <v>126</v>
      </c>
      <c r="H620" s="18" t="s">
        <v>127</v>
      </c>
      <c r="I620" s="18" t="s">
        <v>128</v>
      </c>
      <c r="J620" s="18" t="s">
        <v>129</v>
      </c>
      <c r="K620" s="18" t="s">
        <v>130</v>
      </c>
      <c r="L620" s="18" t="s">
        <v>131</v>
      </c>
      <c r="M620" s="18" t="s">
        <v>132</v>
      </c>
      <c r="N620" s="18" t="s">
        <v>133</v>
      </c>
      <c r="O620" s="18" t="s">
        <v>134</v>
      </c>
      <c r="P620" s="18" t="s">
        <v>135</v>
      </c>
      <c r="Q620" s="18" t="s">
        <v>136</v>
      </c>
      <c r="R620" s="18" t="s">
        <v>137</v>
      </c>
      <c r="S620" s="18" t="s">
        <v>138</v>
      </c>
      <c r="T620" s="18" t="s">
        <v>139</v>
      </c>
      <c r="U620" s="18" t="s">
        <v>140</v>
      </c>
      <c r="V620" s="18" t="s">
        <v>141</v>
      </c>
      <c r="W620" s="18" t="s">
        <v>142</v>
      </c>
      <c r="X620" s="18" t="s">
        <v>143</v>
      </c>
      <c r="Y620" s="18" t="s">
        <v>144</v>
      </c>
      <c r="Z620" s="18" t="s">
        <v>145</v>
      </c>
      <c r="AA620" s="18" t="s">
        <v>146</v>
      </c>
      <c r="AB620" s="18" t="s">
        <v>147</v>
      </c>
      <c r="AC620" s="18" t="s">
        <v>148</v>
      </c>
      <c r="AD620" s="18" t="s">
        <v>149</v>
      </c>
      <c r="AE620" s="18" t="s">
        <v>150</v>
      </c>
      <c r="AF620" s="18" t="s">
        <v>151</v>
      </c>
      <c r="AG620" s="18" t="s">
        <v>152</v>
      </c>
      <c r="AH620" s="18" t="s">
        <v>153</v>
      </c>
      <c r="AI620" s="18" t="s">
        <v>154</v>
      </c>
      <c r="AJ620" s="7"/>
    </row>
    <row r="621" spans="1:36" x14ac:dyDescent="0.35">
      <c r="A621" s="17" t="s">
        <v>208</v>
      </c>
      <c r="B621" s="17"/>
      <c r="C621" s="19">
        <f>COUNTIFS(B$4:B$63,B618,$AI$4:$AI$63,"YES")</f>
        <v>0</v>
      </c>
      <c r="D621" s="19">
        <f>COUNTIFS(C$4:C$63,C618,$AI$4:$AI$63,"YES")</f>
        <v>0</v>
      </c>
      <c r="E621" s="19">
        <f t="shared" ref="E621:AJ621" si="156">COUNTIFS(D$4:D$63,D618,$AI$4:$AI$63,"YES")</f>
        <v>0</v>
      </c>
      <c r="F621" s="19">
        <f t="shared" si="156"/>
        <v>2</v>
      </c>
      <c r="G621" s="19">
        <f t="shared" si="156"/>
        <v>2</v>
      </c>
      <c r="H621" s="19">
        <f t="shared" si="156"/>
        <v>4</v>
      </c>
      <c r="I621" s="19">
        <f t="shared" si="156"/>
        <v>4</v>
      </c>
      <c r="J621" s="19">
        <f t="shared" si="156"/>
        <v>4</v>
      </c>
      <c r="K621" s="19">
        <f t="shared" si="156"/>
        <v>4</v>
      </c>
      <c r="L621" s="19">
        <f t="shared" si="156"/>
        <v>2</v>
      </c>
      <c r="M621" s="19">
        <f t="shared" si="156"/>
        <v>4</v>
      </c>
      <c r="N621" s="19">
        <f t="shared" si="156"/>
        <v>0</v>
      </c>
      <c r="O621" s="19">
        <f t="shared" si="156"/>
        <v>4</v>
      </c>
      <c r="P621" s="19">
        <f t="shared" si="156"/>
        <v>4</v>
      </c>
      <c r="Q621" s="19">
        <f t="shared" si="156"/>
        <v>3</v>
      </c>
      <c r="R621" s="19">
        <f t="shared" si="156"/>
        <v>3</v>
      </c>
      <c r="S621" s="19">
        <f t="shared" si="156"/>
        <v>4</v>
      </c>
      <c r="T621" s="19">
        <f t="shared" si="156"/>
        <v>4</v>
      </c>
      <c r="U621" s="19">
        <f t="shared" si="156"/>
        <v>4</v>
      </c>
      <c r="V621" s="19">
        <f t="shared" si="156"/>
        <v>4</v>
      </c>
      <c r="W621" s="19">
        <f t="shared" si="156"/>
        <v>4</v>
      </c>
      <c r="X621" s="19">
        <f t="shared" si="156"/>
        <v>4</v>
      </c>
      <c r="Y621" s="19">
        <f t="shared" si="156"/>
        <v>4</v>
      </c>
      <c r="Z621" s="19">
        <f t="shared" si="156"/>
        <v>4</v>
      </c>
      <c r="AA621" s="19">
        <f t="shared" si="156"/>
        <v>4</v>
      </c>
      <c r="AB621" s="19">
        <f t="shared" si="156"/>
        <v>4</v>
      </c>
      <c r="AC621" s="19">
        <f t="shared" si="156"/>
        <v>4</v>
      </c>
      <c r="AD621" s="19">
        <f t="shared" si="156"/>
        <v>4</v>
      </c>
      <c r="AE621" s="19">
        <f t="shared" si="156"/>
        <v>4</v>
      </c>
      <c r="AF621" s="19">
        <f t="shared" si="156"/>
        <v>4</v>
      </c>
      <c r="AG621" s="19">
        <f t="shared" si="156"/>
        <v>4</v>
      </c>
      <c r="AH621" s="19">
        <f t="shared" si="156"/>
        <v>4</v>
      </c>
      <c r="AI621" s="19">
        <f t="shared" si="156"/>
        <v>3</v>
      </c>
      <c r="AJ621" s="20"/>
    </row>
    <row r="622" spans="1:36" x14ac:dyDescent="0.35">
      <c r="A622" s="17" t="s">
        <v>209</v>
      </c>
      <c r="B622" s="17"/>
      <c r="C622" s="19">
        <f>COUNTIFS(B$4:B$63,B618,$AI$4:$AI$63,"NO")</f>
        <v>9</v>
      </c>
      <c r="D622" s="19">
        <f t="shared" ref="D622:AI622" si="157">COUNTIFS(C$4:C$63,C618,$AI$4:$AI$63,"NO")</f>
        <v>15</v>
      </c>
      <c r="E622" s="19">
        <f t="shared" si="157"/>
        <v>15</v>
      </c>
      <c r="F622" s="19">
        <f t="shared" si="157"/>
        <v>31</v>
      </c>
      <c r="G622" s="19">
        <f t="shared" si="157"/>
        <v>34</v>
      </c>
      <c r="H622" s="19">
        <f t="shared" si="157"/>
        <v>45</v>
      </c>
      <c r="I622" s="19">
        <f t="shared" si="157"/>
        <v>47</v>
      </c>
      <c r="J622" s="19">
        <f t="shared" si="157"/>
        <v>45</v>
      </c>
      <c r="K622" s="19">
        <f t="shared" si="157"/>
        <v>28</v>
      </c>
      <c r="L622" s="19">
        <f t="shared" si="157"/>
        <v>7</v>
      </c>
      <c r="M622" s="19">
        <f t="shared" si="157"/>
        <v>44</v>
      </c>
      <c r="N622" s="19">
        <f t="shared" si="157"/>
        <v>13</v>
      </c>
      <c r="O622" s="19">
        <f t="shared" si="157"/>
        <v>44</v>
      </c>
      <c r="P622" s="19">
        <f t="shared" si="157"/>
        <v>42</v>
      </c>
      <c r="Q622" s="19">
        <f t="shared" si="157"/>
        <v>8</v>
      </c>
      <c r="R622" s="19">
        <f t="shared" si="157"/>
        <v>38</v>
      </c>
      <c r="S622" s="19">
        <f t="shared" si="157"/>
        <v>49</v>
      </c>
      <c r="T622" s="19">
        <f t="shared" si="157"/>
        <v>41</v>
      </c>
      <c r="U622" s="19">
        <f t="shared" si="157"/>
        <v>49</v>
      </c>
      <c r="V622" s="19">
        <f t="shared" si="157"/>
        <v>56</v>
      </c>
      <c r="W622" s="19">
        <f t="shared" si="157"/>
        <v>56</v>
      </c>
      <c r="X622" s="19">
        <f t="shared" si="157"/>
        <v>43</v>
      </c>
      <c r="Y622" s="19">
        <f t="shared" si="157"/>
        <v>56</v>
      </c>
      <c r="Z622" s="19">
        <f t="shared" si="157"/>
        <v>50</v>
      </c>
      <c r="AA622" s="19">
        <f t="shared" si="157"/>
        <v>45</v>
      </c>
      <c r="AB622" s="19">
        <f t="shared" si="157"/>
        <v>25</v>
      </c>
      <c r="AC622" s="19">
        <f t="shared" si="157"/>
        <v>56</v>
      </c>
      <c r="AD622" s="19">
        <f t="shared" si="157"/>
        <v>56</v>
      </c>
      <c r="AE622" s="19">
        <f t="shared" si="157"/>
        <v>56</v>
      </c>
      <c r="AF622" s="19">
        <f t="shared" si="157"/>
        <v>56</v>
      </c>
      <c r="AG622" s="19">
        <f t="shared" si="157"/>
        <v>47</v>
      </c>
      <c r="AH622" s="19">
        <f t="shared" si="157"/>
        <v>56</v>
      </c>
      <c r="AI622" s="19">
        <f t="shared" si="157"/>
        <v>20</v>
      </c>
      <c r="AJ622" s="20"/>
    </row>
    <row r="623" spans="1:36" x14ac:dyDescent="0.35">
      <c r="A623" s="17" t="s">
        <v>210</v>
      </c>
      <c r="B623" s="18" t="s">
        <v>208</v>
      </c>
      <c r="C623" s="19">
        <f>C621/$B$108</f>
        <v>0</v>
      </c>
      <c r="D623" s="19">
        <f t="shared" ref="D623:AI623" si="158">D621/$B$108</f>
        <v>0</v>
      </c>
      <c r="E623" s="19">
        <f t="shared" si="158"/>
        <v>0</v>
      </c>
      <c r="F623" s="19">
        <f t="shared" si="158"/>
        <v>30</v>
      </c>
      <c r="G623" s="19">
        <f t="shared" si="158"/>
        <v>30</v>
      </c>
      <c r="H623" s="19">
        <f t="shared" si="158"/>
        <v>60</v>
      </c>
      <c r="I623" s="19">
        <f t="shared" si="158"/>
        <v>60</v>
      </c>
      <c r="J623" s="19">
        <f t="shared" si="158"/>
        <v>60</v>
      </c>
      <c r="K623" s="19">
        <f t="shared" si="158"/>
        <v>60</v>
      </c>
      <c r="L623" s="19">
        <f t="shared" si="158"/>
        <v>30</v>
      </c>
      <c r="M623" s="19">
        <f t="shared" si="158"/>
        <v>60</v>
      </c>
      <c r="N623" s="19">
        <f t="shared" si="158"/>
        <v>0</v>
      </c>
      <c r="O623" s="19">
        <f t="shared" si="158"/>
        <v>60</v>
      </c>
      <c r="P623" s="19">
        <f t="shared" si="158"/>
        <v>60</v>
      </c>
      <c r="Q623" s="19">
        <f t="shared" si="158"/>
        <v>45</v>
      </c>
      <c r="R623" s="19">
        <f t="shared" si="158"/>
        <v>45</v>
      </c>
      <c r="S623" s="19">
        <f t="shared" si="158"/>
        <v>60</v>
      </c>
      <c r="T623" s="19">
        <f t="shared" si="158"/>
        <v>60</v>
      </c>
      <c r="U623" s="19">
        <f t="shared" si="158"/>
        <v>60</v>
      </c>
      <c r="V623" s="19">
        <f t="shared" si="158"/>
        <v>60</v>
      </c>
      <c r="W623" s="19">
        <f t="shared" si="158"/>
        <v>60</v>
      </c>
      <c r="X623" s="19">
        <f t="shared" si="158"/>
        <v>60</v>
      </c>
      <c r="Y623" s="19">
        <f t="shared" si="158"/>
        <v>60</v>
      </c>
      <c r="Z623" s="19">
        <f t="shared" si="158"/>
        <v>60</v>
      </c>
      <c r="AA623" s="19">
        <f t="shared" si="158"/>
        <v>60</v>
      </c>
      <c r="AB623" s="19">
        <f t="shared" si="158"/>
        <v>60</v>
      </c>
      <c r="AC623" s="19">
        <f t="shared" si="158"/>
        <v>60</v>
      </c>
      <c r="AD623" s="19">
        <f t="shared" si="158"/>
        <v>60</v>
      </c>
      <c r="AE623" s="19">
        <f t="shared" si="158"/>
        <v>60</v>
      </c>
      <c r="AF623" s="19">
        <f t="shared" si="158"/>
        <v>60</v>
      </c>
      <c r="AG623" s="19">
        <f t="shared" si="158"/>
        <v>60</v>
      </c>
      <c r="AH623" s="19">
        <f t="shared" si="158"/>
        <v>60</v>
      </c>
      <c r="AI623" s="19">
        <f t="shared" si="158"/>
        <v>45</v>
      </c>
      <c r="AJ623" s="19">
        <f>C623*D623*E623*F623*G623*H623*I623*J623*K623*L623*M623*N623*O623*P623*Q623*R623*S623*T623*U623*V623*W623*X623*Y623*Z623*AA623*AB623*AC623*AD623*AE623*AF623*AG623*AH623*AI623</f>
        <v>0</v>
      </c>
    </row>
    <row r="624" spans="1:36" x14ac:dyDescent="0.35">
      <c r="A624" s="17"/>
      <c r="B624" s="18" t="s">
        <v>209</v>
      </c>
      <c r="C624" s="19">
        <f>C622/$C$108</f>
        <v>9.6428571428571423</v>
      </c>
      <c r="D624" s="19">
        <f t="shared" ref="D624:AI624" si="159">D622/$C$108</f>
        <v>16.071428571428569</v>
      </c>
      <c r="E624" s="19">
        <f t="shared" si="159"/>
        <v>16.071428571428569</v>
      </c>
      <c r="F624" s="19">
        <f t="shared" si="159"/>
        <v>33.214285714285715</v>
      </c>
      <c r="G624" s="19">
        <f t="shared" si="159"/>
        <v>36.428571428571431</v>
      </c>
      <c r="H624" s="19">
        <f t="shared" si="159"/>
        <v>48.214285714285715</v>
      </c>
      <c r="I624" s="19">
        <f t="shared" si="159"/>
        <v>50.357142857142854</v>
      </c>
      <c r="J624" s="19">
        <f t="shared" si="159"/>
        <v>48.214285714285715</v>
      </c>
      <c r="K624" s="19">
        <f t="shared" si="159"/>
        <v>30</v>
      </c>
      <c r="L624" s="19">
        <f t="shared" si="159"/>
        <v>7.5</v>
      </c>
      <c r="M624" s="19">
        <f t="shared" si="159"/>
        <v>47.142857142857139</v>
      </c>
      <c r="N624" s="19">
        <f t="shared" si="159"/>
        <v>13.928571428571429</v>
      </c>
      <c r="O624" s="19">
        <f t="shared" si="159"/>
        <v>47.142857142857139</v>
      </c>
      <c r="P624" s="19">
        <f t="shared" si="159"/>
        <v>45</v>
      </c>
      <c r="Q624" s="19">
        <f t="shared" si="159"/>
        <v>8.5714285714285712</v>
      </c>
      <c r="R624" s="19">
        <f t="shared" si="159"/>
        <v>40.714285714285715</v>
      </c>
      <c r="S624" s="19">
        <f t="shared" si="159"/>
        <v>52.5</v>
      </c>
      <c r="T624" s="19">
        <f t="shared" si="159"/>
        <v>43.928571428571431</v>
      </c>
      <c r="U624" s="19">
        <f t="shared" si="159"/>
        <v>52.5</v>
      </c>
      <c r="V624" s="19">
        <f t="shared" si="159"/>
        <v>60</v>
      </c>
      <c r="W624" s="19">
        <f t="shared" si="159"/>
        <v>60</v>
      </c>
      <c r="X624" s="19">
        <f t="shared" si="159"/>
        <v>46.071428571428569</v>
      </c>
      <c r="Y624" s="19">
        <f t="shared" si="159"/>
        <v>60</v>
      </c>
      <c r="Z624" s="19">
        <f t="shared" si="159"/>
        <v>53.571428571428569</v>
      </c>
      <c r="AA624" s="19">
        <f t="shared" si="159"/>
        <v>48.214285714285715</v>
      </c>
      <c r="AB624" s="19">
        <f t="shared" si="159"/>
        <v>26.785714285714285</v>
      </c>
      <c r="AC624" s="19">
        <f t="shared" si="159"/>
        <v>60</v>
      </c>
      <c r="AD624" s="19">
        <f t="shared" si="159"/>
        <v>60</v>
      </c>
      <c r="AE624" s="19">
        <f t="shared" si="159"/>
        <v>60</v>
      </c>
      <c r="AF624" s="19">
        <f t="shared" si="159"/>
        <v>60</v>
      </c>
      <c r="AG624" s="19">
        <f t="shared" si="159"/>
        <v>50.357142857142854</v>
      </c>
      <c r="AH624" s="19">
        <f t="shared" si="159"/>
        <v>60</v>
      </c>
      <c r="AI624" s="19">
        <f t="shared" si="159"/>
        <v>21.428571428571427</v>
      </c>
      <c r="AJ624" s="19">
        <f>C624*D624*E624*F624*G624*H624*I624*J624*K624*L624*M624*N624*O624*P624*Q624*R624*S624*T624*U624*V624*W624*X624*Y624*Z624*AA624*AB624*AC624*AD624*AE624*AF624*AG624*AH624*AI624</f>
        <v>2.6989921088886781E+51</v>
      </c>
    </row>
    <row r="625" spans="1:36" x14ac:dyDescent="0.35">
      <c r="A625" s="21"/>
      <c r="B625" s="21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20"/>
    </row>
    <row r="626" spans="1:36" x14ac:dyDescent="0.35">
      <c r="A626" s="22" t="s">
        <v>211</v>
      </c>
      <c r="B626" s="23"/>
      <c r="C626" s="24" t="s">
        <v>212</v>
      </c>
      <c r="D626" s="20"/>
      <c r="E626" s="20"/>
      <c r="F626" s="20"/>
      <c r="G626" s="20"/>
      <c r="H626" s="20"/>
      <c r="I626" s="20"/>
      <c r="J626" s="20"/>
      <c r="K626" s="20"/>
      <c r="L626" s="20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20"/>
    </row>
    <row r="627" spans="1:36" x14ac:dyDescent="0.35">
      <c r="A627" s="25" t="s">
        <v>208</v>
      </c>
      <c r="B627" s="26">
        <f>AJ623*$B$108</f>
        <v>0</v>
      </c>
      <c r="C627" s="27" t="str">
        <f>IF(B627&gt;B628,A627,A628)</f>
        <v>No</v>
      </c>
      <c r="D627" s="20"/>
      <c r="E627" s="20"/>
      <c r="F627" s="20"/>
      <c r="G627" s="20"/>
      <c r="H627" s="20"/>
      <c r="I627" s="20"/>
      <c r="J627" s="20"/>
      <c r="K627" s="20"/>
      <c r="L627" s="20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20"/>
    </row>
    <row r="628" spans="1:36" x14ac:dyDescent="0.35">
      <c r="A628" s="25" t="s">
        <v>209</v>
      </c>
      <c r="B628" s="26">
        <f>AJ624*$C$108</f>
        <v>2.5190593016294329E+51</v>
      </c>
      <c r="C628" s="28"/>
      <c r="D628" s="20"/>
      <c r="E628" s="20"/>
      <c r="F628" s="20"/>
      <c r="G628" s="20"/>
      <c r="H628" s="20"/>
      <c r="I628" s="20"/>
      <c r="J628" s="20"/>
      <c r="K628" s="20"/>
      <c r="L628" s="20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20"/>
    </row>
    <row r="630" spans="1:36" x14ac:dyDescent="0.35">
      <c r="A630" s="29" t="s">
        <v>213</v>
      </c>
      <c r="B630" s="29"/>
      <c r="C630" s="29"/>
      <c r="D630" s="29"/>
      <c r="E630" s="29"/>
    </row>
    <row r="631" spans="1:36" x14ac:dyDescent="0.35">
      <c r="A631" s="30"/>
      <c r="B631" s="30"/>
      <c r="C631" s="30"/>
      <c r="D631" s="30"/>
      <c r="E631" s="30"/>
    </row>
    <row r="632" spans="1:36" x14ac:dyDescent="0.35">
      <c r="A632" s="31" t="s">
        <v>214</v>
      </c>
      <c r="B632" s="31"/>
      <c r="C632" s="31" t="s">
        <v>215</v>
      </c>
      <c r="D632" s="31"/>
      <c r="E632" s="32" t="s">
        <v>216</v>
      </c>
    </row>
    <row r="633" spans="1:36" x14ac:dyDescent="0.35">
      <c r="A633" s="31"/>
      <c r="B633" s="31"/>
      <c r="C633" s="33" t="s">
        <v>121</v>
      </c>
      <c r="D633" s="33" t="s">
        <v>120</v>
      </c>
      <c r="E633" s="32"/>
    </row>
    <row r="634" spans="1:36" x14ac:dyDescent="0.35">
      <c r="A634" s="31" t="s">
        <v>217</v>
      </c>
      <c r="B634" s="33" t="s">
        <v>121</v>
      </c>
      <c r="C634" s="33">
        <v>0</v>
      </c>
      <c r="D634" s="33">
        <v>1</v>
      </c>
      <c r="E634" s="34">
        <f>C634/(C634+D634)</f>
        <v>0</v>
      </c>
    </row>
    <row r="635" spans="1:36" x14ac:dyDescent="0.35">
      <c r="A635" s="31"/>
      <c r="B635" s="33" t="s">
        <v>120</v>
      </c>
      <c r="C635" s="33">
        <v>0</v>
      </c>
      <c r="D635" s="33">
        <v>39</v>
      </c>
      <c r="E635" s="34">
        <f>D635/(C635+D635)</f>
        <v>1</v>
      </c>
    </row>
    <row r="636" spans="1:36" x14ac:dyDescent="0.35">
      <c r="A636" s="31" t="s">
        <v>218</v>
      </c>
      <c r="B636" s="31"/>
      <c r="C636" s="34">
        <v>0</v>
      </c>
      <c r="D636" s="34">
        <f>D635/(D634+D635)</f>
        <v>0.97499999999999998</v>
      </c>
      <c r="E636" s="34"/>
    </row>
    <row r="637" spans="1:36" x14ac:dyDescent="0.35">
      <c r="A637" s="30"/>
      <c r="B637" s="30"/>
      <c r="C637" s="30"/>
      <c r="D637" s="30"/>
      <c r="E637" s="30"/>
    </row>
    <row r="638" spans="1:36" x14ac:dyDescent="0.35">
      <c r="A638" s="31" t="s">
        <v>219</v>
      </c>
      <c r="B638" s="31"/>
      <c r="C638" s="31"/>
      <c r="D638" s="31"/>
      <c r="E638" s="34">
        <f>(C634+D635)/(C634+D634+C635+D635)</f>
        <v>0.97499999999999998</v>
      </c>
    </row>
  </sheetData>
  <mergeCells count="248">
    <mergeCell ref="A626:B626"/>
    <mergeCell ref="C627:C628"/>
    <mergeCell ref="A613:B613"/>
    <mergeCell ref="C614:C615"/>
    <mergeCell ref="A620:B620"/>
    <mergeCell ref="A621:B621"/>
    <mergeCell ref="A622:B622"/>
    <mergeCell ref="A623:A624"/>
    <mergeCell ref="A600:B600"/>
    <mergeCell ref="C601:C602"/>
    <mergeCell ref="A607:B607"/>
    <mergeCell ref="A608:B608"/>
    <mergeCell ref="A609:B609"/>
    <mergeCell ref="A610:A611"/>
    <mergeCell ref="A587:B587"/>
    <mergeCell ref="C588:C589"/>
    <mergeCell ref="A594:B594"/>
    <mergeCell ref="A595:B595"/>
    <mergeCell ref="A596:B596"/>
    <mergeCell ref="A597:A598"/>
    <mergeCell ref="A574:B574"/>
    <mergeCell ref="C575:C576"/>
    <mergeCell ref="A581:B581"/>
    <mergeCell ref="A582:B582"/>
    <mergeCell ref="A583:B583"/>
    <mergeCell ref="A584:A585"/>
    <mergeCell ref="A561:B561"/>
    <mergeCell ref="C562:C563"/>
    <mergeCell ref="A568:B568"/>
    <mergeCell ref="A569:B569"/>
    <mergeCell ref="A570:B570"/>
    <mergeCell ref="A571:A572"/>
    <mergeCell ref="A548:B548"/>
    <mergeCell ref="C549:C550"/>
    <mergeCell ref="A555:B555"/>
    <mergeCell ref="A556:B556"/>
    <mergeCell ref="A557:B557"/>
    <mergeCell ref="A558:A559"/>
    <mergeCell ref="A535:B535"/>
    <mergeCell ref="C536:C537"/>
    <mergeCell ref="A542:B542"/>
    <mergeCell ref="A543:B543"/>
    <mergeCell ref="A544:B544"/>
    <mergeCell ref="A545:A546"/>
    <mergeCell ref="A522:B522"/>
    <mergeCell ref="C523:C524"/>
    <mergeCell ref="A529:B529"/>
    <mergeCell ref="A530:B530"/>
    <mergeCell ref="A531:B531"/>
    <mergeCell ref="A532:A533"/>
    <mergeCell ref="A509:B509"/>
    <mergeCell ref="C510:C511"/>
    <mergeCell ref="A516:B516"/>
    <mergeCell ref="A517:B517"/>
    <mergeCell ref="A518:B518"/>
    <mergeCell ref="A519:A520"/>
    <mergeCell ref="A496:B496"/>
    <mergeCell ref="C497:C498"/>
    <mergeCell ref="A503:B503"/>
    <mergeCell ref="A504:B504"/>
    <mergeCell ref="A505:B505"/>
    <mergeCell ref="A506:A507"/>
    <mergeCell ref="A483:B483"/>
    <mergeCell ref="C484:C485"/>
    <mergeCell ref="A490:B490"/>
    <mergeCell ref="A491:B491"/>
    <mergeCell ref="A492:B492"/>
    <mergeCell ref="A493:A494"/>
    <mergeCell ref="A470:B470"/>
    <mergeCell ref="C471:C472"/>
    <mergeCell ref="A477:B477"/>
    <mergeCell ref="A478:B478"/>
    <mergeCell ref="A479:B479"/>
    <mergeCell ref="A480:A481"/>
    <mergeCell ref="A457:B457"/>
    <mergeCell ref="C458:C459"/>
    <mergeCell ref="A464:B464"/>
    <mergeCell ref="A465:B465"/>
    <mergeCell ref="A466:B466"/>
    <mergeCell ref="A467:A468"/>
    <mergeCell ref="A444:B444"/>
    <mergeCell ref="C445:C446"/>
    <mergeCell ref="A451:B451"/>
    <mergeCell ref="A452:B452"/>
    <mergeCell ref="A453:B453"/>
    <mergeCell ref="A454:A455"/>
    <mergeCell ref="A431:B431"/>
    <mergeCell ref="C432:C433"/>
    <mergeCell ref="A438:B438"/>
    <mergeCell ref="A439:B439"/>
    <mergeCell ref="A440:B440"/>
    <mergeCell ref="A441:A442"/>
    <mergeCell ref="A418:B418"/>
    <mergeCell ref="C419:C420"/>
    <mergeCell ref="A425:B425"/>
    <mergeCell ref="A426:B426"/>
    <mergeCell ref="A427:B427"/>
    <mergeCell ref="A428:A429"/>
    <mergeCell ref="A405:B405"/>
    <mergeCell ref="C406:C407"/>
    <mergeCell ref="A412:B412"/>
    <mergeCell ref="A413:B413"/>
    <mergeCell ref="A414:B414"/>
    <mergeCell ref="A415:A416"/>
    <mergeCell ref="A392:B392"/>
    <mergeCell ref="C393:C394"/>
    <mergeCell ref="A399:B399"/>
    <mergeCell ref="A400:B400"/>
    <mergeCell ref="A401:B401"/>
    <mergeCell ref="A402:A403"/>
    <mergeCell ref="A379:B379"/>
    <mergeCell ref="C380:C381"/>
    <mergeCell ref="A386:B386"/>
    <mergeCell ref="A387:B387"/>
    <mergeCell ref="A388:B388"/>
    <mergeCell ref="A389:A390"/>
    <mergeCell ref="A366:B366"/>
    <mergeCell ref="C367:C368"/>
    <mergeCell ref="A373:B373"/>
    <mergeCell ref="A374:B374"/>
    <mergeCell ref="A375:B375"/>
    <mergeCell ref="A376:A377"/>
    <mergeCell ref="A353:B353"/>
    <mergeCell ref="C354:C355"/>
    <mergeCell ref="A360:B360"/>
    <mergeCell ref="A361:B361"/>
    <mergeCell ref="A362:B362"/>
    <mergeCell ref="A363:A364"/>
    <mergeCell ref="A340:B340"/>
    <mergeCell ref="C341:C342"/>
    <mergeCell ref="A347:B347"/>
    <mergeCell ref="A348:B348"/>
    <mergeCell ref="A349:B349"/>
    <mergeCell ref="A350:A351"/>
    <mergeCell ref="A327:B327"/>
    <mergeCell ref="C328:C329"/>
    <mergeCell ref="A334:B334"/>
    <mergeCell ref="A335:B335"/>
    <mergeCell ref="A336:B336"/>
    <mergeCell ref="A337:A338"/>
    <mergeCell ref="A314:B314"/>
    <mergeCell ref="C315:C316"/>
    <mergeCell ref="A321:B321"/>
    <mergeCell ref="A322:B322"/>
    <mergeCell ref="A323:B323"/>
    <mergeCell ref="A324:A325"/>
    <mergeCell ref="A301:B301"/>
    <mergeCell ref="C302:C303"/>
    <mergeCell ref="A308:B308"/>
    <mergeCell ref="A309:B309"/>
    <mergeCell ref="A310:B310"/>
    <mergeCell ref="A311:A312"/>
    <mergeCell ref="A288:B288"/>
    <mergeCell ref="C289:C290"/>
    <mergeCell ref="A295:B295"/>
    <mergeCell ref="A296:B296"/>
    <mergeCell ref="A297:B297"/>
    <mergeCell ref="A298:A299"/>
    <mergeCell ref="A275:B275"/>
    <mergeCell ref="C276:C277"/>
    <mergeCell ref="A282:B282"/>
    <mergeCell ref="A283:B283"/>
    <mergeCell ref="A284:B284"/>
    <mergeCell ref="A285:A286"/>
    <mergeCell ref="A262:B262"/>
    <mergeCell ref="C263:C264"/>
    <mergeCell ref="A269:B269"/>
    <mergeCell ref="A270:B270"/>
    <mergeCell ref="A271:B271"/>
    <mergeCell ref="A272:A273"/>
    <mergeCell ref="A249:B249"/>
    <mergeCell ref="C250:C251"/>
    <mergeCell ref="A256:B256"/>
    <mergeCell ref="A257:B257"/>
    <mergeCell ref="A258:B258"/>
    <mergeCell ref="A259:A260"/>
    <mergeCell ref="A236:B236"/>
    <mergeCell ref="C237:C238"/>
    <mergeCell ref="A243:B243"/>
    <mergeCell ref="A244:B244"/>
    <mergeCell ref="A245:B245"/>
    <mergeCell ref="A246:A247"/>
    <mergeCell ref="A223:B223"/>
    <mergeCell ref="C224:C225"/>
    <mergeCell ref="A230:B230"/>
    <mergeCell ref="A231:B231"/>
    <mergeCell ref="A232:B232"/>
    <mergeCell ref="A233:A234"/>
    <mergeCell ref="A636:B636"/>
    <mergeCell ref="A638:D638"/>
    <mergeCell ref="A217:B217"/>
    <mergeCell ref="A218:B218"/>
    <mergeCell ref="A219:B219"/>
    <mergeCell ref="A220:A221"/>
    <mergeCell ref="C211:C212"/>
    <mergeCell ref="A630:E630"/>
    <mergeCell ref="A632:B633"/>
    <mergeCell ref="C632:D632"/>
    <mergeCell ref="E632:E633"/>
    <mergeCell ref="A634:A635"/>
    <mergeCell ref="C198:C199"/>
    <mergeCell ref="A204:B204"/>
    <mergeCell ref="A205:B205"/>
    <mergeCell ref="A206:B206"/>
    <mergeCell ref="A207:A208"/>
    <mergeCell ref="A210:B210"/>
    <mergeCell ref="C185:C186"/>
    <mergeCell ref="A191:B191"/>
    <mergeCell ref="A192:B192"/>
    <mergeCell ref="A193:B193"/>
    <mergeCell ref="A194:A195"/>
    <mergeCell ref="A197:B197"/>
    <mergeCell ref="C172:C173"/>
    <mergeCell ref="A178:B178"/>
    <mergeCell ref="A179:B179"/>
    <mergeCell ref="A180:B180"/>
    <mergeCell ref="A181:A182"/>
    <mergeCell ref="A184:B184"/>
    <mergeCell ref="C159:C160"/>
    <mergeCell ref="A165:B165"/>
    <mergeCell ref="A166:B166"/>
    <mergeCell ref="A167:B167"/>
    <mergeCell ref="A168:A169"/>
    <mergeCell ref="A171:B171"/>
    <mergeCell ref="C146:C147"/>
    <mergeCell ref="A152:B152"/>
    <mergeCell ref="A153:B153"/>
    <mergeCell ref="A154:B154"/>
    <mergeCell ref="A155:A156"/>
    <mergeCell ref="A158:B158"/>
    <mergeCell ref="C133:C134"/>
    <mergeCell ref="A139:B139"/>
    <mergeCell ref="A140:B140"/>
    <mergeCell ref="A141:B141"/>
    <mergeCell ref="A142:A143"/>
    <mergeCell ref="A145:B145"/>
    <mergeCell ref="C120:C121"/>
    <mergeCell ref="A126:B126"/>
    <mergeCell ref="A127:B127"/>
    <mergeCell ref="A128:B128"/>
    <mergeCell ref="A129:A130"/>
    <mergeCell ref="A132:B132"/>
    <mergeCell ref="D107:D108"/>
    <mergeCell ref="A113:B113"/>
    <mergeCell ref="A114:B114"/>
    <mergeCell ref="A115:B115"/>
    <mergeCell ref="A116:A117"/>
    <mergeCell ref="A119:B11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3F8A-E0A4-4864-B3CF-5BC924D27E09}">
  <dimension ref="A1:IB101"/>
  <sheetViews>
    <sheetView topLeftCell="W85" workbookViewId="0">
      <selection activeCell="AI62" sqref="AI62:AJ101"/>
    </sheetView>
  </sheetViews>
  <sheetFormatPr defaultRowHeight="14.5" x14ac:dyDescent="0.35"/>
  <sheetData>
    <row r="1" spans="1:236" x14ac:dyDescent="0.35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s="8" t="s">
        <v>215</v>
      </c>
      <c r="AJ1" s="8" t="s">
        <v>220</v>
      </c>
      <c r="AL1" s="35" t="s">
        <v>221</v>
      </c>
      <c r="AM1" s="35" t="s">
        <v>222</v>
      </c>
      <c r="AN1" s="35" t="s">
        <v>223</v>
      </c>
      <c r="AO1" s="35" t="s">
        <v>224</v>
      </c>
      <c r="AP1" s="30"/>
      <c r="AQ1" s="35" t="s">
        <v>225</v>
      </c>
      <c r="AR1" s="35" t="s">
        <v>222</v>
      </c>
      <c r="AS1" s="35" t="s">
        <v>223</v>
      </c>
      <c r="AT1" s="35" t="s">
        <v>224</v>
      </c>
      <c r="AU1" s="30"/>
      <c r="AV1" s="35" t="s">
        <v>226</v>
      </c>
      <c r="AW1" s="35" t="s">
        <v>222</v>
      </c>
      <c r="AX1" s="35" t="s">
        <v>223</v>
      </c>
      <c r="AY1" s="35" t="s">
        <v>224</v>
      </c>
      <c r="AZ1" s="30"/>
      <c r="BA1" s="35" t="s">
        <v>227</v>
      </c>
      <c r="BB1" s="35" t="s">
        <v>222</v>
      </c>
      <c r="BC1" s="35" t="s">
        <v>223</v>
      </c>
      <c r="BD1" s="35" t="s">
        <v>224</v>
      </c>
      <c r="BE1" s="30"/>
      <c r="BF1" s="35" t="s">
        <v>228</v>
      </c>
      <c r="BG1" s="35" t="s">
        <v>222</v>
      </c>
      <c r="BH1" s="35" t="s">
        <v>223</v>
      </c>
      <c r="BI1" s="35" t="s">
        <v>224</v>
      </c>
      <c r="BJ1" s="30"/>
      <c r="BK1" s="35" t="s">
        <v>229</v>
      </c>
      <c r="BL1" s="35" t="s">
        <v>222</v>
      </c>
      <c r="BM1" s="35" t="s">
        <v>223</v>
      </c>
      <c r="BN1" s="35" t="s">
        <v>224</v>
      </c>
      <c r="BO1" s="30"/>
      <c r="BP1" s="35" t="s">
        <v>230</v>
      </c>
      <c r="BQ1" s="35" t="s">
        <v>222</v>
      </c>
      <c r="BR1" s="35" t="s">
        <v>223</v>
      </c>
      <c r="BS1" s="35" t="s">
        <v>224</v>
      </c>
      <c r="BT1" s="30"/>
      <c r="BU1" s="35" t="s">
        <v>231</v>
      </c>
      <c r="BV1" s="35" t="s">
        <v>222</v>
      </c>
      <c r="BW1" s="35" t="s">
        <v>223</v>
      </c>
      <c r="BX1" s="35" t="s">
        <v>224</v>
      </c>
      <c r="BZ1" s="35" t="s">
        <v>371</v>
      </c>
      <c r="CA1" s="35" t="s">
        <v>222</v>
      </c>
      <c r="CB1" s="35" t="s">
        <v>223</v>
      </c>
      <c r="CC1" s="35" t="s">
        <v>224</v>
      </c>
      <c r="CE1" s="35" t="s">
        <v>370</v>
      </c>
      <c r="CF1" s="35" t="s">
        <v>222</v>
      </c>
      <c r="CG1" s="35" t="s">
        <v>223</v>
      </c>
      <c r="CH1" s="35" t="s">
        <v>224</v>
      </c>
      <c r="CJ1" s="35" t="s">
        <v>369</v>
      </c>
      <c r="CK1" s="35" t="s">
        <v>222</v>
      </c>
      <c r="CL1" s="35" t="s">
        <v>223</v>
      </c>
      <c r="CM1" s="35" t="s">
        <v>224</v>
      </c>
      <c r="CO1" s="35" t="s">
        <v>368</v>
      </c>
      <c r="CP1" s="35" t="s">
        <v>222</v>
      </c>
      <c r="CQ1" s="35" t="s">
        <v>223</v>
      </c>
      <c r="CR1" s="35" t="s">
        <v>224</v>
      </c>
      <c r="CT1" s="35" t="s">
        <v>367</v>
      </c>
      <c r="CU1" s="35" t="s">
        <v>222</v>
      </c>
      <c r="CV1" s="35" t="s">
        <v>223</v>
      </c>
      <c r="CW1" s="35" t="s">
        <v>224</v>
      </c>
      <c r="CY1" s="35" t="s">
        <v>366</v>
      </c>
      <c r="CZ1" s="35" t="s">
        <v>222</v>
      </c>
      <c r="DA1" s="35" t="s">
        <v>223</v>
      </c>
      <c r="DB1" s="35" t="s">
        <v>224</v>
      </c>
      <c r="DD1" s="35" t="s">
        <v>365</v>
      </c>
      <c r="DE1" s="35" t="s">
        <v>222</v>
      </c>
      <c r="DF1" s="35" t="s">
        <v>223</v>
      </c>
      <c r="DG1" s="35" t="s">
        <v>224</v>
      </c>
      <c r="DI1" s="35" t="s">
        <v>364</v>
      </c>
      <c r="DJ1" s="35" t="s">
        <v>222</v>
      </c>
      <c r="DK1" s="35" t="s">
        <v>223</v>
      </c>
      <c r="DL1" s="35" t="s">
        <v>224</v>
      </c>
      <c r="DN1" s="35" t="s">
        <v>363</v>
      </c>
      <c r="DO1" s="35" t="s">
        <v>222</v>
      </c>
      <c r="DP1" s="35" t="s">
        <v>223</v>
      </c>
      <c r="DQ1" s="35" t="s">
        <v>224</v>
      </c>
      <c r="DS1" s="35" t="s">
        <v>362</v>
      </c>
      <c r="DT1" s="35" t="s">
        <v>222</v>
      </c>
      <c r="DU1" s="35" t="s">
        <v>223</v>
      </c>
      <c r="DV1" s="35" t="s">
        <v>224</v>
      </c>
      <c r="DX1" s="35" t="s">
        <v>361</v>
      </c>
      <c r="DY1" s="35" t="s">
        <v>222</v>
      </c>
      <c r="DZ1" s="35" t="s">
        <v>223</v>
      </c>
      <c r="EA1" s="35" t="s">
        <v>224</v>
      </c>
      <c r="EC1" s="35" t="s">
        <v>360</v>
      </c>
      <c r="ED1" s="35" t="s">
        <v>222</v>
      </c>
      <c r="EE1" s="35" t="s">
        <v>223</v>
      </c>
      <c r="EF1" s="35" t="s">
        <v>224</v>
      </c>
      <c r="EH1" s="35" t="s">
        <v>359</v>
      </c>
      <c r="EI1" s="35" t="s">
        <v>222</v>
      </c>
      <c r="EJ1" s="35" t="s">
        <v>223</v>
      </c>
      <c r="EK1" s="35" t="s">
        <v>224</v>
      </c>
      <c r="EM1" s="35" t="s">
        <v>358</v>
      </c>
      <c r="EN1" s="35" t="s">
        <v>222</v>
      </c>
      <c r="EO1" s="35" t="s">
        <v>223</v>
      </c>
      <c r="EP1" s="35" t="s">
        <v>224</v>
      </c>
      <c r="ER1" s="35" t="s">
        <v>357</v>
      </c>
      <c r="ES1" s="35" t="s">
        <v>222</v>
      </c>
      <c r="ET1" s="35" t="s">
        <v>223</v>
      </c>
      <c r="EU1" s="35" t="s">
        <v>224</v>
      </c>
      <c r="EW1" s="35" t="s">
        <v>356</v>
      </c>
      <c r="EX1" s="35" t="s">
        <v>222</v>
      </c>
      <c r="EY1" s="35" t="s">
        <v>223</v>
      </c>
      <c r="EZ1" s="35" t="s">
        <v>224</v>
      </c>
      <c r="FB1" s="35" t="s">
        <v>355</v>
      </c>
      <c r="FC1" s="35" t="s">
        <v>222</v>
      </c>
      <c r="FD1" s="35" t="s">
        <v>223</v>
      </c>
      <c r="FE1" s="35" t="s">
        <v>224</v>
      </c>
      <c r="FG1" s="35" t="s">
        <v>354</v>
      </c>
      <c r="FH1" s="35" t="s">
        <v>222</v>
      </c>
      <c r="FI1" s="35" t="s">
        <v>223</v>
      </c>
      <c r="FJ1" s="35" t="s">
        <v>224</v>
      </c>
      <c r="FL1" s="35" t="s">
        <v>353</v>
      </c>
      <c r="FM1" s="35" t="s">
        <v>222</v>
      </c>
      <c r="FN1" s="35" t="s">
        <v>223</v>
      </c>
      <c r="FO1" s="35" t="s">
        <v>224</v>
      </c>
      <c r="FQ1" s="35" t="s">
        <v>352</v>
      </c>
      <c r="FR1" s="35" t="s">
        <v>222</v>
      </c>
      <c r="FS1" s="35" t="s">
        <v>223</v>
      </c>
      <c r="FT1" s="35" t="s">
        <v>224</v>
      </c>
      <c r="FV1" s="35" t="s">
        <v>351</v>
      </c>
      <c r="FW1" s="35" t="s">
        <v>222</v>
      </c>
      <c r="FX1" s="35" t="s">
        <v>223</v>
      </c>
      <c r="FY1" s="35" t="s">
        <v>224</v>
      </c>
      <c r="GA1" s="35" t="s">
        <v>350</v>
      </c>
      <c r="GB1" s="35" t="s">
        <v>222</v>
      </c>
      <c r="GC1" s="35" t="s">
        <v>223</v>
      </c>
      <c r="GD1" s="35" t="s">
        <v>224</v>
      </c>
      <c r="GF1" s="35" t="s">
        <v>349</v>
      </c>
      <c r="GG1" s="35" t="s">
        <v>222</v>
      </c>
      <c r="GH1" s="35" t="s">
        <v>223</v>
      </c>
      <c r="GI1" s="35" t="s">
        <v>224</v>
      </c>
      <c r="GK1" s="35" t="s">
        <v>348</v>
      </c>
      <c r="GL1" s="35" t="s">
        <v>222</v>
      </c>
      <c r="GM1" s="35" t="s">
        <v>223</v>
      </c>
      <c r="GN1" s="35" t="s">
        <v>224</v>
      </c>
      <c r="GP1" s="35" t="s">
        <v>347</v>
      </c>
      <c r="GQ1" s="35" t="s">
        <v>222</v>
      </c>
      <c r="GR1" s="35" t="s">
        <v>223</v>
      </c>
      <c r="GS1" s="35" t="s">
        <v>224</v>
      </c>
      <c r="GU1" s="35" t="s">
        <v>346</v>
      </c>
      <c r="GV1" s="35" t="s">
        <v>222</v>
      </c>
      <c r="GW1" s="35" t="s">
        <v>223</v>
      </c>
      <c r="GX1" s="35" t="s">
        <v>224</v>
      </c>
      <c r="GZ1" s="35" t="s">
        <v>345</v>
      </c>
      <c r="HA1" s="35" t="s">
        <v>222</v>
      </c>
      <c r="HB1" s="35" t="s">
        <v>223</v>
      </c>
      <c r="HC1" s="35" t="s">
        <v>224</v>
      </c>
      <c r="HE1" s="35" t="s">
        <v>344</v>
      </c>
      <c r="HF1" s="35" t="s">
        <v>222</v>
      </c>
      <c r="HG1" s="35" t="s">
        <v>223</v>
      </c>
      <c r="HH1" s="35" t="s">
        <v>224</v>
      </c>
      <c r="HJ1" s="35" t="s">
        <v>343</v>
      </c>
      <c r="HK1" s="35" t="s">
        <v>222</v>
      </c>
      <c r="HL1" s="35" t="s">
        <v>223</v>
      </c>
      <c r="HM1" s="35" t="s">
        <v>224</v>
      </c>
      <c r="HO1" s="35" t="s">
        <v>342</v>
      </c>
      <c r="HP1" s="35" t="s">
        <v>222</v>
      </c>
      <c r="HQ1" s="35" t="s">
        <v>223</v>
      </c>
      <c r="HR1" s="35" t="s">
        <v>224</v>
      </c>
      <c r="HT1" s="35" t="s">
        <v>341</v>
      </c>
      <c r="HU1" s="35" t="s">
        <v>222</v>
      </c>
      <c r="HV1" s="35" t="s">
        <v>223</v>
      </c>
      <c r="HW1" s="35" t="s">
        <v>224</v>
      </c>
      <c r="HY1" s="35" t="s">
        <v>340</v>
      </c>
      <c r="HZ1" s="35" t="s">
        <v>222</v>
      </c>
      <c r="IA1" s="35" t="s">
        <v>223</v>
      </c>
      <c r="IB1" s="35" t="s">
        <v>224</v>
      </c>
    </row>
    <row r="2" spans="1:236" x14ac:dyDescent="0.35">
      <c r="A2" s="2">
        <v>0.33333333333333298</v>
      </c>
      <c r="B2" s="2">
        <v>0.23765432098765399</v>
      </c>
      <c r="C2" s="2">
        <v>0.23899371069182301</v>
      </c>
      <c r="D2" s="2">
        <v>0.53703703703703698</v>
      </c>
      <c r="E2" s="2">
        <v>0.12757201646090499</v>
      </c>
      <c r="F2" s="2">
        <v>0.94805194805194803</v>
      </c>
      <c r="G2" s="2">
        <v>0.55692729766803795</v>
      </c>
      <c r="H2" s="2">
        <v>0.936708860759493</v>
      </c>
      <c r="I2" s="2">
        <v>0.407407407407407</v>
      </c>
      <c r="J2" s="2">
        <v>0.19478737997256501</v>
      </c>
      <c r="K2" s="2">
        <v>5.5555555555555497E-2</v>
      </c>
      <c r="L2" s="2">
        <v>0.158904109589041</v>
      </c>
      <c r="M2" s="2">
        <v>0.95061728395061695</v>
      </c>
      <c r="N2" s="2">
        <v>6.1728395061728301E-2</v>
      </c>
      <c r="O2" s="2">
        <v>0.189873417721519</v>
      </c>
      <c r="P2" s="2">
        <v>0.32345679012345602</v>
      </c>
      <c r="Q2" s="2">
        <v>0.98765432098765404</v>
      </c>
      <c r="R2" s="2">
        <v>0.76543209876543195</v>
      </c>
      <c r="S2" s="2">
        <v>0.97530864197530798</v>
      </c>
      <c r="T2" s="2">
        <v>1</v>
      </c>
      <c r="U2" s="2">
        <v>1</v>
      </c>
      <c r="V2" s="2">
        <v>0.11111111111111099</v>
      </c>
      <c r="W2" s="2">
        <v>1</v>
      </c>
      <c r="X2" s="2">
        <v>0.97530864197530798</v>
      </c>
      <c r="Y2" s="2">
        <v>0.90123456790123402</v>
      </c>
      <c r="Z2" s="2">
        <v>0.44444444444444398</v>
      </c>
      <c r="AA2" s="2">
        <v>1</v>
      </c>
      <c r="AB2" s="2">
        <v>1</v>
      </c>
      <c r="AC2" s="2">
        <v>1</v>
      </c>
      <c r="AD2" s="2">
        <v>1</v>
      </c>
      <c r="AE2" s="2">
        <v>0.938271604938271</v>
      </c>
      <c r="AF2" s="2">
        <v>1</v>
      </c>
      <c r="AG2" s="2">
        <v>0.19565217391304299</v>
      </c>
      <c r="AH2" s="2" t="s">
        <v>120</v>
      </c>
      <c r="AI2" s="41"/>
      <c r="AJ2" s="41"/>
      <c r="AL2" s="43" t="s">
        <v>120</v>
      </c>
      <c r="AM2" s="36">
        <f>SQRT((A2-$A$62)^2+(B2-$B$62)^2+(C2-$C$62)^2+(D2-$D$62)^2+(E2-$E$62)^2+(F2-$F$62)^2+(G2-$G$62)^2+(H2-$H$62)^2+(I2-$I$62)^2+(J2-$J$62)^2+(K2-$K$62)^2+(L2-$L$62)^2+(M2-$M$62)^2+(N2-$N$62)^2+(O2-$O$62)^2+(P2-$P$62)^2+(Q2-$Q$62)^2+(R2-$R$62)^2+(S2-$S$62)^2+(T2-$T$62)^2+(U2-$U$62)^2+(V2-$V$62)^2+(W2-$W$62)^2+(X2-$X$62)^2+(Y2-$Y$62)^2+(Z2-$Z$62)^2+(AA2-$AA$62)^2+(AB2-$AB$62)^2+(AC2-$AC$62)^2+(AD2-$AD$62)^2+(AE2-$AE$62)^2+(AF2-$AF$62)^2+(AG2-$AG$62)^2)</f>
        <v>1.4825263454047668</v>
      </c>
      <c r="AN2" s="36" t="s">
        <v>140</v>
      </c>
      <c r="AO2" s="37" t="s">
        <v>120</v>
      </c>
      <c r="AP2" s="30"/>
      <c r="AQ2" s="43" t="s">
        <v>120</v>
      </c>
      <c r="AR2" s="36">
        <f>SQRT((A2-$A$63)^2+(B2-$B$63)^2+(C2-$C$63)^2+(D2-$D$63)^2+(E2-$E$63)^2+(F2-$F$63)^2+(G2-$G$63)^2+(H2-$H$63)^2+(I2-$I$63)^2+(J2-$J$63)^2+(K2-$K$63)^2+(L2-$L$63)^2+(M2-$M$63)^2+(N2-$N$63)^2+(O2-$O$63)^2+(P2-$P$63)^2+(Q2-$Q$63)^2+(R2-$R$63)^2+(S2-$S$63)^2+(T2-$T$63)^2+(U2-$U$63)^2+(V2-$V$63)^2+(W2-$W$63)^2+(X2-$X$63)^2+(Y2-$Y$63)^2+(Z2-$Z$63)^2+(AA2-$AA$63)^2+(AB2-$AB$63)^2+(AC2-$AC$63)^2+(AD2-$AD$63)^2+(AE2-$AE$63)^2+(AF2-$AF$63)^2+(AG2-$AG$63)^2)</f>
        <v>0.33333333333333298</v>
      </c>
      <c r="AS2" s="36" t="s">
        <v>126</v>
      </c>
      <c r="AT2" s="37" t="s">
        <v>120</v>
      </c>
      <c r="AU2" s="30"/>
      <c r="AV2" s="43" t="s">
        <v>120</v>
      </c>
      <c r="AW2" s="36">
        <f>SQRT((A2-$A$64)^2+(B2-$B$64)^2+(C2-$C$64)^2+(D2-$D$64)^2+(E2-$E$64)^2+(F2-$F$64)^2+(G2-$G$64)^2+(H2-$H$64)^2+(I2-$I$64)^2+(J2-$J$64)^2+(K2-$K$64)^2+(L2-$L$64)^2+(M2-$M$64)^2+(N2-$N$64)^2+(O2-$O$64)^2+(P2-$P$64)^2+(Q2-$Q$64)^2+(R2-$R$64)^2+(S2-$S$64)^2+(T2-$T$64)^2+(U2-$U$64)^2+(V2-$V$64)^2+(W2-$W$64)^2+(X2-$X$64)^2+(Y2-$Y$64)^2+(Z2-$Z$64)^2+(AA2-$AA$64)^2+(AB2-$AB$64)^2+(AC2-$AC$64)^2+(AD2-$AD$64)^2+(AE2-$AE$64)^2+(AF2-$AF$64)^2+(AG2-$AG$64)^2)</f>
        <v>0.33333333333333298</v>
      </c>
      <c r="AX2" s="36" t="s">
        <v>126</v>
      </c>
      <c r="AY2" s="37" t="s">
        <v>120</v>
      </c>
      <c r="AZ2" s="30"/>
      <c r="BA2" s="43" t="s">
        <v>120</v>
      </c>
      <c r="BB2" s="36">
        <f>SQRT((A2-$A$65)^2+(B2-$B$65)^2+(C2-$C$65)^2+(D2-$D$65)^2+(E2-$E$65)^2+(F2-$F$65)^2+(G2-$G$65)^2+(H2-$H$65)^2+(I2-$I$65)^2+(J2-$J$65)^2+(K2-$K$65)^2+(L2-$L$65)^2+(M2-$M$65)^2+(N2-$N$65)^2+(O2-$O$65)^2+(P2-$P$65)^2+(Q2-$Q$65)^2+(R2-$R$65)^2+(S2-$S$65)^2+(T2-$T$65)^2+(U2-$U$65)^2+(V2-$V$65)^2+(W2-$W$65)^2+(X2-$X$65)^2+(Y2-$Y$65)^2+(Z2-$Z$65)^2+(AA2-$AA$65)^2+(AB2-$AB$65)^2+(AC2-$AC$65)^2+(AD2-$AD$65)^2+(AE2-$AE$65)^2+(AF2-$AF$65)^2+(AG2-$AG$65)^2)</f>
        <v>0.33333333333333298</v>
      </c>
      <c r="BC2" s="36" t="s">
        <v>126</v>
      </c>
      <c r="BD2" s="37" t="s">
        <v>120</v>
      </c>
      <c r="BE2" s="30"/>
      <c r="BF2" s="43" t="s">
        <v>120</v>
      </c>
      <c r="BG2" s="36">
        <f>SQRT((A2-$A$66)^2+(B2-$B$66)^2+(C2-$C$66)^2+(D2-$D$66)^2+(E2-$E$66)^2+(F2-$F$66)^2+(G2-$G$66)^2+(H2-$H$66)^2+(I2-$I$66)^2+(J2-$J$66)^2+(K2-$K$66)^2+(L2-$L$66)^2+(M2-$M$66)^2+(N2-$N$66)^2+(O2-$O$66)^2+(P2-$P$66)^2+(Q2-$Q$66)^2+(R2-$R$66)^2+(S2-$S$66)^2+(T2-$T$66)^2+(U2-$U$66)^2+(V2-$V$66)^2+(W2-$W$66)^2+(X2-$X$66)^2+(Y2-$Y$66)^2+(Z2-$Z$66)^2+(AA2-$AA$66)^2+(AB2-$AB$66)^2+(AC2-$AC$66)^2+(AD2-$AD$66)^2+(AE2-$AE$66)^2+(AF2-$AF$66)^2+(AG2-$AG$66)^2)</f>
        <v>0.33333333333333298</v>
      </c>
      <c r="BH2" s="36" t="s">
        <v>126</v>
      </c>
      <c r="BI2" s="37" t="s">
        <v>120</v>
      </c>
      <c r="BJ2" s="30"/>
      <c r="BK2" s="43" t="s">
        <v>120</v>
      </c>
      <c r="BL2" s="36">
        <f>SQRT((A2-$A$67)^2+(B2-$B$67)^2+(C2-$C$67)^2+(D2-$D$67)^2+(E2-$E$67)^2+(F2-$F$67)^2+(G2-$G$67)^2+(H2-$H$67)^2+(I2-$I$67)^2+(J2-$J$67)^2+(K2-$K$67)^2+(L2-$L$67)^2+(M2-$M$67)^2+(N2-$N$67)^2+(O2-$O$67)^2+(P2-$P$67)^2+(Q2-$Q$67)^2+(R2-$R$67)^2+(S2-$S$67)^2+(T2-$T$67)^2+(U2-$U$67)^2+(V2-$V$67)^2+(W2-$W$67)^2+(X2-$X$67)^2+(Y2-$Y$67)^2+(Z2-$Z$67)^2+(AA2-$AA$67)^2+(AB2-$AB$67)^2+(AC2-$AC$67)^2+(AD2-$AD$67)^2+(AE2-$AE$67)^2+(AF2-$AF$67)^2+(AG2-$AG$67)^2)</f>
        <v>0.33333333333333298</v>
      </c>
      <c r="BM2" s="36" t="s">
        <v>126</v>
      </c>
      <c r="BN2" s="37" t="s">
        <v>120</v>
      </c>
      <c r="BO2" s="30"/>
      <c r="BP2" s="43" t="s">
        <v>120</v>
      </c>
      <c r="BQ2" s="36">
        <f>SQRT((A2-$A$68)^2+(B2-$B$68)^2+(C2-$C$68)^2+(D2-$D$68)^2+(E2-$E$68)^2+(F2-$F$68)^2+(G2-$G$68)^2+(H2-$H$68)^2+(I2-$I$68)^2+(J2-$J$68)^2+(K2-$K$68)^2+(L2-$L$68)^2+(M2-$M$68)^2+(N2-$N$68)^2+(O2-$O$68)^2+(P2-$P$68)^2+(Q2-$Q$68)^2+(R2-$R$68)^2+(S2-$S$68)^2+(T2-$T$68)^2+(U2-$U$68)^2+(V2-$V$68)^2+(W2-$W$68)^2+(X2-$X$68)^2+(Y2-$Y$68)^2+(Z2-$Z$68)^2+(AA2-$AA$68)^2+(AB2-$AB$68)^2+(AC2-$AC$68)^2+(AD2-$AD$68)^2+(AE2-$AE$68)^2+(AF2-$AF$68)^2+(AG2-$AG$68)^2)</f>
        <v>0.33333333333333298</v>
      </c>
      <c r="BR2" s="36" t="s">
        <v>126</v>
      </c>
      <c r="BS2" s="37" t="s">
        <v>120</v>
      </c>
      <c r="BT2" s="30"/>
      <c r="BU2" s="43" t="s">
        <v>120</v>
      </c>
      <c r="BV2" s="36">
        <f>SQRT((A2-$A$69)^2+(B2-$B$69)^2+(C2-$C$69)^2+(D2-$D$69)^2+(E2-$E$69)^2+(F2-$F$69)^2+(G2-$G$69)^2+(H2-$H$69)^2+(I2-$I$69)^2+(J2-$J$69)^2+(K2-$K$69)^2+(L2-$L$69)^2+(M2-$M$69)^2+(N2-$N$69)^2+(O2-$O$69)^2+(P2-$P$69)^2+(Q2-$Q$69)^2+(R2-$R$69)^2+(S2-$S$69)^2+(T2-$T$69)^2+(U2-$U$69)^2+(V2-$V$69)^2+(W2-$W$69)^2+(X2-$X$69)^2+(Y2-$Y$69)^2+(Z2-$Z$69)^2+(AA2-$AA$69)^2+(AB2-$AB$69)^2+(AC2-$AC$69)^2+(AD2-$AD$69)^2+(AE2-$AE$69)^2+(AF2-$AF$69)^2+(AG2-$AG$69)^2)</f>
        <v>2.0312853389244538</v>
      </c>
      <c r="BW2" s="36" t="s">
        <v>130</v>
      </c>
      <c r="BX2" s="37" t="s">
        <v>120</v>
      </c>
      <c r="BZ2" s="43" t="s">
        <v>120</v>
      </c>
      <c r="CA2" s="36">
        <f>SQRT((A2-$A$70)^2+(B2-$B$70)^2+(C2-$C$70)^2+(D2-$D$70)^2+(E2-$E$70)^2+(F2-$F$70)^2+(G2-$G$70)^2+(H2-$H$70)^2+(I2-$I$70)^2+(J2-$J$70)^2+(K2-$K$70)^2+(L2-$L$70)^2+(M2-$M$70)^2+(N2-$N$70)^2+(O2-$O$70)^2+(P2-$P$70)^2+(Q2-$Q$70)^2+(R2-$R$70)^2+(S2-$S$70)^2+(T2-$T$70)^2+(U2-$U$70)^2+(V2-$V$70)^2+(W2-$W$70)^2+(X2-$X$70)^2+(Y2-$Y$70)^2+(Z2-$Z$70)^2+(AA2-$AA$70)^2+(AB2-$AB$70)^2+(AC2-$AC$70)^2+(AD2-$AD$70)^2+(AE2-$AE$70)^2+(AF2-$AF$70)^2+(AG2-$AG$70)^2)</f>
        <v>0.8937856428754728</v>
      </c>
      <c r="CB2" s="36" t="s">
        <v>152</v>
      </c>
      <c r="CC2" s="37" t="s">
        <v>120</v>
      </c>
      <c r="CE2" s="43" t="s">
        <v>120</v>
      </c>
      <c r="CF2" s="36">
        <f>SQRT((A2-$A$71)^2+(B2-$B$71)^2+(C2-$C$71)^2+(D2-$D$71)^2+(E2-$E$71)^2+(F2-$F$71)^2+(G2-$G$71)^2+(H2-$H$71)^2+(I2-$I$71)^2+(J2-$J$71)^2+(K2-$K$71)^2+(L2-$L$71)^2+(M2-$M$71)^2+(N2-$N$71)^2+(O2-$O$71)^2+(P2-$P$71)^2+(Q2-$Q$71)^2+(R2-$R$71)^2+(S2-$S$71)^2+(T2-$T$71)^2+(U2-$U$71)^2+(V2-$V$71)^2+(W2-$W$71)^2+(X2-$X$71)^2+(Y2-$Y$71)^2+(Z2-$Z$71)^2+(AA2-$AA$71)^2+(AB2-$AB$71)^2+(AC2-$AC$71)^2+(AD2-$AD$71)^2+(AE2-$AE$71)^2+(AF2-$AF$71)^2+(AG2-$AG$71)^2)</f>
        <v>0.82041524271069588</v>
      </c>
      <c r="CG2" s="36" t="s">
        <v>319</v>
      </c>
      <c r="CH2" s="37" t="s">
        <v>120</v>
      </c>
      <c r="CJ2" s="43" t="s">
        <v>120</v>
      </c>
      <c r="CK2" s="36">
        <f>SQRT((A2-$A$72)^2+(B2-$B$72)^2+(C2-$C$72)^2+(D2-$D$72)^2+(E2-$E$72)^2+(F2-$F$72)^2+(G2-$G$72)^2+(H2-$H$72)^2+(I2-$I$72)^2+(J2-$J$72)^2+(K2-$K$72)^2+(L2-$L$72)^2+(M2-$M$72)^2+(N2-$N$72)^2+(O2-$O$72)^2+(P2-$P$72)^2+(Q2-$Q$72)^2+(R2-$R$72)^2+(S2-$S$72)^2+(T2-$T$72)^2+(U2-$U$72)^2+(V2-$V$72)^2+(W2-$W$72)^2+(X2-$X$72)^2+(Y2-$Y$72)^2+(Z2-$Z$72)^2+(AA2-$AA$72)^2+(AB2-$AB$72)^2+(AC2-$AC$72)^2+(AD2-$AD$72)^2+(AE2-$AE$72)^2+(AF2-$AF$72)^2+(AG2-$AG$72)^2)</f>
        <v>1.075440670231415</v>
      </c>
      <c r="CL2" s="36" t="s">
        <v>131</v>
      </c>
      <c r="CM2" s="37" t="s">
        <v>120</v>
      </c>
      <c r="CO2" s="43" t="s">
        <v>120</v>
      </c>
      <c r="CP2" s="36">
        <f>SQRT((A2-$A$73)^2+(B2-$B$73)^2+(C2-$C$73)^2+(D2-$D$73)^2+(E2-$E$73)^2+(F2-$F$73)^2+(G2-$G$73)^2+(H2-$H$73)^2+(I2-$I$73)^2+(J2-$J$73)^2+(K2-$K$73)^2+(L2-$L$73)^2+(M2-$M$73)^2+(N2-$N$73)^2+(O2-$O$73)^2+(P2-$P$73)^2+(Q2-$Q$73)^2+(R2-$R$73)^2+(S2-$S$73)^2+(T2-$T$73)^2+(U2-$U$73)^2+(V2-$V$73)^2+(W2-$W$73)^2+(X2-$X$73)^2+(Y2-$Y$73)^2+(Z2-$Z$73)^2+(AA2-$AA$73)^2+(AB2-$AB$73)^2+(AC2-$AC$73)^2+(AD2-$AD$73)^2+(AE2-$AE$73)^2+(AF2-$AF$73)^2+(AG2-$AG$73)^2)</f>
        <v>1.0527954179135233</v>
      </c>
      <c r="CQ2" s="36" t="s">
        <v>151</v>
      </c>
      <c r="CR2" s="37" t="s">
        <v>120</v>
      </c>
      <c r="CT2" s="43" t="s">
        <v>120</v>
      </c>
      <c r="CU2" s="36">
        <f>SQRT((A2-$A$74)^2+(B2-$B$74)^2+(C2-$C$74)^2+(D2-$D$74)^2+(E2-$E$74)^2+(F2-$F$74)^2+(G2-$G$74)^2+(H2-$H$74)^2+(I2-$I$74)^2+(J2-$J$74)^2+(K2-$K$74)^2+(L2-$L$74)^2+(M2-$M$74)^2+(N2-$N$74)^2+(O2-$O$74)^2+(P2-$P$74)^2+(Q2-$Q$74)^2+(R2-$R$74)^2+(S2-$S$74)^2+(T2-$T$74)^2+(U2-$U$74)^2+(V2-$V$74)^2+(W2-$W$74)^2+(X2-$X$74)^2+(Y2-$Y$74)^2+(Z2-$Z$74)^2+(AA2-$AA$74)^2+(AB2-$AB$74)^2+(AC2-$AC$74)^2+(AD2-$AD$74)^2+(AE2-$AE$74)^2+(AF2-$AF$74)^2+(AG2-$AG$74)^2)</f>
        <v>1.0240148936817239</v>
      </c>
      <c r="CV2" s="36" t="s">
        <v>154</v>
      </c>
      <c r="CW2" s="37" t="s">
        <v>120</v>
      </c>
      <c r="CY2" s="43" t="s">
        <v>120</v>
      </c>
      <c r="CZ2" s="36">
        <f>SQRT((A2-$A$75)^2+(B2-$B$75)^2+(C2-$C$75)^2+(D2-$D$75)^2+(E2-$E$75)^2+(F2-$F$75)^2+(G2-$G$75)^2+(H2-$H$75)^2+(I2-$I$75)^2+(J2-$J$75)^2+(K2-$K$75)^2+(L2-$L$75)^2+(M2-$M$75)^2+(N2-$N$75)^2+(O2-$O$75)^2+(P2-$P$75)^2+(Q2-$Q$75)^2+(R2-$R$75)^2+(S2-$S$75)^2+(T2-$T$75)^2+(U2-$U$75)^2+(V2-$V$75)^2+(W2-$W$75)^2+(X2-$X$75)^2+(Y2-$Y$75)^2+(Z2-$Z$75)^2+(AA2-$AA$75)^2+(AB2-$AB$75)^2+(AC2-$AC$75)^2+(AD2-$AD$75)^2+(AE2-$AE$75)^2+(AF2-$AF$75)^2+(AG2-$AG$75)^2)</f>
        <v>1.0124449904297892</v>
      </c>
      <c r="DA2" s="36" t="s">
        <v>154</v>
      </c>
      <c r="DB2" s="37" t="s">
        <v>120</v>
      </c>
      <c r="DD2" s="43" t="s">
        <v>120</v>
      </c>
      <c r="DE2" s="36">
        <f>SQRT((A2-$A$76)^2+(B2-$B$76)^2+(C2-$C$76)^2+(D2-$D$76)^2+(E2-$E$76)^2+(F2-$F$76)^2+(G2-$G$76)^2+(H2-$H$76)^2+(I2-$I$76)^2+(J2-$J$76)^2+(K2-$K$76)^2+(L2-$L$76)^2+(M2-$M$76)^2+(N2-$N$76)^2+(O2-$O$76)^2+(P2-$P$76)^2+(Q2-$Q$76)^2+(R2-$R$76)^2+(S2-$S$76)^2+(T2-$T$76)^2+(U2-$U$76)^2+(V2-$V$76)^2+(W2-$W$76)^2+(X2-$X$76)^2+(Y2-$Y$76)^2+(Z2-$Z$76)^2+(AA2-$AA$76)^2+(AB2-$AB$76)^2+(AC2-$AC$76)^2+(AD2-$AD$76)^2+(AE2-$AE$76)^2+(AF2-$AF$76)^2+(AG2-$AG$76)^2)</f>
        <v>0.97562984024738097</v>
      </c>
      <c r="DF2" s="36" t="s">
        <v>322</v>
      </c>
      <c r="DG2" s="37" t="s">
        <v>120</v>
      </c>
      <c r="DI2" s="43" t="s">
        <v>120</v>
      </c>
      <c r="DJ2" s="36">
        <f>SQRT((A2-$A$77)^2+(B2-$B$77)^2+(C2-$C$77)^2+(D2-$D$77)^2+(E2-$E$77)^2+(F2-$F$77)^2+(G2-$G$77)^2+(H2-$H$77)^2+(I2-$I$77)^2+(J2-$J$77)^2+(K2-$K$77)^2+(L2-$L$77)^2+(M2-$M$77)^2+(N2-$N$77)^2+(O2-$O$77)^2+(P2-$P$77)^2+(Q2-$Q$77)^2+(R2-$R$77)^2+(S2-$S$77)^2+(T2-$T$77)^2+(U2-$U$77)^2+(V2-$V$77)^2+(W2-$W$77)^2+(X2-$X$77)^2+(Y2-$Y$77)^2+(Z2-$Z$77)^2+(AA2-$AA$77)^2+(AB2-$AB$77)^2+(AC2-$AC$77)^2+(AD2-$AD$77)^2+(AE2-$AE$77)^2+(AF2-$AF$77)^2+(AG2-$AG$77)^2)</f>
        <v>1.6546970659891438</v>
      </c>
      <c r="DK2" s="36" t="s">
        <v>140</v>
      </c>
      <c r="DL2" s="37" t="s">
        <v>120</v>
      </c>
      <c r="DN2" s="43" t="s">
        <v>120</v>
      </c>
      <c r="DO2" s="36">
        <f>SQRT((A2-$A$78)^2+(B2-$B$78)^2+(C2-$C$78)^2+(D2-$D$78)^2+(E2-$E$78)^2+(F2-$F$78)^2+(G2-$G$78)^2+(H2-$H$78)^2+(I2-$I$78)^2+(J2-$J$78)^2+(K2-$K$78)^2+(L2-$L$78)^2+(M2-$M$78)^2+(N2-$N$78)^2+(O2-$O$78)^2+(P2-$P$78)^2+(Q2-$Q$78)^2+(R2-$R$78)^2+(S2-$S$78)^2+(T2-$T$78)^2+(U2-$U$78)^2+(V2-$V$78)^2+(W2-$W$78)^2+(X2-$X$78)^2+(Y2-$Y$78)^2+(Z2-$Z$78)^2+(AA2-$AA$78)^2+(AB2-$AB$78)^2+(AC2-$AC$78)^2+(AD2-$AD$78)^2+(AE2-$AE$78)^2+(AF2-$AF$78)^2+(AG2-$AG$78)^2)</f>
        <v>0.81948592966179468</v>
      </c>
      <c r="DP2" s="36" t="s">
        <v>334</v>
      </c>
      <c r="DQ2" s="37" t="s">
        <v>120</v>
      </c>
      <c r="DS2" s="43" t="s">
        <v>120</v>
      </c>
      <c r="DT2" s="36">
        <f>SQRT((A2-$A$79)^2+(B2-$B$79)^2+(C2-$C$79)^2+(D2-$D$79)^2+(E2-$E$79)^2+(F2-$F$79)^2+(G2-$G$79)^2+(H2-$H$79)^2+(I2-$I$79)^2+(J2-$J$79)^2+(K2-$K$79)^2+(L2-$L$79)^2+(M2-$M$79)^2+(N2-$N$79)^2+(O2-$O$79)^2+(P2-$P$79)^2+(Q2-$Q$79)^2+(R2-$R$79)^2+(S2-$S$79)^2+(T2-$T$79)^2+(U2-$U$79)^2+(V2-$V$79)^2+(W2-$W$79)^2+(X2-$X$79)^2+(Y2-$Y$79)^2+(Z2-$Z$79)^2+(AA2-$AA$79)^2+(AB2-$AB$79)^2+(AC2-$AC$79)^2+(AD2-$AD$79)^2+(AE2-$AE$79)^2+(AF2-$AF$79)^2+(AG2-$AG$79)^2)</f>
        <v>0.88981046781533824</v>
      </c>
      <c r="DU2" s="36" t="s">
        <v>319</v>
      </c>
      <c r="DV2" s="37" t="s">
        <v>120</v>
      </c>
      <c r="DX2" s="43" t="s">
        <v>120</v>
      </c>
      <c r="DY2" s="36">
        <f>SQRT((A2-$A$80)^2+(B2-$B$80)^2+(C2-$C$80)^2+(D2-$D$80)^2+(E2-$E$80)^2+(F2-$F$80)^2+(G2-$G$80)^2+(H2-$H$80)^2+(I2-$I$80)^2+(J2-$J$80)^2+(K2-$K$80)^2+(L2-$L$80)^2+(M2-$M$80)^2+(N2-$N$80)^2+(O2-$O$80)^2+(P2-$P$80)^2+(Q2-$Q$80)^2+(R2-$R$80)^2+(S2-$S$80)^2+(T2-$T$80)^2+(U2-$U$80)^2+(V2-$V$80)^2+(W2-$W$80)^2+(X2-$X$80)^2+(Y2-$Y$80)^2+(Z2-$Z$80)^2+(AA2-$AA$80)^2+(AB2-$AB$80)^2+(AC2-$AC$80)^2+(AD2-$AD$80)^2+(AE2-$AE$80)^2+(AF2-$AF$80)^2+(AG2-$AG$80)^2)</f>
        <v>1.3117327974039463</v>
      </c>
      <c r="DZ2" s="36" t="s">
        <v>135</v>
      </c>
      <c r="EA2" s="37" t="s">
        <v>120</v>
      </c>
      <c r="EC2" s="43" t="s">
        <v>120</v>
      </c>
      <c r="ED2" s="36">
        <f>SQRT((A2-$A$81)^2+(B2-$B$81)^2+(C2-$C$81)^2+(D2-$D$81)^2+(E2-$E$81)^2+(F2-$F$81)^2+(G2-$G$81)^2+(H2-$H$81)^2+(I2-$I$81)^2+(J2-$J$81)^2+(K2-$K$81)^2+(L2-$L$81)^2+(M2-$M$81)^2+(N2-$N$81)^2+(O2-$O$81)^2+(P2-$P$81)^2+(Q2-$Q$81)^2+(R2-$R$81)^2+(S2-$S$81)^2+(T2-$T$81)^2+(U2-$U$81)^2+(V2-$V$81)^2+(W2-$W$81)^2+(X2-$X$81)^2+(Y2-$Y$81)^2+(Z2-$Z$81)^2+(AA2-$AA$81)^2+(AB2-$AB$81)^2+(AC2-$AC$81)^2+(AD2-$AD$81)^2+(AE2-$AE$81)^2+(AF2-$AF$81)^2+(AG2-$AG$81)^2)</f>
        <v>1.3422468021170686</v>
      </c>
      <c r="EE2" s="36" t="s">
        <v>135</v>
      </c>
      <c r="EF2" s="37" t="s">
        <v>120</v>
      </c>
      <c r="EH2" s="43" t="s">
        <v>120</v>
      </c>
      <c r="EI2" s="36">
        <f>SQRT((A2-$A$82)^2+(B2-$B$82)^2+(C2-$C$82)^2+(D2-$D$82)^2+(E2-$E$82)^2+(F2-$F$82)^2+(G2-$G$82)^2+(H2-$H$82)^2+(I2-$I$82)^2+(J2-$J$82)^2+(K2-$K$82)^2+(L2-$L$82)^2+(M2-$M$82)^2+(N2-$N$82)^2+(O2-$O$82)^2+(P2-$P$82)^2+(Q2-$Q$82)^2+(R2-$R$82)^2+(S2-$S$82)^2+(T2-$T$82)^2+(U2-$U$82)^2+(V2-$V$82)^2+(W2-$W$82)^2+(X2-$X$82)^2+(Y2-$Y$82)^2+(Z2-$Z$82)^2+(AA2-$AA$82)^2+(AB2-$AB$82)^2+(AC2-$AC$82)^2+(AD2-$AD$82)^2+(AE2-$AE$82)^2+(AF2-$AF$82)^2+(AG2-$AG$82)^2)</f>
        <v>1.257577442996185</v>
      </c>
      <c r="EJ2" s="36" t="s">
        <v>316</v>
      </c>
      <c r="EK2" s="37" t="s">
        <v>120</v>
      </c>
      <c r="EM2" s="43" t="s">
        <v>120</v>
      </c>
      <c r="EN2" s="36">
        <f>SQRT((A2-$A$83)^2+(B2-$B$83)^2+(C2-$C$83)^2+(D2-$D$83)^2+(E2-$E$83)^2+(F2-$F$83)^2+(G2-$G$83)^2+(H2-$H$83)^2+(I2-$I$83)^2+(J2-$J$83)^2+(K2-$K$83)^2+(L2-$L$83)^2+(M2-$M$83)^2+(N2-$N$83)^2+(O2-$O$83)^2+(P2-$P$83)^2+(Q2-$Q$83)^2+(R2-$R$83)^2+(S2-$S$83)^2+(T2-$T$83)^2+(U2-$U$83)^2+(V2-$V$83)^2+(W2-$W$83)^2+(X2-$X$83)^2+(Y2-$Y$83)^2+(Z2-$Z$83)^2+(AA2-$AA$83)^2+(AB2-$AB$83)^2+(AC2-$AC$83)^2+(AD2-$AD$83)^2+(AE2-$AE$83)^2+(AF2-$AF$83)^2+(AG2-$AG$83)^2)</f>
        <v>0.83373786812719042</v>
      </c>
      <c r="EO2" s="36" t="s">
        <v>132</v>
      </c>
      <c r="EP2" s="37" t="s">
        <v>120</v>
      </c>
      <c r="ER2" s="43" t="s">
        <v>120</v>
      </c>
      <c r="ES2" s="36">
        <f>SQRT((A2-$A$84)^2+(B2-$B$84)^2+(C2-$C$84)^2+(D2-$D$84)^2+(E2-$E$84)^2+(F2-$F$84)^2+(G2-$G$84)^2+(H2-$H$84)^2+(I2-$I$84)^2+(J2-$J$84)^2+(K2-$K$84)^2+(L2-$L$84)^2+(M2-$M$84)^2+(N2-$N$84)^2+(O2-$O$84)^2+(P2-$P$84)^2+(Q2-$Q$84)^2+(R2-$R$84)^2+(S2-$S$84)^2+(T2-$T$84)^2+(U2-$U$84)^2+(V2-$V$84)^2+(W2-$W$84)^2+(X2-$X$84)^2+(Y2-$Y$84)^2+(Z2-$Z$84)^2+(AA2-$AA$84)^2+(AB2-$AB$84)^2+(AC2-$AC$84)^2+(AD2-$AD$84)^2+(AE2-$AE$84)^2+(AF2-$AF$84)^2+(AG2-$AG$84)^2)</f>
        <v>0.33333333333333298</v>
      </c>
      <c r="ET2" s="36" t="s">
        <v>126</v>
      </c>
      <c r="EU2" s="37" t="s">
        <v>120</v>
      </c>
      <c r="EW2" s="43" t="s">
        <v>120</v>
      </c>
      <c r="EX2" s="36">
        <f>SQRT((A2-$A$85)^2+(B2-$B$85)^2+(C2-$C$85)^2+(D2-$D$85)^2+(E2-$E$85)^2+(F2-$F$85)^2+(G2-$G$85)^2+(H2-$H$85)^2+(I2-$I$85)^2+(J2-$J$85)^2+(K2-$K$85)^2+(L2-$L$85)^2+(M2-$M$85)^2+(N2-$N$85)^2+(O2-$O$85)^2+(P2-$P$85)^2+(Q2-$Q$85)^2+(R2-$R$85)^2+(S2-$S$85)^2+(T2-$T$85)^2+(U2-$U$85)^2+(V2-$V$85)^2+(W2-$W$85)^2+(X2-$X$85)^2+(Y2-$Y$85)^2+(Z2-$Z$85)^2+(AA2-$AA$85)^2+(AB2-$AB$85)^2+(AC2-$AC$85)^2+(AD2-$AD$85)^2+(AE2-$AE$85)^2+(AF2-$AF$85)^2+(AG2-$AG$85)^2)</f>
        <v>0.33333333333333298</v>
      </c>
      <c r="EY2" s="36" t="s">
        <v>126</v>
      </c>
      <c r="EZ2" s="37" t="s">
        <v>120</v>
      </c>
      <c r="FB2" s="43" t="s">
        <v>120</v>
      </c>
      <c r="FC2" s="36">
        <f>SQRT((A2-$A$86)^2+(B2-$B$86)^2+(C2-$C$86)^2+(D2-$D$86)^2+(E2-$E$86)^2+(F2-$F$86)^2+(G2-$G$86)^2+(H2-$H$86)^2+(I2-$I$86)^2+(J2-$J$86)^2+(K2-$K$86)^2+(L2-$L$86)^2+(M2-$M$86)^2+(N2-$N$86)^2+(O2-$O$86)^2+(P2-$P$86)^2+(Q2-$Q$86)^2+(R2-$R$86)^2+(S2-$S$86)^2+(T2-$T$86)^2+(U2-$U$86)^2+(V2-$V$86)^2+(W2-$W$86)^2+(X2-$X$86)^2+(Y2-$Y$86)^2+(Z2-$Z$86)^2+(AA2-$AA$86)^2+(AB2-$AB$86)^2+(AC2-$AC$86)^2+(AD2-$AD$86)^2+(AE2-$AE$86)^2+(AF2-$AF$86)^2+(AG2-$AG$86)^2)</f>
        <v>0.33333333333333298</v>
      </c>
      <c r="FD2" s="36" t="s">
        <v>126</v>
      </c>
      <c r="FE2" s="37" t="s">
        <v>120</v>
      </c>
      <c r="FG2" s="43" t="s">
        <v>120</v>
      </c>
      <c r="FH2" s="36">
        <f>SQRT((A2-$A$87)^2+(B2-$B$87)^2+(C2-$C$87)^2+(D2-$D$87)^2+(E2-$E$87)^2+(F2-$F$87)^2+(G2-$G$87)^2+(H2-$H$87)^2+(I2-$I$87)^2+(J2-$J$87)^2+(K2-$K$87)^2+(L2-$L$87)^2+(M2-$M$87)^2+(N2-$N$87)^2+(O2-$O$87)^2+(P2-$P$87)^2+(Q2-$Q$87)^2+(R2-$R$87)^2+(S2-$S$87)^2+(T2-$T$87)^2+(U2-$U$87)^2+(V2-$V$87)^2+(W2-$W$87)^2+(X2-$X$87)^2+(Y2-$Y$87)^2+(Z2-$Z$87)^2+(AA2-$AA$87)^2+(AB2-$AB$87)^2+(AC2-$AC$87)^2+(AD2-$AD$87)^2+(AE2-$AE$87)^2+(AF2-$AF$87)^2+(AG2-$AG$87)^2)</f>
        <v>0.91306452891075462</v>
      </c>
      <c r="FI2" s="36" t="s">
        <v>325</v>
      </c>
      <c r="FJ2" s="37" t="s">
        <v>120</v>
      </c>
      <c r="FL2" s="43" t="s">
        <v>120</v>
      </c>
      <c r="FM2" s="36">
        <f>SQRT((A2-$A$88)^2+(B2-$B$88)^2+(C2-$C$88)^2+(D2-$D$88)^2+(E2-$E$88)^2+(F2-$F$88)^2+(G2-$G$88)^2+(H2-$H$88)^2+(I2-$I$88)^2+(J2-$J$88)^2+(K2-$K$88)^2+(L2-$L$88)^2+(M2-$M$88)^2+(N2-$N$88)^2+(O2-$O$88)^2+(P2-$P$88)^2+(Q2-$Q$88)^2+(R2-$R$88)^2+(S2-$S$88)^2+(T2-$T$88)^2+(U2-$U$88)^2+(V2-$V$88)^2+(W2-$W$88)^2+(X2-$X$88)^2+(Y2-$Y$88)^2+(Z2-$Z$88)^2+(AA2-$AA$88)^2+(AB2-$AB$88)^2+(AC2-$AC$88)^2+(AD2-$AD$88)^2+(AE2-$AE$88)^2+(AF2-$AF$88)^2+(AG2-$AG$88)^2)</f>
        <v>0.97700844682997778</v>
      </c>
      <c r="FN2" s="36" t="s">
        <v>153</v>
      </c>
      <c r="FO2" s="37" t="s">
        <v>120</v>
      </c>
      <c r="FQ2" s="43" t="s">
        <v>121</v>
      </c>
      <c r="FR2" s="36">
        <f>SQRT((A2-$A$89)^2+(B2-$B$89)^2+(C2-$C$89)^2+(D2-$D$89)^2+(E2-$E$89)^2+(F2-$F$89)^2+(G2-$G$89)^2+(H2-$H$89)^2+(I2-$I$89)^2+(J2-$J$89)^2+(K2-$K$89)^2+(L2-$L$89)^2+(M2-$M$89)^2+(N2-$N$89)^2+(O2-$O$89)^2+(P2-$P$89)^2+(Q2-$Q$89)^2+(R2-$R$89)^2+(S2-$S$89)^2+(T2-$T$89)^2+(U2-$U$89)^2+(V2-$V$89)^2+(W2-$W$89)^2+(X2-$X$89)^2+(Y2-$Y$89)^2+(Z2-$Z$89)^2+(AA2-$AA$89)^2+(AB2-$AB$89)^2+(AC2-$AC$89)^2+(AD2-$AD$89)^2+(AE2-$AE$89)^2+(AF2-$AF$89)^2+(AG2-$AG$89)^2)</f>
        <v>1.3953785464702997</v>
      </c>
      <c r="FS2" s="36" t="s">
        <v>324</v>
      </c>
      <c r="FT2" s="37" t="s">
        <v>120</v>
      </c>
      <c r="FV2" s="43" t="s">
        <v>120</v>
      </c>
      <c r="FW2" s="36">
        <f>SQRT((A2-$A$90)^2+(B2-$B$90)^2+(C2-$C$90)^2+(D2-$D$90)^2+(E2-$E$90)^2+(F2-$F$90)^2+(G2-$G$90)^2+(H2-$H$90)^2+(I2-$I$90)^2+(J2-$J$90)^2+(K2-$K$90)^2+(L2-$L$90)^2+(M2-$M$90)^2+(N2-$N$90)^2+(O2-$O$90)^2+(P2-$P$90)^2+(Q2-$Q$90)^2+(R2-$R$90)^2+(S2-$S$90)^2+(T2-$T$90)^2+(U2-$U$90)^2+(V2-$V$90)^2+(W2-$W$90)^2+(X2-$X$90)^2+(Y2-$Y$90)^2+(Z2-$Z$90)^2+(AA2-$AA$90)^2+(AB2-$AB$90)^2+(AC2-$AC$90)^2+(AD2-$AD$90)^2+(AE2-$AE$90)^2+(AF2-$AF$90)^2+(AG2-$AG$90)^2)</f>
        <v>1.4222768463392019</v>
      </c>
      <c r="FX2" s="36" t="s">
        <v>154</v>
      </c>
      <c r="FY2" s="37" t="s">
        <v>120</v>
      </c>
      <c r="GA2" s="43" t="s">
        <v>120</v>
      </c>
      <c r="GB2" s="36">
        <f>SQRT((A2-$A$91)^2+(B2-$B$91)^2+(C2-$C$91)^2+(D2-$D$91)^2+(E2-$E$91)^2+(F2-$F$91)^2+(G2-$G$91)^2+(H2-$H$91)^2+(I2-$I$91)^2+(J2-$J$91)^2+(K2-$K$91)^2+(L2-$L$91)^2+(M2-$M$91)^2+(N2-$N$91)^2+(O2-$O$91)^2+(P2-$P$91)^2+(Q2-$Q$91)^2+(R2-$R$91)^2+(S2-$S$91)^2+(T2-$T$91)^2+(U2-$U$91)^2+(V2-$V$91)^2+(W2-$W$91)^2+(X2-$X$91)^2+(Y2-$Y$91)^2+(Z2-$Z$91)^2+(AA2-$AA$91)^2+(AB2-$AB$91)^2+(AC2-$AC$91)^2+(AD2-$AD$91)^2+(AE2-$AE$91)^2+(AF2-$AF$91)^2+(AG2-$AG$91)^2)</f>
        <v>1.6928697576375888</v>
      </c>
      <c r="GC2" s="36" t="s">
        <v>330</v>
      </c>
      <c r="GD2" s="37" t="s">
        <v>120</v>
      </c>
      <c r="GF2" s="43" t="s">
        <v>120</v>
      </c>
      <c r="GG2" s="36">
        <f>SQRT((A2-$A$92)^2+(B2-$B$92)^2+(C2-$C$92)^2+(D2-$D$92)^2+(E2-$E$92)^2+(F2-$F$92)^2+(G2-$G$92)^2+(H2-$H$92)^2+(I2-$I$92)^2+(J2-$J$92)^2+(K2-$K$92)^2+(L2-$L$92)^2+(M2-$M$92)^2+(N2-$N$92)^2+(O2-$O$92)^2+(P2-$P$92)^2+(Q2-$Q$92)^2+(R2-$R$92)^2+(S2-$S$92)^2+(T2-$T$92)^2+(U2-$U$92)^2+(V2-$V$92)^2+(W2-$W$92)^2+(X2-$X$92)^2+(Y2-$Y$92)^2+(Z2-$Z$92)^2+(AA2-$AA$92)^2+(AB2-$AB$92)^2+(AC2-$AC$92)^2+(AD2-$AD$92)^2+(AE2-$AE$92)^2+(AF2-$AF$92)^2+(AG2-$AG$92)^2)</f>
        <v>1.3238415611824654</v>
      </c>
      <c r="GH2" s="36" t="s">
        <v>326</v>
      </c>
      <c r="GI2" s="37" t="s">
        <v>120</v>
      </c>
      <c r="GK2" s="43" t="s">
        <v>120</v>
      </c>
      <c r="GL2" s="36">
        <f>SQRT((A2-$A$93)^2+(B2-$B$93)^2+(C2-$C$93)^2+(D2-$D$93)^2+(E2-$E$93)^2+(F2-$F$93)^2+(G2-$G$93)^2+(H2-$H$93)^2+(I2-$I$93)^2+(J2-$J$93)^2+(K2-$K$93)^2+(L2-$L$93)^2+(M2-$M$93)^2+(N2-$N$93)^2+(O2-$O$93)^2+(P2-$P$93)^2+(Q2-$Q$93)^2+(R2-$R$93)^2+(S2-$S$93)^2+(T2-$T$93)^2+(U2-$U$93)^2+(V2-$V$93)^2+(W2-$W$93)^2+(X2-$X$93)^2+(Y2-$Y$93)^2+(Z2-$Z$93)^2+(AA2-$AA$93)^2+(AB2-$AB$93)^2+(AC2-$AC$93)^2+(AD2-$AD$93)^2+(AE2-$AE$93)^2+(AF2-$AF$93)^2+(AG2-$AG$93)^2)</f>
        <v>1.8094731342333277</v>
      </c>
      <c r="GM2" s="36" t="s">
        <v>151</v>
      </c>
      <c r="GN2" s="37" t="s">
        <v>120</v>
      </c>
      <c r="GP2" s="43" t="s">
        <v>120</v>
      </c>
      <c r="GQ2" s="36">
        <f>SQRT((A2-$A$94)^2+(B2-$B$94)^2+(C2-$C$94)^2+(D2-$D$94)^2+(E2-$E$94)^2+(F2-$F$94)^2+(G2-$G$94)^2+(H2-$H$94)^2+(I2-$I$94)^2+(J2-$J$94)^2+(K2-$K$94)^2+(L2-$L$94)^2+(M2-$M$94)^2+(N2-$N$94)^2+(O2-$O$94)^2+(P2-$P$94)^2+(Q2-$Q$94)^2+(R2-$R$94)^2+(S2-$S$94)^2+(T2-$T$94)^2+(U2-$U$94)^2+(V2-$V$94)^2+(W2-$W$94)^2+(X2-$X$94)^2+(Y2-$Y$94)^2+(Z2-$Z$94)^2+(AA2-$AA$94)^2+(AB2-$AB$94)^2+(AC2-$AC$94)^2+(AD2-$AD$94)^2+(AE2-$AE$94)^2+(AF2-$AF$94)^2+(AG2-$AG$94)^2)</f>
        <v>1.075933414471185</v>
      </c>
      <c r="GR2" s="36" t="s">
        <v>325</v>
      </c>
      <c r="GS2" s="37" t="s">
        <v>120</v>
      </c>
      <c r="GU2" s="43" t="s">
        <v>120</v>
      </c>
      <c r="GV2" s="36">
        <f>SQRT((A2-$A$95)^2+(B2-$B$95)^2+(C2-$C$95)^2+(D2-$D$95)^2+(E2-$E$95)^2+(F2-$F$95)^2+(G2-$G$95)^2+(H2-$H$95)^2+(I2-$I$95)^2+(J2-$J$95)^2+(K2-$K$95)^2+(L2-$L$95)^2+(M2-$M$95)^2+(N2-$N$95)^2+(O2-$O$95)^2+(P2-$P$95)^2+(Q2-$Q$95)^2+(R2-$R$95)^2+(S2-$S$95)^2+(T2-$T$95)^2+(U2-$U$95)^2+(V2-$V$95)^2+(W2-$W$95)^2+(X2-$X$95)^2+(Y2-$Y$95)^2+(Z2-$Z$95)^2+(AA2-$AA$95)^2+(AB2-$AB$95)^2+(AC2-$AC$95)^2+(AD2-$AD$95)^2+(AE2-$AE$95)^2+(AF2-$AF$95)^2+(AG2-$AG$95)^2)</f>
        <v>2.1732981407970082</v>
      </c>
      <c r="GW2" s="36" t="s">
        <v>154</v>
      </c>
      <c r="GX2" s="37" t="s">
        <v>120</v>
      </c>
      <c r="GZ2" s="43" t="s">
        <v>120</v>
      </c>
      <c r="HA2" s="36">
        <f>SQRT((A2-$A$96)^2+(B2-$B$96)^2+(C2-$C$96)^2+(D2-$D$96)^2+(E2-$E$96)^2+(F2-$F$96)^2+(G2-$G$96)^2+(H2-$H$96)^2+(I2-$I$96)^2+(J2-$J$96)^2+(K2-$K$96)^2+(L2-$L$96)^2+(M2-$M$96)^2+(N2-$N$96)^2+(O2-$O$96)^2+(P2-$P$96)^2+(Q2-$Q$96)^2+(R2-$R$96)^2+(S2-$S$96)^2+(T2-$T$96)^2+(U2-$U$96)^2+(V2-$V$96)^2+(W2-$W$96)^2+(X2-$X$96)^2+(Y2-$Y$96)^2+(Z2-$Z$96)^2+(AA2-$AA$96)^2+(AB2-$AB$96)^2+(AC2-$AC$96)^2+(AD2-$AD$96)^2+(AE2-$AE$96)^2+(AF2-$AF$96)^2+(AG2-$AG$96)^2)</f>
        <v>2.0600147970997176</v>
      </c>
      <c r="HB2" s="36" t="s">
        <v>139</v>
      </c>
      <c r="HC2" s="37" t="s">
        <v>120</v>
      </c>
      <c r="HE2" s="43" t="s">
        <v>120</v>
      </c>
      <c r="HF2" s="36">
        <f>SQRT((A2-$A$97)^2+(B2-$B$97)^2+(C2-$C$97)^2+(D2-$D$97)^2+(E2-$E$97)^2+(F2-$F$97)^2+(G2-$G$97)^2+(H2-$H$97)^2+(I2-$I$97)^2+(J2-$J$97)^2+(K2-$K$97)^2+(L2-$L$97)^2+(M2-$M$97)^2+(N2-$N$97)^2+(O2-$O$97)^2+(P2-$P$97)^2+(Q2-$Q$97)^2+(R2-$R$97)^2+(S2-$S$97)^2+(T2-$T$97)^2+(U2-$U$97)^2+(V2-$V$97)^2+(W2-$W$97)^2+(X2-$X$97)^2+(Y2-$Y$97)^2+(Z2-$Z$97)^2+(AA2-$AA$97)^2+(AB2-$AB$97)^2+(AC2-$AC$97)^2+(AD2-$AD$97)^2+(AE2-$AE$97)^2+(AF2-$AF$97)^2+(AG2-$AG$97)^2)</f>
        <v>0.33333333333333298</v>
      </c>
      <c r="HG2" s="36" t="s">
        <v>126</v>
      </c>
      <c r="HH2" s="37" t="s">
        <v>120</v>
      </c>
      <c r="HJ2" s="43" t="s">
        <v>120</v>
      </c>
      <c r="HK2" s="36">
        <f>SQRT((A2-$A$98)^2+(B2-$B$98)^2+(C2-$C$98)^2+(D2-$D$98)^2+(E2-$E$98)^2+(F2-$F$98)^2+(G2-$G$98)^2+(H2-$H$98)^2+(I2-$I$98)^2+(J2-$J$98)^2+(K2-$K$98)^2+(L2-$L$98)^2+(M2-$M$98)^2+(N2-$N$98)^2+(O2-$O$98)^2+(P2-$P$98)^2+(Q2-$Q$98)^2+(R2-$R$98)^2+(S2-$S$98)^2+(T2-$T$98)^2+(U2-$U$98)^2+(V2-$V$98)^2+(W2-$W$98)^2+(X2-$X$98)^2+(Y2-$Y$98)^2+(Z2-$Z$98)^2+(AA2-$AA$98)^2+(AB2-$AB$98)^2+(AC2-$AC$98)^2+(AD2-$AD$98)^2+(AE2-$AE$98)^2+(AF2-$AF$98)^2+(AG2-$AG$98)^2)</f>
        <v>0.33333333333333298</v>
      </c>
      <c r="HL2" s="36" t="s">
        <v>126</v>
      </c>
      <c r="HM2" s="37" t="s">
        <v>120</v>
      </c>
      <c r="HO2" s="43" t="s">
        <v>120</v>
      </c>
      <c r="HP2" s="36">
        <f>SQRT((A2-$A$99)^2+(B2-$B$99)^2+(C2-$C$99)^2+(D2-$D$99)^2+(E2-$E$99)^2+(F2-$F$99)^2+(G2-$G$99)^2+(H2-$H$99)^2+(I2-$I$99)^2+(J2-$J$99)^2+(K2-$K$99)^2+(L2-$L$99)^2+(M2-$M$99)^2+(N2-$N$99)^2+(O2-$O$99)^2+(P2-$P$99)^2+(Q2-$Q$99)^2+(R2-$R$99)^2+(S2-$S$99)^2+(T2-$T$99)^2+(U2-$U$99)^2+(V2-$V$99)^2+(W2-$W$99)^2+(X2-$X$99)^2+(Y2-$Y$99)^2+(Z2-$Z$99)^2+(AA2-$AA$99)^2+(AB2-$AB$99)^2+(AC2-$AC$99)^2+(AD2-$AD$99)^2+(AE2-$AE$99)^2+(AF2-$AF$99)^2+(AG2-$AG$99)^2)</f>
        <v>0.33333333333333298</v>
      </c>
      <c r="HQ2" s="36" t="s">
        <v>126</v>
      </c>
      <c r="HR2" s="37" t="s">
        <v>120</v>
      </c>
      <c r="HT2" s="43" t="s">
        <v>120</v>
      </c>
      <c r="HU2" s="36">
        <f>SQRT((A2-$A$100)^2+(B2-$B$100)^2+(C2-$C$100)^2+(D2-$D$100)^2+(E2-$E$100)^2+(F2-$F$100)^2+(G2-$G$100)^2+(H2-$H$100)^2+(I2-$I$100)^2+(J2-$J$100)^2+(K2-$K$100)^2+(L2-$L$100)^2+(M2-$M$100)^2+(N2-$N$100)^2+(O2-$O$100)^2+(P2-$P$100)^2+(Q2-$Q$100)^2+(R2-$R$100)^2+(S2-$S$100)^2+(T2-$T$100)^2+(U2-$U$100)^2+(V2-$V$100)^2+(W2-$W$100)^2+(X2-$X$100)^2+(Y2-$Y$100)^2+(Z2-$Z$100)^2+(AA2-$AA$100)^2+(AB2-$AB$100)^2+(AC2-$AC$100)^2+(AD2-$AD$100)^2+(AE2-$AE$100)^2+(AF2-$AF$100)^2+(AG2-$AG$100)^2)</f>
        <v>0.33333333333333298</v>
      </c>
      <c r="HV2" s="36" t="s">
        <v>126</v>
      </c>
      <c r="HW2" s="37" t="s">
        <v>120</v>
      </c>
      <c r="HY2" s="43" t="s">
        <v>120</v>
      </c>
      <c r="HZ2" s="36">
        <f>SQRT((A2-$A$101)^2+(B2-$B$101)^2+(C2-$C$101)^2+(D2-$D$101)^2+(E2-$E$101)^2+(F2-$F$101)^2+(G2-$G$101)^2+(H2-$H$101)^2+(I2-$I$101)^2+(J2-$J$101)^2+(K2-$K$101)^2+(L2-$L$101)^2+(M2-$M$101)^2+(N2-$N$101)^2+(O2-$O$101)^2+(P2-$P$101)^2+(Q2-$Q$101)^2+(R2-$R$101)^2+(S2-$S$101)^2+(T2-$T$101)^2+(U2-$U$101)^2+(V2-$V$101)^2+(W2-$W$101)^2+(X2-$X$101)^2+(Y2-$Y$101)^2+(Z2-$Z$101)^2+(AA2-$AA$101)^2+(AB2-$AB$101)^2+(AC2-$AC$101)^2+(AD2-$AD$101)^2+(AE2-$AE$101)^2+(AF2-$AF$101)^2+(AG2-$AG$101)^2)</f>
        <v>1.3612369005455633</v>
      </c>
      <c r="IA2" s="36" t="s">
        <v>135</v>
      </c>
      <c r="IB2" s="37" t="s">
        <v>120</v>
      </c>
    </row>
    <row r="3" spans="1:236" x14ac:dyDescent="0.35">
      <c r="A3" s="2">
        <v>0.33333333333333298</v>
      </c>
      <c r="B3" s="2">
        <v>0.25</v>
      </c>
      <c r="C3" s="2">
        <v>0.33333333333333298</v>
      </c>
      <c r="D3" s="2">
        <v>0.66666666666666596</v>
      </c>
      <c r="E3" s="2">
        <v>0</v>
      </c>
      <c r="F3" s="2">
        <v>1</v>
      </c>
      <c r="G3" s="2">
        <v>0.55555555555555503</v>
      </c>
      <c r="H3" s="2">
        <v>1</v>
      </c>
      <c r="I3" s="2">
        <v>0.5</v>
      </c>
      <c r="J3" s="2">
        <v>1</v>
      </c>
      <c r="K3" s="2">
        <v>0</v>
      </c>
      <c r="L3" s="2">
        <v>0.2</v>
      </c>
      <c r="M3" s="2">
        <v>0</v>
      </c>
      <c r="N3" s="2">
        <v>0</v>
      </c>
      <c r="O3" s="2">
        <v>1</v>
      </c>
      <c r="P3" s="2">
        <v>0.4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0</v>
      </c>
      <c r="AH3" s="2" t="s">
        <v>120</v>
      </c>
      <c r="AI3" s="42"/>
      <c r="AJ3" s="42"/>
      <c r="AL3" s="44"/>
      <c r="AM3" s="36">
        <f>SQRT((A3-$A$62)^2+(B3-$B$62)^2+(C3-$C$62)^2+(D3-$D$62)^2+(E3-$E$62)^2+(F3-$F$62)^2+(G3-$G$62)^2+(H3-$H$62)^2+(I3-$I$62)^2+(J3-$J$62)^2+(K3-$K$62)^2+(L3-$L$62)^2+(M3-$M$62)^2+(N3-$N$62)^2+(O3-$O$62)^2+(P3-$P$62)^2+(Q3-$Q$62)^2+(R3-$R$62)^2+(S3-$S$62)^2+(T3-$T$62)^2+(U3-$U$62)^2+(V3-$V$62)^2+(W3-$W$62)^2+(X3-$X$62)^2+(Y3-$Y$62)^2+(Z3-$Z$62)^2+(AA3-$AA$62)^2+(AB3-$AB$62)^2+(AC3-$AC$62)^2+(AD3-$AD$62)^2+(AE3-$AE$62)^2+(AF3-$AF$62)^2+(AG3-$AG$62)^2)</f>
        <v>2.373230334843675</v>
      </c>
      <c r="AN3" s="36" t="s">
        <v>330</v>
      </c>
      <c r="AO3" s="37" t="s">
        <v>120</v>
      </c>
      <c r="AP3" s="30"/>
      <c r="AQ3" s="44"/>
      <c r="AR3" s="36">
        <f>SQRT((A3-$A$63)^2+(B3-$B$63)^2+(C3-$C$63)^2+(D3-$D$63)^2+(E3-$E$63)^2+(F3-$F$63)^2+(G3-$G$63)^2+(H3-$H$63)^2+(I3-$I$63)^2+(J3-$J$63)^2+(K3-$K$63)^2+(L3-$L$63)^2+(M3-$M$63)^2+(N3-$N$63)^2+(O3-$O$63)^2+(P3-$P$63)^2+(Q3-$Q$63)^2+(R3-$R$63)^2+(S3-$S$63)^2+(T3-$T$63)^2+(U3-$U$63)^2+(V3-$V$63)^2+(W3-$W$63)^2+(X3-$X$63)^2+(Y3-$Y$63)^2+(Z3-$Z$63)^2+(AA3-$AA$63)^2+(AB3-$AB$63)^2+(AC3-$AC$63)^2+(AD3-$AD$63)^2+(AE3-$AE$63)^2+(AF3-$AF$63)^2+(AG3-$AG$63)^2)</f>
        <v>1.6460337077234817</v>
      </c>
      <c r="AS3" s="36" t="s">
        <v>127</v>
      </c>
      <c r="AT3" s="37" t="s">
        <v>120</v>
      </c>
      <c r="AU3" s="30"/>
      <c r="AV3" s="44"/>
      <c r="AW3" s="36">
        <f>SQRT((A3-$A$64)^2+(B3-$B$64)^2+(C3-$C$64)^2+(D3-$D$64)^2+(E3-$E$64)^2+(F3-$F$64)^2+(G3-$G$64)^2+(H3-$H$64)^2+(I3-$I$64)^2+(J3-$J$64)^2+(K3-$K$64)^2+(L3-$L$64)^2+(M3-$M$64)^2+(N3-$N$64)^2+(O3-$O$64)^2+(P3-$P$64)^2+(Q3-$Q$64)^2+(R3-$R$64)^2+(S3-$S$64)^2+(T3-$T$64)^2+(U3-$U$64)^2+(V3-$V$64)^2+(W3-$W$64)^2+(X3-$X$64)^2+(Y3-$Y$64)^2+(Z3-$Z$64)^2+(AA3-$AA$64)^2+(AB3-$AB$64)^2+(AC3-$AC$64)^2+(AD3-$AD$64)^2+(AE3-$AE$64)^2+(AF3-$AF$64)^2+(AG3-$AG$64)^2)</f>
        <v>1.6460337077234817</v>
      </c>
      <c r="AX3" s="36" t="s">
        <v>127</v>
      </c>
      <c r="AY3" s="37" t="s">
        <v>120</v>
      </c>
      <c r="AZ3" s="30"/>
      <c r="BA3" s="44"/>
      <c r="BB3" s="36">
        <f>SQRT((A3-$A$65)^2+(B3-$B$65)^2+(C3-$C$65)^2+(D3-$D$65)^2+(E3-$E$65)^2+(F3-$F$65)^2+(G3-$G$65)^2+(H3-$H$65)^2+(I3-$I$65)^2+(J3-$J$65)^2+(K3-$K$65)^2+(L3-$L$65)^2+(M3-$M$65)^2+(N3-$N$65)^2+(O3-$O$65)^2+(P3-$P$65)^2+(Q3-$Q$65)^2+(R3-$R$65)^2+(S3-$S$65)^2+(T3-$T$65)^2+(U3-$U$65)^2+(V3-$V$65)^2+(W3-$W$65)^2+(X3-$X$65)^2+(Y3-$Y$65)^2+(Z3-$Z$65)^2+(AA3-$AA$65)^2+(AB3-$AB$65)^2+(AC3-$AC$65)^2+(AD3-$AD$65)^2+(AE3-$AE$65)^2+(AF3-$AF$65)^2+(AG3-$AG$65)^2)</f>
        <v>1.6460337077234817</v>
      </c>
      <c r="BC3" s="36" t="s">
        <v>127</v>
      </c>
      <c r="BD3" s="37" t="s">
        <v>120</v>
      </c>
      <c r="BE3" s="30"/>
      <c r="BF3" s="44"/>
      <c r="BG3" s="36">
        <f>SQRT((A3-$A$66)^2+(B3-$B$66)^2+(C3-$C$66)^2+(D3-$D$66)^2+(E3-$E$66)^2+(F3-$F$66)^2+(G3-$G$66)^2+(H3-$H$66)^2+(I3-$I$66)^2+(J3-$J$66)^2+(K3-$K$66)^2+(L3-$L$66)^2+(M3-$M$66)^2+(N3-$N$66)^2+(O3-$O$66)^2+(P3-$P$66)^2+(Q3-$Q$66)^2+(R3-$R$66)^2+(S3-$S$66)^2+(T3-$T$66)^2+(U3-$U$66)^2+(V3-$V$66)^2+(W3-$W$66)^2+(X3-$X$66)^2+(Y3-$Y$66)^2+(Z3-$Z$66)^2+(AA3-$AA$66)^2+(AB3-$AB$66)^2+(AC3-$AC$66)^2+(AD3-$AD$66)^2+(AE3-$AE$66)^2+(AF3-$AF$66)^2+(AG3-$AG$66)^2)</f>
        <v>1.6460337077234817</v>
      </c>
      <c r="BH3" s="36" t="s">
        <v>127</v>
      </c>
      <c r="BI3" s="37" t="s">
        <v>120</v>
      </c>
      <c r="BJ3" s="30"/>
      <c r="BK3" s="44"/>
      <c r="BL3" s="36">
        <f>SQRT((A3-$A$67)^2+(B3-$B$67)^2+(C3-$C$67)^2+(D3-$D$67)^2+(E3-$E$67)^2+(F3-$F$67)^2+(G3-$G$67)^2+(H3-$H$67)^2+(I3-$I$67)^2+(J3-$J$67)^2+(K3-$K$67)^2+(L3-$L$67)^2+(M3-$M$67)^2+(N3-$N$67)^2+(O3-$O$67)^2+(P3-$P$67)^2+(Q3-$Q$67)^2+(R3-$R$67)^2+(S3-$S$67)^2+(T3-$T$67)^2+(U3-$U$67)^2+(V3-$V$67)^2+(W3-$W$67)^2+(X3-$X$67)^2+(Y3-$Y$67)^2+(Z3-$Z$67)^2+(AA3-$AA$67)^2+(AB3-$AB$67)^2+(AC3-$AC$67)^2+(AD3-$AD$67)^2+(AE3-$AE$67)^2+(AF3-$AF$67)^2+(AG3-$AG$67)^2)</f>
        <v>1.6460337077234817</v>
      </c>
      <c r="BM3" s="36" t="s">
        <v>127</v>
      </c>
      <c r="BN3" s="37" t="s">
        <v>120</v>
      </c>
      <c r="BO3" s="30"/>
      <c r="BP3" s="44"/>
      <c r="BQ3" s="36">
        <f>SQRT((A3-$A$68)^2+(B3-$B$68)^2+(C3-$C$68)^2+(D3-$D$68)^2+(E3-$E$68)^2+(F3-$F$68)^2+(G3-$G$68)^2+(H3-$H$68)^2+(I3-$I$68)^2+(J3-$J$68)^2+(K3-$K$68)^2+(L3-$L$68)^2+(M3-$M$68)^2+(N3-$N$68)^2+(O3-$O$68)^2+(P3-$P$68)^2+(Q3-$Q$68)^2+(R3-$R$68)^2+(S3-$S$68)^2+(T3-$T$68)^2+(U3-$U$68)^2+(V3-$V$68)^2+(W3-$W$68)^2+(X3-$X$68)^2+(Y3-$Y$68)^2+(Z3-$Z$68)^2+(AA3-$AA$68)^2+(AB3-$AB$68)^2+(AC3-$AC$68)^2+(AD3-$AD$68)^2+(AE3-$AE$68)^2+(AF3-$AF$68)^2+(AG3-$AG$68)^2)</f>
        <v>1.6460337077234817</v>
      </c>
      <c r="BR3" s="36" t="s">
        <v>127</v>
      </c>
      <c r="BS3" s="37" t="s">
        <v>120</v>
      </c>
      <c r="BT3" s="30"/>
      <c r="BU3" s="44"/>
      <c r="BV3" s="36">
        <f>SQRT((A3-$A$69)^2+(B3-$B$69)^2+(C3-$C$69)^2+(D3-$D$69)^2+(E3-$E$69)^2+(F3-$F$69)^2+(G3-$G$69)^2+(H3-$H$69)^2+(I3-$I$69)^2+(J3-$J$69)^2+(K3-$K$69)^2+(L3-$L$69)^2+(M3-$M$69)^2+(N3-$N$69)^2+(O3-$O$69)^2+(P3-$P$69)^2+(Q3-$Q$69)^2+(R3-$R$69)^2+(S3-$S$69)^2+(T3-$T$69)^2+(U3-$U$69)^2+(V3-$V$69)^2+(W3-$W$69)^2+(X3-$X$69)^2+(Y3-$Y$69)^2+(Z3-$Z$69)^2+(AA3-$AA$69)^2+(AB3-$AB$69)^2+(AC3-$AC$69)^2+(AD3-$AD$69)^2+(AE3-$AE$69)^2+(AF3-$AF$69)^2+(AG3-$AG$69)^2)</f>
        <v>2.725760650504141</v>
      </c>
      <c r="BW3" s="36" t="s">
        <v>326</v>
      </c>
      <c r="BX3" s="37" t="s">
        <v>120</v>
      </c>
      <c r="BZ3" s="44"/>
      <c r="CA3" s="36">
        <f>SQRT((A3-$A$70)^2+(B3-$B$70)^2+(C3-$C$70)^2+(D3-$D$70)^2+(E3-$E$70)^2+(F3-$F$70)^2+(G3-$G$70)^2+(H3-$H$70)^2+(I3-$I$70)^2+(J3-$J$70)^2+(K3-$K$70)^2+(L3-$L$70)^2+(M3-$M$70)^2+(N3-$N$70)^2+(O3-$O$70)^2+(P3-$P$70)^2+(Q3-$Q$70)^2+(R3-$R$70)^2+(S3-$S$70)^2+(T3-$T$70)^2+(U3-$U$70)^2+(V3-$V$70)^2+(W3-$W$70)^2+(X3-$X$70)^2+(Y3-$Y$70)^2+(Z3-$Z$70)^2+(AA3-$AA$70)^2+(AB3-$AB$70)^2+(AC3-$AC$70)^2+(AD3-$AD$70)^2+(AE3-$AE$70)^2+(AF3-$AF$70)^2+(AG3-$AG$70)^2)</f>
        <v>2.0995930197702966</v>
      </c>
      <c r="CB3" s="36" t="s">
        <v>149</v>
      </c>
      <c r="CC3" s="37" t="s">
        <v>120</v>
      </c>
      <c r="CE3" s="44"/>
      <c r="CF3" s="36">
        <f>SQRT((A3-$A$71)^2+(B3-$B$71)^2+(C3-$C$71)^2+(D3-$D$71)^2+(E3-$E$71)^2+(F3-$F$71)^2+(G3-$G$71)^2+(H3-$H$71)^2+(I3-$I$71)^2+(J3-$J$71)^2+(K3-$K$71)^2+(L3-$L$71)^2+(M3-$M$71)^2+(N3-$N$71)^2+(O3-$O$71)^2+(P3-$P$71)^2+(Q3-$Q$71)^2+(R3-$R$71)^2+(S3-$S$71)^2+(T3-$T$71)^2+(U3-$U$71)^2+(V3-$V$71)^2+(W3-$W$71)^2+(X3-$X$71)^2+(Y3-$Y$71)^2+(Z3-$Z$71)^2+(AA3-$AA$71)^2+(AB3-$AB$71)^2+(AC3-$AC$71)^2+(AD3-$AD$71)^2+(AE3-$AE$71)^2+(AF3-$AF$71)^2+(AG3-$AG$71)^2)</f>
        <v>1.840504690386531</v>
      </c>
      <c r="CG3" s="36" t="s">
        <v>314</v>
      </c>
      <c r="CH3" s="37" t="s">
        <v>120</v>
      </c>
      <c r="CJ3" s="44"/>
      <c r="CK3" s="36">
        <f>SQRT((A3-$A$72)^2+(B3-$B$72)^2+(C3-$C$72)^2+(D3-$D$72)^2+(E3-$E$72)^2+(F3-$F$72)^2+(G3-$G$72)^2+(H3-$H$72)^2+(I3-$I$72)^2+(J3-$J$72)^2+(K3-$K$72)^2+(L3-$L$72)^2+(M3-$M$72)^2+(N3-$N$72)^2+(O3-$O$72)^2+(P3-$P$72)^2+(Q3-$Q$72)^2+(R3-$R$72)^2+(S3-$S$72)^2+(T3-$T$72)^2+(U3-$U$72)^2+(V3-$V$72)^2+(W3-$W$72)^2+(X3-$X$72)^2+(Y3-$Y$72)^2+(Z3-$Z$72)^2+(AA3-$AA$72)^2+(AB3-$AB$72)^2+(AC3-$AC$72)^2+(AD3-$AD$72)^2+(AE3-$AE$72)^2+(AF3-$AF$72)^2+(AG3-$AG$72)^2)</f>
        <v>1.9659809185556563</v>
      </c>
      <c r="CL3" s="36" t="s">
        <v>153</v>
      </c>
      <c r="CM3" s="37" t="s">
        <v>120</v>
      </c>
      <c r="CO3" s="44"/>
      <c r="CP3" s="36">
        <f>SQRT((A3-$A$73)^2+(B3-$B$73)^2+(C3-$C$73)^2+(D3-$D$73)^2+(E3-$E$73)^2+(F3-$F$73)^2+(G3-$G$73)^2+(H3-$H$73)^2+(I3-$I$73)^2+(J3-$J$73)^2+(K3-$K$73)^2+(L3-$L$73)^2+(M3-$M$73)^2+(N3-$N$73)^2+(O3-$O$73)^2+(P3-$P$73)^2+(Q3-$Q$73)^2+(R3-$R$73)^2+(S3-$S$73)^2+(T3-$T$73)^2+(U3-$U$73)^2+(V3-$V$73)^2+(W3-$W$73)^2+(X3-$X$73)^2+(Y3-$Y$73)^2+(Z3-$Z$73)^2+(AA3-$AA$73)^2+(AB3-$AB$73)^2+(AC3-$AC$73)^2+(AD3-$AD$73)^2+(AE3-$AE$73)^2+(AF3-$AF$73)^2+(AG3-$AG$73)^2)</f>
        <v>2.2360679774997898</v>
      </c>
      <c r="CQ3" s="36" t="s">
        <v>328</v>
      </c>
      <c r="CR3" s="37" t="s">
        <v>120</v>
      </c>
      <c r="CT3" s="44"/>
      <c r="CU3" s="36">
        <f>SQRT((A3-$A$74)^2+(B3-$B$74)^2+(C3-$C$74)^2+(D3-$D$74)^2+(E3-$E$74)^2+(F3-$F$74)^2+(G3-$G$74)^2+(H3-$H$74)^2+(I3-$I$74)^2+(J3-$J$74)^2+(K3-$K$74)^2+(L3-$L$74)^2+(M3-$M$74)^2+(N3-$N$74)^2+(O3-$O$74)^2+(P3-$P$74)^2+(Q3-$Q$74)^2+(R3-$R$74)^2+(S3-$S$74)^2+(T3-$T$74)^2+(U3-$U$74)^2+(V3-$V$74)^2+(W3-$W$74)^2+(X3-$X$74)^2+(Y3-$Y$74)^2+(Z3-$Z$74)^2+(AA3-$AA$74)^2+(AB3-$AB$74)^2+(AC3-$AC$74)^2+(AD3-$AD$74)^2+(AE3-$AE$74)^2+(AF3-$AF$74)^2+(AG3-$AG$74)^2)</f>
        <v>2.0168732676541126</v>
      </c>
      <c r="CV3" s="36" t="s">
        <v>122</v>
      </c>
      <c r="CW3" s="37" t="s">
        <v>120</v>
      </c>
      <c r="CY3" s="44"/>
      <c r="CZ3" s="36">
        <f>SQRT((A3-$A$75)^2+(B3-$B$75)^2+(C3-$C$75)^2+(D3-$D$75)^2+(E3-$E$75)^2+(F3-$F$75)^2+(G3-$G$75)^2+(H3-$H$75)^2+(I3-$I$75)^2+(J3-$J$75)^2+(K3-$K$75)^2+(L3-$L$75)^2+(M3-$M$75)^2+(N3-$N$75)^2+(O3-$O$75)^2+(P3-$P$75)^2+(Q3-$Q$75)^2+(R3-$R$75)^2+(S3-$S$75)^2+(T3-$T$75)^2+(U3-$U$75)^2+(V3-$V$75)^2+(W3-$W$75)^2+(X3-$X$75)^2+(Y3-$Y$75)^2+(Z3-$Z$75)^2+(AA3-$AA$75)^2+(AB3-$AB$75)^2+(AC3-$AC$75)^2+(AD3-$AD$75)^2+(AE3-$AE$75)^2+(AF3-$AF$75)^2+(AG3-$AG$75)^2)</f>
        <v>2.0069324297987157</v>
      </c>
      <c r="DA3" s="36" t="s">
        <v>122</v>
      </c>
      <c r="DB3" s="37" t="s">
        <v>120</v>
      </c>
      <c r="DD3" s="44"/>
      <c r="DE3" s="36">
        <f>SQRT((A3-$A$76)^2+(B3-$B$76)^2+(C3-$C$76)^2+(D3-$D$76)^2+(E3-$E$76)^2+(F3-$F$76)^2+(G3-$G$76)^2+(H3-$H$76)^2+(I3-$I$76)^2+(J3-$J$76)^2+(K3-$K$76)^2+(L3-$L$76)^2+(M3-$M$76)^2+(N3-$N$76)^2+(O3-$O$76)^2+(P3-$P$76)^2+(Q3-$Q$76)^2+(R3-$R$76)^2+(S3-$S$76)^2+(T3-$T$76)^2+(U3-$U$76)^2+(V3-$V$76)^2+(W3-$W$76)^2+(X3-$X$76)^2+(Y3-$Y$76)^2+(Z3-$Z$76)^2+(AA3-$AA$76)^2+(AB3-$AB$76)^2+(AC3-$AC$76)^2+(AD3-$AD$76)^2+(AE3-$AE$76)^2+(AF3-$AF$76)^2+(AG3-$AG$76)^2)</f>
        <v>1.9324710720847658</v>
      </c>
      <c r="DF3" s="36" t="s">
        <v>336</v>
      </c>
      <c r="DG3" s="37" t="s">
        <v>120</v>
      </c>
      <c r="DI3" s="44"/>
      <c r="DJ3" s="36">
        <f>SQRT((A3-$A$77)^2+(B3-$B$77)^2+(C3-$C$77)^2+(D3-$D$77)^2+(E3-$E$77)^2+(F3-$F$77)^2+(G3-$G$77)^2+(H3-$H$77)^2+(I3-$I$77)^2+(J3-$J$77)^2+(K3-$K$77)^2+(L3-$L$77)^2+(M3-$M$77)^2+(N3-$N$77)^2+(O3-$O$77)^2+(P3-$P$77)^2+(Q3-$Q$77)^2+(R3-$R$77)^2+(S3-$S$77)^2+(T3-$T$77)^2+(U3-$U$77)^2+(V3-$V$77)^2+(W3-$W$77)^2+(X3-$X$77)^2+(Y3-$Y$77)^2+(Z3-$Z$77)^2+(AA3-$AA$77)^2+(AB3-$AB$77)^2+(AC3-$AC$77)^2+(AD3-$AD$77)^2+(AE3-$AE$77)^2+(AF3-$AF$77)^2+(AG3-$AG$77)^2)</f>
        <v>2.4452334585202014</v>
      </c>
      <c r="DK3" s="36" t="s">
        <v>154</v>
      </c>
      <c r="DL3" s="37" t="s">
        <v>120</v>
      </c>
      <c r="DN3" s="44"/>
      <c r="DO3" s="36">
        <f>SQRT((A3-$A$78)^2+(B3-$B$78)^2+(C3-$C$78)^2+(D3-$D$78)^2+(E3-$E$78)^2+(F3-$F$78)^2+(G3-$G$78)^2+(H3-$H$78)^2+(I3-$I$78)^2+(J3-$J$78)^2+(K3-$K$78)^2+(L3-$L$78)^2+(M3-$M$78)^2+(N3-$N$78)^2+(O3-$O$78)^2+(P3-$P$78)^2+(Q3-$Q$78)^2+(R3-$R$78)^2+(S3-$S$78)^2+(T3-$T$78)^2+(U3-$U$78)^2+(V3-$V$78)^2+(W3-$W$78)^2+(X3-$X$78)^2+(Y3-$Y$78)^2+(Z3-$Z$78)^2+(AA3-$AA$78)^2+(AB3-$AB$78)^2+(AC3-$AC$78)^2+(AD3-$AD$78)^2+(AE3-$AE$78)^2+(AF3-$AF$78)^2+(AG3-$AG$78)^2)</f>
        <v>2.0590455706578688</v>
      </c>
      <c r="DP3" s="36" t="s">
        <v>149</v>
      </c>
      <c r="DQ3" s="37" t="s">
        <v>120</v>
      </c>
      <c r="DS3" s="44"/>
      <c r="DT3" s="36">
        <f>SQRT((A3-$A$79)^2+(B3-$B$79)^2+(C3-$C$79)^2+(D3-$D$79)^2+(E3-$E$79)^2+(F3-$F$79)^2+(G3-$G$79)^2+(H3-$H$79)^2+(I3-$I$79)^2+(J3-$J$79)^2+(K3-$K$79)^2+(L3-$L$79)^2+(M3-$M$79)^2+(N3-$N$79)^2+(O3-$O$79)^2+(P3-$P$79)^2+(Q3-$Q$79)^2+(R3-$R$79)^2+(S3-$S$79)^2+(T3-$T$79)^2+(U3-$U$79)^2+(V3-$V$79)^2+(W3-$W$79)^2+(X3-$X$79)^2+(Y3-$Y$79)^2+(Z3-$Z$79)^2+(AA3-$AA$79)^2+(AB3-$AB$79)^2+(AC3-$AC$79)^2+(AD3-$AD$79)^2+(AE3-$AE$79)^2+(AF3-$AF$79)^2+(AG3-$AG$79)^2)</f>
        <v>1.8634590741083696</v>
      </c>
      <c r="DU3" s="36" t="s">
        <v>153</v>
      </c>
      <c r="DV3" s="37" t="s">
        <v>120</v>
      </c>
      <c r="DX3" s="44"/>
      <c r="DY3" s="36">
        <f>SQRT((A3-$A$80)^2+(B3-$B$80)^2+(C3-$C$80)^2+(D3-$D$80)^2+(E3-$E$80)^2+(F3-$F$80)^2+(G3-$G$80)^2+(H3-$H$80)^2+(I3-$I$80)^2+(J3-$J$80)^2+(K3-$K$80)^2+(L3-$L$80)^2+(M3-$M$80)^2+(N3-$N$80)^2+(O3-$O$80)^2+(P3-$P$80)^2+(Q3-$Q$80)^2+(R3-$R$80)^2+(S3-$S$80)^2+(T3-$T$80)^2+(U3-$U$80)^2+(V3-$V$80)^2+(W3-$W$80)^2+(X3-$X$80)^2+(Y3-$Y$80)^2+(Z3-$Z$80)^2+(AA3-$AA$80)^2+(AB3-$AB$80)^2+(AC3-$AC$80)^2+(AD3-$AD$80)^2+(AE3-$AE$80)^2+(AF3-$AF$80)^2+(AG3-$AG$80)^2)</f>
        <v>1.019803902718557</v>
      </c>
      <c r="DZ3" s="36" t="s">
        <v>324</v>
      </c>
      <c r="EA3" s="37" t="s">
        <v>120</v>
      </c>
      <c r="EC3" s="44"/>
      <c r="ED3" s="36">
        <f>SQRT((A3-$A$81)^2+(B3-$B$81)^2+(C3-$C$81)^2+(D3-$D$81)^2+(E3-$E$81)^2+(F3-$F$81)^2+(G3-$G$81)^2+(H3-$H$81)^2+(I3-$I$81)^2+(J3-$J$81)^2+(K3-$K$81)^2+(L3-$L$81)^2+(M3-$M$81)^2+(N3-$N$81)^2+(O3-$O$81)^2+(P3-$P$81)^2+(Q3-$Q$81)^2+(R3-$R$81)^2+(S3-$S$81)^2+(T3-$T$81)^2+(U3-$U$81)^2+(V3-$V$81)^2+(W3-$W$81)^2+(X3-$X$81)^2+(Y3-$Y$81)^2+(Z3-$Z$81)^2+(AA3-$AA$81)^2+(AB3-$AB$81)^2+(AC3-$AC$81)^2+(AD3-$AD$81)^2+(AE3-$AE$81)^2+(AF3-$AF$81)^2+(AG3-$AG$81)^2)</f>
        <v>1.0833333333333333</v>
      </c>
      <c r="EE3" s="36" t="s">
        <v>145</v>
      </c>
      <c r="EF3" s="37" t="s">
        <v>120</v>
      </c>
      <c r="EH3" s="44"/>
      <c r="EI3" s="36">
        <f>SQRT((A3-$A$82)^2+(B3-$B$82)^2+(C3-$C$82)^2+(D3-$D$82)^2+(E3-$E$82)^2+(F3-$F$82)^2+(G3-$G$82)^2+(H3-$H$82)^2+(I3-$I$82)^2+(J3-$J$82)^2+(K3-$K$82)^2+(L3-$L$82)^2+(M3-$M$82)^2+(N3-$N$82)^2+(O3-$O$82)^2+(P3-$P$82)^2+(Q3-$Q$82)^2+(R3-$R$82)^2+(S3-$S$82)^2+(T3-$T$82)^2+(U3-$U$82)^2+(V3-$V$82)^2+(W3-$W$82)^2+(X3-$X$82)^2+(Y3-$Y$82)^2+(Z3-$Z$82)^2+(AA3-$AA$82)^2+(AB3-$AB$82)^2+(AC3-$AC$82)^2+(AD3-$AD$82)^2+(AE3-$AE$82)^2+(AF3-$AF$82)^2+(AG3-$AG$82)^2)</f>
        <v>2.3370688659660868</v>
      </c>
      <c r="EJ3" s="36" t="s">
        <v>334</v>
      </c>
      <c r="EK3" s="37" t="s">
        <v>120</v>
      </c>
      <c r="EM3" s="44"/>
      <c r="EN3" s="36">
        <f>SQRT((A3-$A$83)^2+(B3-$B$83)^2+(C3-$C$83)^2+(D3-$D$83)^2+(E3-$E$83)^2+(F3-$F$83)^2+(G3-$G$83)^2+(H3-$H$83)^2+(I3-$I$83)^2+(J3-$J$83)^2+(K3-$K$83)^2+(L3-$L$83)^2+(M3-$M$83)^2+(N3-$N$83)^2+(O3-$O$83)^2+(P3-$P$83)^2+(Q3-$Q$83)^2+(R3-$R$83)^2+(S3-$S$83)^2+(T3-$T$83)^2+(U3-$U$83)^2+(V3-$V$83)^2+(W3-$W$83)^2+(X3-$X$83)^2+(Y3-$Y$83)^2+(Z3-$Z$83)^2+(AA3-$AA$83)^2+(AB3-$AB$83)^2+(AC3-$AC$83)^2+(AD3-$AD$83)^2+(AE3-$AE$83)^2+(AF3-$AF$83)^2+(AG3-$AG$83)^2)</f>
        <v>2.0687360058851851</v>
      </c>
      <c r="EO3" s="36" t="s">
        <v>149</v>
      </c>
      <c r="EP3" s="37" t="s">
        <v>120</v>
      </c>
      <c r="ER3" s="44"/>
      <c r="ES3" s="36">
        <f>SQRT((A3-$A$84)^2+(B3-$B$84)^2+(C3-$C$84)^2+(D3-$D$84)^2+(E3-$E$84)^2+(F3-$F$84)^2+(G3-$G$84)^2+(H3-$H$84)^2+(I3-$I$84)^2+(J3-$J$84)^2+(K3-$K$84)^2+(L3-$L$84)^2+(M3-$M$84)^2+(N3-$N$84)^2+(O3-$O$84)^2+(P3-$P$84)^2+(Q3-$Q$84)^2+(R3-$R$84)^2+(S3-$S$84)^2+(T3-$T$84)^2+(U3-$U$84)^2+(V3-$V$84)^2+(W3-$W$84)^2+(X3-$X$84)^2+(Y3-$Y$84)^2+(Z3-$Z$84)^2+(AA3-$AA$84)^2+(AB3-$AB$84)^2+(AC3-$AC$84)^2+(AD3-$AD$84)^2+(AE3-$AE$84)^2+(AF3-$AF$84)^2+(AG3-$AG$84)^2)</f>
        <v>1.6460337077234817</v>
      </c>
      <c r="ET3" s="36" t="s">
        <v>127</v>
      </c>
      <c r="EU3" s="37" t="s">
        <v>120</v>
      </c>
      <c r="EW3" s="44"/>
      <c r="EX3" s="36">
        <f>SQRT((A3-$A$85)^2+(B3-$B$85)^2+(C3-$C$85)^2+(D3-$D$85)^2+(E3-$E$85)^2+(F3-$F$85)^2+(G3-$G$85)^2+(H3-$H$85)^2+(I3-$I$85)^2+(J3-$J$85)^2+(K3-$K$85)^2+(L3-$L$85)^2+(M3-$M$85)^2+(N3-$N$85)^2+(O3-$O$85)^2+(P3-$P$85)^2+(Q3-$Q$85)^2+(R3-$R$85)^2+(S3-$S$85)^2+(T3-$T$85)^2+(U3-$U$85)^2+(V3-$V$85)^2+(W3-$W$85)^2+(X3-$X$85)^2+(Y3-$Y$85)^2+(Z3-$Z$85)^2+(AA3-$AA$85)^2+(AB3-$AB$85)^2+(AC3-$AC$85)^2+(AD3-$AD$85)^2+(AE3-$AE$85)^2+(AF3-$AF$85)^2+(AG3-$AG$85)^2)</f>
        <v>1.6460337077234817</v>
      </c>
      <c r="EY3" s="36" t="s">
        <v>127</v>
      </c>
      <c r="EZ3" s="37" t="s">
        <v>120</v>
      </c>
      <c r="FB3" s="44"/>
      <c r="FC3" s="36">
        <f>SQRT((A3-$A$86)^2+(B3-$B$86)^2+(C3-$C$86)^2+(D3-$D$86)^2+(E3-$E$86)^2+(F3-$F$86)^2+(G3-$G$86)^2+(H3-$H$86)^2+(I3-$I$86)^2+(J3-$J$86)^2+(K3-$K$86)^2+(L3-$L$86)^2+(M3-$M$86)^2+(N3-$N$86)^2+(O3-$O$86)^2+(P3-$P$86)^2+(Q3-$Q$86)^2+(R3-$R$86)^2+(S3-$S$86)^2+(T3-$T$86)^2+(U3-$U$86)^2+(V3-$V$86)^2+(W3-$W$86)^2+(X3-$X$86)^2+(Y3-$Y$86)^2+(Z3-$Z$86)^2+(AA3-$AA$86)^2+(AB3-$AB$86)^2+(AC3-$AC$86)^2+(AD3-$AD$86)^2+(AE3-$AE$86)^2+(AF3-$AF$86)^2+(AG3-$AG$86)^2)</f>
        <v>1.6460337077234817</v>
      </c>
      <c r="FD3" s="36" t="s">
        <v>127</v>
      </c>
      <c r="FE3" s="37" t="s">
        <v>120</v>
      </c>
      <c r="FG3" s="44"/>
      <c r="FH3" s="36">
        <f>SQRT((A3-$A$87)^2+(B3-$B$87)^2+(C3-$C$87)^2+(D3-$D$87)^2+(E3-$E$87)^2+(F3-$F$87)^2+(G3-$G$87)^2+(H3-$H$87)^2+(I3-$I$87)^2+(J3-$J$87)^2+(K3-$K$87)^2+(L3-$L$87)^2+(M3-$M$87)^2+(N3-$N$87)^2+(O3-$O$87)^2+(P3-$P$87)^2+(Q3-$Q$87)^2+(R3-$R$87)^2+(S3-$S$87)^2+(T3-$T$87)^2+(U3-$U$87)^2+(V3-$V$87)^2+(W3-$W$87)^2+(X3-$X$87)^2+(Y3-$Y$87)^2+(Z3-$Z$87)^2+(AA3-$AA$87)^2+(AB3-$AB$87)^2+(AC3-$AC$87)^2+(AD3-$AD$87)^2+(AE3-$AE$87)^2+(AF3-$AF$87)^2+(AG3-$AG$87)^2)</f>
        <v>2.1</v>
      </c>
      <c r="FI3" s="36" t="s">
        <v>334</v>
      </c>
      <c r="FJ3" s="37" t="s">
        <v>120</v>
      </c>
      <c r="FL3" s="44"/>
      <c r="FM3" s="36">
        <f>SQRT((A3-$A$88)^2+(B3-$B$88)^2+(C3-$C$88)^2+(D3-$D$88)^2+(E3-$E$88)^2+(F3-$F$88)^2+(G3-$G$88)^2+(H3-$H$88)^2+(I3-$I$88)^2+(J3-$J$88)^2+(K3-$K$88)^2+(L3-$L$88)^2+(M3-$M$88)^2+(N3-$N$88)^2+(O3-$O$88)^2+(P3-$P$88)^2+(Q3-$Q$88)^2+(R3-$R$88)^2+(S3-$S$88)^2+(T3-$T$88)^2+(U3-$U$88)^2+(V3-$V$88)^2+(W3-$W$88)^2+(X3-$X$88)^2+(Y3-$Y$88)^2+(Z3-$Z$88)^2+(AA3-$AA$88)^2+(AB3-$AB$88)^2+(AC3-$AC$88)^2+(AD3-$AD$88)^2+(AE3-$AE$88)^2+(AF3-$AF$88)^2+(AG3-$AG$88)^2)</f>
        <v>1.6218856528406604</v>
      </c>
      <c r="FN3" s="36" t="s">
        <v>314</v>
      </c>
      <c r="FO3" s="37" t="s">
        <v>120</v>
      </c>
      <c r="FQ3" s="44"/>
      <c r="FR3" s="36">
        <f>SQRT((A3-$A$89)^2+(B3-$B$89)^2+(C3-$C$89)^2+(D3-$D$89)^2+(E3-$E$89)^2+(F3-$F$89)^2+(G3-$G$89)^2+(H3-$H$89)^2+(I3-$I$89)^2+(J3-$J$89)^2+(K3-$K$89)^2+(L3-$L$89)^2+(M3-$M$89)^2+(N3-$N$89)^2+(O3-$O$89)^2+(P3-$P$89)^2+(Q3-$Q$89)^2+(R3-$R$89)^2+(S3-$S$89)^2+(T3-$T$89)^2+(U3-$U$89)^2+(V3-$V$89)^2+(W3-$W$89)^2+(X3-$X$89)^2+(Y3-$Y$89)^2+(Z3-$Z$89)^2+(AA3-$AA$89)^2+(AB3-$AB$89)^2+(AC3-$AC$89)^2+(AD3-$AD$89)^2+(AE3-$AE$89)^2+(AF3-$AF$89)^2+(AG3-$AG$89)^2)</f>
        <v>1.1180339887498949</v>
      </c>
      <c r="FS3" s="36" t="s">
        <v>135</v>
      </c>
      <c r="FT3" s="37" t="s">
        <v>120</v>
      </c>
      <c r="FV3" s="44"/>
      <c r="FW3" s="36">
        <f>SQRT((A3-$A$90)^2+(B3-$B$90)^2+(C3-$C$90)^2+(D3-$D$90)^2+(E3-$E$90)^2+(F3-$F$90)^2+(G3-$G$90)^2+(H3-$H$90)^2+(I3-$I$90)^2+(J3-$J$90)^2+(K3-$K$90)^2+(L3-$L$90)^2+(M3-$M$90)^2+(N3-$N$90)^2+(O3-$O$90)^2+(P3-$P$90)^2+(Q3-$Q$90)^2+(R3-$R$90)^2+(S3-$S$90)^2+(T3-$T$90)^2+(U3-$U$90)^2+(V3-$V$90)^2+(W3-$W$90)^2+(X3-$X$90)^2+(Y3-$Y$90)^2+(Z3-$Z$90)^2+(AA3-$AA$90)^2+(AB3-$AB$90)^2+(AC3-$AC$90)^2+(AD3-$AD$90)^2+(AE3-$AE$90)^2+(AF3-$AF$90)^2+(AG3-$AG$90)^2)</f>
        <v>2.3816427570528336</v>
      </c>
      <c r="FX3" s="36" t="s">
        <v>122</v>
      </c>
      <c r="FY3" s="37" t="s">
        <v>120</v>
      </c>
      <c r="GA3" s="44"/>
      <c r="GB3" s="36">
        <f>SQRT((A3-$A$91)^2+(B3-$B$91)^2+(C3-$C$91)^2+(D3-$D$91)^2+(E3-$E$91)^2+(F3-$F$91)^2+(G3-$G$91)^2+(H3-$H$91)^2+(I3-$I$91)^2+(J3-$J$91)^2+(K3-$K$91)^2+(L3-$L$91)^2+(M3-$M$91)^2+(N3-$N$91)^2+(O3-$O$91)^2+(P3-$P$91)^2+(Q3-$Q$91)^2+(R3-$R$91)^2+(S3-$S$91)^2+(T3-$T$91)^2+(U3-$U$91)^2+(V3-$V$91)^2+(W3-$W$91)^2+(X3-$X$91)^2+(Y3-$Y$91)^2+(Z3-$Z$91)^2+(AA3-$AA$91)^2+(AB3-$AB$91)^2+(AC3-$AC$91)^2+(AD3-$AD$91)^2+(AE3-$AE$91)^2+(AF3-$AF$91)^2+(AG3-$AG$91)^2)</f>
        <v>2.5981296691616023</v>
      </c>
      <c r="GC3" s="36" t="s">
        <v>328</v>
      </c>
      <c r="GD3" s="37" t="s">
        <v>120</v>
      </c>
      <c r="GF3" s="44"/>
      <c r="GG3" s="36">
        <f>SQRT((A3-$A$92)^2+(B3-$B$92)^2+(C3-$C$92)^2+(D3-$D$92)^2+(E3-$E$92)^2+(F3-$F$92)^2+(G3-$G$92)^2+(H3-$H$92)^2+(I3-$I$92)^2+(J3-$J$92)^2+(K3-$K$92)^2+(L3-$L$92)^2+(M3-$M$92)^2+(N3-$N$92)^2+(O3-$O$92)^2+(P3-$P$92)^2+(Q3-$Q$92)^2+(R3-$R$92)^2+(S3-$S$92)^2+(T3-$T$92)^2+(U3-$U$92)^2+(V3-$V$92)^2+(W3-$W$92)^2+(X3-$X$92)^2+(Y3-$Y$92)^2+(Z3-$Z$92)^2+(AA3-$AA$92)^2+(AB3-$AB$92)^2+(AC3-$AC$92)^2+(AD3-$AD$92)^2+(AE3-$AE$92)^2+(AF3-$AF$92)^2+(AG3-$AG$92)^2)</f>
        <v>2.3434214691347108</v>
      </c>
      <c r="GH3" s="36" t="s">
        <v>339</v>
      </c>
      <c r="GI3" s="37" t="s">
        <v>120</v>
      </c>
      <c r="GK3" s="44"/>
      <c r="GL3" s="36">
        <f>SQRT((A3-$A$93)^2+(B3-$B$93)^2+(C3-$C$93)^2+(D3-$D$93)^2+(E3-$E$93)^2+(F3-$F$93)^2+(G3-$G$93)^2+(H3-$H$93)^2+(I3-$I$93)^2+(J3-$J$93)^2+(K3-$K$93)^2+(L3-$L$93)^2+(M3-$M$93)^2+(N3-$N$93)^2+(O3-$O$93)^2+(P3-$P$93)^2+(Q3-$Q$93)^2+(R3-$R$93)^2+(S3-$S$93)^2+(T3-$T$93)^2+(U3-$U$93)^2+(V3-$V$93)^2+(W3-$W$93)^2+(X3-$X$93)^2+(Y3-$Y$93)^2+(Z3-$Z$93)^2+(AA3-$AA$93)^2+(AB3-$AB$93)^2+(AC3-$AC$93)^2+(AD3-$AD$93)^2+(AE3-$AE$93)^2+(AF3-$AF$93)^2+(AG3-$AG$93)^2)</f>
        <v>2.7811368578734528</v>
      </c>
      <c r="GM3" s="36" t="s">
        <v>328</v>
      </c>
      <c r="GN3" s="37" t="s">
        <v>120</v>
      </c>
      <c r="GP3" s="44"/>
      <c r="GQ3" s="36">
        <f>SQRT((A3-$A$94)^2+(B3-$B$94)^2+(C3-$C$94)^2+(D3-$D$94)^2+(E3-$E$94)^2+(F3-$F$94)^2+(G3-$G$94)^2+(H3-$H$94)^2+(I3-$I$94)^2+(J3-$J$94)^2+(K3-$K$94)^2+(L3-$L$94)^2+(M3-$M$94)^2+(N3-$N$94)^2+(O3-$O$94)^2+(P3-$P$94)^2+(Q3-$Q$94)^2+(R3-$R$94)^2+(S3-$S$94)^2+(T3-$T$94)^2+(U3-$U$94)^2+(V3-$V$94)^2+(W3-$W$94)^2+(X3-$X$94)^2+(Y3-$Y$94)^2+(Z3-$Z$94)^2+(AA3-$AA$94)^2+(AB3-$AB$94)^2+(AC3-$AC$94)^2+(AD3-$AD$94)^2+(AE3-$AE$94)^2+(AF3-$AF$94)^2+(AG3-$AG$94)^2)</f>
        <v>2.1898000405519551</v>
      </c>
      <c r="GR3" s="36" t="s">
        <v>334</v>
      </c>
      <c r="GS3" s="37" t="s">
        <v>120</v>
      </c>
      <c r="GU3" s="44"/>
      <c r="GV3" s="36">
        <f>SQRT((A3-$A$95)^2+(B3-$B$95)^2+(C3-$C$95)^2+(D3-$D$95)^2+(E3-$E$95)^2+(F3-$F$95)^2+(G3-$G$95)^2+(H3-$H$95)^2+(I3-$I$95)^2+(J3-$J$95)^2+(K3-$K$95)^2+(L3-$L$95)^2+(M3-$M$95)^2+(N3-$N$95)^2+(O3-$O$95)^2+(P3-$P$95)^2+(Q3-$Q$95)^2+(R3-$R$95)^2+(S3-$S$95)^2+(T3-$T$95)^2+(U3-$U$95)^2+(V3-$V$95)^2+(W3-$W$95)^2+(X3-$X$95)^2+(Y3-$Y$95)^2+(Z3-$Z$95)^2+(AA3-$AA$95)^2+(AB3-$AB$95)^2+(AC3-$AC$95)^2+(AD3-$AD$95)^2+(AE3-$AE$95)^2+(AF3-$AF$95)^2+(AG3-$AG$95)^2)</f>
        <v>2.8529224782083835</v>
      </c>
      <c r="GW3" s="36" t="s">
        <v>139</v>
      </c>
      <c r="GX3" s="37" t="s">
        <v>120</v>
      </c>
      <c r="GZ3" s="44"/>
      <c r="HA3" s="36">
        <f>SQRT((A3-$A$96)^2+(B3-$B$96)^2+(C3-$C$96)^2+(D3-$D$96)^2+(E3-$E$96)^2+(F3-$F$96)^2+(G3-$G$96)^2+(H3-$H$96)^2+(I3-$I$96)^2+(J3-$J$96)^2+(K3-$K$96)^2+(L3-$L$96)^2+(M3-$M$96)^2+(N3-$N$96)^2+(O3-$O$96)^2+(P3-$P$96)^2+(Q3-$Q$96)^2+(R3-$R$96)^2+(S3-$S$96)^2+(T3-$T$96)^2+(U3-$U$96)^2+(V3-$V$96)^2+(W3-$W$96)^2+(X3-$X$96)^2+(Y3-$Y$96)^2+(Z3-$Z$96)^2+(AA3-$AA$96)^2+(AB3-$AB$96)^2+(AC3-$AC$96)^2+(AD3-$AD$96)^2+(AE3-$AE$96)^2+(AF3-$AF$96)^2+(AG3-$AG$96)^2)</f>
        <v>2.8010414729763164</v>
      </c>
      <c r="HB3" s="36" t="s">
        <v>146</v>
      </c>
      <c r="HC3" s="37" t="s">
        <v>120</v>
      </c>
      <c r="HE3" s="44"/>
      <c r="HF3" s="36">
        <f>SQRT((A3-$A$97)^2+(B3-$B$97)^2+(C3-$C$97)^2+(D3-$D$97)^2+(E3-$E$97)^2+(F3-$F$97)^2+(G3-$G$97)^2+(H3-$H$97)^2+(I3-$I$97)^2+(J3-$J$97)^2+(K3-$K$97)^2+(L3-$L$97)^2+(M3-$M$97)^2+(N3-$N$97)^2+(O3-$O$97)^2+(P3-$P$97)^2+(Q3-$Q$97)^2+(R3-$R$97)^2+(S3-$S$97)^2+(T3-$T$97)^2+(U3-$U$97)^2+(V3-$V$97)^2+(W3-$W$97)^2+(X3-$X$97)^2+(Y3-$Y$97)^2+(Z3-$Z$97)^2+(AA3-$AA$97)^2+(AB3-$AB$97)^2+(AC3-$AC$97)^2+(AD3-$AD$97)^2+(AE3-$AE$97)^2+(AF3-$AF$97)^2+(AG3-$AG$97)^2)</f>
        <v>1.6460337077234817</v>
      </c>
      <c r="HG3" s="36" t="s">
        <v>127</v>
      </c>
      <c r="HH3" s="37" t="s">
        <v>120</v>
      </c>
      <c r="HJ3" s="44"/>
      <c r="HK3" s="36">
        <f>SQRT((A3-$A$98)^2+(B3-$B$98)^2+(C3-$C$98)^2+(D3-$D$98)^2+(E3-$E$98)^2+(F3-$F$98)^2+(G3-$G$98)^2+(H3-$H$98)^2+(I3-$I$98)^2+(J3-$J$98)^2+(K3-$K$98)^2+(L3-$L$98)^2+(M3-$M$98)^2+(N3-$N$98)^2+(O3-$O$98)^2+(P3-$P$98)^2+(Q3-$Q$98)^2+(R3-$R$98)^2+(S3-$S$98)^2+(T3-$T$98)^2+(U3-$U$98)^2+(V3-$V$98)^2+(W3-$W$98)^2+(X3-$X$98)^2+(Y3-$Y$98)^2+(Z3-$Z$98)^2+(AA3-$AA$98)^2+(AB3-$AB$98)^2+(AC3-$AC$98)^2+(AD3-$AD$98)^2+(AE3-$AE$98)^2+(AF3-$AF$98)^2+(AG3-$AG$98)^2)</f>
        <v>1.6460337077234817</v>
      </c>
      <c r="HL3" s="36" t="s">
        <v>127</v>
      </c>
      <c r="HM3" s="37" t="s">
        <v>120</v>
      </c>
      <c r="HO3" s="44"/>
      <c r="HP3" s="36">
        <f>SQRT((A3-$A$99)^2+(B3-$B$99)^2+(C3-$C$99)^2+(D3-$D$99)^2+(E3-$E$99)^2+(F3-$F$99)^2+(G3-$G$99)^2+(H3-$H$99)^2+(I3-$I$99)^2+(J3-$J$99)^2+(K3-$K$99)^2+(L3-$L$99)^2+(M3-$M$99)^2+(N3-$N$99)^2+(O3-$O$99)^2+(P3-$P$99)^2+(Q3-$Q$99)^2+(R3-$R$99)^2+(S3-$S$99)^2+(T3-$T$99)^2+(U3-$U$99)^2+(V3-$V$99)^2+(W3-$W$99)^2+(X3-$X$99)^2+(Y3-$Y$99)^2+(Z3-$Z$99)^2+(AA3-$AA$99)^2+(AB3-$AB$99)^2+(AC3-$AC$99)^2+(AD3-$AD$99)^2+(AE3-$AE$99)^2+(AF3-$AF$99)^2+(AG3-$AG$99)^2)</f>
        <v>1.6460337077234817</v>
      </c>
      <c r="HQ3" s="36" t="s">
        <v>127</v>
      </c>
      <c r="HR3" s="37" t="s">
        <v>120</v>
      </c>
      <c r="HT3" s="44"/>
      <c r="HU3" s="36">
        <f>SQRT((A3-$A$100)^2+(B3-$B$100)^2+(C3-$C$100)^2+(D3-$D$100)^2+(E3-$E$100)^2+(F3-$F$100)^2+(G3-$G$100)^2+(H3-$H$100)^2+(I3-$I$100)^2+(J3-$J$100)^2+(K3-$K$100)^2+(L3-$L$100)^2+(M3-$M$100)^2+(N3-$N$100)^2+(O3-$O$100)^2+(P3-$P$100)^2+(Q3-$Q$100)^2+(R3-$R$100)^2+(S3-$S$100)^2+(T3-$T$100)^2+(U3-$U$100)^2+(V3-$V$100)^2+(W3-$W$100)^2+(X3-$X$100)^2+(Y3-$Y$100)^2+(Z3-$Z$100)^2+(AA3-$AA$100)^2+(AB3-$AB$100)^2+(AC3-$AC$100)^2+(AD3-$AD$100)^2+(AE3-$AE$100)^2+(AF3-$AF$100)^2+(AG3-$AG$100)^2)</f>
        <v>1.6460337077234817</v>
      </c>
      <c r="HV3" s="36" t="s">
        <v>127</v>
      </c>
      <c r="HW3" s="37" t="s">
        <v>120</v>
      </c>
      <c r="HY3" s="44"/>
      <c r="HZ3" s="36">
        <f>SQRT((A3-$A$101)^2+(B3-$B$101)^2+(C3-$C$101)^2+(D3-$D$101)^2+(E3-$E$101)^2+(F3-$F$101)^2+(G3-$G$101)^2+(H3-$H$101)^2+(I3-$I$101)^2+(J3-$J$101)^2+(K3-$K$101)^2+(L3-$L$101)^2+(M3-$M$101)^2+(N3-$N$101)^2+(O3-$O$101)^2+(P3-$P$101)^2+(Q3-$Q$101)^2+(R3-$R$101)^2+(S3-$S$101)^2+(T3-$T$101)^2+(U3-$U$101)^2+(V3-$V$101)^2+(W3-$W$101)^2+(X3-$X$101)^2+(Y3-$Y$101)^2+(Z3-$Z$101)^2+(AA3-$AA$101)^2+(AB3-$AB$101)^2+(AC3-$AC$101)^2+(AD3-$AD$101)^2+(AE3-$AE$101)^2+(AF3-$AF$101)^2+(AG3-$AG$101)^2)</f>
        <v>1.1141763275572178</v>
      </c>
      <c r="IA3" s="36" t="s">
        <v>145</v>
      </c>
      <c r="IB3" s="37" t="s">
        <v>120</v>
      </c>
    </row>
    <row r="4" spans="1:236" x14ac:dyDescent="0.35">
      <c r="A4" s="2">
        <v>0</v>
      </c>
      <c r="B4" s="2">
        <v>0</v>
      </c>
      <c r="C4" s="2">
        <v>0</v>
      </c>
      <c r="D4" s="2">
        <v>0.66666666666666596</v>
      </c>
      <c r="E4" s="2">
        <v>0.33333333333333298</v>
      </c>
      <c r="F4" s="2">
        <v>1</v>
      </c>
      <c r="G4" s="2">
        <v>0.55555555555555503</v>
      </c>
      <c r="H4" s="2">
        <v>1</v>
      </c>
      <c r="I4" s="2">
        <v>0.5</v>
      </c>
      <c r="J4" s="2">
        <v>0</v>
      </c>
      <c r="K4" s="2">
        <v>0</v>
      </c>
      <c r="L4" s="2">
        <v>0.2</v>
      </c>
      <c r="M4" s="2">
        <v>0.5</v>
      </c>
      <c r="N4" s="2">
        <v>0</v>
      </c>
      <c r="O4" s="2">
        <v>0</v>
      </c>
      <c r="P4" s="2">
        <v>0.4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0.19565217391304299</v>
      </c>
      <c r="AH4" s="2" t="s">
        <v>120</v>
      </c>
      <c r="AI4" s="42"/>
      <c r="AJ4" s="42"/>
      <c r="AL4" s="44"/>
      <c r="AM4" s="36">
        <f>SQRT((A4-$A$62)^2+(B4-$B$62)^2+(C4-$C$62)^2+(D4-$D$62)^2+(E4-$E$62)^2+(F4-$F$62)^2+(G4-$G$62)^2+(H4-$H$62)^2+(I4-$I$62)^2+(J4-$J$62)^2+(K4-$K$62)^2+(L4-$L$62)^2+(M4-$M$62)^2+(N4-$N$62)^2+(O4-$O$62)^2+(P4-$P$62)^2+(Q4-$Q$62)^2+(R4-$R$62)^2+(S4-$S$62)^2+(T4-$T$62)^2+(U4-$U$62)^2+(V4-$V$62)^2+(W4-$W$62)^2+(X4-$X$62)^2+(Y4-$Y$62)^2+(Z4-$Z$62)^2+(AA4-$AA$62)^2+(AB4-$AB$62)^2+(AC4-$AC$62)^2+(AD4-$AD$62)^2+(AE4-$AE$62)^2+(AF4-$AF$62)^2+(AG4-$AG$62)^2)</f>
        <v>2.3296880563336297</v>
      </c>
      <c r="AN4" s="36" t="s">
        <v>154</v>
      </c>
      <c r="AO4" s="37" t="s">
        <v>120</v>
      </c>
      <c r="AP4" s="30"/>
      <c r="AQ4" s="44"/>
      <c r="AR4" s="36">
        <f>SQRT((A4-$A$63)^2+(B4-$B$63)^2+(C4-$C$63)^2+(D4-$D$63)^2+(E4-$E$63)^2+(F4-$F$63)^2+(G4-$G$63)^2+(H4-$H$63)^2+(I4-$I$63)^2+(J4-$J$63)^2+(K4-$K$63)^2+(L4-$L$63)^2+(M4-$M$63)^2+(N4-$N$63)^2+(O4-$O$63)^2+(P4-$P$63)^2+(Q4-$Q$63)^2+(R4-$R$63)^2+(S4-$S$63)^2+(T4-$T$63)^2+(U4-$U$63)^2+(V4-$V$63)^2+(W4-$W$63)^2+(X4-$X$63)^2+(Y4-$Y$63)^2+(Z4-$Z$63)^2+(AA4-$AA$63)^2+(AB4-$AB$63)^2+(AC4-$AC$63)^2+(AD4-$AD$63)^2+(AE4-$AE$63)^2+(AF4-$AF$63)^2+(AG4-$AG$63)^2)</f>
        <v>1.2838370507978991</v>
      </c>
      <c r="AS4" s="36" t="s">
        <v>129</v>
      </c>
      <c r="AT4" s="37" t="s">
        <v>120</v>
      </c>
      <c r="AU4" s="30"/>
      <c r="AV4" s="44"/>
      <c r="AW4" s="36">
        <f>SQRT((A4-$A$64)^2+(B4-$B$64)^2+(C4-$C$64)^2+(D4-$D$64)^2+(E4-$E$64)^2+(F4-$F$64)^2+(G4-$G$64)^2+(H4-$H$64)^2+(I4-$I$64)^2+(J4-$J$64)^2+(K4-$K$64)^2+(L4-$L$64)^2+(M4-$M$64)^2+(N4-$N$64)^2+(O4-$O$64)^2+(P4-$P$64)^2+(Q4-$Q$64)^2+(R4-$R$64)^2+(S4-$S$64)^2+(T4-$T$64)^2+(U4-$U$64)^2+(V4-$V$64)^2+(W4-$W$64)^2+(X4-$X$64)^2+(Y4-$Y$64)^2+(Z4-$Z$64)^2+(AA4-$AA$64)^2+(AB4-$AB$64)^2+(AC4-$AC$64)^2+(AD4-$AD$64)^2+(AE4-$AE$64)^2+(AF4-$AF$64)^2+(AG4-$AG$64)^2)</f>
        <v>1.2838370507978991</v>
      </c>
      <c r="AX4" s="36" t="s">
        <v>129</v>
      </c>
      <c r="AY4" s="37" t="s">
        <v>120</v>
      </c>
      <c r="AZ4" s="30"/>
      <c r="BA4" s="44"/>
      <c r="BB4" s="36">
        <f>SQRT((A4-$A$65)^2+(B4-$B$65)^2+(C4-$C$65)^2+(D4-$D$65)^2+(E4-$E$65)^2+(F4-$F$65)^2+(G4-$G$65)^2+(H4-$H$65)^2+(I4-$I$65)^2+(J4-$J$65)^2+(K4-$K$65)^2+(L4-$L$65)^2+(M4-$M$65)^2+(N4-$N$65)^2+(O4-$O$65)^2+(P4-$P$65)^2+(Q4-$Q$65)^2+(R4-$R$65)^2+(S4-$S$65)^2+(T4-$T$65)^2+(U4-$U$65)^2+(V4-$V$65)^2+(W4-$W$65)^2+(X4-$X$65)^2+(Y4-$Y$65)^2+(Z4-$Z$65)^2+(AA4-$AA$65)^2+(AB4-$AB$65)^2+(AC4-$AC$65)^2+(AD4-$AD$65)^2+(AE4-$AE$65)^2+(AF4-$AF$65)^2+(AG4-$AG$65)^2)</f>
        <v>1.2838370507978991</v>
      </c>
      <c r="BC4" s="36" t="s">
        <v>129</v>
      </c>
      <c r="BD4" s="37" t="s">
        <v>120</v>
      </c>
      <c r="BE4" s="30"/>
      <c r="BF4" s="44"/>
      <c r="BG4" s="36">
        <f>SQRT((A4-$A$66)^2+(B4-$B$66)^2+(C4-$C$66)^2+(D4-$D$66)^2+(E4-$E$66)^2+(F4-$F$66)^2+(G4-$G$66)^2+(H4-$H$66)^2+(I4-$I$66)^2+(J4-$J$66)^2+(K4-$K$66)^2+(L4-$L$66)^2+(M4-$M$66)^2+(N4-$N$66)^2+(O4-$O$66)^2+(P4-$P$66)^2+(Q4-$Q$66)^2+(R4-$R$66)^2+(S4-$S$66)^2+(T4-$T$66)^2+(U4-$U$66)^2+(V4-$V$66)^2+(W4-$W$66)^2+(X4-$X$66)^2+(Y4-$Y$66)^2+(Z4-$Z$66)^2+(AA4-$AA$66)^2+(AB4-$AB$66)^2+(AC4-$AC$66)^2+(AD4-$AD$66)^2+(AE4-$AE$66)^2+(AF4-$AF$66)^2+(AG4-$AG$66)^2)</f>
        <v>1.2838370507978991</v>
      </c>
      <c r="BH4" s="36" t="s">
        <v>129</v>
      </c>
      <c r="BI4" s="37" t="s">
        <v>120</v>
      </c>
      <c r="BJ4" s="30"/>
      <c r="BK4" s="44"/>
      <c r="BL4" s="36">
        <f>SQRT((A4-$A$67)^2+(B4-$B$67)^2+(C4-$C$67)^2+(D4-$D$67)^2+(E4-$E$67)^2+(F4-$F$67)^2+(G4-$G$67)^2+(H4-$H$67)^2+(I4-$I$67)^2+(J4-$J$67)^2+(K4-$K$67)^2+(L4-$L$67)^2+(M4-$M$67)^2+(N4-$N$67)^2+(O4-$O$67)^2+(P4-$P$67)^2+(Q4-$Q$67)^2+(R4-$R$67)^2+(S4-$S$67)^2+(T4-$T$67)^2+(U4-$U$67)^2+(V4-$V$67)^2+(W4-$W$67)^2+(X4-$X$67)^2+(Y4-$Y$67)^2+(Z4-$Z$67)^2+(AA4-$AA$67)^2+(AB4-$AB$67)^2+(AC4-$AC$67)^2+(AD4-$AD$67)^2+(AE4-$AE$67)^2+(AF4-$AF$67)^2+(AG4-$AG$67)^2)</f>
        <v>1.2838370507978991</v>
      </c>
      <c r="BM4" s="36" t="s">
        <v>129</v>
      </c>
      <c r="BN4" s="37" t="s">
        <v>120</v>
      </c>
      <c r="BO4" s="30"/>
      <c r="BP4" s="44"/>
      <c r="BQ4" s="36">
        <f>SQRT((A4-$A$68)^2+(B4-$B$68)^2+(C4-$C$68)^2+(D4-$D$68)^2+(E4-$E$68)^2+(F4-$F$68)^2+(G4-$G$68)^2+(H4-$H$68)^2+(I4-$I$68)^2+(J4-$J$68)^2+(K4-$K$68)^2+(L4-$L$68)^2+(M4-$M$68)^2+(N4-$N$68)^2+(O4-$O$68)^2+(P4-$P$68)^2+(Q4-$Q$68)^2+(R4-$R$68)^2+(S4-$S$68)^2+(T4-$T$68)^2+(U4-$U$68)^2+(V4-$V$68)^2+(W4-$W$68)^2+(X4-$X$68)^2+(Y4-$Y$68)^2+(Z4-$Z$68)^2+(AA4-$AA$68)^2+(AB4-$AB$68)^2+(AC4-$AC$68)^2+(AD4-$AD$68)^2+(AE4-$AE$68)^2+(AF4-$AF$68)^2+(AG4-$AG$68)^2)</f>
        <v>1.2838370507978991</v>
      </c>
      <c r="BR4" s="36" t="s">
        <v>129</v>
      </c>
      <c r="BS4" s="37" t="s">
        <v>120</v>
      </c>
      <c r="BT4" s="30"/>
      <c r="BU4" s="44"/>
      <c r="BV4" s="36">
        <f>SQRT((A4-$A$69)^2+(B4-$B$69)^2+(C4-$C$69)^2+(D4-$D$69)^2+(E4-$E$69)^2+(F4-$F$69)^2+(G4-$G$69)^2+(H4-$H$69)^2+(I4-$I$69)^2+(J4-$J$69)^2+(K4-$K$69)^2+(L4-$L$69)^2+(M4-$M$69)^2+(N4-$N$69)^2+(O4-$O$69)^2+(P4-$P$69)^2+(Q4-$Q$69)^2+(R4-$R$69)^2+(S4-$S$69)^2+(T4-$T$69)^2+(U4-$U$69)^2+(V4-$V$69)^2+(W4-$W$69)^2+(X4-$X$69)^2+(Y4-$Y$69)^2+(Z4-$Z$69)^2+(AA4-$AA$69)^2+(AB4-$AB$69)^2+(AC4-$AC$69)^2+(AD4-$AD$69)^2+(AE4-$AE$69)^2+(AF4-$AF$69)^2+(AG4-$AG$69)^2)</f>
        <v>1.8060054978889617</v>
      </c>
      <c r="BW4" s="36" t="s">
        <v>124</v>
      </c>
      <c r="BX4" s="37" t="s">
        <v>120</v>
      </c>
      <c r="BZ4" s="44"/>
      <c r="CA4" s="36">
        <f>SQRT((A4-$A$70)^2+(B4-$B$70)^2+(C4-$C$70)^2+(D4-$D$70)^2+(E4-$E$70)^2+(F4-$F$70)^2+(G4-$G$70)^2+(H4-$H$70)^2+(I4-$I$70)^2+(J4-$J$70)^2+(K4-$K$70)^2+(L4-$L$70)^2+(M4-$M$70)^2+(N4-$N$70)^2+(O4-$O$70)^2+(P4-$P$70)^2+(Q4-$Q$70)^2+(R4-$R$70)^2+(S4-$S$70)^2+(T4-$T$70)^2+(U4-$U$70)^2+(V4-$V$70)^2+(W4-$W$70)^2+(X4-$X$70)^2+(Y4-$Y$70)^2+(Z4-$Z$70)^2+(AA4-$AA$70)^2+(AB4-$AB$70)^2+(AC4-$AC$70)^2+(AD4-$AD$70)^2+(AE4-$AE$70)^2+(AF4-$AF$70)^2+(AG4-$AG$70)^2)</f>
        <v>1.4748469579267542</v>
      </c>
      <c r="CB4" s="36" t="s">
        <v>132</v>
      </c>
      <c r="CC4" s="37" t="s">
        <v>120</v>
      </c>
      <c r="CE4" s="44"/>
      <c r="CF4" s="36">
        <f>SQRT((A4-$A$71)^2+(B4-$B$71)^2+(C4-$C$71)^2+(D4-$D$71)^2+(E4-$E$71)^2+(F4-$F$71)^2+(G4-$G$71)^2+(H4-$H$71)^2+(I4-$I$71)^2+(J4-$J$71)^2+(K4-$K$71)^2+(L4-$L$71)^2+(M4-$M$71)^2+(N4-$N$71)^2+(O4-$O$71)^2+(P4-$P$71)^2+(Q4-$Q$71)^2+(R4-$R$71)^2+(S4-$S$71)^2+(T4-$T$71)^2+(U4-$U$71)^2+(V4-$V$71)^2+(W4-$W$71)^2+(X4-$X$71)^2+(Y4-$Y$71)^2+(Z4-$Z$71)^2+(AA4-$AA$71)^2+(AB4-$AB$71)^2+(AC4-$AC$71)^2+(AD4-$AD$71)^2+(AE4-$AE$71)^2+(AF4-$AF$71)^2+(AG4-$AG$71)^2)</f>
        <v>1.7799519951002494</v>
      </c>
      <c r="CG4" s="36" t="s">
        <v>153</v>
      </c>
      <c r="CH4" s="37" t="s">
        <v>120</v>
      </c>
      <c r="CJ4" s="44"/>
      <c r="CK4" s="36">
        <f>SQRT((A4-$A$72)^2+(B4-$B$72)^2+(C4-$C$72)^2+(D4-$D$72)^2+(E4-$E$72)^2+(F4-$F$72)^2+(G4-$G$72)^2+(H4-$H$72)^2+(I4-$I$72)^2+(J4-$J$72)^2+(K4-$K$72)^2+(L4-$L$72)^2+(M4-$M$72)^2+(N4-$N$72)^2+(O4-$O$72)^2+(P4-$P$72)^2+(Q4-$Q$72)^2+(R4-$R$72)^2+(S4-$S$72)^2+(T4-$T$72)^2+(U4-$U$72)^2+(V4-$V$72)^2+(W4-$W$72)^2+(X4-$X$72)^2+(Y4-$Y$72)^2+(Z4-$Z$72)^2+(AA4-$AA$72)^2+(AB4-$AB$72)^2+(AC4-$AC$72)^2+(AD4-$AD$72)^2+(AE4-$AE$72)^2+(AF4-$AF$72)^2+(AG4-$AG$72)^2)</f>
        <v>1.9057711491054192</v>
      </c>
      <c r="CL4" s="36" t="s">
        <v>122</v>
      </c>
      <c r="CM4" s="37" t="s">
        <v>120</v>
      </c>
      <c r="CO4" s="44"/>
      <c r="CP4" s="36">
        <f>SQRT((A4-$A$73)^2+(B4-$B$73)^2+(C4-$C$73)^2+(D4-$D$73)^2+(E4-$E$73)^2+(F4-$F$73)^2+(G4-$G$73)^2+(H4-$H$73)^2+(I4-$I$73)^2+(J4-$J$73)^2+(K4-$K$73)^2+(L4-$L$73)^2+(M4-$M$73)^2+(N4-$N$73)^2+(O4-$O$73)^2+(P4-$P$73)^2+(Q4-$Q$73)^2+(R4-$R$73)^2+(S4-$S$73)^2+(T4-$T$73)^2+(U4-$U$73)^2+(V4-$V$73)^2+(W4-$W$73)^2+(X4-$X$73)^2+(Y4-$Y$73)^2+(Z4-$Z$73)^2+(AA4-$AA$73)^2+(AB4-$AB$73)^2+(AC4-$AC$73)^2+(AD4-$AD$73)^2+(AE4-$AE$73)^2+(AF4-$AF$73)^2+(AG4-$AG$73)^2)</f>
        <v>1.6383263125794667</v>
      </c>
      <c r="CQ4" s="36" t="s">
        <v>334</v>
      </c>
      <c r="CR4" s="37" t="s">
        <v>120</v>
      </c>
      <c r="CT4" s="44"/>
      <c r="CU4" s="36">
        <f>SQRT((A4-$A$74)^2+(B4-$B$74)^2+(C4-$C$74)^2+(D4-$D$74)^2+(E4-$E$74)^2+(F4-$F$74)^2+(G4-$G$74)^2+(H4-$H$74)^2+(I4-$I$74)^2+(J4-$J$74)^2+(K4-$K$74)^2+(L4-$L$74)^2+(M4-$M$74)^2+(N4-$N$74)^2+(O4-$O$74)^2+(P4-$P$74)^2+(Q4-$Q$74)^2+(R4-$R$74)^2+(S4-$S$74)^2+(T4-$T$74)^2+(U4-$U$74)^2+(V4-$V$74)^2+(W4-$W$74)^2+(X4-$X$74)^2+(Y4-$Y$74)^2+(Z4-$Z$74)^2+(AA4-$AA$74)^2+(AB4-$AB$74)^2+(AC4-$AC$74)^2+(AD4-$AD$74)^2+(AE4-$AE$74)^2+(AF4-$AF$74)^2+(AG4-$AG$74)^2)</f>
        <v>1.9654521096630977</v>
      </c>
      <c r="CV4" s="36" t="s">
        <v>320</v>
      </c>
      <c r="CW4" s="37" t="s">
        <v>120</v>
      </c>
      <c r="CY4" s="44"/>
      <c r="CZ4" s="36">
        <f>SQRT((A4-$A$75)^2+(B4-$B$75)^2+(C4-$C$75)^2+(D4-$D$75)^2+(E4-$E$75)^2+(F4-$F$75)^2+(G4-$G$75)^2+(H4-$H$75)^2+(I4-$I$75)^2+(J4-$J$75)^2+(K4-$K$75)^2+(L4-$L$75)^2+(M4-$M$75)^2+(N4-$N$75)^2+(O4-$O$75)^2+(P4-$P$75)^2+(Q4-$Q$75)^2+(R4-$R$75)^2+(S4-$S$75)^2+(T4-$T$75)^2+(U4-$U$75)^2+(V4-$V$75)^2+(W4-$W$75)^2+(X4-$X$75)^2+(Y4-$Y$75)^2+(Z4-$Z$75)^2+(AA4-$AA$75)^2+(AB4-$AB$75)^2+(AC4-$AC$75)^2+(AD4-$AD$75)^2+(AE4-$AE$75)^2+(AF4-$AF$75)^2+(AG4-$AG$75)^2)</f>
        <v>1.8975720732443599</v>
      </c>
      <c r="DA4" s="36" t="s">
        <v>126</v>
      </c>
      <c r="DB4" s="37" t="s">
        <v>120</v>
      </c>
      <c r="DD4" s="44"/>
      <c r="DE4" s="36">
        <f>SQRT((A4-$A$76)^2+(B4-$B$76)^2+(C4-$C$76)^2+(D4-$D$76)^2+(E4-$E$76)^2+(F4-$F$76)^2+(G4-$G$76)^2+(H4-$H$76)^2+(I4-$I$76)^2+(J4-$J$76)^2+(K4-$K$76)^2+(L4-$L$76)^2+(M4-$M$76)^2+(N4-$N$76)^2+(O4-$O$76)^2+(P4-$P$76)^2+(Q4-$Q$76)^2+(R4-$R$76)^2+(S4-$S$76)^2+(T4-$T$76)^2+(U4-$U$76)^2+(V4-$V$76)^2+(W4-$W$76)^2+(X4-$X$76)^2+(Y4-$Y$76)^2+(Z4-$Z$76)^2+(AA4-$AA$76)^2+(AB4-$AB$76)^2+(AC4-$AC$76)^2+(AD4-$AD$76)^2+(AE4-$AE$76)^2+(AF4-$AF$76)^2+(AG4-$AG$76)^2)</f>
        <v>1.8489341661981034</v>
      </c>
      <c r="DF4" s="36" t="s">
        <v>314</v>
      </c>
      <c r="DG4" s="37" t="s">
        <v>120</v>
      </c>
      <c r="DI4" s="44"/>
      <c r="DJ4" s="36">
        <f>SQRT((A4-$A$77)^2+(B4-$B$77)^2+(C4-$C$77)^2+(D4-$D$77)^2+(E4-$E$77)^2+(F4-$F$77)^2+(G4-$G$77)^2+(H4-$H$77)^2+(I4-$I$77)^2+(J4-$J$77)^2+(K4-$K$77)^2+(L4-$L$77)^2+(M4-$M$77)^2+(N4-$N$77)^2+(O4-$O$77)^2+(P4-$P$77)^2+(Q4-$Q$77)^2+(R4-$R$77)^2+(S4-$S$77)^2+(T4-$T$77)^2+(U4-$U$77)^2+(V4-$V$77)^2+(W4-$W$77)^2+(X4-$X$77)^2+(Y4-$Y$77)^2+(Z4-$Z$77)^2+(AA4-$AA$77)^2+(AB4-$AB$77)^2+(AC4-$AC$77)^2+(AD4-$AD$77)^2+(AE4-$AE$77)^2+(AF4-$AF$77)^2+(AG4-$AG$77)^2)</f>
        <v>2.4741893837154487</v>
      </c>
      <c r="DK4" s="36" t="s">
        <v>126</v>
      </c>
      <c r="DL4" s="37" t="s">
        <v>120</v>
      </c>
      <c r="DN4" s="44"/>
      <c r="DO4" s="36">
        <f>SQRT((A4-$A$78)^2+(B4-$B$78)^2+(C4-$C$78)^2+(D4-$D$78)^2+(E4-$E$78)^2+(F4-$F$78)^2+(G4-$G$78)^2+(H4-$H$78)^2+(I4-$I$78)^2+(J4-$J$78)^2+(K4-$K$78)^2+(L4-$L$78)^2+(M4-$M$78)^2+(N4-$N$78)^2+(O4-$O$78)^2+(P4-$P$78)^2+(Q4-$Q$78)^2+(R4-$R$78)^2+(S4-$S$78)^2+(T4-$T$78)^2+(U4-$U$78)^2+(V4-$V$78)^2+(W4-$W$78)^2+(X4-$X$78)^2+(Y4-$Y$78)^2+(Z4-$Z$78)^2+(AA4-$AA$78)^2+(AB4-$AB$78)^2+(AC4-$AC$78)^2+(AD4-$AD$78)^2+(AE4-$AE$78)^2+(AF4-$AF$78)^2+(AG4-$AG$78)^2)</f>
        <v>1.178511301977579</v>
      </c>
      <c r="DP4" s="36" t="s">
        <v>338</v>
      </c>
      <c r="DQ4" s="37" t="s">
        <v>120</v>
      </c>
      <c r="DS4" s="44"/>
      <c r="DT4" s="36">
        <f>SQRT((A4-$A$79)^2+(B4-$B$79)^2+(C4-$C$79)^2+(D4-$D$79)^2+(E4-$E$79)^2+(F4-$F$79)^2+(G4-$G$79)^2+(H4-$H$79)^2+(I4-$I$79)^2+(J4-$J$79)^2+(K4-$K$79)^2+(L4-$L$79)^2+(M4-$M$79)^2+(N4-$N$79)^2+(O4-$O$79)^2+(P4-$P$79)^2+(Q4-$Q$79)^2+(R4-$R$79)^2+(S4-$S$79)^2+(T4-$T$79)^2+(U4-$U$79)^2+(V4-$V$79)^2+(W4-$W$79)^2+(X4-$X$79)^2+(Y4-$Y$79)^2+(Z4-$Z$79)^2+(AA4-$AA$79)^2+(AB4-$AB$79)^2+(AC4-$AC$79)^2+(AD4-$AD$79)^2+(AE4-$AE$79)^2+(AF4-$AF$79)^2+(AG4-$AG$79)^2)</f>
        <v>1.8342198400176766</v>
      </c>
      <c r="DU4" s="36" t="s">
        <v>128</v>
      </c>
      <c r="DV4" s="37" t="s">
        <v>120</v>
      </c>
      <c r="DX4" s="44"/>
      <c r="DY4" s="36">
        <f>SQRT((A4-$A$80)^2+(B4-$B$80)^2+(C4-$C$80)^2+(D4-$D$80)^2+(E4-$E$80)^2+(F4-$F$80)^2+(G4-$G$80)^2+(H4-$H$80)^2+(I4-$I$80)^2+(J4-$J$80)^2+(K4-$K$80)^2+(L4-$L$80)^2+(M4-$M$80)^2+(N4-$N$80)^2+(O4-$O$80)^2+(P4-$P$80)^2+(Q4-$Q$80)^2+(R4-$R$80)^2+(S4-$S$80)^2+(T4-$T$80)^2+(U4-$U$80)^2+(V4-$V$80)^2+(W4-$W$80)^2+(X4-$X$80)^2+(Y4-$Y$80)^2+(Z4-$Z$80)^2+(AA4-$AA$80)^2+(AB4-$AB$80)^2+(AC4-$AC$80)^2+(AD4-$AD$80)^2+(AE4-$AE$80)^2+(AF4-$AF$80)^2+(AG4-$AG$80)^2)</f>
        <v>2.1735024974658375</v>
      </c>
      <c r="DZ4" s="36" t="s">
        <v>315</v>
      </c>
      <c r="EA4" s="37" t="s">
        <v>120</v>
      </c>
      <c r="EC4" s="44"/>
      <c r="ED4" s="36">
        <f>SQRT((A4-$A$81)^2+(B4-$B$81)^2+(C4-$C$81)^2+(D4-$D$81)^2+(E4-$E$81)^2+(F4-$F$81)^2+(G4-$G$81)^2+(H4-$H$81)^2+(I4-$I$81)^2+(J4-$J$81)^2+(K4-$K$81)^2+(L4-$L$81)^2+(M4-$M$81)^2+(N4-$N$81)^2+(O4-$O$81)^2+(P4-$P$81)^2+(Q4-$Q$81)^2+(R4-$R$81)^2+(S4-$S$81)^2+(T4-$T$81)^2+(U4-$U$81)^2+(V4-$V$81)^2+(W4-$W$81)^2+(X4-$X$81)^2+(Y4-$Y$81)^2+(Z4-$Z$81)^2+(AA4-$AA$81)^2+(AB4-$AB$81)^2+(AC4-$AC$81)^2+(AD4-$AD$81)^2+(AE4-$AE$81)^2+(AF4-$AF$81)^2+(AG4-$AG$81)^2)</f>
        <v>2.1237942450668617</v>
      </c>
      <c r="EE4" s="36" t="s">
        <v>324</v>
      </c>
      <c r="EF4" s="37" t="s">
        <v>120</v>
      </c>
      <c r="EH4" s="44"/>
      <c r="EI4" s="36">
        <f>SQRT((A4-$A$82)^2+(B4-$B$82)^2+(C4-$C$82)^2+(D4-$D$82)^2+(E4-$E$82)^2+(F4-$F$82)^2+(G4-$G$82)^2+(H4-$H$82)^2+(I4-$I$82)^2+(J4-$J$82)^2+(K4-$K$82)^2+(L4-$L$82)^2+(M4-$M$82)^2+(N4-$N$82)^2+(O4-$O$82)^2+(P4-$P$82)^2+(Q4-$Q$82)^2+(R4-$R$82)^2+(S4-$S$82)^2+(T4-$T$82)^2+(U4-$U$82)^2+(V4-$V$82)^2+(W4-$W$82)^2+(X4-$X$82)^2+(Y4-$Y$82)^2+(Z4-$Z$82)^2+(AA4-$AA$82)^2+(AB4-$AB$82)^2+(AC4-$AC$82)^2+(AD4-$AD$82)^2+(AE4-$AE$82)^2+(AF4-$AF$82)^2+(AG4-$AG$82)^2)</f>
        <v>1.6499158227686108</v>
      </c>
      <c r="EJ4" s="36" t="s">
        <v>149</v>
      </c>
      <c r="EK4" s="37" t="s">
        <v>120</v>
      </c>
      <c r="EM4" s="44"/>
      <c r="EN4" s="36">
        <f>SQRT((A4-$A$83)^2+(B4-$B$83)^2+(C4-$C$83)^2+(D4-$D$83)^2+(E4-$E$83)^2+(F4-$F$83)^2+(G4-$G$83)^2+(H4-$H$83)^2+(I4-$I$83)^2+(J4-$J$83)^2+(K4-$K$83)^2+(L4-$L$83)^2+(M4-$M$83)^2+(N4-$N$83)^2+(O4-$O$83)^2+(P4-$P$83)^2+(Q4-$Q$83)^2+(R4-$R$83)^2+(S4-$S$83)^2+(T4-$T$83)^2+(U4-$U$83)^2+(V4-$V$83)^2+(W4-$W$83)^2+(X4-$X$83)^2+(Y4-$Y$83)^2+(Z4-$Z$83)^2+(AA4-$AA$83)^2+(AB4-$AB$83)^2+(AC4-$AC$83)^2+(AD4-$AD$83)^2+(AE4-$AE$83)^2+(AF4-$AF$83)^2+(AG4-$AG$83)^2)</f>
        <v>1.2849556844930921</v>
      </c>
      <c r="EO4" s="36" t="s">
        <v>152</v>
      </c>
      <c r="EP4" s="37" t="s">
        <v>120</v>
      </c>
      <c r="ER4" s="44"/>
      <c r="ES4" s="36">
        <f>SQRT((A4-$A$84)^2+(B4-$B$84)^2+(C4-$C$84)^2+(D4-$D$84)^2+(E4-$E$84)^2+(F4-$F$84)^2+(G4-$G$84)^2+(H4-$H$84)^2+(I4-$I$84)^2+(J4-$J$84)^2+(K4-$K$84)^2+(L4-$L$84)^2+(M4-$M$84)^2+(N4-$N$84)^2+(O4-$O$84)^2+(P4-$P$84)^2+(Q4-$Q$84)^2+(R4-$R$84)^2+(S4-$S$84)^2+(T4-$T$84)^2+(U4-$U$84)^2+(V4-$V$84)^2+(W4-$W$84)^2+(X4-$X$84)^2+(Y4-$Y$84)^2+(Z4-$Z$84)^2+(AA4-$AA$84)^2+(AB4-$AB$84)^2+(AC4-$AC$84)^2+(AD4-$AD$84)^2+(AE4-$AE$84)^2+(AF4-$AF$84)^2+(AG4-$AG$84)^2)</f>
        <v>1.2838370507978991</v>
      </c>
      <c r="ET4" s="36" t="s">
        <v>129</v>
      </c>
      <c r="EU4" s="37" t="s">
        <v>120</v>
      </c>
      <c r="EW4" s="44"/>
      <c r="EX4" s="36">
        <f>SQRT((A4-$A$85)^2+(B4-$B$85)^2+(C4-$C$85)^2+(D4-$D$85)^2+(E4-$E$85)^2+(F4-$F$85)^2+(G4-$G$85)^2+(H4-$H$85)^2+(I4-$I$85)^2+(J4-$J$85)^2+(K4-$K$85)^2+(L4-$L$85)^2+(M4-$M$85)^2+(N4-$N$85)^2+(O4-$O$85)^2+(P4-$P$85)^2+(Q4-$Q$85)^2+(R4-$R$85)^2+(S4-$S$85)^2+(T4-$T$85)^2+(U4-$U$85)^2+(V4-$V$85)^2+(W4-$W$85)^2+(X4-$X$85)^2+(Y4-$Y$85)^2+(Z4-$Z$85)^2+(AA4-$AA$85)^2+(AB4-$AB$85)^2+(AC4-$AC$85)^2+(AD4-$AD$85)^2+(AE4-$AE$85)^2+(AF4-$AF$85)^2+(AG4-$AG$85)^2)</f>
        <v>1.2838370507978991</v>
      </c>
      <c r="EY4" s="36" t="s">
        <v>129</v>
      </c>
      <c r="EZ4" s="37" t="s">
        <v>120</v>
      </c>
      <c r="FB4" s="44"/>
      <c r="FC4" s="36">
        <f>SQRT((A4-$A$86)^2+(B4-$B$86)^2+(C4-$C$86)^2+(D4-$D$86)^2+(E4-$E$86)^2+(F4-$F$86)^2+(G4-$G$86)^2+(H4-$H$86)^2+(I4-$I$86)^2+(J4-$J$86)^2+(K4-$K$86)^2+(L4-$L$86)^2+(M4-$M$86)^2+(N4-$N$86)^2+(O4-$O$86)^2+(P4-$P$86)^2+(Q4-$Q$86)^2+(R4-$R$86)^2+(S4-$S$86)^2+(T4-$T$86)^2+(U4-$U$86)^2+(V4-$V$86)^2+(W4-$W$86)^2+(X4-$X$86)^2+(Y4-$Y$86)^2+(Z4-$Z$86)^2+(AA4-$AA$86)^2+(AB4-$AB$86)^2+(AC4-$AC$86)^2+(AD4-$AD$86)^2+(AE4-$AE$86)^2+(AF4-$AF$86)^2+(AG4-$AG$86)^2)</f>
        <v>1.2838370507978991</v>
      </c>
      <c r="FD4" s="36" t="s">
        <v>129</v>
      </c>
      <c r="FE4" s="37" t="s">
        <v>120</v>
      </c>
      <c r="FG4" s="44"/>
      <c r="FH4" s="36">
        <f>SQRT((A4-$A$87)^2+(B4-$B$87)^2+(C4-$C$87)^2+(D4-$D$87)^2+(E4-$E$87)^2+(F4-$F$87)^2+(G4-$G$87)^2+(H4-$H$87)^2+(I4-$I$87)^2+(J4-$J$87)^2+(K4-$K$87)^2+(L4-$L$87)^2+(M4-$M$87)^2+(N4-$N$87)^2+(O4-$O$87)^2+(P4-$P$87)^2+(Q4-$Q$87)^2+(R4-$R$87)^2+(S4-$S$87)^2+(T4-$T$87)^2+(U4-$U$87)^2+(V4-$V$87)^2+(W4-$W$87)^2+(X4-$X$87)^2+(Y4-$Y$87)^2+(Z4-$Z$87)^2+(AA4-$AA$87)^2+(AB4-$AB$87)^2+(AC4-$AC$87)^2+(AD4-$AD$87)^2+(AE4-$AE$87)^2+(AF4-$AF$87)^2+(AG4-$AG$87)^2)</f>
        <v>1.4471050779021655</v>
      </c>
      <c r="FI4" s="36" t="s">
        <v>149</v>
      </c>
      <c r="FJ4" s="37" t="s">
        <v>120</v>
      </c>
      <c r="FL4" s="44"/>
      <c r="FM4" s="36">
        <f>SQRT((A4-$A$88)^2+(B4-$B$88)^2+(C4-$C$88)^2+(D4-$D$88)^2+(E4-$E$88)^2+(F4-$F$88)^2+(G4-$G$88)^2+(H4-$H$88)^2+(I4-$I$88)^2+(J4-$J$88)^2+(K4-$K$88)^2+(L4-$L$88)^2+(M4-$M$88)^2+(N4-$N$88)^2+(O4-$O$88)^2+(P4-$P$88)^2+(Q4-$Q$88)^2+(R4-$R$88)^2+(S4-$S$88)^2+(T4-$T$88)^2+(U4-$U$88)^2+(V4-$V$88)^2+(W4-$W$88)^2+(X4-$X$88)^2+(Y4-$Y$88)^2+(Z4-$Z$88)^2+(AA4-$AA$88)^2+(AB4-$AB$88)^2+(AC4-$AC$88)^2+(AD4-$AD$88)^2+(AE4-$AE$88)^2+(AF4-$AF$88)^2+(AG4-$AG$88)^2)</f>
        <v>1.6355957780899906</v>
      </c>
      <c r="FN4" s="36" t="s">
        <v>122</v>
      </c>
      <c r="FO4" s="37" t="s">
        <v>120</v>
      </c>
      <c r="FQ4" s="44"/>
      <c r="FR4" s="36">
        <f>SQRT((A4-$A$89)^2+(B4-$B$89)^2+(C4-$C$89)^2+(D4-$D$89)^2+(E4-$E$89)^2+(F4-$F$89)^2+(G4-$G$89)^2+(H4-$H$89)^2+(I4-$I$89)^2+(J4-$J$89)^2+(K4-$K$89)^2+(L4-$L$89)^2+(M4-$M$89)^2+(N4-$N$89)^2+(O4-$O$89)^2+(P4-$P$89)^2+(Q4-$Q$89)^2+(R4-$R$89)^2+(S4-$S$89)^2+(T4-$T$89)^2+(U4-$U$89)^2+(V4-$V$89)^2+(W4-$W$89)^2+(X4-$X$89)^2+(Y4-$Y$89)^2+(Z4-$Z$89)^2+(AA4-$AA$89)^2+(AB4-$AB$89)^2+(AC4-$AC$89)^2+(AD4-$AD$89)^2+(AE4-$AE$89)^2+(AF4-$AF$89)^2+(AG4-$AG$89)^2)</f>
        <v>2.2950918151184205</v>
      </c>
      <c r="FS4" s="36" t="s">
        <v>323</v>
      </c>
      <c r="FT4" s="37" t="s">
        <v>120</v>
      </c>
      <c r="FV4" s="44"/>
      <c r="FW4" s="36">
        <f>SQRT((A4-$A$90)^2+(B4-$B$90)^2+(C4-$C$90)^2+(D4-$D$90)^2+(E4-$E$90)^2+(F4-$F$90)^2+(G4-$G$90)^2+(H4-$H$90)^2+(I4-$I$90)^2+(J4-$J$90)^2+(K4-$K$90)^2+(L4-$L$90)^2+(M4-$M$90)^2+(N4-$N$90)^2+(O4-$O$90)^2+(P4-$P$90)^2+(Q4-$Q$90)^2+(R4-$R$90)^2+(S4-$S$90)^2+(T4-$T$90)^2+(U4-$U$90)^2+(V4-$V$90)^2+(W4-$W$90)^2+(X4-$X$90)^2+(Y4-$Y$90)^2+(Z4-$Z$90)^2+(AA4-$AA$90)^2+(AB4-$AB$90)^2+(AC4-$AC$90)^2+(AD4-$AD$90)^2+(AE4-$AE$90)^2+(AF4-$AF$90)^2+(AG4-$AG$90)^2)</f>
        <v>2.2282349474160861</v>
      </c>
      <c r="FX4" s="36" t="s">
        <v>320</v>
      </c>
      <c r="FY4" s="37" t="s">
        <v>120</v>
      </c>
      <c r="GA4" s="44"/>
      <c r="GB4" s="36">
        <f>SQRT((A4-$A$91)^2+(B4-$B$91)^2+(C4-$C$91)^2+(D4-$D$91)^2+(E4-$E$91)^2+(F4-$F$91)^2+(G4-$G$91)^2+(H4-$H$91)^2+(I4-$I$91)^2+(J4-$J$91)^2+(K4-$K$91)^2+(L4-$L$91)^2+(M4-$M$91)^2+(N4-$N$91)^2+(O4-$O$91)^2+(P4-$P$91)^2+(Q4-$Q$91)^2+(R4-$R$91)^2+(S4-$S$91)^2+(T4-$T$91)^2+(U4-$U$91)^2+(V4-$V$91)^2+(W4-$W$91)^2+(X4-$X$91)^2+(Y4-$Y$91)^2+(Z4-$Z$91)^2+(AA4-$AA$91)^2+(AB4-$AB$91)^2+(AC4-$AC$91)^2+(AD4-$AD$91)^2+(AE4-$AE$91)^2+(AF4-$AF$91)^2+(AG4-$AG$91)^2)</f>
        <v>2.1088082045762957</v>
      </c>
      <c r="GC4" s="36" t="s">
        <v>151</v>
      </c>
      <c r="GD4" s="37" t="s">
        <v>120</v>
      </c>
      <c r="GF4" s="44"/>
      <c r="GG4" s="36">
        <f>SQRT((A4-$A$92)^2+(B4-$B$92)^2+(C4-$C$92)^2+(D4-$D$92)^2+(E4-$E$92)^2+(F4-$F$92)^2+(G4-$G$92)^2+(H4-$H$92)^2+(I4-$I$92)^2+(J4-$J$92)^2+(K4-$K$92)^2+(L4-$L$92)^2+(M4-$M$92)^2+(N4-$N$92)^2+(O4-$O$92)^2+(P4-$P$92)^2+(Q4-$Q$92)^2+(R4-$R$92)^2+(S4-$S$92)^2+(T4-$T$92)^2+(U4-$U$92)^2+(V4-$V$92)^2+(W4-$W$92)^2+(X4-$X$92)^2+(Y4-$Y$92)^2+(Z4-$Z$92)^2+(AA4-$AA$92)^2+(AB4-$AB$92)^2+(AC4-$AC$92)^2+(AD4-$AD$92)^2+(AE4-$AE$92)^2+(AF4-$AF$92)^2+(AG4-$AG$92)^2)</f>
        <v>1.21685212941481</v>
      </c>
      <c r="GH4" s="36" t="s">
        <v>152</v>
      </c>
      <c r="GI4" s="37" t="s">
        <v>120</v>
      </c>
      <c r="GK4" s="44"/>
      <c r="GL4" s="36">
        <f>SQRT((A4-$A$93)^2+(B4-$B$93)^2+(C4-$C$93)^2+(D4-$D$93)^2+(E4-$E$93)^2+(F4-$F$93)^2+(G4-$G$93)^2+(H4-$H$93)^2+(I4-$I$93)^2+(J4-$J$93)^2+(K4-$K$93)^2+(L4-$L$93)^2+(M4-$M$93)^2+(N4-$N$93)^2+(O4-$O$93)^2+(P4-$P$93)^2+(Q4-$Q$93)^2+(R4-$R$93)^2+(S4-$S$93)^2+(T4-$T$93)^2+(U4-$U$93)^2+(V4-$V$93)^2+(W4-$W$93)^2+(X4-$X$93)^2+(Y4-$Y$93)^2+(Z4-$Z$93)^2+(AA4-$AA$93)^2+(AB4-$AB$93)^2+(AC4-$AC$93)^2+(AD4-$AD$93)^2+(AE4-$AE$93)^2+(AF4-$AF$93)^2+(AG4-$AG$93)^2)</f>
        <v>2.1114181339663456</v>
      </c>
      <c r="GM4" s="36" t="s">
        <v>338</v>
      </c>
      <c r="GN4" s="37" t="s">
        <v>120</v>
      </c>
      <c r="GP4" s="44"/>
      <c r="GQ4" s="36">
        <f>SQRT((A4-$A$94)^2+(B4-$B$94)^2+(C4-$C$94)^2+(D4-$D$94)^2+(E4-$E$94)^2+(F4-$F$94)^2+(G4-$G$94)^2+(H4-$H$94)^2+(I4-$I$94)^2+(J4-$J$94)^2+(K4-$K$94)^2+(L4-$L$94)^2+(M4-$M$94)^2+(N4-$N$94)^2+(O4-$O$94)^2+(P4-$P$94)^2+(Q4-$Q$94)^2+(R4-$R$94)^2+(S4-$S$94)^2+(T4-$T$94)^2+(U4-$U$94)^2+(V4-$V$94)^2+(W4-$W$94)^2+(X4-$X$94)^2+(Y4-$Y$94)^2+(Z4-$Z$94)^2+(AA4-$AA$94)^2+(AB4-$AB$94)^2+(AC4-$AC$94)^2+(AD4-$AD$94)^2+(AE4-$AE$94)^2+(AF4-$AF$94)^2+(AG4-$AG$94)^2)</f>
        <v>1.35400640077266</v>
      </c>
      <c r="GR4" s="36" t="s">
        <v>125</v>
      </c>
      <c r="GS4" s="37" t="s">
        <v>120</v>
      </c>
      <c r="GU4" s="44"/>
      <c r="GV4" s="36">
        <f>SQRT((A4-$A$95)^2+(B4-$B$95)^2+(C4-$C$95)^2+(D4-$D$95)^2+(E4-$E$95)^2+(F4-$F$95)^2+(G4-$G$95)^2+(H4-$H$95)^2+(I4-$I$95)^2+(J4-$J$95)^2+(K4-$K$95)^2+(L4-$L$95)^2+(M4-$M$95)^2+(N4-$N$95)^2+(O4-$O$95)^2+(P4-$P$95)^2+(Q4-$Q$95)^2+(R4-$R$95)^2+(S4-$S$95)^2+(T4-$T$95)^2+(U4-$U$95)^2+(V4-$V$95)^2+(W4-$W$95)^2+(X4-$X$95)^2+(Y4-$Y$95)^2+(Z4-$Z$95)^2+(AA4-$AA$95)^2+(AB4-$AB$95)^2+(AC4-$AC$95)^2+(AD4-$AD$95)^2+(AE4-$AE$95)^2+(AF4-$AF$95)^2+(AG4-$AG$95)^2)</f>
        <v>2.7745774044270055</v>
      </c>
      <c r="GW4" s="36" t="s">
        <v>131</v>
      </c>
      <c r="GX4" s="37" t="s">
        <v>120</v>
      </c>
      <c r="GZ4" s="44"/>
      <c r="HA4" s="36">
        <f>SQRT((A4-$A$96)^2+(B4-$B$96)^2+(C4-$C$96)^2+(D4-$D$96)^2+(E4-$E$96)^2+(F4-$F$96)^2+(G4-$G$96)^2+(H4-$H$96)^2+(I4-$I$96)^2+(J4-$J$96)^2+(K4-$K$96)^2+(L4-$L$96)^2+(M4-$M$96)^2+(N4-$N$96)^2+(O4-$O$96)^2+(P4-$P$96)^2+(Q4-$Q$96)^2+(R4-$R$96)^2+(S4-$S$96)^2+(T4-$T$96)^2+(U4-$U$96)^2+(V4-$V$96)^2+(W4-$W$96)^2+(X4-$X$96)^2+(Y4-$Y$96)^2+(Z4-$Z$96)^2+(AA4-$AA$96)^2+(AB4-$AB$96)^2+(AC4-$AC$96)^2+(AD4-$AD$96)^2+(AE4-$AE$96)^2+(AF4-$AF$96)^2+(AG4-$AG$96)^2)</f>
        <v>2.7007101526658603</v>
      </c>
      <c r="HB4" s="36" t="s">
        <v>154</v>
      </c>
      <c r="HC4" s="37" t="s">
        <v>120</v>
      </c>
      <c r="HE4" s="44"/>
      <c r="HF4" s="36">
        <f>SQRT((A4-$A$97)^2+(B4-$B$97)^2+(C4-$C$97)^2+(D4-$D$97)^2+(E4-$E$97)^2+(F4-$F$97)^2+(G4-$G$97)^2+(H4-$H$97)^2+(I4-$I$97)^2+(J4-$J$97)^2+(K4-$K$97)^2+(L4-$L$97)^2+(M4-$M$97)^2+(N4-$N$97)^2+(O4-$O$97)^2+(P4-$P$97)^2+(Q4-$Q$97)^2+(R4-$R$97)^2+(S4-$S$97)^2+(T4-$T$97)^2+(U4-$U$97)^2+(V4-$V$97)^2+(W4-$W$97)^2+(X4-$X$97)^2+(Y4-$Y$97)^2+(Z4-$Z$97)^2+(AA4-$AA$97)^2+(AB4-$AB$97)^2+(AC4-$AC$97)^2+(AD4-$AD$97)^2+(AE4-$AE$97)^2+(AF4-$AF$97)^2+(AG4-$AG$97)^2)</f>
        <v>1.2838370507978991</v>
      </c>
      <c r="HG4" s="36" t="s">
        <v>129</v>
      </c>
      <c r="HH4" s="37" t="s">
        <v>120</v>
      </c>
      <c r="HJ4" s="44"/>
      <c r="HK4" s="36">
        <f>SQRT((A4-$A$98)^2+(B4-$B$98)^2+(C4-$C$98)^2+(D4-$D$98)^2+(E4-$E$98)^2+(F4-$F$98)^2+(G4-$G$98)^2+(H4-$H$98)^2+(I4-$I$98)^2+(J4-$J$98)^2+(K4-$K$98)^2+(L4-$L$98)^2+(M4-$M$98)^2+(N4-$N$98)^2+(O4-$O$98)^2+(P4-$P$98)^2+(Q4-$Q$98)^2+(R4-$R$98)^2+(S4-$S$98)^2+(T4-$T$98)^2+(U4-$U$98)^2+(V4-$V$98)^2+(W4-$W$98)^2+(X4-$X$98)^2+(Y4-$Y$98)^2+(Z4-$Z$98)^2+(AA4-$AA$98)^2+(AB4-$AB$98)^2+(AC4-$AC$98)^2+(AD4-$AD$98)^2+(AE4-$AE$98)^2+(AF4-$AF$98)^2+(AG4-$AG$98)^2)</f>
        <v>1.2838370507978991</v>
      </c>
      <c r="HL4" s="36" t="s">
        <v>129</v>
      </c>
      <c r="HM4" s="37" t="s">
        <v>120</v>
      </c>
      <c r="HO4" s="44"/>
      <c r="HP4" s="36">
        <f>SQRT((A4-$A$99)^2+(B4-$B$99)^2+(C4-$C$99)^2+(D4-$D$99)^2+(E4-$E$99)^2+(F4-$F$99)^2+(G4-$G$99)^2+(H4-$H$99)^2+(I4-$I$99)^2+(J4-$J$99)^2+(K4-$K$99)^2+(L4-$L$99)^2+(M4-$M$99)^2+(N4-$N$99)^2+(O4-$O$99)^2+(P4-$P$99)^2+(Q4-$Q$99)^2+(R4-$R$99)^2+(S4-$S$99)^2+(T4-$T$99)^2+(U4-$U$99)^2+(V4-$V$99)^2+(W4-$W$99)^2+(X4-$X$99)^2+(Y4-$Y$99)^2+(Z4-$Z$99)^2+(AA4-$AA$99)^2+(AB4-$AB$99)^2+(AC4-$AC$99)^2+(AD4-$AD$99)^2+(AE4-$AE$99)^2+(AF4-$AF$99)^2+(AG4-$AG$99)^2)</f>
        <v>1.2838370507978991</v>
      </c>
      <c r="HQ4" s="36" t="s">
        <v>129</v>
      </c>
      <c r="HR4" s="37" t="s">
        <v>120</v>
      </c>
      <c r="HT4" s="44"/>
      <c r="HU4" s="36">
        <f>SQRT((A4-$A$100)^2+(B4-$B$100)^2+(C4-$C$100)^2+(D4-$D$100)^2+(E4-$E$100)^2+(F4-$F$100)^2+(G4-$G$100)^2+(H4-$H$100)^2+(I4-$I$100)^2+(J4-$J$100)^2+(K4-$K$100)^2+(L4-$L$100)^2+(M4-$M$100)^2+(N4-$N$100)^2+(O4-$O$100)^2+(P4-$P$100)^2+(Q4-$Q$100)^2+(R4-$R$100)^2+(S4-$S$100)^2+(T4-$T$100)^2+(U4-$U$100)^2+(V4-$V$100)^2+(W4-$W$100)^2+(X4-$X$100)^2+(Y4-$Y$100)^2+(Z4-$Z$100)^2+(AA4-$AA$100)^2+(AB4-$AB$100)^2+(AC4-$AC$100)^2+(AD4-$AD$100)^2+(AE4-$AE$100)^2+(AF4-$AF$100)^2+(AG4-$AG$100)^2)</f>
        <v>1.2838370507978991</v>
      </c>
      <c r="HV4" s="36" t="s">
        <v>129</v>
      </c>
      <c r="HW4" s="37" t="s">
        <v>120</v>
      </c>
      <c r="HY4" s="44"/>
      <c r="HZ4" s="36">
        <f>SQRT((A4-$A$101)^2+(B4-$B$101)^2+(C4-$C$101)^2+(D4-$D$101)^2+(E4-$E$101)^2+(F4-$F$101)^2+(G4-$G$101)^2+(H4-$H$101)^2+(I4-$I$101)^2+(J4-$J$101)^2+(K4-$K$101)^2+(L4-$L$101)^2+(M4-$M$101)^2+(N4-$N$101)^2+(O4-$O$101)^2+(P4-$P$101)^2+(Q4-$Q$101)^2+(R4-$R$101)^2+(S4-$S$101)^2+(T4-$T$101)^2+(U4-$U$101)^2+(V4-$V$101)^2+(W4-$W$101)^2+(X4-$X$101)^2+(Y4-$Y$101)^2+(Z4-$Z$101)^2+(AA4-$AA$101)^2+(AB4-$AB$101)^2+(AC4-$AC$101)^2+(AD4-$AD$101)^2+(AE4-$AE$101)^2+(AF4-$AF$101)^2+(AG4-$AG$101)^2)</f>
        <v>2.1655001464483927</v>
      </c>
      <c r="IA4" s="36" t="s">
        <v>324</v>
      </c>
      <c r="IB4" s="37" t="s">
        <v>120</v>
      </c>
    </row>
    <row r="5" spans="1:236" x14ac:dyDescent="0.35">
      <c r="A5" s="2">
        <v>0.16666666666666599</v>
      </c>
      <c r="B5" s="2">
        <v>0.5</v>
      </c>
      <c r="C5" s="2">
        <v>0.23899371069182301</v>
      </c>
      <c r="D5" s="2">
        <v>0.66666666666666596</v>
      </c>
      <c r="E5" s="2">
        <v>0</v>
      </c>
      <c r="F5" s="2">
        <v>1</v>
      </c>
      <c r="G5" s="2">
        <v>0.55555555555555503</v>
      </c>
      <c r="H5" s="2">
        <v>1</v>
      </c>
      <c r="I5" s="2">
        <v>0.5</v>
      </c>
      <c r="J5" s="2">
        <v>0</v>
      </c>
      <c r="K5" s="2">
        <v>0</v>
      </c>
      <c r="L5" s="2">
        <v>0.2</v>
      </c>
      <c r="M5" s="2">
        <v>1</v>
      </c>
      <c r="N5" s="2">
        <v>0</v>
      </c>
      <c r="O5" s="2">
        <v>0</v>
      </c>
      <c r="P5" s="2">
        <v>0.4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0.19565217391304299</v>
      </c>
      <c r="AH5" s="2" t="s">
        <v>120</v>
      </c>
      <c r="AI5" s="42"/>
      <c r="AJ5" s="42"/>
      <c r="AL5" s="44"/>
      <c r="AM5" s="36">
        <f>SQRT((A5-$A$62)^2+(B5-$B$62)^2+(C5-$C$62)^2+(D5-$D$62)^2+(E5-$E$62)^2+(F5-$F$62)^2+(G5-$G$62)^2+(H5-$H$62)^2+(I5-$I$62)^2+(J5-$J$62)^2+(K5-$K$62)^2+(L5-$L$62)^2+(M5-$M$62)^2+(N5-$N$62)^2+(O5-$O$62)^2+(P5-$P$62)^2+(Q5-$Q$62)^2+(R5-$R$62)^2+(S5-$S$62)^2+(T5-$T$62)^2+(U5-$U$62)^2+(V5-$V$62)^2+(W5-$W$62)^2+(X5-$X$62)^2+(Y5-$Y$62)^2+(Z5-$Z$62)^2+(AA5-$AA$62)^2+(AB5-$AB$62)^2+(AC5-$AC$62)^2+(AD5-$AD$62)^2+(AE5-$AE$62)^2+(AF5-$AF$62)^2+(AG5-$AG$62)^2)</f>
        <v>1.9558208744955652</v>
      </c>
      <c r="AN5" s="36" t="s">
        <v>122</v>
      </c>
      <c r="AO5" s="37" t="s">
        <v>120</v>
      </c>
      <c r="AP5" s="30"/>
      <c r="AQ5" s="44"/>
      <c r="AR5" s="36">
        <f>SQRT((A5-$A$63)^2+(B5-$B$63)^2+(C5-$C$63)^2+(D5-$D$63)^2+(E5-$E$63)^2+(F5-$F$63)^2+(G5-$G$63)^2+(H5-$H$63)^2+(I5-$I$63)^2+(J5-$J$63)^2+(K5-$K$63)^2+(L5-$L$63)^2+(M5-$M$63)^2+(N5-$N$63)^2+(O5-$O$63)^2+(P5-$P$63)^2+(Q5-$Q$63)^2+(R5-$R$63)^2+(S5-$S$63)^2+(T5-$T$63)^2+(U5-$U$63)^2+(V5-$V$63)^2+(W5-$W$63)^2+(X5-$X$63)^2+(Y5-$Y$63)^2+(Z5-$Z$63)^2+(AA5-$AA$63)^2+(AB5-$AB$63)^2+(AC5-$AC$63)^2+(AD5-$AD$63)^2+(AE5-$AE$63)^2+(AF5-$AF$63)^2+(AG5-$AG$63)^2)</f>
        <v>0.79169746379267558</v>
      </c>
      <c r="AS5" s="36" t="s">
        <v>318</v>
      </c>
      <c r="AT5" s="37" t="s">
        <v>120</v>
      </c>
      <c r="AU5" s="30"/>
      <c r="AV5" s="44"/>
      <c r="AW5" s="36">
        <f>SQRT((A5-$A$64)^2+(B5-$B$64)^2+(C5-$C$64)^2+(D5-$D$64)^2+(E5-$E$64)^2+(F5-$F$64)^2+(G5-$G$64)^2+(H5-$H$64)^2+(I5-$I$64)^2+(J5-$J$64)^2+(K5-$K$64)^2+(L5-$L$64)^2+(M5-$M$64)^2+(N5-$N$64)^2+(O5-$O$64)^2+(P5-$P$64)^2+(Q5-$Q$64)^2+(R5-$R$64)^2+(S5-$S$64)^2+(T5-$T$64)^2+(U5-$U$64)^2+(V5-$V$64)^2+(W5-$W$64)^2+(X5-$X$64)^2+(Y5-$Y$64)^2+(Z5-$Z$64)^2+(AA5-$AA$64)^2+(AB5-$AB$64)^2+(AC5-$AC$64)^2+(AD5-$AD$64)^2+(AE5-$AE$64)^2+(AF5-$AF$64)^2+(AG5-$AG$64)^2)</f>
        <v>0.79169746379267558</v>
      </c>
      <c r="AX5" s="36" t="s">
        <v>318</v>
      </c>
      <c r="AY5" s="37" t="s">
        <v>120</v>
      </c>
      <c r="AZ5" s="30"/>
      <c r="BA5" s="44"/>
      <c r="BB5" s="36">
        <f>SQRT((A5-$A$65)^2+(B5-$B$65)^2+(C5-$C$65)^2+(D5-$D$65)^2+(E5-$E$65)^2+(F5-$F$65)^2+(G5-$G$65)^2+(H5-$H$65)^2+(I5-$I$65)^2+(J5-$J$65)^2+(K5-$K$65)^2+(L5-$L$65)^2+(M5-$M$65)^2+(N5-$N$65)^2+(O5-$O$65)^2+(P5-$P$65)^2+(Q5-$Q$65)^2+(R5-$R$65)^2+(S5-$S$65)^2+(T5-$T$65)^2+(U5-$U$65)^2+(V5-$V$65)^2+(W5-$W$65)^2+(X5-$X$65)^2+(Y5-$Y$65)^2+(Z5-$Z$65)^2+(AA5-$AA$65)^2+(AB5-$AB$65)^2+(AC5-$AC$65)^2+(AD5-$AD$65)^2+(AE5-$AE$65)^2+(AF5-$AF$65)^2+(AG5-$AG$65)^2)</f>
        <v>0.79169746379267558</v>
      </c>
      <c r="BC5" s="36" t="s">
        <v>318</v>
      </c>
      <c r="BD5" s="37" t="s">
        <v>120</v>
      </c>
      <c r="BE5" s="30"/>
      <c r="BF5" s="44"/>
      <c r="BG5" s="36">
        <f>SQRT((A5-$A$66)^2+(B5-$B$66)^2+(C5-$C$66)^2+(D5-$D$66)^2+(E5-$E$66)^2+(F5-$F$66)^2+(G5-$G$66)^2+(H5-$H$66)^2+(I5-$I$66)^2+(J5-$J$66)^2+(K5-$K$66)^2+(L5-$L$66)^2+(M5-$M$66)^2+(N5-$N$66)^2+(O5-$O$66)^2+(P5-$P$66)^2+(Q5-$Q$66)^2+(R5-$R$66)^2+(S5-$S$66)^2+(T5-$T$66)^2+(U5-$U$66)^2+(V5-$V$66)^2+(W5-$W$66)^2+(X5-$X$66)^2+(Y5-$Y$66)^2+(Z5-$Z$66)^2+(AA5-$AA$66)^2+(AB5-$AB$66)^2+(AC5-$AC$66)^2+(AD5-$AD$66)^2+(AE5-$AE$66)^2+(AF5-$AF$66)^2+(AG5-$AG$66)^2)</f>
        <v>0.79169746379267558</v>
      </c>
      <c r="BH5" s="36" t="s">
        <v>318</v>
      </c>
      <c r="BI5" s="37" t="s">
        <v>120</v>
      </c>
      <c r="BJ5" s="30"/>
      <c r="BK5" s="44"/>
      <c r="BL5" s="36">
        <f>SQRT((A5-$A$67)^2+(B5-$B$67)^2+(C5-$C$67)^2+(D5-$D$67)^2+(E5-$E$67)^2+(F5-$F$67)^2+(G5-$G$67)^2+(H5-$H$67)^2+(I5-$I$67)^2+(J5-$J$67)^2+(K5-$K$67)^2+(L5-$L$67)^2+(M5-$M$67)^2+(N5-$N$67)^2+(O5-$O$67)^2+(P5-$P$67)^2+(Q5-$Q$67)^2+(R5-$R$67)^2+(S5-$S$67)^2+(T5-$T$67)^2+(U5-$U$67)^2+(V5-$V$67)^2+(W5-$W$67)^2+(X5-$X$67)^2+(Y5-$Y$67)^2+(Z5-$Z$67)^2+(AA5-$AA$67)^2+(AB5-$AB$67)^2+(AC5-$AC$67)^2+(AD5-$AD$67)^2+(AE5-$AE$67)^2+(AF5-$AF$67)^2+(AG5-$AG$67)^2)</f>
        <v>0.79169746379267558</v>
      </c>
      <c r="BM5" s="36" t="s">
        <v>318</v>
      </c>
      <c r="BN5" s="37" t="s">
        <v>120</v>
      </c>
      <c r="BO5" s="30"/>
      <c r="BP5" s="44"/>
      <c r="BQ5" s="36">
        <f>SQRT((A5-$A$68)^2+(B5-$B$68)^2+(C5-$C$68)^2+(D5-$D$68)^2+(E5-$E$68)^2+(F5-$F$68)^2+(G5-$G$68)^2+(H5-$H$68)^2+(I5-$I$68)^2+(J5-$J$68)^2+(K5-$K$68)^2+(L5-$L$68)^2+(M5-$M$68)^2+(N5-$N$68)^2+(O5-$O$68)^2+(P5-$P$68)^2+(Q5-$Q$68)^2+(R5-$R$68)^2+(S5-$S$68)^2+(T5-$T$68)^2+(U5-$U$68)^2+(V5-$V$68)^2+(W5-$W$68)^2+(X5-$X$68)^2+(Y5-$Y$68)^2+(Z5-$Z$68)^2+(AA5-$AA$68)^2+(AB5-$AB$68)^2+(AC5-$AC$68)^2+(AD5-$AD$68)^2+(AE5-$AE$68)^2+(AF5-$AF$68)^2+(AG5-$AG$68)^2)</f>
        <v>0.79169746379267558</v>
      </c>
      <c r="BR5" s="36" t="s">
        <v>318</v>
      </c>
      <c r="BS5" s="37" t="s">
        <v>120</v>
      </c>
      <c r="BT5" s="30"/>
      <c r="BU5" s="44"/>
      <c r="BV5" s="36">
        <f>SQRT((A5-$A$69)^2+(B5-$B$69)^2+(C5-$C$69)^2+(D5-$D$69)^2+(E5-$E$69)^2+(F5-$F$69)^2+(G5-$G$69)^2+(H5-$H$69)^2+(I5-$I$69)^2+(J5-$J$69)^2+(K5-$K$69)^2+(L5-$L$69)^2+(M5-$M$69)^2+(N5-$N$69)^2+(O5-$O$69)^2+(P5-$P$69)^2+(Q5-$Q$69)^2+(R5-$R$69)^2+(S5-$S$69)^2+(T5-$T$69)^2+(U5-$U$69)^2+(V5-$V$69)^2+(W5-$W$69)^2+(X5-$X$69)^2+(Y5-$Y$69)^2+(Z5-$Z$69)^2+(AA5-$AA$69)^2+(AB5-$AB$69)^2+(AC5-$AC$69)^2+(AD5-$AD$69)^2+(AE5-$AE$69)^2+(AF5-$AF$69)^2+(AG5-$AG$69)^2)</f>
        <v>2.1302279685489633</v>
      </c>
      <c r="BW5" s="36" t="s">
        <v>317</v>
      </c>
      <c r="BX5" s="37" t="s">
        <v>120</v>
      </c>
      <c r="BZ5" s="44"/>
      <c r="CA5" s="36">
        <f>SQRT((A5-$A$70)^2+(B5-$B$70)^2+(C5-$C$70)^2+(D5-$D$70)^2+(E5-$E$70)^2+(F5-$F$70)^2+(G5-$G$70)^2+(H5-$H$70)^2+(I5-$I$70)^2+(J5-$J$70)^2+(K5-$K$70)^2+(L5-$L$70)^2+(M5-$M$70)^2+(N5-$N$70)^2+(O5-$O$70)^2+(P5-$P$70)^2+(Q5-$Q$70)^2+(R5-$R$70)^2+(S5-$S$70)^2+(T5-$T$70)^2+(U5-$U$70)^2+(V5-$V$70)^2+(W5-$W$70)^2+(X5-$X$70)^2+(Y5-$Y$70)^2+(Z5-$Z$70)^2+(AA5-$AA$70)^2+(AB5-$AB$70)^2+(AC5-$AC$70)^2+(AD5-$AD$70)^2+(AE5-$AE$70)^2+(AF5-$AF$70)^2+(AG5-$AG$70)^2)</f>
        <v>0.75</v>
      </c>
      <c r="CB5" s="36" t="s">
        <v>321</v>
      </c>
      <c r="CC5" s="37" t="s">
        <v>120</v>
      </c>
      <c r="CE5" s="44"/>
      <c r="CF5" s="36">
        <f>SQRT((A5-$A$71)^2+(B5-$B$71)^2+(C5-$C$71)^2+(D5-$D$71)^2+(E5-$E$71)^2+(F5-$F$71)^2+(G5-$G$71)^2+(H5-$H$71)^2+(I5-$I$71)^2+(J5-$J$71)^2+(K5-$K$71)^2+(L5-$L$71)^2+(M5-$M$71)^2+(N5-$N$71)^2+(O5-$O$71)^2+(P5-$P$71)^2+(Q5-$Q$71)^2+(R5-$R$71)^2+(S5-$S$71)^2+(T5-$T$71)^2+(U5-$U$71)^2+(V5-$V$71)^2+(W5-$W$71)^2+(X5-$X$71)^2+(Y5-$Y$71)^2+(Z5-$Z$71)^2+(AA5-$AA$71)^2+(AB5-$AB$71)^2+(AC5-$AC$71)^2+(AD5-$AD$71)^2+(AE5-$AE$71)^2+(AF5-$AF$71)^2+(AG5-$AG$71)^2)</f>
        <v>1.166666666666667</v>
      </c>
      <c r="CG5" s="36" t="s">
        <v>336</v>
      </c>
      <c r="CH5" s="37" t="s">
        <v>120</v>
      </c>
      <c r="CJ5" s="44"/>
      <c r="CK5" s="36">
        <f>SQRT((A5-$A$72)^2+(B5-$B$72)^2+(C5-$C$72)^2+(D5-$D$72)^2+(E5-$E$72)^2+(F5-$F$72)^2+(G5-$G$72)^2+(H5-$H$72)^2+(I5-$I$72)^2+(J5-$J$72)^2+(K5-$K$72)^2+(L5-$L$72)^2+(M5-$M$72)^2+(N5-$N$72)^2+(O5-$O$72)^2+(P5-$P$72)^2+(Q5-$Q$72)^2+(R5-$R$72)^2+(S5-$S$72)^2+(T5-$T$72)^2+(U5-$U$72)^2+(V5-$V$72)^2+(W5-$W$72)^2+(X5-$X$72)^2+(Y5-$Y$72)^2+(Z5-$Z$72)^2+(AA5-$AA$72)^2+(AB5-$AB$72)^2+(AC5-$AC$72)^2+(AD5-$AD$72)^2+(AE5-$AE$72)^2+(AF5-$AF$72)^2+(AG5-$AG$72)^2)</f>
        <v>1.4210172847142954</v>
      </c>
      <c r="CL5" s="36" t="s">
        <v>320</v>
      </c>
      <c r="CM5" s="37" t="s">
        <v>120</v>
      </c>
      <c r="CO5" s="44"/>
      <c r="CP5" s="36">
        <f>SQRT((A5-$A$73)^2+(B5-$B$73)^2+(C5-$C$73)^2+(D5-$D$73)^2+(E5-$E$73)^2+(F5-$F$73)^2+(G5-$G$73)^2+(H5-$H$73)^2+(I5-$I$73)^2+(J5-$J$73)^2+(K5-$K$73)^2+(L5-$L$73)^2+(M5-$M$73)^2+(N5-$N$73)^2+(O5-$O$73)^2+(P5-$P$73)^2+(Q5-$Q$73)^2+(R5-$R$73)^2+(S5-$S$73)^2+(T5-$T$73)^2+(U5-$U$73)^2+(V5-$V$73)^2+(W5-$W$73)^2+(X5-$X$73)^2+(Y5-$Y$73)^2+(Z5-$Z$73)^2+(AA5-$AA$73)^2+(AB5-$AB$73)^2+(AC5-$AC$73)^2+(AD5-$AD$73)^2+(AE5-$AE$73)^2+(AF5-$AF$73)^2+(AG5-$AG$73)^2)</f>
        <v>1.0665165330808613</v>
      </c>
      <c r="CQ5" s="36" t="s">
        <v>149</v>
      </c>
      <c r="CR5" s="37" t="s">
        <v>120</v>
      </c>
      <c r="CT5" s="44"/>
      <c r="CU5" s="36">
        <f>SQRT((A5-$A$74)^2+(B5-$B$74)^2+(C5-$C$74)^2+(D5-$D$74)^2+(E5-$E$74)^2+(F5-$F$74)^2+(G5-$G$74)^2+(H5-$H$74)^2+(I5-$I$74)^2+(J5-$J$74)^2+(K5-$K$74)^2+(L5-$L$74)^2+(M5-$M$74)^2+(N5-$N$74)^2+(O5-$O$74)^2+(P5-$P$74)^2+(Q5-$Q$74)^2+(R5-$R$74)^2+(S5-$S$74)^2+(T5-$T$74)^2+(U5-$U$74)^2+(V5-$V$74)^2+(W5-$W$74)^2+(X5-$X$74)^2+(Y5-$Y$74)^2+(Z5-$Z$74)^2+(AA5-$AA$74)^2+(AB5-$AB$74)^2+(AC5-$AC$74)^2+(AD5-$AD$74)^2+(AE5-$AE$74)^2+(AF5-$AF$74)^2+(AG5-$AG$74)^2)</f>
        <v>1.5035926471847865</v>
      </c>
      <c r="CV5" s="36" t="s">
        <v>151</v>
      </c>
      <c r="CW5" s="37" t="s">
        <v>120</v>
      </c>
      <c r="CY5" s="44"/>
      <c r="CZ5" s="36">
        <f>SQRT((A5-$A$75)^2+(B5-$B$75)^2+(C5-$C$75)^2+(D5-$D$75)^2+(E5-$E$75)^2+(F5-$F$75)^2+(G5-$G$75)^2+(H5-$H$75)^2+(I5-$I$75)^2+(J5-$J$75)^2+(K5-$K$75)^2+(L5-$L$75)^2+(M5-$M$75)^2+(N5-$N$75)^2+(O5-$O$75)^2+(P5-$P$75)^2+(Q5-$Q$75)^2+(R5-$R$75)^2+(S5-$S$75)^2+(T5-$T$75)^2+(U5-$U$75)^2+(V5-$V$75)^2+(W5-$W$75)^2+(X5-$X$75)^2+(Y5-$Y$75)^2+(Z5-$Z$75)^2+(AA5-$AA$75)^2+(AB5-$AB$75)^2+(AC5-$AC$75)^2+(AD5-$AD$75)^2+(AE5-$AE$75)^2+(AF5-$AF$75)^2+(AG5-$AG$75)^2)</f>
        <v>1.4524736615708533</v>
      </c>
      <c r="DA5" s="36" t="s">
        <v>127</v>
      </c>
      <c r="DB5" s="37" t="s">
        <v>120</v>
      </c>
      <c r="DD5" s="44"/>
      <c r="DE5" s="36">
        <f>SQRT((A5-$A$76)^2+(B5-$B$76)^2+(C5-$C$76)^2+(D5-$D$76)^2+(E5-$E$76)^2+(F5-$F$76)^2+(G5-$G$76)^2+(H5-$H$76)^2+(I5-$I$76)^2+(J5-$J$76)^2+(K5-$K$76)^2+(L5-$L$76)^2+(M5-$M$76)^2+(N5-$N$76)^2+(O5-$O$76)^2+(P5-$P$76)^2+(Q5-$Q$76)^2+(R5-$R$76)^2+(S5-$S$76)^2+(T5-$T$76)^2+(U5-$U$76)^2+(V5-$V$76)^2+(W5-$W$76)^2+(X5-$X$76)^2+(Y5-$Y$76)^2+(Z5-$Z$76)^2+(AA5-$AA$76)^2+(AB5-$AB$76)^2+(AC5-$AC$76)^2+(AD5-$AD$76)^2+(AE5-$AE$76)^2+(AF5-$AF$76)^2+(AG5-$AG$76)^2)</f>
        <v>1.3681746817491045</v>
      </c>
      <c r="DF5" s="36" t="s">
        <v>319</v>
      </c>
      <c r="DG5" s="37" t="s">
        <v>120</v>
      </c>
      <c r="DI5" s="44"/>
      <c r="DJ5" s="36">
        <f>SQRT((A5-$A$77)^2+(B5-$B$77)^2+(C5-$C$77)^2+(D5-$D$77)^2+(E5-$E$77)^2+(F5-$F$77)^2+(G5-$G$77)^2+(H5-$H$77)^2+(I5-$I$77)^2+(J5-$J$77)^2+(K5-$K$77)^2+(L5-$L$77)^2+(M5-$M$77)^2+(N5-$N$77)^2+(O5-$O$77)^2+(P5-$P$77)^2+(Q5-$Q$77)^2+(R5-$R$77)^2+(S5-$S$77)^2+(T5-$T$77)^2+(U5-$U$77)^2+(V5-$V$77)^2+(W5-$W$77)^2+(X5-$X$77)^2+(Y5-$Y$77)^2+(Z5-$Z$77)^2+(AA5-$AA$77)^2+(AB5-$AB$77)^2+(AC5-$AC$77)^2+(AD5-$AD$77)^2+(AE5-$AE$77)^2+(AF5-$AF$77)^2+(AG5-$AG$77)^2)</f>
        <v>2.0154043738088752</v>
      </c>
      <c r="DK5" s="36" t="s">
        <v>127</v>
      </c>
      <c r="DL5" s="37" t="s">
        <v>120</v>
      </c>
      <c r="DN5" s="44"/>
      <c r="DO5" s="36">
        <f>SQRT((A5-$A$78)^2+(B5-$B$78)^2+(C5-$C$78)^2+(D5-$D$78)^2+(E5-$E$78)^2+(F5-$F$78)^2+(G5-$G$78)^2+(H5-$H$78)^2+(I5-$I$78)^2+(J5-$J$78)^2+(K5-$K$78)^2+(L5-$L$78)^2+(M5-$M$78)^2+(N5-$N$78)^2+(O5-$O$78)^2+(P5-$P$78)^2+(Q5-$Q$78)^2+(R5-$R$78)^2+(S5-$S$78)^2+(T5-$T$78)^2+(U5-$U$78)^2+(V5-$V$78)^2+(W5-$W$78)^2+(X5-$X$78)^2+(Y5-$Y$78)^2+(Z5-$Z$78)^2+(AA5-$AA$78)^2+(AB5-$AB$78)^2+(AC5-$AC$78)^2+(AD5-$AD$78)^2+(AE5-$AE$78)^2+(AF5-$AF$78)^2+(AG5-$AG$78)^2)</f>
        <v>0.55418227484307614</v>
      </c>
      <c r="DP5" s="36" t="s">
        <v>125</v>
      </c>
      <c r="DQ5" s="37" t="s">
        <v>120</v>
      </c>
      <c r="DS5" s="44"/>
      <c r="DT5" s="36">
        <f>SQRT((A5-$A$79)^2+(B5-$B$79)^2+(C5-$C$79)^2+(D5-$D$79)^2+(E5-$E$79)^2+(F5-$F$79)^2+(G5-$G$79)^2+(H5-$H$79)^2+(I5-$I$79)^2+(J5-$J$79)^2+(K5-$K$79)^2+(L5-$L$79)^2+(M5-$M$79)^2+(N5-$N$79)^2+(O5-$O$79)^2+(P5-$P$79)^2+(Q5-$Q$79)^2+(R5-$R$79)^2+(S5-$S$79)^2+(T5-$T$79)^2+(U5-$U$79)^2+(V5-$V$79)^2+(W5-$W$79)^2+(X5-$X$79)^2+(Y5-$Y$79)^2+(Z5-$Z$79)^2+(AA5-$AA$79)^2+(AB5-$AB$79)^2+(AC5-$AC$79)^2+(AD5-$AD$79)^2+(AE5-$AE$79)^2+(AF5-$AF$79)^2+(AG5-$AG$79)^2)</f>
        <v>1.225434156619061</v>
      </c>
      <c r="DU5" s="36" t="s">
        <v>122</v>
      </c>
      <c r="DV5" s="37" t="s">
        <v>120</v>
      </c>
      <c r="DX5" s="44"/>
      <c r="DY5" s="36">
        <f>SQRT((A5-$A$80)^2+(B5-$B$80)^2+(C5-$C$80)^2+(D5-$D$80)^2+(E5-$E$80)^2+(F5-$F$80)^2+(G5-$G$80)^2+(H5-$H$80)^2+(I5-$I$80)^2+(J5-$J$80)^2+(K5-$K$80)^2+(L5-$L$80)^2+(M5-$M$80)^2+(N5-$N$80)^2+(O5-$O$80)^2+(P5-$P$80)^2+(Q5-$Q$80)^2+(R5-$R$80)^2+(S5-$S$80)^2+(T5-$T$80)^2+(U5-$U$80)^2+(V5-$V$80)^2+(W5-$W$80)^2+(X5-$X$80)^2+(Y5-$Y$80)^2+(Z5-$Z$80)^2+(AA5-$AA$80)^2+(AB5-$AB$80)^2+(AC5-$AC$80)^2+(AD5-$AD$80)^2+(AE5-$AE$80)^2+(AF5-$AF$80)^2+(AG5-$AG$80)^2)</f>
        <v>1.7825424301639554</v>
      </c>
      <c r="DZ5" s="36" t="s">
        <v>323</v>
      </c>
      <c r="EA5" s="37" t="s">
        <v>120</v>
      </c>
      <c r="EC5" s="44"/>
      <c r="ED5" s="36">
        <f>SQRT((A5-$A$81)^2+(B5-$B$81)^2+(C5-$C$81)^2+(D5-$D$81)^2+(E5-$E$81)^2+(F5-$F$81)^2+(G5-$G$81)^2+(H5-$H$81)^2+(I5-$I$81)^2+(J5-$J$81)^2+(K5-$K$81)^2+(L5-$L$81)^2+(M5-$M$81)^2+(N5-$N$81)^2+(O5-$O$81)^2+(P5-$P$81)^2+(Q5-$Q$81)^2+(R5-$R$81)^2+(S5-$S$81)^2+(T5-$T$81)^2+(U5-$U$81)^2+(V5-$V$81)^2+(W5-$W$81)^2+(X5-$X$81)^2+(Y5-$Y$81)^2+(Z5-$Z$81)^2+(AA5-$AA$81)^2+(AB5-$AB$81)^2+(AC5-$AC$81)^2+(AD5-$AD$81)^2+(AE5-$AE$81)^2+(AF5-$AF$81)^2+(AG5-$AG$81)^2)</f>
        <v>1.836620686120279</v>
      </c>
      <c r="EE5" s="36" t="s">
        <v>315</v>
      </c>
      <c r="EF5" s="37" t="s">
        <v>120</v>
      </c>
      <c r="EH5" s="44"/>
      <c r="EI5" s="36">
        <f>SQRT((A5-$A$82)^2+(B5-$B$82)^2+(C5-$C$82)^2+(D5-$D$82)^2+(E5-$E$82)^2+(F5-$F$82)^2+(G5-$G$82)^2+(H5-$H$82)^2+(I5-$I$82)^2+(J5-$J$82)^2+(K5-$K$82)^2+(L5-$L$82)^2+(M5-$M$82)^2+(N5-$N$82)^2+(O5-$O$82)^2+(P5-$P$82)^2+(Q5-$Q$82)^2+(R5-$R$82)^2+(S5-$S$82)^2+(T5-$T$82)^2+(U5-$U$82)^2+(V5-$V$82)^2+(W5-$W$82)^2+(X5-$X$82)^2+(Y5-$Y$82)^2+(Z5-$Z$82)^2+(AA5-$AA$82)^2+(AB5-$AB$82)^2+(AC5-$AC$82)^2+(AD5-$AD$82)^2+(AE5-$AE$82)^2+(AF5-$AF$82)^2+(AG5-$AG$82)^2)</f>
        <v>1.283662281633698</v>
      </c>
      <c r="EJ5" s="36" t="s">
        <v>325</v>
      </c>
      <c r="EK5" s="37" t="s">
        <v>120</v>
      </c>
      <c r="EM5" s="44"/>
      <c r="EN5" s="36">
        <f>SQRT((A5-$A$83)^2+(B5-$B$83)^2+(C5-$C$83)^2+(D5-$D$83)^2+(E5-$E$83)^2+(F5-$F$83)^2+(G5-$G$83)^2+(H5-$H$83)^2+(I5-$I$83)^2+(J5-$J$83)^2+(K5-$K$83)^2+(L5-$L$83)^2+(M5-$M$83)^2+(N5-$N$83)^2+(O5-$O$83)^2+(P5-$P$83)^2+(Q5-$Q$83)^2+(R5-$R$83)^2+(S5-$S$83)^2+(T5-$T$83)^2+(U5-$U$83)^2+(V5-$V$83)^2+(W5-$W$83)^2+(X5-$X$83)^2+(Y5-$Y$83)^2+(Z5-$Z$83)^2+(AA5-$AA$83)^2+(AB5-$AB$83)^2+(AC5-$AC$83)^2+(AD5-$AD$83)^2+(AE5-$AE$83)^2+(AF5-$AF$83)^2+(AG5-$AG$83)^2)</f>
        <v>0.67692621818138965</v>
      </c>
      <c r="EO5" s="36" t="s">
        <v>334</v>
      </c>
      <c r="EP5" s="37" t="s">
        <v>120</v>
      </c>
      <c r="ER5" s="44"/>
      <c r="ES5" s="36">
        <f>SQRT((A5-$A$84)^2+(B5-$B$84)^2+(C5-$C$84)^2+(D5-$D$84)^2+(E5-$E$84)^2+(F5-$F$84)^2+(G5-$G$84)^2+(H5-$H$84)^2+(I5-$I$84)^2+(J5-$J$84)^2+(K5-$K$84)^2+(L5-$L$84)^2+(M5-$M$84)^2+(N5-$N$84)^2+(O5-$O$84)^2+(P5-$P$84)^2+(Q5-$Q$84)^2+(R5-$R$84)^2+(S5-$S$84)^2+(T5-$T$84)^2+(U5-$U$84)^2+(V5-$V$84)^2+(W5-$W$84)^2+(X5-$X$84)^2+(Y5-$Y$84)^2+(Z5-$Z$84)^2+(AA5-$AA$84)^2+(AB5-$AB$84)^2+(AC5-$AC$84)^2+(AD5-$AD$84)^2+(AE5-$AE$84)^2+(AF5-$AF$84)^2+(AG5-$AG$84)^2)</f>
        <v>0.79169746379267558</v>
      </c>
      <c r="ET5" s="36" t="s">
        <v>318</v>
      </c>
      <c r="EU5" s="37" t="s">
        <v>120</v>
      </c>
      <c r="EW5" s="44"/>
      <c r="EX5" s="36">
        <f>SQRT((A5-$A$85)^2+(B5-$B$85)^2+(C5-$C$85)^2+(D5-$D$85)^2+(E5-$E$85)^2+(F5-$F$85)^2+(G5-$G$85)^2+(H5-$H$85)^2+(I5-$I$85)^2+(J5-$J$85)^2+(K5-$K$85)^2+(L5-$L$85)^2+(M5-$M$85)^2+(N5-$N$85)^2+(O5-$O$85)^2+(P5-$P$85)^2+(Q5-$Q$85)^2+(R5-$R$85)^2+(S5-$S$85)^2+(T5-$T$85)^2+(U5-$U$85)^2+(V5-$V$85)^2+(W5-$W$85)^2+(X5-$X$85)^2+(Y5-$Y$85)^2+(Z5-$Z$85)^2+(AA5-$AA$85)^2+(AB5-$AB$85)^2+(AC5-$AC$85)^2+(AD5-$AD$85)^2+(AE5-$AE$85)^2+(AF5-$AF$85)^2+(AG5-$AG$85)^2)</f>
        <v>0.79169746379267558</v>
      </c>
      <c r="EY5" s="36" t="s">
        <v>318</v>
      </c>
      <c r="EZ5" s="37" t="s">
        <v>120</v>
      </c>
      <c r="FB5" s="44"/>
      <c r="FC5" s="36">
        <f>SQRT((A5-$A$86)^2+(B5-$B$86)^2+(C5-$C$86)^2+(D5-$D$86)^2+(E5-$E$86)^2+(F5-$F$86)^2+(G5-$G$86)^2+(H5-$H$86)^2+(I5-$I$86)^2+(J5-$J$86)^2+(K5-$K$86)^2+(L5-$L$86)^2+(M5-$M$86)^2+(N5-$N$86)^2+(O5-$O$86)^2+(P5-$P$86)^2+(Q5-$Q$86)^2+(R5-$R$86)^2+(S5-$S$86)^2+(T5-$T$86)^2+(U5-$U$86)^2+(V5-$V$86)^2+(W5-$W$86)^2+(X5-$X$86)^2+(Y5-$Y$86)^2+(Z5-$Z$86)^2+(AA5-$AA$86)^2+(AB5-$AB$86)^2+(AC5-$AC$86)^2+(AD5-$AD$86)^2+(AE5-$AE$86)^2+(AF5-$AF$86)^2+(AG5-$AG$86)^2)</f>
        <v>0.79169746379267558</v>
      </c>
      <c r="FD5" s="36" t="s">
        <v>318</v>
      </c>
      <c r="FE5" s="37" t="s">
        <v>120</v>
      </c>
      <c r="FG5" s="44"/>
      <c r="FH5" s="36">
        <f>SQRT((A5-$A$87)^2+(B5-$B$87)^2+(C5-$C$87)^2+(D5-$D$87)^2+(E5-$E$87)^2+(F5-$F$87)^2+(G5-$G$87)^2+(H5-$H$87)^2+(I5-$I$87)^2+(J5-$J$87)^2+(K5-$K$87)^2+(L5-$L$87)^2+(M5-$M$87)^2+(N5-$N$87)^2+(O5-$O$87)^2+(P5-$P$87)^2+(Q5-$Q$87)^2+(R5-$R$87)^2+(S5-$S$87)^2+(T5-$T$87)^2+(U5-$U$87)^2+(V5-$V$87)^2+(W5-$W$87)^2+(X5-$X$87)^2+(Y5-$Y$87)^2+(Z5-$Z$87)^2+(AA5-$AA$87)^2+(AB5-$AB$87)^2+(AC5-$AC$87)^2+(AD5-$AD$87)^2+(AE5-$AE$87)^2+(AF5-$AF$87)^2+(AG5-$AG$87)^2)</f>
        <v>0.73990372031421769</v>
      </c>
      <c r="FI5" s="36" t="s">
        <v>125</v>
      </c>
      <c r="FJ5" s="37" t="s">
        <v>120</v>
      </c>
      <c r="FL5" s="44"/>
      <c r="FM5" s="36">
        <f>SQRT((A5-$A$88)^2+(B5-$B$88)^2+(C5-$C$88)^2+(D5-$D$88)^2+(E5-$E$88)^2+(F5-$F$88)^2+(G5-$G$88)^2+(H5-$H$88)^2+(I5-$I$88)^2+(J5-$J$88)^2+(K5-$K$88)^2+(L5-$L$88)^2+(M5-$M$88)^2+(N5-$N$88)^2+(O5-$O$88)^2+(P5-$P$88)^2+(Q5-$Q$88)^2+(R5-$R$88)^2+(S5-$S$88)^2+(T5-$T$88)^2+(U5-$U$88)^2+(V5-$V$88)^2+(W5-$W$88)^2+(X5-$X$88)^2+(Y5-$Y$88)^2+(Z5-$Z$88)^2+(AA5-$AA$88)^2+(AB5-$AB$88)^2+(AC5-$AC$88)^2+(AD5-$AD$88)^2+(AE5-$AE$88)^2+(AF5-$AF$88)^2+(AG5-$AG$88)^2)</f>
        <v>1.33593496182345</v>
      </c>
      <c r="FN5" s="36" t="s">
        <v>320</v>
      </c>
      <c r="FO5" s="37" t="s">
        <v>120</v>
      </c>
      <c r="FQ5" s="44"/>
      <c r="FR5" s="36">
        <f>SQRT((A5-$A$89)^2+(B5-$B$89)^2+(C5-$C$89)^2+(D5-$D$89)^2+(E5-$E$89)^2+(F5-$F$89)^2+(G5-$G$89)^2+(H5-$H$89)^2+(I5-$I$89)^2+(J5-$J$89)^2+(K5-$K$89)^2+(L5-$L$89)^2+(M5-$M$89)^2+(N5-$N$89)^2+(O5-$O$89)^2+(P5-$P$89)^2+(Q5-$Q$89)^2+(R5-$R$89)^2+(S5-$S$89)^2+(T5-$T$89)^2+(U5-$U$89)^2+(V5-$V$89)^2+(W5-$W$89)^2+(X5-$X$89)^2+(Y5-$Y$89)^2+(Z5-$Z$89)^2+(AA5-$AA$89)^2+(AB5-$AB$89)^2+(AC5-$AC$89)^2+(AD5-$AD$89)^2+(AE5-$AE$89)^2+(AF5-$AF$89)^2+(AG5-$AG$89)^2)</f>
        <v>1.8852384947272551</v>
      </c>
      <c r="FS5" s="36" t="s">
        <v>145</v>
      </c>
      <c r="FT5" s="37" t="s">
        <v>120</v>
      </c>
      <c r="FV5" s="44"/>
      <c r="FW5" s="36">
        <f>SQRT((A5-$A$90)^2+(B5-$B$90)^2+(C5-$C$90)^2+(D5-$D$90)^2+(E5-$E$90)^2+(F5-$F$90)^2+(G5-$G$90)^2+(H5-$H$90)^2+(I5-$I$90)^2+(J5-$J$90)^2+(K5-$K$90)^2+(L5-$L$90)^2+(M5-$M$90)^2+(N5-$N$90)^2+(O5-$O$90)^2+(P5-$P$90)^2+(Q5-$Q$90)^2+(R5-$R$90)^2+(S5-$S$90)^2+(T5-$T$90)^2+(U5-$U$90)^2+(V5-$V$90)^2+(W5-$W$90)^2+(X5-$X$90)^2+(Y5-$Y$90)^2+(Z5-$Z$90)^2+(AA5-$AA$90)^2+(AB5-$AB$90)^2+(AC5-$AC$90)^2+(AD5-$AD$90)^2+(AE5-$AE$90)^2+(AF5-$AF$90)^2+(AG5-$AG$90)^2)</f>
        <v>1.87869276382331</v>
      </c>
      <c r="FX5" s="36" t="s">
        <v>314</v>
      </c>
      <c r="FY5" s="37" t="s">
        <v>120</v>
      </c>
      <c r="GA5" s="44"/>
      <c r="GB5" s="36">
        <f>SQRT((A5-$A$91)^2+(B5-$B$91)^2+(C5-$C$91)^2+(D5-$D$91)^2+(E5-$E$91)^2+(F5-$F$91)^2+(G5-$G$91)^2+(H5-$H$91)^2+(I5-$I$91)^2+(J5-$J$91)^2+(K5-$K$91)^2+(L5-$L$91)^2+(M5-$M$91)^2+(N5-$N$91)^2+(O5-$O$91)^2+(P5-$P$91)^2+(Q5-$Q$91)^2+(R5-$R$91)^2+(S5-$S$91)^2+(T5-$T$91)^2+(U5-$U$91)^2+(V5-$V$91)^2+(W5-$W$91)^2+(X5-$X$91)^2+(Y5-$Y$91)^2+(Z5-$Z$91)^2+(AA5-$AA$91)^2+(AB5-$AB$91)^2+(AC5-$AC$91)^2+(AD5-$AD$91)^2+(AE5-$AE$91)^2+(AF5-$AF$91)^2+(AG5-$AG$91)^2)</f>
        <v>1.8344757148977628</v>
      </c>
      <c r="GC5" s="36" t="s">
        <v>338</v>
      </c>
      <c r="GD5" s="37" t="s">
        <v>120</v>
      </c>
      <c r="GF5" s="44"/>
      <c r="GG5" s="36">
        <f>SQRT((A5-$A$92)^2+(B5-$B$92)^2+(C5-$C$92)^2+(D5-$D$92)^2+(E5-$E$92)^2+(F5-$F$92)^2+(G5-$G$92)^2+(H5-$H$92)^2+(I5-$I$92)^2+(J5-$J$92)^2+(K5-$K$92)^2+(L5-$L$92)^2+(M5-$M$92)^2+(N5-$N$92)^2+(O5-$O$92)^2+(P5-$P$92)^2+(Q5-$Q$92)^2+(R5-$R$92)^2+(S5-$S$92)^2+(T5-$T$92)^2+(U5-$U$92)^2+(V5-$V$92)^2+(W5-$W$92)^2+(X5-$X$92)^2+(Y5-$Y$92)^2+(Z5-$Z$92)^2+(AA5-$AA$92)^2+(AB5-$AB$92)^2+(AC5-$AC$92)^2+(AD5-$AD$92)^2+(AE5-$AE$92)^2+(AF5-$AF$92)^2+(AG5-$AG$92)^2)</f>
        <v>1.3254978100489059</v>
      </c>
      <c r="GH5" s="36" t="s">
        <v>132</v>
      </c>
      <c r="GI5" s="37" t="s">
        <v>120</v>
      </c>
      <c r="GK5" s="44"/>
      <c r="GL5" s="36">
        <f>SQRT((A5-$A$93)^2+(B5-$B$93)^2+(C5-$C$93)^2+(D5-$D$93)^2+(E5-$E$93)^2+(F5-$F$93)^2+(G5-$G$93)^2+(H5-$H$93)^2+(I5-$I$93)^2+(J5-$J$93)^2+(K5-$K$93)^2+(L5-$L$93)^2+(M5-$M$93)^2+(N5-$N$93)^2+(O5-$O$93)^2+(P5-$P$93)^2+(Q5-$Q$93)^2+(R5-$R$93)^2+(S5-$S$93)^2+(T5-$T$93)^2+(U5-$U$93)^2+(V5-$V$93)^2+(W5-$W$93)^2+(X5-$X$93)^2+(Y5-$Y$93)^2+(Z5-$Z$93)^2+(AA5-$AA$93)^2+(AB5-$AB$93)^2+(AC5-$AC$93)^2+(AD5-$AD$93)^2+(AE5-$AE$93)^2+(AF5-$AF$93)^2+(AG5-$AG$93)^2)</f>
        <v>1.8525310245334186</v>
      </c>
      <c r="GM5" s="36" t="s">
        <v>148</v>
      </c>
      <c r="GN5" s="37" t="s">
        <v>120</v>
      </c>
      <c r="GP5" s="44"/>
      <c r="GQ5" s="36">
        <f>SQRT((A5-$A$94)^2+(B5-$B$94)^2+(C5-$C$94)^2+(D5-$D$94)^2+(E5-$E$94)^2+(F5-$F$94)^2+(G5-$G$94)^2+(H5-$H$94)^2+(I5-$I$94)^2+(J5-$J$94)^2+(K5-$K$94)^2+(L5-$L$94)^2+(M5-$M$94)^2+(N5-$N$94)^2+(O5-$O$94)^2+(P5-$P$94)^2+(Q5-$Q$94)^2+(R5-$R$94)^2+(S5-$S$94)^2+(T5-$T$94)^2+(U5-$U$94)^2+(V5-$V$94)^2+(W5-$W$94)^2+(X5-$X$94)^2+(Y5-$Y$94)^2+(Z5-$Z$94)^2+(AA5-$AA$94)^2+(AB5-$AB$94)^2+(AC5-$AC$94)^2+(AD5-$AD$94)^2+(AE5-$AE$94)^2+(AF5-$AF$94)^2+(AG5-$AG$94)^2)</f>
        <v>0.93274384238720842</v>
      </c>
      <c r="GR5" s="36" t="s">
        <v>149</v>
      </c>
      <c r="GS5" s="37" t="s">
        <v>120</v>
      </c>
      <c r="GU5" s="44"/>
      <c r="GV5" s="36">
        <f>SQRT((A5-$A$95)^2+(B5-$B$95)^2+(C5-$C$95)^2+(D5-$D$95)^2+(E5-$E$95)^2+(F5-$F$95)^2+(G5-$G$95)^2+(H5-$H$95)^2+(I5-$I$95)^2+(J5-$J$95)^2+(K5-$K$95)^2+(L5-$L$95)^2+(M5-$M$95)^2+(N5-$N$95)^2+(O5-$O$95)^2+(P5-$P$95)^2+(Q5-$Q$95)^2+(R5-$R$95)^2+(S5-$S$95)^2+(T5-$T$95)^2+(U5-$U$95)^2+(V5-$V$95)^2+(W5-$W$95)^2+(X5-$X$95)^2+(Y5-$Y$95)^2+(Z5-$Z$95)^2+(AA5-$AA$95)^2+(AB5-$AB$95)^2+(AC5-$AC$95)^2+(AD5-$AD$95)^2+(AE5-$AE$95)^2+(AF5-$AF$95)^2+(AG5-$AG$95)^2)</f>
        <v>2.5396539550402513</v>
      </c>
      <c r="GW5" s="36" t="s">
        <v>122</v>
      </c>
      <c r="GX5" s="37" t="s">
        <v>120</v>
      </c>
      <c r="GZ5" s="44"/>
      <c r="HA5" s="36">
        <f>SQRT((A5-$A$96)^2+(B5-$B$96)^2+(C5-$C$96)^2+(D5-$D$96)^2+(E5-$E$96)^2+(F5-$F$96)^2+(G5-$G$96)^2+(H5-$H$96)^2+(I5-$I$96)^2+(J5-$J$96)^2+(K5-$K$96)^2+(L5-$L$96)^2+(M5-$M$96)^2+(N5-$N$96)^2+(O5-$O$96)^2+(P5-$P$96)^2+(Q5-$Q$96)^2+(R5-$R$96)^2+(S5-$S$96)^2+(T5-$T$96)^2+(U5-$U$96)^2+(V5-$V$96)^2+(W5-$W$96)^2+(X5-$X$96)^2+(Y5-$Y$96)^2+(Z5-$Z$96)^2+(AA5-$AA$96)^2+(AB5-$AB$96)^2+(AC5-$AC$96)^2+(AD5-$AD$96)^2+(AE5-$AE$96)^2+(AF5-$AF$96)^2+(AG5-$AG$96)^2)</f>
        <v>2.4700107939972047</v>
      </c>
      <c r="HB5" s="36" t="s">
        <v>144</v>
      </c>
      <c r="HC5" s="37" t="s">
        <v>120</v>
      </c>
      <c r="HE5" s="44"/>
      <c r="HF5" s="36">
        <f>SQRT((A5-$A$97)^2+(B5-$B$97)^2+(C5-$C$97)^2+(D5-$D$97)^2+(E5-$E$97)^2+(F5-$F$97)^2+(G5-$G$97)^2+(H5-$H$97)^2+(I5-$I$97)^2+(J5-$J$97)^2+(K5-$K$97)^2+(L5-$L$97)^2+(M5-$M$97)^2+(N5-$N$97)^2+(O5-$O$97)^2+(P5-$P$97)^2+(Q5-$Q$97)^2+(R5-$R$97)^2+(S5-$S$97)^2+(T5-$T$97)^2+(U5-$U$97)^2+(V5-$V$97)^2+(W5-$W$97)^2+(X5-$X$97)^2+(Y5-$Y$97)^2+(Z5-$Z$97)^2+(AA5-$AA$97)^2+(AB5-$AB$97)^2+(AC5-$AC$97)^2+(AD5-$AD$97)^2+(AE5-$AE$97)^2+(AF5-$AF$97)^2+(AG5-$AG$97)^2)</f>
        <v>0.79169746379267558</v>
      </c>
      <c r="HG5" s="36" t="s">
        <v>318</v>
      </c>
      <c r="HH5" s="37" t="s">
        <v>120</v>
      </c>
      <c r="HJ5" s="44"/>
      <c r="HK5" s="36">
        <f>SQRT((A5-$A$98)^2+(B5-$B$98)^2+(C5-$C$98)^2+(D5-$D$98)^2+(E5-$E$98)^2+(F5-$F$98)^2+(G5-$G$98)^2+(H5-$H$98)^2+(I5-$I$98)^2+(J5-$J$98)^2+(K5-$K$98)^2+(L5-$L$98)^2+(M5-$M$98)^2+(N5-$N$98)^2+(O5-$O$98)^2+(P5-$P$98)^2+(Q5-$Q$98)^2+(R5-$R$98)^2+(S5-$S$98)^2+(T5-$T$98)^2+(U5-$U$98)^2+(V5-$V$98)^2+(W5-$W$98)^2+(X5-$X$98)^2+(Y5-$Y$98)^2+(Z5-$Z$98)^2+(AA5-$AA$98)^2+(AB5-$AB$98)^2+(AC5-$AC$98)^2+(AD5-$AD$98)^2+(AE5-$AE$98)^2+(AF5-$AF$98)^2+(AG5-$AG$98)^2)</f>
        <v>0.79169746379267558</v>
      </c>
      <c r="HL5" s="36" t="s">
        <v>318</v>
      </c>
      <c r="HM5" s="37" t="s">
        <v>120</v>
      </c>
      <c r="HO5" s="44"/>
      <c r="HP5" s="36">
        <f>SQRT((A5-$A$99)^2+(B5-$B$99)^2+(C5-$C$99)^2+(D5-$D$99)^2+(E5-$E$99)^2+(F5-$F$99)^2+(G5-$G$99)^2+(H5-$H$99)^2+(I5-$I$99)^2+(J5-$J$99)^2+(K5-$K$99)^2+(L5-$L$99)^2+(M5-$M$99)^2+(N5-$N$99)^2+(O5-$O$99)^2+(P5-$P$99)^2+(Q5-$Q$99)^2+(R5-$R$99)^2+(S5-$S$99)^2+(T5-$T$99)^2+(U5-$U$99)^2+(V5-$V$99)^2+(W5-$W$99)^2+(X5-$X$99)^2+(Y5-$Y$99)^2+(Z5-$Z$99)^2+(AA5-$AA$99)^2+(AB5-$AB$99)^2+(AC5-$AC$99)^2+(AD5-$AD$99)^2+(AE5-$AE$99)^2+(AF5-$AF$99)^2+(AG5-$AG$99)^2)</f>
        <v>0.79169746379267558</v>
      </c>
      <c r="HQ5" s="36" t="s">
        <v>318</v>
      </c>
      <c r="HR5" s="37" t="s">
        <v>120</v>
      </c>
      <c r="HT5" s="44"/>
      <c r="HU5" s="36">
        <f>SQRT((A5-$A$100)^2+(B5-$B$100)^2+(C5-$C$100)^2+(D5-$D$100)^2+(E5-$E$100)^2+(F5-$F$100)^2+(G5-$G$100)^2+(H5-$H$100)^2+(I5-$I$100)^2+(J5-$J$100)^2+(K5-$K$100)^2+(L5-$L$100)^2+(M5-$M$100)^2+(N5-$N$100)^2+(O5-$O$100)^2+(P5-$P$100)^2+(Q5-$Q$100)^2+(R5-$R$100)^2+(S5-$S$100)^2+(T5-$T$100)^2+(U5-$U$100)^2+(V5-$V$100)^2+(W5-$W$100)^2+(X5-$X$100)^2+(Y5-$Y$100)^2+(Z5-$Z$100)^2+(AA5-$AA$100)^2+(AB5-$AB$100)^2+(AC5-$AC$100)^2+(AD5-$AD$100)^2+(AE5-$AE$100)^2+(AF5-$AF$100)^2+(AG5-$AG$100)^2)</f>
        <v>0.79169746379267558</v>
      </c>
      <c r="HV5" s="36" t="s">
        <v>318</v>
      </c>
      <c r="HW5" s="37" t="s">
        <v>120</v>
      </c>
      <c r="HY5" s="44"/>
      <c r="HZ5" s="36">
        <f>SQRT((A5-$A$101)^2+(B5-$B$101)^2+(C5-$C$101)^2+(D5-$D$101)^2+(E5-$E$101)^2+(F5-$F$101)^2+(G5-$G$101)^2+(H5-$H$101)^2+(I5-$I$101)^2+(J5-$J$101)^2+(K5-$K$101)^2+(L5-$L$101)^2+(M5-$M$101)^2+(N5-$N$101)^2+(O5-$O$101)^2+(P5-$P$101)^2+(Q5-$Q$101)^2+(R5-$R$101)^2+(S5-$S$101)^2+(T5-$T$101)^2+(U5-$U$101)^2+(V5-$V$101)^2+(W5-$W$101)^2+(X5-$X$101)^2+(Y5-$Y$101)^2+(Z5-$Z$101)^2+(AA5-$AA$101)^2+(AB5-$AB$101)^2+(AC5-$AC$101)^2+(AD5-$AD$101)^2+(AE5-$AE$101)^2+(AF5-$AF$101)^2+(AG5-$AG$101)^2)</f>
        <v>1.8698954190056347</v>
      </c>
      <c r="IA5" s="36" t="s">
        <v>323</v>
      </c>
      <c r="IB5" s="37" t="s">
        <v>120</v>
      </c>
    </row>
    <row r="6" spans="1:236" x14ac:dyDescent="0.35">
      <c r="A6" s="2">
        <v>0</v>
      </c>
      <c r="B6" s="2">
        <v>0.23765432098765399</v>
      </c>
      <c r="C6" s="2">
        <v>0.23899371069182301</v>
      </c>
      <c r="D6" s="2">
        <v>0.53703703703703698</v>
      </c>
      <c r="E6" s="2">
        <v>0.12757201646090499</v>
      </c>
      <c r="F6" s="2">
        <v>0.94805194805194803</v>
      </c>
      <c r="G6" s="2">
        <v>0.55692729766803795</v>
      </c>
      <c r="H6" s="2">
        <v>0.936708860759493</v>
      </c>
      <c r="I6" s="2">
        <v>0.407407407407407</v>
      </c>
      <c r="J6" s="2">
        <v>0.19478737997256501</v>
      </c>
      <c r="K6" s="2">
        <v>5.5555555555555497E-2</v>
      </c>
      <c r="L6" s="2">
        <v>0.158904109589041</v>
      </c>
      <c r="M6" s="2">
        <v>0.95061728395061695</v>
      </c>
      <c r="N6" s="2">
        <v>6.1728395061728301E-2</v>
      </c>
      <c r="O6" s="2">
        <v>0.189873417721519</v>
      </c>
      <c r="P6" s="2">
        <v>0.32345679012345602</v>
      </c>
      <c r="Q6" s="2">
        <v>0.98765432098765404</v>
      </c>
      <c r="R6" s="2">
        <v>0.76543209876543195</v>
      </c>
      <c r="S6" s="2">
        <v>0.97530864197530798</v>
      </c>
      <c r="T6" s="2">
        <v>1</v>
      </c>
      <c r="U6" s="2">
        <v>1</v>
      </c>
      <c r="V6" s="2">
        <v>0.11111111111111099</v>
      </c>
      <c r="W6" s="2">
        <v>1</v>
      </c>
      <c r="X6" s="2">
        <v>0.97530864197530798</v>
      </c>
      <c r="Y6" s="2">
        <v>0.90123456790123402</v>
      </c>
      <c r="Z6" s="2">
        <v>0.44444444444444398</v>
      </c>
      <c r="AA6" s="2">
        <v>1</v>
      </c>
      <c r="AB6" s="2">
        <v>1</v>
      </c>
      <c r="AC6" s="2">
        <v>1</v>
      </c>
      <c r="AD6" s="2">
        <v>1</v>
      </c>
      <c r="AE6" s="2">
        <v>0.938271604938271</v>
      </c>
      <c r="AF6" s="2">
        <v>1</v>
      </c>
      <c r="AG6" s="2">
        <v>0.19565217391304299</v>
      </c>
      <c r="AH6" s="2" t="s">
        <v>120</v>
      </c>
      <c r="AI6" s="42"/>
      <c r="AJ6" s="42"/>
      <c r="AL6" s="44"/>
      <c r="AM6" s="36">
        <f>SQRT((A6-$A$62)^2+(B6-$B$62)^2+(C6-$C$62)^2+(D6-$D$62)^2+(E6-$E$62)^2+(F6-$F$62)^2+(G6-$G$62)^2+(H6-$H$62)^2+(I6-$I$62)^2+(J6-$J$62)^2+(K6-$K$62)^2+(L6-$L$62)^2+(M6-$M$62)^2+(N6-$N$62)^2+(O6-$O$62)^2+(P6-$P$62)^2+(Q6-$Q$62)^2+(R6-$R$62)^2+(S6-$S$62)^2+(T6-$T$62)^2+(U6-$U$62)^2+(V6-$V$62)^2+(W6-$W$62)^2+(X6-$X$62)^2+(Y6-$Y$62)^2+(Z6-$Z$62)^2+(AA6-$AA$62)^2+(AB6-$AB$62)^2+(AC6-$AC$62)^2+(AD6-$AD$62)^2+(AE6-$AE$62)^2+(AF6-$AF$62)^2+(AG6-$AG$62)^2)</f>
        <v>1.5556691766058219</v>
      </c>
      <c r="AN6" s="36" t="s">
        <v>320</v>
      </c>
      <c r="AO6" s="37" t="s">
        <v>120</v>
      </c>
      <c r="AP6" s="30"/>
      <c r="AQ6" s="44"/>
      <c r="AR6" s="36">
        <f>SQRT((A6-$A$63)^2+(B6-$B$63)^2+(C6-$C$63)^2+(D6-$D$63)^2+(E6-$E$63)^2+(F6-$F$63)^2+(G6-$G$63)^2+(H6-$H$63)^2+(I6-$I$63)^2+(J6-$J$63)^2+(K6-$K$63)^2+(L6-$L$63)^2+(M6-$M$63)^2+(N6-$N$63)^2+(O6-$O$63)^2+(P6-$P$63)^2+(Q6-$Q$63)^2+(R6-$R$63)^2+(S6-$S$63)^2+(T6-$T$63)^2+(U6-$U$63)^2+(V6-$V$63)^2+(W6-$W$63)^2+(X6-$X$63)^2+(Y6-$Y$63)^2+(Z6-$Z$63)^2+(AA6-$AA$63)^2+(AB6-$AB$63)^2+(AC6-$AC$63)^2+(AD6-$AD$63)^2+(AE6-$AE$63)^2+(AF6-$AF$63)^2+(AG6-$AG$63)^2)</f>
        <v>0</v>
      </c>
      <c r="AS6" s="36" t="s">
        <v>122</v>
      </c>
      <c r="AT6" s="37" t="s">
        <v>120</v>
      </c>
      <c r="AU6" s="30"/>
      <c r="AV6" s="44"/>
      <c r="AW6" s="36">
        <f>SQRT((A6-$A$64)^2+(B6-$B$64)^2+(C6-$C$64)^2+(D6-$D$64)^2+(E6-$E$64)^2+(F6-$F$64)^2+(G6-$G$64)^2+(H6-$H$64)^2+(I6-$I$64)^2+(J6-$J$64)^2+(K6-$K$64)^2+(L6-$L$64)^2+(M6-$M$64)^2+(N6-$N$64)^2+(O6-$O$64)^2+(P6-$P$64)^2+(Q6-$Q$64)^2+(R6-$R$64)^2+(S6-$S$64)^2+(T6-$T$64)^2+(U6-$U$64)^2+(V6-$V$64)^2+(W6-$W$64)^2+(X6-$X$64)^2+(Y6-$Y$64)^2+(Z6-$Z$64)^2+(AA6-$AA$64)^2+(AB6-$AB$64)^2+(AC6-$AC$64)^2+(AD6-$AD$64)^2+(AE6-$AE$64)^2+(AF6-$AF$64)^2+(AG6-$AG$64)^2)</f>
        <v>0</v>
      </c>
      <c r="AX6" s="36" t="s">
        <v>122</v>
      </c>
      <c r="AY6" s="37" t="s">
        <v>120</v>
      </c>
      <c r="AZ6" s="30"/>
      <c r="BA6" s="44"/>
      <c r="BB6" s="36">
        <f>SQRT((A6-$A$65)^2+(B6-$B$65)^2+(C6-$C$65)^2+(D6-$D$65)^2+(E6-$E$65)^2+(F6-$F$65)^2+(G6-$G$65)^2+(H6-$H$65)^2+(I6-$I$65)^2+(J6-$J$65)^2+(K6-$K$65)^2+(L6-$L$65)^2+(M6-$M$65)^2+(N6-$N$65)^2+(O6-$O$65)^2+(P6-$P$65)^2+(Q6-$Q$65)^2+(R6-$R$65)^2+(S6-$S$65)^2+(T6-$T$65)^2+(U6-$U$65)^2+(V6-$V$65)^2+(W6-$W$65)^2+(X6-$X$65)^2+(Y6-$Y$65)^2+(Z6-$Z$65)^2+(AA6-$AA$65)^2+(AB6-$AB$65)^2+(AC6-$AC$65)^2+(AD6-$AD$65)^2+(AE6-$AE$65)^2+(AF6-$AF$65)^2+(AG6-$AG$65)^2)</f>
        <v>0</v>
      </c>
      <c r="BC6" s="36" t="s">
        <v>122</v>
      </c>
      <c r="BD6" s="37" t="s">
        <v>120</v>
      </c>
      <c r="BE6" s="30"/>
      <c r="BF6" s="44"/>
      <c r="BG6" s="36">
        <f>SQRT((A6-$A$66)^2+(B6-$B$66)^2+(C6-$C$66)^2+(D6-$D$66)^2+(E6-$E$66)^2+(F6-$F$66)^2+(G6-$G$66)^2+(H6-$H$66)^2+(I6-$I$66)^2+(J6-$J$66)^2+(K6-$K$66)^2+(L6-$L$66)^2+(M6-$M$66)^2+(N6-$N$66)^2+(O6-$O$66)^2+(P6-$P$66)^2+(Q6-$Q$66)^2+(R6-$R$66)^2+(S6-$S$66)^2+(T6-$T$66)^2+(U6-$U$66)^2+(V6-$V$66)^2+(W6-$W$66)^2+(X6-$X$66)^2+(Y6-$Y$66)^2+(Z6-$Z$66)^2+(AA6-$AA$66)^2+(AB6-$AB$66)^2+(AC6-$AC$66)^2+(AD6-$AD$66)^2+(AE6-$AE$66)^2+(AF6-$AF$66)^2+(AG6-$AG$66)^2)</f>
        <v>0</v>
      </c>
      <c r="BH6" s="36" t="s">
        <v>122</v>
      </c>
      <c r="BI6" s="37" t="s">
        <v>120</v>
      </c>
      <c r="BJ6" s="30"/>
      <c r="BK6" s="44"/>
      <c r="BL6" s="36">
        <f>SQRT((A6-$A$67)^2+(B6-$B$67)^2+(C6-$C$67)^2+(D6-$D$67)^2+(E6-$E$67)^2+(F6-$F$67)^2+(G6-$G$67)^2+(H6-$H$67)^2+(I6-$I$67)^2+(J6-$J$67)^2+(K6-$K$67)^2+(L6-$L$67)^2+(M6-$M$67)^2+(N6-$N$67)^2+(O6-$O$67)^2+(P6-$P$67)^2+(Q6-$Q$67)^2+(R6-$R$67)^2+(S6-$S$67)^2+(T6-$T$67)^2+(U6-$U$67)^2+(V6-$V$67)^2+(W6-$W$67)^2+(X6-$X$67)^2+(Y6-$Y$67)^2+(Z6-$Z$67)^2+(AA6-$AA$67)^2+(AB6-$AB$67)^2+(AC6-$AC$67)^2+(AD6-$AD$67)^2+(AE6-$AE$67)^2+(AF6-$AF$67)^2+(AG6-$AG$67)^2)</f>
        <v>0</v>
      </c>
      <c r="BM6" s="36" t="s">
        <v>122</v>
      </c>
      <c r="BN6" s="37" t="s">
        <v>120</v>
      </c>
      <c r="BO6" s="30"/>
      <c r="BP6" s="44"/>
      <c r="BQ6" s="36">
        <f>SQRT((A6-$A$68)^2+(B6-$B$68)^2+(C6-$C$68)^2+(D6-$D$68)^2+(E6-$E$68)^2+(F6-$F$68)^2+(G6-$G$68)^2+(H6-$H$68)^2+(I6-$I$68)^2+(J6-$J$68)^2+(K6-$K$68)^2+(L6-$L$68)^2+(M6-$M$68)^2+(N6-$N$68)^2+(O6-$O$68)^2+(P6-$P$68)^2+(Q6-$Q$68)^2+(R6-$R$68)^2+(S6-$S$68)^2+(T6-$T$68)^2+(U6-$U$68)^2+(V6-$V$68)^2+(W6-$W$68)^2+(X6-$X$68)^2+(Y6-$Y$68)^2+(Z6-$Z$68)^2+(AA6-$AA$68)^2+(AB6-$AB$68)^2+(AC6-$AC$68)^2+(AD6-$AD$68)^2+(AE6-$AE$68)^2+(AF6-$AF$68)^2+(AG6-$AG$68)^2)</f>
        <v>0</v>
      </c>
      <c r="BR6" s="36" t="s">
        <v>122</v>
      </c>
      <c r="BS6" s="37" t="s">
        <v>120</v>
      </c>
      <c r="BT6" s="30"/>
      <c r="BU6" s="44"/>
      <c r="BV6" s="36">
        <f>SQRT((A6-$A$69)^2+(B6-$B$69)^2+(C6-$C$69)^2+(D6-$D$69)^2+(E6-$E$69)^2+(F6-$F$69)^2+(G6-$G$69)^2+(H6-$H$69)^2+(I6-$I$69)^2+(J6-$J$69)^2+(K6-$K$69)^2+(L6-$L$69)^2+(M6-$M$69)^2+(N6-$N$69)^2+(O6-$O$69)^2+(P6-$P$69)^2+(Q6-$Q$69)^2+(R6-$R$69)^2+(S6-$S$69)^2+(T6-$T$69)^2+(U6-$U$69)^2+(V6-$V$69)^2+(W6-$W$69)^2+(X6-$X$69)^2+(Y6-$Y$69)^2+(Z6-$Z$69)^2+(AA6-$AA$69)^2+(AB6-$AB$69)^2+(AC6-$AC$69)^2+(AD6-$AD$69)^2+(AE6-$AE$69)^2+(AF6-$AF$69)^2+(AG6-$AG$69)^2)</f>
        <v>2.0037487409898285</v>
      </c>
      <c r="BW6" s="36" t="s">
        <v>339</v>
      </c>
      <c r="BX6" s="37" t="s">
        <v>120</v>
      </c>
      <c r="BZ6" s="44"/>
      <c r="CA6" s="36">
        <f>SQRT((A6-$A$70)^2+(B6-$B$70)^2+(C6-$C$70)^2+(D6-$D$70)^2+(E6-$E$70)^2+(F6-$F$70)^2+(G6-$G$70)^2+(H6-$H$70)^2+(I6-$I$70)^2+(J6-$J$70)^2+(K6-$K$70)^2+(L6-$L$70)^2+(M6-$M$70)^2+(N6-$N$70)^2+(O6-$O$70)^2+(P6-$P$70)^2+(Q6-$Q$70)^2+(R6-$R$70)^2+(S6-$S$70)^2+(T6-$T$70)^2+(U6-$U$70)^2+(V6-$V$70)^2+(W6-$W$70)^2+(X6-$X$70)^2+(Y6-$Y$70)^2+(Z6-$Z$70)^2+(AA6-$AA$70)^2+(AB6-$AB$70)^2+(AC6-$AC$70)^2+(AD6-$AD$70)^2+(AE6-$AE$70)^2+(AF6-$AF$70)^2+(AG6-$AG$70)^2)</f>
        <v>1.0640423434918624</v>
      </c>
      <c r="CB6" s="36" t="s">
        <v>334</v>
      </c>
      <c r="CC6" s="37" t="s">
        <v>120</v>
      </c>
      <c r="CE6" s="44"/>
      <c r="CF6" s="36">
        <f>SQRT((A6-$A$71)^2+(B6-$B$71)^2+(C6-$C$71)^2+(D6-$D$71)^2+(E6-$E$71)^2+(F6-$F$71)^2+(G6-$G$71)^2+(H6-$H$71)^2+(I6-$I$71)^2+(J6-$J$71)^2+(K6-$K$71)^2+(L6-$L$71)^2+(M6-$M$71)^2+(N6-$N$71)^2+(O6-$O$71)^2+(P6-$P$71)^2+(Q6-$Q$71)^2+(R6-$R$71)^2+(S6-$S$71)^2+(T6-$T$71)^2+(U6-$U$71)^2+(V6-$V$71)^2+(W6-$W$71)^2+(X6-$X$71)^2+(Y6-$Y$71)^2+(Z6-$Z$71)^2+(AA6-$AA$71)^2+(AB6-$AB$71)^2+(AC6-$AC$71)^2+(AD6-$AD$71)^2+(AE6-$AE$71)^2+(AF6-$AF$71)^2+(AG6-$AG$71)^2)</f>
        <v>0.94620473085599832</v>
      </c>
      <c r="CG6" s="36" t="s">
        <v>122</v>
      </c>
      <c r="CH6" s="37" t="s">
        <v>120</v>
      </c>
      <c r="CJ6" s="44"/>
      <c r="CK6" s="36">
        <f>SQRT((A6-$A$72)^2+(B6-$B$72)^2+(C6-$C$72)^2+(D6-$D$72)^2+(E6-$E$72)^2+(F6-$F$72)^2+(G6-$G$72)^2+(H6-$H$72)^2+(I6-$I$72)^2+(J6-$J$72)^2+(K6-$K$72)^2+(L6-$L$72)^2+(M6-$M$72)^2+(N6-$N$72)^2+(O6-$O$72)^2+(P6-$P$72)^2+(Q6-$Q$72)^2+(R6-$R$72)^2+(S6-$S$72)^2+(T6-$T$72)^2+(U6-$U$72)^2+(V6-$V$72)^2+(W6-$W$72)^2+(X6-$X$72)^2+(Y6-$Y$72)^2+(Z6-$Z$72)^2+(AA6-$AA$72)^2+(AB6-$AB$72)^2+(AC6-$AC$72)^2+(AD6-$AD$72)^2+(AE6-$AE$72)^2+(AF6-$AF$72)^2+(AG6-$AG$72)^2)</f>
        <v>1.220617044171155</v>
      </c>
      <c r="CL6" s="36" t="s">
        <v>336</v>
      </c>
      <c r="CM6" s="37" t="s">
        <v>120</v>
      </c>
      <c r="CO6" s="44"/>
      <c r="CP6" s="36">
        <f>SQRT((A6-$A$73)^2+(B6-$B$73)^2+(C6-$C$73)^2+(D6-$D$73)^2+(E6-$E$73)^2+(F6-$F$73)^2+(G6-$G$73)^2+(H6-$H$73)^2+(I6-$I$73)^2+(J6-$J$73)^2+(K6-$K$73)^2+(L6-$L$73)^2+(M6-$M$73)^2+(N6-$N$73)^2+(O6-$O$73)^2+(P6-$P$73)^2+(Q6-$Q$73)^2+(R6-$R$73)^2+(S6-$S$73)^2+(T6-$T$73)^2+(U6-$U$73)^2+(V6-$V$73)^2+(W6-$W$73)^2+(X6-$X$73)^2+(Y6-$Y$73)^2+(Z6-$Z$73)^2+(AA6-$AA$73)^2+(AB6-$AB$73)^2+(AC6-$AC$73)^2+(AD6-$AD$73)^2+(AE6-$AE$73)^2+(AF6-$AF$73)^2+(AG6-$AG$73)^2)</f>
        <v>1.1043048958919004</v>
      </c>
      <c r="CQ6" s="36" t="s">
        <v>122</v>
      </c>
      <c r="CR6" s="37" t="s">
        <v>120</v>
      </c>
      <c r="CT6" s="44"/>
      <c r="CU6" s="36">
        <f>SQRT((A6-$A$74)^2+(B6-$B$74)^2+(C6-$C$74)^2+(D6-$D$74)^2+(E6-$E$74)^2+(F6-$F$74)^2+(G6-$G$74)^2+(H6-$H$74)^2+(I6-$I$74)^2+(J6-$J$74)^2+(K6-$K$74)^2+(L6-$L$74)^2+(M6-$M$74)^2+(N6-$N$74)^2+(O6-$O$74)^2+(P6-$P$74)^2+(Q6-$Q$74)^2+(R6-$R$74)^2+(S6-$S$74)^2+(T6-$T$74)^2+(U6-$U$74)^2+(V6-$V$74)^2+(W6-$W$74)^2+(X6-$X$74)^2+(Y6-$Y$74)^2+(Z6-$Z$74)^2+(AA6-$AA$74)^2+(AB6-$AB$74)^2+(AC6-$AC$74)^2+(AD6-$AD$74)^2+(AE6-$AE$74)^2+(AF6-$AF$74)^2+(AG6-$AG$74)^2)</f>
        <v>1.1273103941258655</v>
      </c>
      <c r="CV6" s="36" t="s">
        <v>146</v>
      </c>
      <c r="CW6" s="37" t="s">
        <v>120</v>
      </c>
      <c r="CY6" s="44"/>
      <c r="CZ6" s="36">
        <f>SQRT((A6-$A$75)^2+(B6-$B$75)^2+(C6-$C$75)^2+(D6-$D$75)^2+(E6-$E$75)^2+(F6-$F$75)^2+(G6-$G$75)^2+(H6-$H$75)^2+(I6-$I$75)^2+(J6-$J$75)^2+(K6-$K$75)^2+(L6-$L$75)^2+(M6-$M$75)^2+(N6-$N$75)^2+(O6-$O$75)^2+(P6-$P$75)^2+(Q6-$Q$75)^2+(R6-$R$75)^2+(S6-$S$75)^2+(T6-$T$75)^2+(U6-$U$75)^2+(V6-$V$75)^2+(W6-$W$75)^2+(X6-$X$75)^2+(Y6-$Y$75)^2+(Z6-$Z$75)^2+(AA6-$AA$75)^2+(AB6-$AB$75)^2+(AC6-$AC$75)^2+(AD6-$AD$75)^2+(AE6-$AE$75)^2+(AF6-$AF$75)^2+(AG6-$AG$75)^2)</f>
        <v>1.0124449904297892</v>
      </c>
      <c r="DA6" s="36" t="s">
        <v>129</v>
      </c>
      <c r="DB6" s="37" t="s">
        <v>120</v>
      </c>
      <c r="DD6" s="44"/>
      <c r="DE6" s="36">
        <f>SQRT((A6-$A$76)^2+(B6-$B$76)^2+(C6-$C$76)^2+(D6-$D$76)^2+(E6-$E$76)^2+(F6-$F$76)^2+(G6-$G$76)^2+(H6-$H$76)^2+(I6-$I$76)^2+(J6-$J$76)^2+(K6-$K$76)^2+(L6-$L$76)^2+(M6-$M$76)^2+(N6-$N$76)^2+(O6-$O$76)^2+(P6-$P$76)^2+(Q6-$Q$76)^2+(R6-$R$76)^2+(S6-$S$76)^2+(T6-$T$76)^2+(U6-$U$76)^2+(V6-$V$76)^2+(W6-$W$76)^2+(X6-$X$76)^2+(Y6-$Y$76)^2+(Z6-$Z$76)^2+(AA6-$AA$76)^2+(AB6-$AB$76)^2+(AC6-$AC$76)^2+(AD6-$AD$76)^2+(AE6-$AE$76)^2+(AF6-$AF$76)^2+(AG6-$AG$76)^2)</f>
        <v>1.0310017925746982</v>
      </c>
      <c r="DF6" s="36" t="s">
        <v>122</v>
      </c>
      <c r="DG6" s="37" t="s">
        <v>120</v>
      </c>
      <c r="DI6" s="44"/>
      <c r="DJ6" s="36">
        <f>SQRT((A6-$A$77)^2+(B6-$B$77)^2+(C6-$C$77)^2+(D6-$D$77)^2+(E6-$E$77)^2+(F6-$F$77)^2+(G6-$G$77)^2+(H6-$H$77)^2+(I6-$I$77)^2+(J6-$J$77)^2+(K6-$K$77)^2+(L6-$L$77)^2+(M6-$M$77)^2+(N6-$N$77)^2+(O6-$O$77)^2+(P6-$P$77)^2+(Q6-$Q$77)^2+(R6-$R$77)^2+(S6-$S$77)^2+(T6-$T$77)^2+(U6-$U$77)^2+(V6-$V$77)^2+(W6-$W$77)^2+(X6-$X$77)^2+(Y6-$Y$77)^2+(Z6-$Z$77)^2+(AA6-$AA$77)^2+(AB6-$AB$77)^2+(AC6-$AC$77)^2+(AD6-$AD$77)^2+(AE6-$AE$77)^2+(AF6-$AF$77)^2+(AG6-$AG$77)^2)</f>
        <v>1.6546970659891436</v>
      </c>
      <c r="DK6" s="36" t="s">
        <v>129</v>
      </c>
      <c r="DL6" s="37" t="s">
        <v>120</v>
      </c>
      <c r="DN6" s="44"/>
      <c r="DO6" s="36">
        <f>SQRT((A6-$A$78)^2+(B6-$B$78)^2+(C6-$C$78)^2+(D6-$D$78)^2+(E6-$E$78)^2+(F6-$F$78)^2+(G6-$G$78)^2+(H6-$H$78)^2+(I6-$I$78)^2+(J6-$J$78)^2+(K6-$K$78)^2+(L6-$L$78)^2+(M6-$M$78)^2+(N6-$N$78)^2+(O6-$O$78)^2+(P6-$P$78)^2+(Q6-$Q$78)^2+(R6-$R$78)^2+(S6-$S$78)^2+(T6-$T$78)^2+(U6-$U$78)^2+(V6-$V$78)^2+(W6-$W$78)^2+(X6-$X$78)^2+(Y6-$Y$78)^2+(Z6-$Z$78)^2+(AA6-$AA$78)^2+(AB6-$AB$78)^2+(AC6-$AC$78)^2+(AD6-$AD$78)^2+(AE6-$AE$78)^2+(AF6-$AF$78)^2+(AG6-$AG$78)^2)</f>
        <v>0.81948592966179457</v>
      </c>
      <c r="DP6" s="36" t="s">
        <v>152</v>
      </c>
      <c r="DQ6" s="37" t="s">
        <v>120</v>
      </c>
      <c r="DS6" s="44"/>
      <c r="DT6" s="36">
        <f>SQRT((A6-$A$79)^2+(B6-$B$79)^2+(C6-$C$79)^2+(D6-$D$79)^2+(E6-$E$79)^2+(F6-$F$79)^2+(G6-$G$79)^2+(H6-$H$79)^2+(I6-$I$79)^2+(J6-$J$79)^2+(K6-$K$79)^2+(L6-$L$79)^2+(M6-$M$79)^2+(N6-$N$79)^2+(O6-$O$79)^2+(P6-$P$79)^2+(Q6-$Q$79)^2+(R6-$R$79)^2+(S6-$S$79)^2+(T6-$T$79)^2+(U6-$U$79)^2+(V6-$V$79)^2+(W6-$W$79)^2+(X6-$X$79)^2+(Y6-$Y$79)^2+(Z6-$Z$79)^2+(AA6-$AA$79)^2+(AB6-$AB$79)^2+(AC6-$AC$79)^2+(AD6-$AD$79)^2+(AE6-$AE$79)^2+(AF6-$AF$79)^2+(AG6-$AG$79)^2)</f>
        <v>1.0607054265756746</v>
      </c>
      <c r="DU6" s="36" t="s">
        <v>320</v>
      </c>
      <c r="DV6" s="37" t="s">
        <v>120</v>
      </c>
      <c r="DX6" s="44"/>
      <c r="DY6" s="36">
        <f>SQRT((A6-$A$80)^2+(B6-$B$80)^2+(C6-$C$80)^2+(D6-$D$80)^2+(E6-$E$80)^2+(F6-$F$80)^2+(G6-$G$80)^2+(H6-$H$80)^2+(I6-$I$80)^2+(J6-$J$80)^2+(K6-$K$80)^2+(L6-$L$80)^2+(M6-$M$80)^2+(N6-$N$80)^2+(O6-$O$80)^2+(P6-$P$80)^2+(Q6-$Q$80)^2+(R6-$R$80)^2+(S6-$S$80)^2+(T6-$T$80)^2+(U6-$U$80)^2+(V6-$V$80)^2+(W6-$W$80)^2+(X6-$X$80)^2+(Y6-$Y$80)^2+(Z6-$Z$80)^2+(AA6-$AA$80)^2+(AB6-$AB$80)^2+(AC6-$AC$80)^2+(AD6-$AD$80)^2+(AE6-$AE$80)^2+(AF6-$AF$80)^2+(AG6-$AG$80)^2)</f>
        <v>1.3534230834799195</v>
      </c>
      <c r="DZ6" s="36" t="s">
        <v>145</v>
      </c>
      <c r="EA6" s="37" t="s">
        <v>120</v>
      </c>
      <c r="EC6" s="44"/>
      <c r="ED6" s="36">
        <f>SQRT((A6-$A$81)^2+(B6-$B$81)^2+(C6-$C$81)^2+(D6-$D$81)^2+(E6-$E$81)^2+(F6-$F$81)^2+(G6-$G$81)^2+(H6-$H$81)^2+(I6-$I$81)^2+(J6-$J$81)^2+(K6-$K$81)^2+(L6-$L$81)^2+(M6-$M$81)^2+(N6-$N$81)^2+(O6-$O$81)^2+(P6-$P$81)^2+(Q6-$Q$81)^2+(R6-$R$81)^2+(S6-$S$81)^2+(T6-$T$81)^2+(U6-$U$81)^2+(V6-$V$81)^2+(W6-$W$81)^2+(X6-$X$81)^2+(Y6-$Y$81)^2+(Z6-$Z$81)^2+(AA6-$AA$81)^2+(AB6-$AB$81)^2+(AC6-$AC$81)^2+(AD6-$AD$81)^2+(AE6-$AE$81)^2+(AF6-$AF$81)^2+(AG6-$AG$81)^2)</f>
        <v>1.3830175663760051</v>
      </c>
      <c r="EE6" s="36" t="s">
        <v>323</v>
      </c>
      <c r="EF6" s="37" t="s">
        <v>120</v>
      </c>
      <c r="EH6" s="44"/>
      <c r="EI6" s="36">
        <f>SQRT((A6-$A$82)^2+(B6-$B$82)^2+(C6-$C$82)^2+(D6-$D$82)^2+(E6-$E$82)^2+(F6-$F$82)^2+(G6-$G$82)^2+(H6-$H$82)^2+(I6-$I$82)^2+(J6-$J$82)^2+(K6-$K$82)^2+(L6-$L$82)^2+(M6-$M$82)^2+(N6-$N$82)^2+(O6-$O$82)^2+(P6-$P$82)^2+(Q6-$Q$82)^2+(R6-$R$82)^2+(S6-$S$82)^2+(T6-$T$82)^2+(U6-$U$82)^2+(V6-$V$82)^2+(W6-$W$82)^2+(X6-$X$82)^2+(Y6-$Y$82)^2+(Z6-$Z$82)^2+(AA6-$AA$82)^2+(AB6-$AB$82)^2+(AC6-$AC$82)^2+(AD6-$AD$82)^2+(AE6-$AE$82)^2+(AF6-$AF$82)^2+(AG6-$AG$82)^2)</f>
        <v>1.3010042798714898</v>
      </c>
      <c r="EJ6" s="36" t="s">
        <v>152</v>
      </c>
      <c r="EK6" s="37" t="s">
        <v>120</v>
      </c>
      <c r="EM6" s="44"/>
      <c r="EN6" s="36">
        <f>SQRT((A6-$A$83)^2+(B6-$B$83)^2+(C6-$C$83)^2+(D6-$D$83)^2+(E6-$E$83)^2+(F6-$F$83)^2+(G6-$G$83)^2+(H6-$H$83)^2+(I6-$I$83)^2+(J6-$J$83)^2+(K6-$K$83)^2+(L6-$L$83)^2+(M6-$M$83)^2+(N6-$N$83)^2+(O6-$O$83)^2+(P6-$P$83)^2+(Q6-$Q$83)^2+(R6-$R$83)^2+(S6-$S$83)^2+(T6-$T$83)^2+(U6-$U$83)^2+(V6-$V$83)^2+(W6-$W$83)^2+(X6-$X$83)^2+(Y6-$Y$83)^2+(Z6-$Z$83)^2+(AA6-$AA$83)^2+(AB6-$AB$83)^2+(AC6-$AC$83)^2+(AD6-$AD$83)^2+(AE6-$AE$83)^2+(AF6-$AF$83)^2+(AG6-$AG$83)^2)</f>
        <v>0.95777923081026062</v>
      </c>
      <c r="EO6" s="36" t="s">
        <v>321</v>
      </c>
      <c r="EP6" s="37" t="s">
        <v>120</v>
      </c>
      <c r="ER6" s="44"/>
      <c r="ES6" s="36">
        <f>SQRT((A6-$A$84)^2+(B6-$B$84)^2+(C6-$C$84)^2+(D6-$D$84)^2+(E6-$E$84)^2+(F6-$F$84)^2+(G6-$G$84)^2+(H6-$H$84)^2+(I6-$I$84)^2+(J6-$J$84)^2+(K6-$K$84)^2+(L6-$L$84)^2+(M6-$M$84)^2+(N6-$N$84)^2+(O6-$O$84)^2+(P6-$P$84)^2+(Q6-$Q$84)^2+(R6-$R$84)^2+(S6-$S$84)^2+(T6-$T$84)^2+(U6-$U$84)^2+(V6-$V$84)^2+(W6-$W$84)^2+(X6-$X$84)^2+(Y6-$Y$84)^2+(Z6-$Z$84)^2+(AA6-$AA$84)^2+(AB6-$AB$84)^2+(AC6-$AC$84)^2+(AD6-$AD$84)^2+(AE6-$AE$84)^2+(AF6-$AF$84)^2+(AG6-$AG$84)^2)</f>
        <v>0</v>
      </c>
      <c r="ET6" s="36" t="s">
        <v>122</v>
      </c>
      <c r="EU6" s="37" t="s">
        <v>120</v>
      </c>
      <c r="EW6" s="44"/>
      <c r="EX6" s="36">
        <f>SQRT((A6-$A$85)^2+(B6-$B$85)^2+(C6-$C$85)^2+(D6-$D$85)^2+(E6-$E$85)^2+(F6-$F$85)^2+(G6-$G$85)^2+(H6-$H$85)^2+(I6-$I$85)^2+(J6-$J$85)^2+(K6-$K$85)^2+(L6-$L$85)^2+(M6-$M$85)^2+(N6-$N$85)^2+(O6-$O$85)^2+(P6-$P$85)^2+(Q6-$Q$85)^2+(R6-$R$85)^2+(S6-$S$85)^2+(T6-$T$85)^2+(U6-$U$85)^2+(V6-$V$85)^2+(W6-$W$85)^2+(X6-$X$85)^2+(Y6-$Y$85)^2+(Z6-$Z$85)^2+(AA6-$AA$85)^2+(AB6-$AB$85)^2+(AC6-$AC$85)^2+(AD6-$AD$85)^2+(AE6-$AE$85)^2+(AF6-$AF$85)^2+(AG6-$AG$85)^2)</f>
        <v>0</v>
      </c>
      <c r="EY6" s="36" t="s">
        <v>122</v>
      </c>
      <c r="EZ6" s="37" t="s">
        <v>120</v>
      </c>
      <c r="FB6" s="44"/>
      <c r="FC6" s="36">
        <f>SQRT((A6-$A$86)^2+(B6-$B$86)^2+(C6-$C$86)^2+(D6-$D$86)^2+(E6-$E$86)^2+(F6-$F$86)^2+(G6-$G$86)^2+(H6-$H$86)^2+(I6-$I$86)^2+(J6-$J$86)^2+(K6-$K$86)^2+(L6-$L$86)^2+(M6-$M$86)^2+(N6-$N$86)^2+(O6-$O$86)^2+(P6-$P$86)^2+(Q6-$Q$86)^2+(R6-$R$86)^2+(S6-$S$86)^2+(T6-$T$86)^2+(U6-$U$86)^2+(V6-$V$86)^2+(W6-$W$86)^2+(X6-$X$86)^2+(Y6-$Y$86)^2+(Z6-$Z$86)^2+(AA6-$AA$86)^2+(AB6-$AB$86)^2+(AC6-$AC$86)^2+(AD6-$AD$86)^2+(AE6-$AE$86)^2+(AF6-$AF$86)^2+(AG6-$AG$86)^2)</f>
        <v>0</v>
      </c>
      <c r="FD6" s="36" t="s">
        <v>122</v>
      </c>
      <c r="FE6" s="37" t="s">
        <v>120</v>
      </c>
      <c r="FG6" s="44"/>
      <c r="FH6" s="36">
        <f>SQRT((A6-$A$87)^2+(B6-$B$87)^2+(C6-$C$87)^2+(D6-$D$87)^2+(E6-$E$87)^2+(F6-$F$87)^2+(G6-$G$87)^2+(H6-$H$87)^2+(I6-$I$87)^2+(J6-$J$87)^2+(K6-$K$87)^2+(L6-$L$87)^2+(M6-$M$87)^2+(N6-$N$87)^2+(O6-$O$87)^2+(P6-$P$87)^2+(Q6-$Q$87)^2+(R6-$R$87)^2+(S6-$S$87)^2+(T6-$T$87)^2+(U6-$U$87)^2+(V6-$V$87)^2+(W6-$W$87)^2+(X6-$X$87)^2+(Y6-$Y$87)^2+(Z6-$Z$87)^2+(AA6-$AA$87)^2+(AB6-$AB$87)^2+(AC6-$AC$87)^2+(AD6-$AD$87)^2+(AE6-$AE$87)^2+(AF6-$AF$87)^2+(AG6-$AG$87)^2)</f>
        <v>0.97200717336145681</v>
      </c>
      <c r="FI6" s="36" t="s">
        <v>321</v>
      </c>
      <c r="FJ6" s="37" t="s">
        <v>120</v>
      </c>
      <c r="FL6" s="44"/>
      <c r="FM6" s="36">
        <f>SQRT((A6-$A$88)^2+(B6-$B$88)^2+(C6-$C$88)^2+(D6-$D$88)^2+(E6-$E$88)^2+(F6-$F$88)^2+(G6-$G$88)^2+(H6-$H$88)^2+(I6-$I$88)^2+(J6-$J$88)^2+(K6-$K$88)^2+(L6-$L$88)^2+(M6-$M$88)^2+(N6-$N$88)^2+(O6-$O$88)^2+(P6-$P$88)^2+(Q6-$Q$88)^2+(R6-$R$88)^2+(S6-$S$88)^2+(T6-$T$88)^2+(U6-$U$88)^2+(V6-$V$88)^2+(W6-$W$88)^2+(X6-$X$88)^2+(Y6-$Y$88)^2+(Z6-$Z$88)^2+(AA6-$AA$88)^2+(AB6-$AB$88)^2+(AC6-$AC$88)^2+(AD6-$AD$88)^2+(AE6-$AE$88)^2+(AF6-$AF$88)^2+(AG6-$AG$88)^2)</f>
        <v>1.1348474957061225</v>
      </c>
      <c r="FN6" s="36" t="s">
        <v>128</v>
      </c>
      <c r="FO6" s="37" t="s">
        <v>120</v>
      </c>
      <c r="FQ6" s="44"/>
      <c r="FR6" s="36">
        <f>SQRT((A6-$A$89)^2+(B6-$B$89)^2+(C6-$C$89)^2+(D6-$D$89)^2+(E6-$E$89)^2+(F6-$F$89)^2+(G6-$G$89)^2+(H6-$H$89)^2+(I6-$I$89)^2+(J6-$J$89)^2+(K6-$K$89)^2+(L6-$L$89)^2+(M6-$M$89)^2+(N6-$N$89)^2+(O6-$O$89)^2+(P6-$P$89)^2+(Q6-$Q$89)^2+(R6-$R$89)^2+(S6-$S$89)^2+(T6-$T$89)^2+(U6-$U$89)^2+(V6-$V$89)^2+(W6-$W$89)^2+(X6-$X$89)^2+(Y6-$Y$89)^2+(Z6-$Z$89)^2+(AA6-$AA$89)^2+(AB6-$AB$89)^2+(AC6-$AC$89)^2+(AD6-$AD$89)^2+(AE6-$AE$89)^2+(AF6-$AF$89)^2+(AG6-$AG$89)^2)</f>
        <v>1.5464558617671604</v>
      </c>
      <c r="FS6" s="36" t="s">
        <v>136</v>
      </c>
      <c r="FT6" s="37" t="s">
        <v>120</v>
      </c>
      <c r="FV6" s="44"/>
      <c r="FW6" s="36">
        <f>SQRT((A6-$A$90)^2+(B6-$B$90)^2+(C6-$C$90)^2+(D6-$D$90)^2+(E6-$E$90)^2+(F6-$F$90)^2+(G6-$G$90)^2+(H6-$H$90)^2+(I6-$I$90)^2+(J6-$J$90)^2+(K6-$K$90)^2+(L6-$L$90)^2+(M6-$M$90)^2+(N6-$N$90)^2+(O6-$O$90)^2+(P6-$P$90)^2+(Q6-$Q$90)^2+(R6-$R$90)^2+(S6-$S$90)^2+(T6-$T$90)^2+(U6-$U$90)^2+(V6-$V$90)^2+(W6-$W$90)^2+(X6-$X$90)^2+(Y6-$Y$90)^2+(Z6-$Z$90)^2+(AA6-$AA$90)^2+(AB6-$AB$90)^2+(AC6-$AC$90)^2+(AD6-$AD$90)^2+(AE6-$AE$90)^2+(AF6-$AF$90)^2+(AG6-$AG$90)^2)</f>
        <v>1.5349934074665983</v>
      </c>
      <c r="FX6" s="36" t="s">
        <v>151</v>
      </c>
      <c r="FY6" s="37" t="s">
        <v>120</v>
      </c>
      <c r="GA6" s="44"/>
      <c r="GB6" s="36">
        <f>SQRT((A6-$A$91)^2+(B6-$B$91)^2+(C6-$C$91)^2+(D6-$D$91)^2+(E6-$E$91)^2+(F6-$F$91)^2+(G6-$G$91)^2+(H6-$H$91)^2+(I6-$I$91)^2+(J6-$J$91)^2+(K6-$K$91)^2+(L6-$L$91)^2+(M6-$M$91)^2+(N6-$N$91)^2+(O6-$O$91)^2+(P6-$P$91)^2+(Q6-$Q$91)^2+(R6-$R$91)^2+(S6-$S$91)^2+(T6-$T$91)^2+(U6-$U$91)^2+(V6-$V$91)^2+(W6-$W$91)^2+(X6-$X$91)^2+(Y6-$Y$91)^2+(Z6-$Z$91)^2+(AA6-$AA$91)^2+(AB6-$AB$91)^2+(AC6-$AC$91)^2+(AD6-$AD$91)^2+(AE6-$AE$91)^2+(AF6-$AF$91)^2+(AG6-$AG$91)^2)</f>
        <v>1.6928697576375886</v>
      </c>
      <c r="GC6" s="36" t="s">
        <v>126</v>
      </c>
      <c r="GD6" s="37" t="s">
        <v>120</v>
      </c>
      <c r="GF6" s="44"/>
      <c r="GG6" s="36">
        <f>SQRT((A6-$A$92)^2+(B6-$B$92)^2+(C6-$C$92)^2+(D6-$D$92)^2+(E6-$E$92)^2+(F6-$F$92)^2+(G6-$G$92)^2+(H6-$H$92)^2+(I6-$I$92)^2+(J6-$J$92)^2+(K6-$K$92)^2+(L6-$L$92)^2+(M6-$M$92)^2+(N6-$N$92)^2+(O6-$O$92)^2+(P6-$P$92)^2+(Q6-$Q$92)^2+(R6-$R$92)^2+(S6-$S$92)^2+(T6-$T$92)^2+(U6-$U$92)^2+(V6-$V$92)^2+(W6-$W$92)^2+(X6-$X$92)^2+(Y6-$Y$92)^2+(Z6-$Z$92)^2+(AA6-$AA$92)^2+(AB6-$AB$92)^2+(AC6-$AC$92)^2+(AD6-$AD$92)^2+(AE6-$AE$92)^2+(AF6-$AF$92)^2+(AG6-$AG$92)^2)</f>
        <v>1.5192471934052019</v>
      </c>
      <c r="GH6" s="36" t="s">
        <v>134</v>
      </c>
      <c r="GI6" s="37" t="s">
        <v>120</v>
      </c>
      <c r="GK6" s="44"/>
      <c r="GL6" s="36">
        <f>SQRT((A6-$A$93)^2+(B6-$B$93)^2+(C6-$C$93)^2+(D6-$D$93)^2+(E6-$E$93)^2+(F6-$F$93)^2+(G6-$G$93)^2+(H6-$H$93)^2+(I6-$I$93)^2+(J6-$J$93)^2+(K6-$K$93)^2+(L6-$L$93)^2+(M6-$M$93)^2+(N6-$N$93)^2+(O6-$O$93)^2+(P6-$P$93)^2+(Q6-$Q$93)^2+(R6-$R$93)^2+(S6-$S$93)^2+(T6-$T$93)^2+(U6-$U$93)^2+(V6-$V$93)^2+(W6-$W$93)^2+(X6-$X$93)^2+(Y6-$Y$93)^2+(Z6-$Z$93)^2+(AA6-$AA$93)^2+(AB6-$AB$93)^2+(AC6-$AC$93)^2+(AD6-$AD$93)^2+(AE6-$AE$93)^2+(AF6-$AF$93)^2+(AG6-$AG$93)^2)</f>
        <v>1.7785055277960402</v>
      </c>
      <c r="GM6" s="36" t="s">
        <v>126</v>
      </c>
      <c r="GN6" s="37" t="s">
        <v>120</v>
      </c>
      <c r="GP6" s="44"/>
      <c r="GQ6" s="36">
        <f>SQRT((A6-$A$94)^2+(B6-$B$94)^2+(C6-$C$94)^2+(D6-$D$94)^2+(E6-$E$94)^2+(F6-$F$94)^2+(G6-$G$94)^2+(H6-$H$94)^2+(I6-$I$94)^2+(J6-$J$94)^2+(K6-$K$94)^2+(L6-$L$94)^2+(M6-$M$94)^2+(N6-$N$94)^2+(O6-$O$94)^2+(P6-$P$94)^2+(Q6-$Q$94)^2+(R6-$R$94)^2+(S6-$S$94)^2+(T6-$T$94)^2+(U6-$U$94)^2+(V6-$V$94)^2+(W6-$W$94)^2+(X6-$X$94)^2+(Y6-$Y$94)^2+(Z6-$Z$94)^2+(AA6-$AA$94)^2+(AB6-$AB$94)^2+(AC6-$AC$94)^2+(AD6-$AD$94)^2+(AE6-$AE$94)^2+(AF6-$AF$94)^2+(AG6-$AG$94)^2)</f>
        <v>1.0229963837983551</v>
      </c>
      <c r="GR6" s="36" t="s">
        <v>126</v>
      </c>
      <c r="GS6" s="37" t="s">
        <v>120</v>
      </c>
      <c r="GU6" s="44"/>
      <c r="GV6" s="36">
        <f>SQRT((A6-$A$95)^2+(B6-$B$95)^2+(C6-$C$95)^2+(D6-$D$95)^2+(E6-$E$95)^2+(F6-$F$95)^2+(G6-$G$95)^2+(H6-$H$95)^2+(I6-$I$95)^2+(J6-$J$95)^2+(K6-$K$95)^2+(L6-$L$95)^2+(M6-$M$95)^2+(N6-$N$95)^2+(O6-$O$95)^2+(P6-$P$95)^2+(Q6-$Q$95)^2+(R6-$R$95)^2+(S6-$S$95)^2+(T6-$T$95)^2+(U6-$U$95)^2+(V6-$V$95)^2+(W6-$W$95)^2+(X6-$X$95)^2+(Y6-$Y$95)^2+(Z6-$Z$95)^2+(AA6-$AA$95)^2+(AB6-$AB$95)^2+(AC6-$AC$95)^2+(AD6-$AD$95)^2+(AE6-$AE$95)^2+(AF6-$AF$95)^2+(AG6-$AG$95)^2)</f>
        <v>2.248679199469116</v>
      </c>
      <c r="GW6" s="36" t="s">
        <v>320</v>
      </c>
      <c r="GX6" s="37" t="s">
        <v>120</v>
      </c>
      <c r="GZ6" s="44"/>
      <c r="HA6" s="36">
        <f>SQRT((A6-$A$96)^2+(B6-$B$96)^2+(C6-$C$96)^2+(D6-$D$96)^2+(E6-$E$96)^2+(F6-$F$96)^2+(G6-$G$96)^2+(H6-$H$96)^2+(I6-$I$96)^2+(J6-$J$96)^2+(K6-$K$96)^2+(L6-$L$96)^2+(M6-$M$96)^2+(N6-$N$96)^2+(O6-$O$96)^2+(P6-$P$96)^2+(Q6-$Q$96)^2+(R6-$R$96)^2+(S6-$S$96)^2+(T6-$T$96)^2+(U6-$U$96)^2+(V6-$V$96)^2+(W6-$W$96)^2+(X6-$X$96)^2+(Y6-$Y$96)^2+(Z6-$Z$96)^2+(AA6-$AA$96)^2+(AB6-$AB$96)^2+(AC6-$AC$96)^2+(AD6-$AD$96)^2+(AE6-$AE$96)^2+(AF6-$AF$96)^2+(AG6-$AG$96)^2)</f>
        <v>2.1132636339302331</v>
      </c>
      <c r="HB6" s="36" t="s">
        <v>122</v>
      </c>
      <c r="HC6" s="37" t="s">
        <v>120</v>
      </c>
      <c r="HE6" s="44"/>
      <c r="HF6" s="36">
        <f>SQRT((A6-$A$97)^2+(B6-$B$97)^2+(C6-$C$97)^2+(D6-$D$97)^2+(E6-$E$97)^2+(F6-$F$97)^2+(G6-$G$97)^2+(H6-$H$97)^2+(I6-$I$97)^2+(J6-$J$97)^2+(K6-$K$97)^2+(L6-$L$97)^2+(M6-$M$97)^2+(N6-$N$97)^2+(O6-$O$97)^2+(P6-$P$97)^2+(Q6-$Q$97)^2+(R6-$R$97)^2+(S6-$S$97)^2+(T6-$T$97)^2+(U6-$U$97)^2+(V6-$V$97)^2+(W6-$W$97)^2+(X6-$X$97)^2+(Y6-$Y$97)^2+(Z6-$Z$97)^2+(AA6-$AA$97)^2+(AB6-$AB$97)^2+(AC6-$AC$97)^2+(AD6-$AD$97)^2+(AE6-$AE$97)^2+(AF6-$AF$97)^2+(AG6-$AG$97)^2)</f>
        <v>0</v>
      </c>
      <c r="HG6" s="36" t="s">
        <v>122</v>
      </c>
      <c r="HH6" s="37" t="s">
        <v>120</v>
      </c>
      <c r="HJ6" s="44"/>
      <c r="HK6" s="36">
        <f>SQRT((A6-$A$98)^2+(B6-$B$98)^2+(C6-$C$98)^2+(D6-$D$98)^2+(E6-$E$98)^2+(F6-$F$98)^2+(G6-$G$98)^2+(H6-$H$98)^2+(I6-$I$98)^2+(J6-$J$98)^2+(K6-$K$98)^2+(L6-$L$98)^2+(M6-$M$98)^2+(N6-$N$98)^2+(O6-$O$98)^2+(P6-$P$98)^2+(Q6-$Q$98)^2+(R6-$R$98)^2+(S6-$S$98)^2+(T6-$T$98)^2+(U6-$U$98)^2+(V6-$V$98)^2+(W6-$W$98)^2+(X6-$X$98)^2+(Y6-$Y$98)^2+(Z6-$Z$98)^2+(AA6-$AA$98)^2+(AB6-$AB$98)^2+(AC6-$AC$98)^2+(AD6-$AD$98)^2+(AE6-$AE$98)^2+(AF6-$AF$98)^2+(AG6-$AG$98)^2)</f>
        <v>0</v>
      </c>
      <c r="HL6" s="36" t="s">
        <v>122</v>
      </c>
      <c r="HM6" s="37" t="s">
        <v>120</v>
      </c>
      <c r="HO6" s="44"/>
      <c r="HP6" s="36">
        <f>SQRT((A6-$A$99)^2+(B6-$B$99)^2+(C6-$C$99)^2+(D6-$D$99)^2+(E6-$E$99)^2+(F6-$F$99)^2+(G6-$G$99)^2+(H6-$H$99)^2+(I6-$I$99)^2+(J6-$J$99)^2+(K6-$K$99)^2+(L6-$L$99)^2+(M6-$M$99)^2+(N6-$N$99)^2+(O6-$O$99)^2+(P6-$P$99)^2+(Q6-$Q$99)^2+(R6-$R$99)^2+(S6-$S$99)^2+(T6-$T$99)^2+(U6-$U$99)^2+(V6-$V$99)^2+(W6-$W$99)^2+(X6-$X$99)^2+(Y6-$Y$99)^2+(Z6-$Z$99)^2+(AA6-$AA$99)^2+(AB6-$AB$99)^2+(AC6-$AC$99)^2+(AD6-$AD$99)^2+(AE6-$AE$99)^2+(AF6-$AF$99)^2+(AG6-$AG$99)^2)</f>
        <v>0</v>
      </c>
      <c r="HQ6" s="36" t="s">
        <v>122</v>
      </c>
      <c r="HR6" s="37" t="s">
        <v>120</v>
      </c>
      <c r="HT6" s="44"/>
      <c r="HU6" s="36">
        <f>SQRT((A6-$A$100)^2+(B6-$B$100)^2+(C6-$C$100)^2+(D6-$D$100)^2+(E6-$E$100)^2+(F6-$F$100)^2+(G6-$G$100)^2+(H6-$H$100)^2+(I6-$I$100)^2+(J6-$J$100)^2+(K6-$K$100)^2+(L6-$L$100)^2+(M6-$M$100)^2+(N6-$N$100)^2+(O6-$O$100)^2+(P6-$P$100)^2+(Q6-$Q$100)^2+(R6-$R$100)^2+(S6-$S$100)^2+(T6-$T$100)^2+(U6-$U$100)^2+(V6-$V$100)^2+(W6-$W$100)^2+(X6-$X$100)^2+(Y6-$Y$100)^2+(Z6-$Z$100)^2+(AA6-$AA$100)^2+(AB6-$AB$100)^2+(AC6-$AC$100)^2+(AD6-$AD$100)^2+(AE6-$AE$100)^2+(AF6-$AF$100)^2+(AG6-$AG$100)^2)</f>
        <v>0</v>
      </c>
      <c r="HV6" s="36" t="s">
        <v>122</v>
      </c>
      <c r="HW6" s="37" t="s">
        <v>120</v>
      </c>
      <c r="HY6" s="44"/>
      <c r="HZ6" s="36">
        <f>SQRT((A6-$A$101)^2+(B6-$B$101)^2+(C6-$C$101)^2+(D6-$D$101)^2+(E6-$E$101)^2+(F6-$F$101)^2+(G6-$G$101)^2+(H6-$H$101)^2+(I6-$I$101)^2+(J6-$J$101)^2+(K6-$K$101)^2+(L6-$L$101)^2+(M6-$M$101)^2+(N6-$N$101)^2+(O6-$O$101)^2+(P6-$P$101)^2+(Q6-$Q$101)^2+(R6-$R$101)^2+(S6-$S$101)^2+(T6-$T$101)^2+(U6-$U$101)^2+(V6-$V$101)^2+(W6-$W$101)^2+(X6-$X$101)^2+(Y6-$Y$101)^2+(Z6-$Z$101)^2+(AA6-$AA$101)^2+(AB6-$AB$101)^2+(AC6-$AC$101)^2+(AD6-$AD$101)^2+(AE6-$AE$101)^2+(AF6-$AF$101)^2+(AG6-$AG$101)^2)</f>
        <v>1.4405513255795901</v>
      </c>
      <c r="IA6" s="36" t="s">
        <v>136</v>
      </c>
      <c r="IB6" s="37" t="s">
        <v>120</v>
      </c>
    </row>
    <row r="7" spans="1:236" x14ac:dyDescent="0.35">
      <c r="A7" s="2">
        <v>0</v>
      </c>
      <c r="B7" s="2">
        <v>0.23765432098765399</v>
      </c>
      <c r="C7" s="2">
        <v>0.23899371069182301</v>
      </c>
      <c r="D7" s="2">
        <v>0.53703703703703698</v>
      </c>
      <c r="E7" s="2">
        <v>0.12757201646090499</v>
      </c>
      <c r="F7" s="2">
        <v>0.94805194805194803</v>
      </c>
      <c r="G7" s="2">
        <v>0.55692729766803795</v>
      </c>
      <c r="H7" s="2">
        <v>0.936708860759493</v>
      </c>
      <c r="I7" s="2">
        <v>0.407407407407407</v>
      </c>
      <c r="J7" s="2">
        <v>0.19478737997256501</v>
      </c>
      <c r="K7" s="2">
        <v>5.5555555555555497E-2</v>
      </c>
      <c r="L7" s="2">
        <v>0.158904109589041</v>
      </c>
      <c r="M7" s="2">
        <v>0.95061728395061695</v>
      </c>
      <c r="N7" s="2">
        <v>6.1728395061728301E-2</v>
      </c>
      <c r="O7" s="2">
        <v>0.189873417721519</v>
      </c>
      <c r="P7" s="2">
        <v>0.32345679012345602</v>
      </c>
      <c r="Q7" s="2">
        <v>0.98765432098765404</v>
      </c>
      <c r="R7" s="2">
        <v>0.76543209876543195</v>
      </c>
      <c r="S7" s="2">
        <v>0.97530864197530798</v>
      </c>
      <c r="T7" s="2">
        <v>1</v>
      </c>
      <c r="U7" s="2">
        <v>1</v>
      </c>
      <c r="V7" s="2">
        <v>0.11111111111111099</v>
      </c>
      <c r="W7" s="2">
        <v>1</v>
      </c>
      <c r="X7" s="2">
        <v>0.97530864197530798</v>
      </c>
      <c r="Y7" s="2">
        <v>0.90123456790123402</v>
      </c>
      <c r="Z7" s="2">
        <v>0.44444444444444398</v>
      </c>
      <c r="AA7" s="2">
        <v>1</v>
      </c>
      <c r="AB7" s="2">
        <v>1</v>
      </c>
      <c r="AC7" s="2">
        <v>1</v>
      </c>
      <c r="AD7" s="2">
        <v>1</v>
      </c>
      <c r="AE7" s="2">
        <v>0.938271604938271</v>
      </c>
      <c r="AF7" s="2">
        <v>1</v>
      </c>
      <c r="AG7" s="2">
        <v>0.19565217391304299</v>
      </c>
      <c r="AH7" s="2" t="s">
        <v>120</v>
      </c>
      <c r="AI7" s="42"/>
      <c r="AJ7" s="42"/>
      <c r="AL7" s="44"/>
      <c r="AM7" s="36">
        <f>SQRT((A7-$A$62)^2+(B7-$B$62)^2+(C7-$C$62)^2+(D7-$D$62)^2+(E7-$E$62)^2+(F7-$F$62)^2+(G7-$G$62)^2+(H7-$H$62)^2+(I7-$I$62)^2+(J7-$J$62)^2+(K7-$K$62)^2+(L7-$L$62)^2+(M7-$M$62)^2+(N7-$N$62)^2+(O7-$O$62)^2+(P7-$P$62)^2+(Q7-$Q$62)^2+(R7-$R$62)^2+(S7-$S$62)^2+(T7-$T$62)^2+(U7-$U$62)^2+(V7-$V$62)^2+(W7-$W$62)^2+(X7-$X$62)^2+(Y7-$Y$62)^2+(Z7-$Z$62)^2+(AA7-$AA$62)^2+(AB7-$AB$62)^2+(AC7-$AC$62)^2+(AD7-$AD$62)^2+(AE7-$AE$62)^2+(AF7-$AF$62)^2+(AG7-$AG$62)^2)</f>
        <v>1.5556691766058219</v>
      </c>
      <c r="AN7" s="36" t="s">
        <v>126</v>
      </c>
      <c r="AO7" s="37" t="s">
        <v>120</v>
      </c>
      <c r="AP7" s="30"/>
      <c r="AQ7" s="44"/>
      <c r="AR7" s="36">
        <f>SQRT((A7-$A$63)^2+(B7-$B$63)^2+(C7-$C$63)^2+(D7-$D$63)^2+(E7-$E$63)^2+(F7-$F$63)^2+(G7-$G$63)^2+(H7-$H$63)^2+(I7-$I$63)^2+(J7-$J$63)^2+(K7-$K$63)^2+(L7-$L$63)^2+(M7-$M$63)^2+(N7-$N$63)^2+(O7-$O$63)^2+(P7-$P$63)^2+(Q7-$Q$63)^2+(R7-$R$63)^2+(S7-$S$63)^2+(T7-$T$63)^2+(U7-$U$63)^2+(V7-$V$63)^2+(W7-$W$63)^2+(X7-$X$63)^2+(Y7-$Y$63)^2+(Z7-$Z$63)^2+(AA7-$AA$63)^2+(AB7-$AB$63)^2+(AC7-$AC$63)^2+(AD7-$AD$63)^2+(AE7-$AE$63)^2+(AF7-$AF$63)^2+(AG7-$AG$63)^2)</f>
        <v>0</v>
      </c>
      <c r="AS7" s="36" t="s">
        <v>320</v>
      </c>
      <c r="AT7" s="37" t="s">
        <v>120</v>
      </c>
      <c r="AU7" s="30"/>
      <c r="AV7" s="44"/>
      <c r="AW7" s="36">
        <f>SQRT((A7-$A$64)^2+(B7-$B$64)^2+(C7-$C$64)^2+(D7-$D$64)^2+(E7-$E$64)^2+(F7-$F$64)^2+(G7-$G$64)^2+(H7-$H$64)^2+(I7-$I$64)^2+(J7-$J$64)^2+(K7-$K$64)^2+(L7-$L$64)^2+(M7-$M$64)^2+(N7-$N$64)^2+(O7-$O$64)^2+(P7-$P$64)^2+(Q7-$Q$64)^2+(R7-$R$64)^2+(S7-$S$64)^2+(T7-$T$64)^2+(U7-$U$64)^2+(V7-$V$64)^2+(W7-$W$64)^2+(X7-$X$64)^2+(Y7-$Y$64)^2+(Z7-$Z$64)^2+(AA7-$AA$64)^2+(AB7-$AB$64)^2+(AC7-$AC$64)^2+(AD7-$AD$64)^2+(AE7-$AE$64)^2+(AF7-$AF$64)^2+(AG7-$AG$64)^2)</f>
        <v>0</v>
      </c>
      <c r="AX7" s="36" t="s">
        <v>320</v>
      </c>
      <c r="AY7" s="37" t="s">
        <v>120</v>
      </c>
      <c r="AZ7" s="30"/>
      <c r="BA7" s="44"/>
      <c r="BB7" s="36">
        <f>SQRT((A7-$A$65)^2+(B7-$B$65)^2+(C7-$C$65)^2+(D7-$D$65)^2+(E7-$E$65)^2+(F7-$F$65)^2+(G7-$G$65)^2+(H7-$H$65)^2+(I7-$I$65)^2+(J7-$J$65)^2+(K7-$K$65)^2+(L7-$L$65)^2+(M7-$M$65)^2+(N7-$N$65)^2+(O7-$O$65)^2+(P7-$P$65)^2+(Q7-$Q$65)^2+(R7-$R$65)^2+(S7-$S$65)^2+(T7-$T$65)^2+(U7-$U$65)^2+(V7-$V$65)^2+(W7-$W$65)^2+(X7-$X$65)^2+(Y7-$Y$65)^2+(Z7-$Z$65)^2+(AA7-$AA$65)^2+(AB7-$AB$65)^2+(AC7-$AC$65)^2+(AD7-$AD$65)^2+(AE7-$AE$65)^2+(AF7-$AF$65)^2+(AG7-$AG$65)^2)</f>
        <v>0</v>
      </c>
      <c r="BC7" s="36" t="s">
        <v>320</v>
      </c>
      <c r="BD7" s="37" t="s">
        <v>120</v>
      </c>
      <c r="BE7" s="30"/>
      <c r="BF7" s="44"/>
      <c r="BG7" s="36">
        <f>SQRT((A7-$A$66)^2+(B7-$B$66)^2+(C7-$C$66)^2+(D7-$D$66)^2+(E7-$E$66)^2+(F7-$F$66)^2+(G7-$G$66)^2+(H7-$H$66)^2+(I7-$I$66)^2+(J7-$J$66)^2+(K7-$K$66)^2+(L7-$L$66)^2+(M7-$M$66)^2+(N7-$N$66)^2+(O7-$O$66)^2+(P7-$P$66)^2+(Q7-$Q$66)^2+(R7-$R$66)^2+(S7-$S$66)^2+(T7-$T$66)^2+(U7-$U$66)^2+(V7-$V$66)^2+(W7-$W$66)^2+(X7-$X$66)^2+(Y7-$Y$66)^2+(Z7-$Z$66)^2+(AA7-$AA$66)^2+(AB7-$AB$66)^2+(AC7-$AC$66)^2+(AD7-$AD$66)^2+(AE7-$AE$66)^2+(AF7-$AF$66)^2+(AG7-$AG$66)^2)</f>
        <v>0</v>
      </c>
      <c r="BH7" s="36" t="s">
        <v>320</v>
      </c>
      <c r="BI7" s="37" t="s">
        <v>120</v>
      </c>
      <c r="BJ7" s="30"/>
      <c r="BK7" s="44"/>
      <c r="BL7" s="36">
        <f>SQRT((A7-$A$67)^2+(B7-$B$67)^2+(C7-$C$67)^2+(D7-$D$67)^2+(E7-$E$67)^2+(F7-$F$67)^2+(G7-$G$67)^2+(H7-$H$67)^2+(I7-$I$67)^2+(J7-$J$67)^2+(K7-$K$67)^2+(L7-$L$67)^2+(M7-$M$67)^2+(N7-$N$67)^2+(O7-$O$67)^2+(P7-$P$67)^2+(Q7-$Q$67)^2+(R7-$R$67)^2+(S7-$S$67)^2+(T7-$T$67)^2+(U7-$U$67)^2+(V7-$V$67)^2+(W7-$W$67)^2+(X7-$X$67)^2+(Y7-$Y$67)^2+(Z7-$Z$67)^2+(AA7-$AA$67)^2+(AB7-$AB$67)^2+(AC7-$AC$67)^2+(AD7-$AD$67)^2+(AE7-$AE$67)^2+(AF7-$AF$67)^2+(AG7-$AG$67)^2)</f>
        <v>0</v>
      </c>
      <c r="BM7" s="36" t="s">
        <v>320</v>
      </c>
      <c r="BN7" s="37" t="s">
        <v>120</v>
      </c>
      <c r="BO7" s="30"/>
      <c r="BP7" s="44"/>
      <c r="BQ7" s="36">
        <f>SQRT((A7-$A$68)^2+(B7-$B$68)^2+(C7-$C$68)^2+(D7-$D$68)^2+(E7-$E$68)^2+(F7-$F$68)^2+(G7-$G$68)^2+(H7-$H$68)^2+(I7-$I$68)^2+(J7-$J$68)^2+(K7-$K$68)^2+(L7-$L$68)^2+(M7-$M$68)^2+(N7-$N$68)^2+(O7-$O$68)^2+(P7-$P$68)^2+(Q7-$Q$68)^2+(R7-$R$68)^2+(S7-$S$68)^2+(T7-$T$68)^2+(U7-$U$68)^2+(V7-$V$68)^2+(W7-$W$68)^2+(X7-$X$68)^2+(Y7-$Y$68)^2+(Z7-$Z$68)^2+(AA7-$AA$68)^2+(AB7-$AB$68)^2+(AC7-$AC$68)^2+(AD7-$AD$68)^2+(AE7-$AE$68)^2+(AF7-$AF$68)^2+(AG7-$AG$68)^2)</f>
        <v>0</v>
      </c>
      <c r="BR7" s="36" t="s">
        <v>320</v>
      </c>
      <c r="BS7" s="37" t="s">
        <v>120</v>
      </c>
      <c r="BT7" s="30"/>
      <c r="BU7" s="44"/>
      <c r="BV7" s="36">
        <f>SQRT((A7-$A$69)^2+(B7-$B$69)^2+(C7-$C$69)^2+(D7-$D$69)^2+(E7-$E$69)^2+(F7-$F$69)^2+(G7-$G$69)^2+(H7-$H$69)^2+(I7-$I$69)^2+(J7-$J$69)^2+(K7-$K$69)^2+(L7-$L$69)^2+(M7-$M$69)^2+(N7-$N$69)^2+(O7-$O$69)^2+(P7-$P$69)^2+(Q7-$Q$69)^2+(R7-$R$69)^2+(S7-$S$69)^2+(T7-$T$69)^2+(U7-$U$69)^2+(V7-$V$69)^2+(W7-$W$69)^2+(X7-$X$69)^2+(Y7-$Y$69)^2+(Z7-$Z$69)^2+(AA7-$AA$69)^2+(AB7-$AB$69)^2+(AC7-$AC$69)^2+(AD7-$AD$69)^2+(AE7-$AE$69)^2+(AF7-$AF$69)^2+(AG7-$AG$69)^2)</f>
        <v>2.0037487409898285</v>
      </c>
      <c r="BW7" s="36" t="s">
        <v>134</v>
      </c>
      <c r="BX7" s="37" t="s">
        <v>120</v>
      </c>
      <c r="BZ7" s="44"/>
      <c r="CA7" s="36">
        <f>SQRT((A7-$A$70)^2+(B7-$B$70)^2+(C7-$C$70)^2+(D7-$D$70)^2+(E7-$E$70)^2+(F7-$F$70)^2+(G7-$G$70)^2+(H7-$H$70)^2+(I7-$I$70)^2+(J7-$J$70)^2+(K7-$K$70)^2+(L7-$L$70)^2+(M7-$M$70)^2+(N7-$N$70)^2+(O7-$O$70)^2+(P7-$P$70)^2+(Q7-$Q$70)^2+(R7-$R$70)^2+(S7-$S$70)^2+(T7-$T$70)^2+(U7-$U$70)^2+(V7-$V$70)^2+(W7-$W$70)^2+(X7-$X$70)^2+(Y7-$Y$70)^2+(Z7-$Z$70)^2+(AA7-$AA$70)^2+(AB7-$AB$70)^2+(AC7-$AC$70)^2+(AD7-$AD$70)^2+(AE7-$AE$70)^2+(AF7-$AF$70)^2+(AG7-$AG$70)^2)</f>
        <v>1.0640423434918624</v>
      </c>
      <c r="CB7" s="36" t="s">
        <v>337</v>
      </c>
      <c r="CC7" s="37" t="s">
        <v>120</v>
      </c>
      <c r="CE7" s="44"/>
      <c r="CF7" s="36">
        <f>SQRT((A7-$A$71)^2+(B7-$B$71)^2+(C7-$C$71)^2+(D7-$D$71)^2+(E7-$E$71)^2+(F7-$F$71)^2+(G7-$G$71)^2+(H7-$H$71)^2+(I7-$I$71)^2+(J7-$J$71)^2+(K7-$K$71)^2+(L7-$L$71)^2+(M7-$M$71)^2+(N7-$N$71)^2+(O7-$O$71)^2+(P7-$P$71)^2+(Q7-$Q$71)^2+(R7-$R$71)^2+(S7-$S$71)^2+(T7-$T$71)^2+(U7-$U$71)^2+(V7-$V$71)^2+(W7-$W$71)^2+(X7-$X$71)^2+(Y7-$Y$71)^2+(Z7-$Z$71)^2+(AA7-$AA$71)^2+(AB7-$AB$71)^2+(AC7-$AC$71)^2+(AD7-$AD$71)^2+(AE7-$AE$71)^2+(AF7-$AF$71)^2+(AG7-$AG$71)^2)</f>
        <v>0.94620473085599832</v>
      </c>
      <c r="CG7" s="36" t="s">
        <v>320</v>
      </c>
      <c r="CH7" s="37" t="s">
        <v>120</v>
      </c>
      <c r="CJ7" s="44"/>
      <c r="CK7" s="36">
        <f>SQRT((A7-$A$72)^2+(B7-$B$72)^2+(C7-$C$72)^2+(D7-$D$72)^2+(E7-$E$72)^2+(F7-$F$72)^2+(G7-$G$72)^2+(H7-$H$72)^2+(I7-$I$72)^2+(J7-$J$72)^2+(K7-$K$72)^2+(L7-$L$72)^2+(M7-$M$72)^2+(N7-$N$72)^2+(O7-$O$72)^2+(P7-$P$72)^2+(Q7-$Q$72)^2+(R7-$R$72)^2+(S7-$S$72)^2+(T7-$T$72)^2+(U7-$U$72)^2+(V7-$V$72)^2+(W7-$W$72)^2+(X7-$X$72)^2+(Y7-$Y$72)^2+(Z7-$Z$72)^2+(AA7-$AA$72)^2+(AB7-$AB$72)^2+(AC7-$AC$72)^2+(AD7-$AD$72)^2+(AE7-$AE$72)^2+(AF7-$AF$72)^2+(AG7-$AG$72)^2)</f>
        <v>1.220617044171155</v>
      </c>
      <c r="CL7" s="36" t="s">
        <v>128</v>
      </c>
      <c r="CM7" s="37" t="s">
        <v>120</v>
      </c>
      <c r="CO7" s="44"/>
      <c r="CP7" s="36">
        <f>SQRT((A7-$A$73)^2+(B7-$B$73)^2+(C7-$C$73)^2+(D7-$D$73)^2+(E7-$E$73)^2+(F7-$F$73)^2+(G7-$G$73)^2+(H7-$H$73)^2+(I7-$I$73)^2+(J7-$J$73)^2+(K7-$K$73)^2+(L7-$L$73)^2+(M7-$M$73)^2+(N7-$N$73)^2+(O7-$O$73)^2+(P7-$P$73)^2+(Q7-$Q$73)^2+(R7-$R$73)^2+(S7-$S$73)^2+(T7-$T$73)^2+(U7-$U$73)^2+(V7-$V$73)^2+(W7-$W$73)^2+(X7-$X$73)^2+(Y7-$Y$73)^2+(Z7-$Z$73)^2+(AA7-$AA$73)^2+(AB7-$AB$73)^2+(AC7-$AC$73)^2+(AD7-$AD$73)^2+(AE7-$AE$73)^2+(AF7-$AF$73)^2+(AG7-$AG$73)^2)</f>
        <v>1.1043048958919004</v>
      </c>
      <c r="CQ7" s="36" t="s">
        <v>320</v>
      </c>
      <c r="CR7" s="37" t="s">
        <v>120</v>
      </c>
      <c r="CT7" s="44"/>
      <c r="CU7" s="36">
        <f>SQRT((A7-$A$74)^2+(B7-$B$74)^2+(C7-$C$74)^2+(D7-$D$74)^2+(E7-$E$74)^2+(F7-$F$74)^2+(G7-$G$74)^2+(H7-$H$74)^2+(I7-$I$74)^2+(J7-$J$74)^2+(K7-$K$74)^2+(L7-$L$74)^2+(M7-$M$74)^2+(N7-$N$74)^2+(O7-$O$74)^2+(P7-$P$74)^2+(Q7-$Q$74)^2+(R7-$R$74)^2+(S7-$S$74)^2+(T7-$T$74)^2+(U7-$U$74)^2+(V7-$V$74)^2+(W7-$W$74)^2+(X7-$X$74)^2+(Y7-$Y$74)^2+(Z7-$Z$74)^2+(AA7-$AA$74)^2+(AB7-$AB$74)^2+(AC7-$AC$74)^2+(AD7-$AD$74)^2+(AE7-$AE$74)^2+(AF7-$AF$74)^2+(AG7-$AG$74)^2)</f>
        <v>1.1273103941258655</v>
      </c>
      <c r="CV7" s="36" t="s">
        <v>328</v>
      </c>
      <c r="CW7" s="37" t="s">
        <v>120</v>
      </c>
      <c r="CY7" s="44"/>
      <c r="CZ7" s="36">
        <f>SQRT((A7-$A$75)^2+(B7-$B$75)^2+(C7-$C$75)^2+(D7-$D$75)^2+(E7-$E$75)^2+(F7-$F$75)^2+(G7-$G$75)^2+(H7-$H$75)^2+(I7-$I$75)^2+(J7-$J$75)^2+(K7-$K$75)^2+(L7-$L$75)^2+(M7-$M$75)^2+(N7-$N$75)^2+(O7-$O$75)^2+(P7-$P$75)^2+(Q7-$Q$75)^2+(R7-$R$75)^2+(S7-$S$75)^2+(T7-$T$75)^2+(U7-$U$75)^2+(V7-$V$75)^2+(W7-$W$75)^2+(X7-$X$75)^2+(Y7-$Y$75)^2+(Z7-$Z$75)^2+(AA7-$AA$75)^2+(AB7-$AB$75)^2+(AC7-$AC$75)^2+(AD7-$AD$75)^2+(AE7-$AE$75)^2+(AF7-$AF$75)^2+(AG7-$AG$75)^2)</f>
        <v>1.0124449904297892</v>
      </c>
      <c r="DA7" s="36" t="s">
        <v>318</v>
      </c>
      <c r="DB7" s="37" t="s">
        <v>120</v>
      </c>
      <c r="DD7" s="44"/>
      <c r="DE7" s="36">
        <f>SQRT((A7-$A$76)^2+(B7-$B$76)^2+(C7-$C$76)^2+(D7-$D$76)^2+(E7-$E$76)^2+(F7-$F$76)^2+(G7-$G$76)^2+(H7-$H$76)^2+(I7-$I$76)^2+(J7-$J$76)^2+(K7-$K$76)^2+(L7-$L$76)^2+(M7-$M$76)^2+(N7-$N$76)^2+(O7-$O$76)^2+(P7-$P$76)^2+(Q7-$Q$76)^2+(R7-$R$76)^2+(S7-$S$76)^2+(T7-$T$76)^2+(U7-$U$76)^2+(V7-$V$76)^2+(W7-$W$76)^2+(X7-$X$76)^2+(Y7-$Y$76)^2+(Z7-$Z$76)^2+(AA7-$AA$76)^2+(AB7-$AB$76)^2+(AC7-$AC$76)^2+(AD7-$AD$76)^2+(AE7-$AE$76)^2+(AF7-$AF$76)^2+(AG7-$AG$76)^2)</f>
        <v>1.0310017925746982</v>
      </c>
      <c r="DF7" s="36" t="s">
        <v>320</v>
      </c>
      <c r="DG7" s="37" t="s">
        <v>120</v>
      </c>
      <c r="DI7" s="44"/>
      <c r="DJ7" s="36">
        <f>SQRT((A7-$A$77)^2+(B7-$B$77)^2+(C7-$C$77)^2+(D7-$D$77)^2+(E7-$E$77)^2+(F7-$F$77)^2+(G7-$G$77)^2+(H7-$H$77)^2+(I7-$I$77)^2+(J7-$J$77)^2+(K7-$K$77)^2+(L7-$L$77)^2+(M7-$M$77)^2+(N7-$N$77)^2+(O7-$O$77)^2+(P7-$P$77)^2+(Q7-$Q$77)^2+(R7-$R$77)^2+(S7-$S$77)^2+(T7-$T$77)^2+(U7-$U$77)^2+(V7-$V$77)^2+(W7-$W$77)^2+(X7-$X$77)^2+(Y7-$Y$77)^2+(Z7-$Z$77)^2+(AA7-$AA$77)^2+(AB7-$AB$77)^2+(AC7-$AC$77)^2+(AD7-$AD$77)^2+(AE7-$AE$77)^2+(AF7-$AF$77)^2+(AG7-$AG$77)^2)</f>
        <v>1.6546970659891436</v>
      </c>
      <c r="DK7" s="36" t="s">
        <v>318</v>
      </c>
      <c r="DL7" s="37" t="s">
        <v>120</v>
      </c>
      <c r="DN7" s="44"/>
      <c r="DO7" s="36">
        <f>SQRT((A7-$A$78)^2+(B7-$B$78)^2+(C7-$C$78)^2+(D7-$D$78)^2+(E7-$E$78)^2+(F7-$F$78)^2+(G7-$G$78)^2+(H7-$H$78)^2+(I7-$I$78)^2+(J7-$J$78)^2+(K7-$K$78)^2+(L7-$L$78)^2+(M7-$M$78)^2+(N7-$N$78)^2+(O7-$O$78)^2+(P7-$P$78)^2+(Q7-$Q$78)^2+(R7-$R$78)^2+(S7-$S$78)^2+(T7-$T$78)^2+(U7-$U$78)^2+(V7-$V$78)^2+(W7-$W$78)^2+(X7-$X$78)^2+(Y7-$Y$78)^2+(Z7-$Z$78)^2+(AA7-$AA$78)^2+(AB7-$AB$78)^2+(AC7-$AC$78)^2+(AD7-$AD$78)^2+(AE7-$AE$78)^2+(AF7-$AF$78)^2+(AG7-$AG$78)^2)</f>
        <v>0.81948592966179457</v>
      </c>
      <c r="DP7" s="36" t="s">
        <v>132</v>
      </c>
      <c r="DQ7" s="37" t="s">
        <v>120</v>
      </c>
      <c r="DS7" s="44"/>
      <c r="DT7" s="36">
        <f>SQRT((A7-$A$79)^2+(B7-$B$79)^2+(C7-$C$79)^2+(D7-$D$79)^2+(E7-$E$79)^2+(F7-$F$79)^2+(G7-$G$79)^2+(H7-$H$79)^2+(I7-$I$79)^2+(J7-$J$79)^2+(K7-$K$79)^2+(L7-$L$79)^2+(M7-$M$79)^2+(N7-$N$79)^2+(O7-$O$79)^2+(P7-$P$79)^2+(Q7-$Q$79)^2+(R7-$R$79)^2+(S7-$S$79)^2+(T7-$T$79)^2+(U7-$U$79)^2+(V7-$V$79)^2+(W7-$W$79)^2+(X7-$X$79)^2+(Y7-$Y$79)^2+(Z7-$Z$79)^2+(AA7-$AA$79)^2+(AB7-$AB$79)^2+(AC7-$AC$79)^2+(AD7-$AD$79)^2+(AE7-$AE$79)^2+(AF7-$AF$79)^2+(AG7-$AG$79)^2)</f>
        <v>1.0607054265756746</v>
      </c>
      <c r="DU7" s="36" t="s">
        <v>314</v>
      </c>
      <c r="DV7" s="37" t="s">
        <v>120</v>
      </c>
      <c r="DX7" s="44"/>
      <c r="DY7" s="36">
        <f>SQRT((A7-$A$80)^2+(B7-$B$80)^2+(C7-$C$80)^2+(D7-$D$80)^2+(E7-$E$80)^2+(F7-$F$80)^2+(G7-$G$80)^2+(H7-$H$80)^2+(I7-$I$80)^2+(J7-$J$80)^2+(K7-$K$80)^2+(L7-$L$80)^2+(M7-$M$80)^2+(N7-$N$80)^2+(O7-$O$80)^2+(P7-$P$80)^2+(Q7-$Q$80)^2+(R7-$R$80)^2+(S7-$S$80)^2+(T7-$T$80)^2+(U7-$U$80)^2+(V7-$V$80)^2+(W7-$W$80)^2+(X7-$X$80)^2+(Y7-$Y$80)^2+(Z7-$Z$80)^2+(AA7-$AA$80)^2+(AB7-$AB$80)^2+(AC7-$AC$80)^2+(AD7-$AD$80)^2+(AE7-$AE$80)^2+(AF7-$AF$80)^2+(AG7-$AG$80)^2)</f>
        <v>1.3534230834799195</v>
      </c>
      <c r="DZ7" s="36" t="s">
        <v>136</v>
      </c>
      <c r="EA7" s="37" t="s">
        <v>120</v>
      </c>
      <c r="EC7" s="44"/>
      <c r="ED7" s="36">
        <f>SQRT((A7-$A$81)^2+(B7-$B$81)^2+(C7-$C$81)^2+(D7-$D$81)^2+(E7-$E$81)^2+(F7-$F$81)^2+(G7-$G$81)^2+(H7-$H$81)^2+(I7-$I$81)^2+(J7-$J$81)^2+(K7-$K$81)^2+(L7-$L$81)^2+(M7-$M$81)^2+(N7-$N$81)^2+(O7-$O$81)^2+(P7-$P$81)^2+(Q7-$Q$81)^2+(R7-$R$81)^2+(S7-$S$81)^2+(T7-$T$81)^2+(U7-$U$81)^2+(V7-$V$81)^2+(W7-$W$81)^2+(X7-$X$81)^2+(Y7-$Y$81)^2+(Z7-$Z$81)^2+(AA7-$AA$81)^2+(AB7-$AB$81)^2+(AC7-$AC$81)^2+(AD7-$AD$81)^2+(AE7-$AE$81)^2+(AF7-$AF$81)^2+(AG7-$AG$81)^2)</f>
        <v>1.3830175663760051</v>
      </c>
      <c r="EE7" s="36" t="s">
        <v>136</v>
      </c>
      <c r="EF7" s="37" t="s">
        <v>120</v>
      </c>
      <c r="EH7" s="44"/>
      <c r="EI7" s="36">
        <f>SQRT((A7-$A$82)^2+(B7-$B$82)^2+(C7-$C$82)^2+(D7-$D$82)^2+(E7-$E$82)^2+(F7-$F$82)^2+(G7-$G$82)^2+(H7-$H$82)^2+(I7-$I$82)^2+(J7-$J$82)^2+(K7-$K$82)^2+(L7-$L$82)^2+(M7-$M$82)^2+(N7-$N$82)^2+(O7-$O$82)^2+(P7-$P$82)^2+(Q7-$Q$82)^2+(R7-$R$82)^2+(S7-$S$82)^2+(T7-$T$82)^2+(U7-$U$82)^2+(V7-$V$82)^2+(W7-$W$82)^2+(X7-$X$82)^2+(Y7-$Y$82)^2+(Z7-$Z$82)^2+(AA7-$AA$82)^2+(AB7-$AB$82)^2+(AC7-$AC$82)^2+(AD7-$AD$82)^2+(AE7-$AE$82)^2+(AF7-$AF$82)^2+(AG7-$AG$82)^2)</f>
        <v>1.3010042798714898</v>
      </c>
      <c r="EJ7" s="36" t="s">
        <v>122</v>
      </c>
      <c r="EK7" s="37" t="s">
        <v>120</v>
      </c>
      <c r="EM7" s="44"/>
      <c r="EN7" s="36">
        <f>SQRT((A7-$A$83)^2+(B7-$B$83)^2+(C7-$C$83)^2+(D7-$D$83)^2+(E7-$E$83)^2+(F7-$F$83)^2+(G7-$G$83)^2+(H7-$H$83)^2+(I7-$I$83)^2+(J7-$J$83)^2+(K7-$K$83)^2+(L7-$L$83)^2+(M7-$M$83)^2+(N7-$N$83)^2+(O7-$O$83)^2+(P7-$P$83)^2+(Q7-$Q$83)^2+(R7-$R$83)^2+(S7-$S$83)^2+(T7-$T$83)^2+(U7-$U$83)^2+(V7-$V$83)^2+(W7-$W$83)^2+(X7-$X$83)^2+(Y7-$Y$83)^2+(Z7-$Z$83)^2+(AA7-$AA$83)^2+(AB7-$AB$83)^2+(AC7-$AC$83)^2+(AD7-$AD$83)^2+(AE7-$AE$83)^2+(AF7-$AF$83)^2+(AG7-$AG$83)^2)</f>
        <v>0.95777923081026062</v>
      </c>
      <c r="EO7" s="36" t="s">
        <v>338</v>
      </c>
      <c r="EP7" s="37" t="s">
        <v>120</v>
      </c>
      <c r="ER7" s="44"/>
      <c r="ES7" s="36">
        <f>SQRT((A7-$A$84)^2+(B7-$B$84)^2+(C7-$C$84)^2+(D7-$D$84)^2+(E7-$E$84)^2+(F7-$F$84)^2+(G7-$G$84)^2+(H7-$H$84)^2+(I7-$I$84)^2+(J7-$J$84)^2+(K7-$K$84)^2+(L7-$L$84)^2+(M7-$M$84)^2+(N7-$N$84)^2+(O7-$O$84)^2+(P7-$P$84)^2+(Q7-$Q$84)^2+(R7-$R$84)^2+(S7-$S$84)^2+(T7-$T$84)^2+(U7-$U$84)^2+(V7-$V$84)^2+(W7-$W$84)^2+(X7-$X$84)^2+(Y7-$Y$84)^2+(Z7-$Z$84)^2+(AA7-$AA$84)^2+(AB7-$AB$84)^2+(AC7-$AC$84)^2+(AD7-$AD$84)^2+(AE7-$AE$84)^2+(AF7-$AF$84)^2+(AG7-$AG$84)^2)</f>
        <v>0</v>
      </c>
      <c r="ET7" s="36" t="s">
        <v>320</v>
      </c>
      <c r="EU7" s="37" t="s">
        <v>120</v>
      </c>
      <c r="EW7" s="44"/>
      <c r="EX7" s="36">
        <f>SQRT((A7-$A$85)^2+(B7-$B$85)^2+(C7-$C$85)^2+(D7-$D$85)^2+(E7-$E$85)^2+(F7-$F$85)^2+(G7-$G$85)^2+(H7-$H$85)^2+(I7-$I$85)^2+(J7-$J$85)^2+(K7-$K$85)^2+(L7-$L$85)^2+(M7-$M$85)^2+(N7-$N$85)^2+(O7-$O$85)^2+(P7-$P$85)^2+(Q7-$Q$85)^2+(R7-$R$85)^2+(S7-$S$85)^2+(T7-$T$85)^2+(U7-$U$85)^2+(V7-$V$85)^2+(W7-$W$85)^2+(X7-$X$85)^2+(Y7-$Y$85)^2+(Z7-$Z$85)^2+(AA7-$AA$85)^2+(AB7-$AB$85)^2+(AC7-$AC$85)^2+(AD7-$AD$85)^2+(AE7-$AE$85)^2+(AF7-$AF$85)^2+(AG7-$AG$85)^2)</f>
        <v>0</v>
      </c>
      <c r="EY7" s="36" t="s">
        <v>320</v>
      </c>
      <c r="EZ7" s="37" t="s">
        <v>120</v>
      </c>
      <c r="FB7" s="44"/>
      <c r="FC7" s="36">
        <f>SQRT((A7-$A$86)^2+(B7-$B$86)^2+(C7-$C$86)^2+(D7-$D$86)^2+(E7-$E$86)^2+(F7-$F$86)^2+(G7-$G$86)^2+(H7-$H$86)^2+(I7-$I$86)^2+(J7-$J$86)^2+(K7-$K$86)^2+(L7-$L$86)^2+(M7-$M$86)^2+(N7-$N$86)^2+(O7-$O$86)^2+(P7-$P$86)^2+(Q7-$Q$86)^2+(R7-$R$86)^2+(S7-$S$86)^2+(T7-$T$86)^2+(U7-$U$86)^2+(V7-$V$86)^2+(W7-$W$86)^2+(X7-$X$86)^2+(Y7-$Y$86)^2+(Z7-$Z$86)^2+(AA7-$AA$86)^2+(AB7-$AB$86)^2+(AC7-$AC$86)^2+(AD7-$AD$86)^2+(AE7-$AE$86)^2+(AF7-$AF$86)^2+(AG7-$AG$86)^2)</f>
        <v>0</v>
      </c>
      <c r="FD7" s="36" t="s">
        <v>320</v>
      </c>
      <c r="FE7" s="37" t="s">
        <v>120</v>
      </c>
      <c r="FG7" s="44"/>
      <c r="FH7" s="36">
        <f>SQRT((A7-$A$87)^2+(B7-$B$87)^2+(C7-$C$87)^2+(D7-$D$87)^2+(E7-$E$87)^2+(F7-$F$87)^2+(G7-$G$87)^2+(H7-$H$87)^2+(I7-$I$87)^2+(J7-$J$87)^2+(K7-$K$87)^2+(L7-$L$87)^2+(M7-$M$87)^2+(N7-$N$87)^2+(O7-$O$87)^2+(P7-$P$87)^2+(Q7-$Q$87)^2+(R7-$R$87)^2+(S7-$S$87)^2+(T7-$T$87)^2+(U7-$U$87)^2+(V7-$V$87)^2+(W7-$W$87)^2+(X7-$X$87)^2+(Y7-$Y$87)^2+(Z7-$Z$87)^2+(AA7-$AA$87)^2+(AB7-$AB$87)^2+(AC7-$AC$87)^2+(AD7-$AD$87)^2+(AE7-$AE$87)^2+(AF7-$AF$87)^2+(AG7-$AG$87)^2)</f>
        <v>0.97200717336145681</v>
      </c>
      <c r="FI7" s="36" t="s">
        <v>152</v>
      </c>
      <c r="FJ7" s="37" t="s">
        <v>120</v>
      </c>
      <c r="FL7" s="44"/>
      <c r="FM7" s="36">
        <f>SQRT((A7-$A$88)^2+(B7-$B$88)^2+(C7-$C$88)^2+(D7-$D$88)^2+(E7-$E$88)^2+(F7-$F$88)^2+(G7-$G$88)^2+(H7-$H$88)^2+(I7-$I$88)^2+(J7-$J$88)^2+(K7-$K$88)^2+(L7-$L$88)^2+(M7-$M$88)^2+(N7-$N$88)^2+(O7-$O$88)^2+(P7-$P$88)^2+(Q7-$Q$88)^2+(R7-$R$88)^2+(S7-$S$88)^2+(T7-$T$88)^2+(U7-$U$88)^2+(V7-$V$88)^2+(W7-$W$88)^2+(X7-$X$88)^2+(Y7-$Y$88)^2+(Z7-$Z$88)^2+(AA7-$AA$88)^2+(AB7-$AB$88)^2+(AC7-$AC$88)^2+(AD7-$AD$88)^2+(AE7-$AE$88)^2+(AF7-$AF$88)^2+(AG7-$AG$88)^2)</f>
        <v>1.1348474957061225</v>
      </c>
      <c r="FN7" s="36" t="s">
        <v>319</v>
      </c>
      <c r="FO7" s="37" t="s">
        <v>120</v>
      </c>
      <c r="FQ7" s="44"/>
      <c r="FR7" s="36">
        <f>SQRT((A7-$A$89)^2+(B7-$B$89)^2+(C7-$C$89)^2+(D7-$D$89)^2+(E7-$E$89)^2+(F7-$F$89)^2+(G7-$G$89)^2+(H7-$H$89)^2+(I7-$I$89)^2+(J7-$J$89)^2+(K7-$K$89)^2+(L7-$L$89)^2+(M7-$M$89)^2+(N7-$N$89)^2+(O7-$O$89)^2+(P7-$P$89)^2+(Q7-$Q$89)^2+(R7-$R$89)^2+(S7-$S$89)^2+(T7-$T$89)^2+(U7-$U$89)^2+(V7-$V$89)^2+(W7-$W$89)^2+(X7-$X$89)^2+(Y7-$Y$89)^2+(Z7-$Z$89)^2+(AA7-$AA$89)^2+(AB7-$AB$89)^2+(AC7-$AC$89)^2+(AD7-$AD$89)^2+(AE7-$AE$89)^2+(AF7-$AF$89)^2+(AG7-$AG$89)^2)</f>
        <v>1.5464558617671604</v>
      </c>
      <c r="FS7" s="36" t="s">
        <v>315</v>
      </c>
      <c r="FT7" s="37" t="s">
        <v>120</v>
      </c>
      <c r="FV7" s="44"/>
      <c r="FW7" s="36">
        <f>SQRT((A7-$A$90)^2+(B7-$B$90)^2+(C7-$C$90)^2+(D7-$D$90)^2+(E7-$E$90)^2+(F7-$F$90)^2+(G7-$G$90)^2+(H7-$H$90)^2+(I7-$I$90)^2+(J7-$J$90)^2+(K7-$K$90)^2+(L7-$L$90)^2+(M7-$M$90)^2+(N7-$N$90)^2+(O7-$O$90)^2+(P7-$P$90)^2+(Q7-$Q$90)^2+(R7-$R$90)^2+(S7-$S$90)^2+(T7-$T$90)^2+(U7-$U$90)^2+(V7-$V$90)^2+(W7-$W$90)^2+(X7-$X$90)^2+(Y7-$Y$90)^2+(Z7-$Z$90)^2+(AA7-$AA$90)^2+(AB7-$AB$90)^2+(AC7-$AC$90)^2+(AD7-$AD$90)^2+(AE7-$AE$90)^2+(AF7-$AF$90)^2+(AG7-$AG$90)^2)</f>
        <v>1.5349934074665983</v>
      </c>
      <c r="FX7" s="36" t="s">
        <v>319</v>
      </c>
      <c r="FY7" s="37" t="s">
        <v>120</v>
      </c>
      <c r="GA7" s="44"/>
      <c r="GB7" s="36">
        <f>SQRT((A7-$A$91)^2+(B7-$B$91)^2+(C7-$C$91)^2+(D7-$D$91)^2+(E7-$E$91)^2+(F7-$F$91)^2+(G7-$G$91)^2+(H7-$H$91)^2+(I7-$I$91)^2+(J7-$J$91)^2+(K7-$K$91)^2+(L7-$L$91)^2+(M7-$M$91)^2+(N7-$N$91)^2+(O7-$O$91)^2+(P7-$P$91)^2+(Q7-$Q$91)^2+(R7-$R$91)^2+(S7-$S$91)^2+(T7-$T$91)^2+(U7-$U$91)^2+(V7-$V$91)^2+(W7-$W$91)^2+(X7-$X$91)^2+(Y7-$Y$91)^2+(Z7-$Z$91)^2+(AA7-$AA$91)^2+(AB7-$AB$91)^2+(AC7-$AC$91)^2+(AD7-$AD$91)^2+(AE7-$AE$91)^2+(AF7-$AF$91)^2+(AG7-$AG$91)^2)</f>
        <v>1.6928697576375886</v>
      </c>
      <c r="GC7" s="36" t="s">
        <v>127</v>
      </c>
      <c r="GD7" s="37" t="s">
        <v>120</v>
      </c>
      <c r="GF7" s="44"/>
      <c r="GG7" s="36">
        <f>SQRT((A7-$A$92)^2+(B7-$B$92)^2+(C7-$C$92)^2+(D7-$D$92)^2+(E7-$E$92)^2+(F7-$F$92)^2+(G7-$G$92)^2+(H7-$H$92)^2+(I7-$I$92)^2+(J7-$J$92)^2+(K7-$K$92)^2+(L7-$L$92)^2+(M7-$M$92)^2+(N7-$N$92)^2+(O7-$O$92)^2+(P7-$P$92)^2+(Q7-$Q$92)^2+(R7-$R$92)^2+(S7-$S$92)^2+(T7-$T$92)^2+(U7-$U$92)^2+(V7-$V$92)^2+(W7-$W$92)^2+(X7-$X$92)^2+(Y7-$Y$92)^2+(Z7-$Z$92)^2+(AA7-$AA$92)^2+(AB7-$AB$92)^2+(AC7-$AC$92)^2+(AD7-$AD$92)^2+(AE7-$AE$92)^2+(AF7-$AF$92)^2+(AG7-$AG$92)^2)</f>
        <v>1.5192471934052019</v>
      </c>
      <c r="GH7" s="36" t="s">
        <v>149</v>
      </c>
      <c r="GI7" s="37" t="s">
        <v>120</v>
      </c>
      <c r="GK7" s="44"/>
      <c r="GL7" s="36">
        <f>SQRT((A7-$A$93)^2+(B7-$B$93)^2+(C7-$C$93)^2+(D7-$D$93)^2+(E7-$E$93)^2+(F7-$F$93)^2+(G7-$G$93)^2+(H7-$H$93)^2+(I7-$I$93)^2+(J7-$J$93)^2+(K7-$K$93)^2+(L7-$L$93)^2+(M7-$M$93)^2+(N7-$N$93)^2+(O7-$O$93)^2+(P7-$P$93)^2+(Q7-$Q$93)^2+(R7-$R$93)^2+(S7-$S$93)^2+(T7-$T$93)^2+(U7-$U$93)^2+(V7-$V$93)^2+(W7-$W$93)^2+(X7-$X$93)^2+(Y7-$Y$93)^2+(Z7-$Z$93)^2+(AA7-$AA$93)^2+(AB7-$AB$93)^2+(AC7-$AC$93)^2+(AD7-$AD$93)^2+(AE7-$AE$93)^2+(AF7-$AF$93)^2+(AG7-$AG$93)^2)</f>
        <v>1.7785055277960402</v>
      </c>
      <c r="GM7" s="36" t="s">
        <v>127</v>
      </c>
      <c r="GN7" s="37" t="s">
        <v>120</v>
      </c>
      <c r="GP7" s="44"/>
      <c r="GQ7" s="36">
        <f>SQRT((A7-$A$94)^2+(B7-$B$94)^2+(C7-$C$94)^2+(D7-$D$94)^2+(E7-$E$94)^2+(F7-$F$94)^2+(G7-$G$94)^2+(H7-$H$94)^2+(I7-$I$94)^2+(J7-$J$94)^2+(K7-$K$94)^2+(L7-$L$94)^2+(M7-$M$94)^2+(N7-$N$94)^2+(O7-$O$94)^2+(P7-$P$94)^2+(Q7-$Q$94)^2+(R7-$R$94)^2+(S7-$S$94)^2+(T7-$T$94)^2+(U7-$U$94)^2+(V7-$V$94)^2+(W7-$W$94)^2+(X7-$X$94)^2+(Y7-$Y$94)^2+(Z7-$Z$94)^2+(AA7-$AA$94)^2+(AB7-$AB$94)^2+(AC7-$AC$94)^2+(AD7-$AD$94)^2+(AE7-$AE$94)^2+(AF7-$AF$94)^2+(AG7-$AG$94)^2)</f>
        <v>1.0229963837983551</v>
      </c>
      <c r="GR7" s="36" t="s">
        <v>127</v>
      </c>
      <c r="GS7" s="37" t="s">
        <v>120</v>
      </c>
      <c r="GU7" s="44"/>
      <c r="GV7" s="36">
        <f>SQRT((A7-$A$95)^2+(B7-$B$95)^2+(C7-$C$95)^2+(D7-$D$95)^2+(E7-$E$95)^2+(F7-$F$95)^2+(G7-$G$95)^2+(H7-$H$95)^2+(I7-$I$95)^2+(J7-$J$95)^2+(K7-$K$95)^2+(L7-$L$95)^2+(M7-$M$95)^2+(N7-$N$95)^2+(O7-$O$95)^2+(P7-$P$95)^2+(Q7-$Q$95)^2+(R7-$R$95)^2+(S7-$S$95)^2+(T7-$T$95)^2+(U7-$U$95)^2+(V7-$V$95)^2+(W7-$W$95)^2+(X7-$X$95)^2+(Y7-$Y$95)^2+(Z7-$Z$95)^2+(AA7-$AA$95)^2+(AB7-$AB$95)^2+(AC7-$AC$95)^2+(AD7-$AD$95)^2+(AE7-$AE$95)^2+(AF7-$AF$95)^2+(AG7-$AG$95)^2)</f>
        <v>2.248679199469116</v>
      </c>
      <c r="GW7" s="36" t="s">
        <v>146</v>
      </c>
      <c r="GX7" s="37" t="s">
        <v>120</v>
      </c>
      <c r="GZ7" s="44"/>
      <c r="HA7" s="36">
        <f>SQRT((A7-$A$96)^2+(B7-$B$96)^2+(C7-$C$96)^2+(D7-$D$96)^2+(E7-$E$96)^2+(F7-$F$96)^2+(G7-$G$96)^2+(H7-$H$96)^2+(I7-$I$96)^2+(J7-$J$96)^2+(K7-$K$96)^2+(L7-$L$96)^2+(M7-$M$96)^2+(N7-$N$96)^2+(O7-$O$96)^2+(P7-$P$96)^2+(Q7-$Q$96)^2+(R7-$R$96)^2+(S7-$S$96)^2+(T7-$T$96)^2+(U7-$U$96)^2+(V7-$V$96)^2+(W7-$W$96)^2+(X7-$X$96)^2+(Y7-$Y$96)^2+(Z7-$Z$96)^2+(AA7-$AA$96)^2+(AB7-$AB$96)^2+(AC7-$AC$96)^2+(AD7-$AD$96)^2+(AE7-$AE$96)^2+(AF7-$AF$96)^2+(AG7-$AG$96)^2)</f>
        <v>2.1132636339302331</v>
      </c>
      <c r="HB7" s="36" t="s">
        <v>320</v>
      </c>
      <c r="HC7" s="37" t="s">
        <v>120</v>
      </c>
      <c r="HE7" s="44"/>
      <c r="HF7" s="36">
        <f>SQRT((A7-$A$97)^2+(B7-$B$97)^2+(C7-$C$97)^2+(D7-$D$97)^2+(E7-$E$97)^2+(F7-$F$97)^2+(G7-$G$97)^2+(H7-$H$97)^2+(I7-$I$97)^2+(J7-$J$97)^2+(K7-$K$97)^2+(L7-$L$97)^2+(M7-$M$97)^2+(N7-$N$97)^2+(O7-$O$97)^2+(P7-$P$97)^2+(Q7-$Q$97)^2+(R7-$R$97)^2+(S7-$S$97)^2+(T7-$T$97)^2+(U7-$U$97)^2+(V7-$V$97)^2+(W7-$W$97)^2+(X7-$X$97)^2+(Y7-$Y$97)^2+(Z7-$Z$97)^2+(AA7-$AA$97)^2+(AB7-$AB$97)^2+(AC7-$AC$97)^2+(AD7-$AD$97)^2+(AE7-$AE$97)^2+(AF7-$AF$97)^2+(AG7-$AG$97)^2)</f>
        <v>0</v>
      </c>
      <c r="HG7" s="36" t="s">
        <v>320</v>
      </c>
      <c r="HH7" s="37" t="s">
        <v>120</v>
      </c>
      <c r="HJ7" s="44"/>
      <c r="HK7" s="36">
        <f>SQRT((A7-$A$98)^2+(B7-$B$98)^2+(C7-$C$98)^2+(D7-$D$98)^2+(E7-$E$98)^2+(F7-$F$98)^2+(G7-$G$98)^2+(H7-$H$98)^2+(I7-$I$98)^2+(J7-$J$98)^2+(K7-$K$98)^2+(L7-$L$98)^2+(M7-$M$98)^2+(N7-$N$98)^2+(O7-$O$98)^2+(P7-$P$98)^2+(Q7-$Q$98)^2+(R7-$R$98)^2+(S7-$S$98)^2+(T7-$T$98)^2+(U7-$U$98)^2+(V7-$V$98)^2+(W7-$W$98)^2+(X7-$X$98)^2+(Y7-$Y$98)^2+(Z7-$Z$98)^2+(AA7-$AA$98)^2+(AB7-$AB$98)^2+(AC7-$AC$98)^2+(AD7-$AD$98)^2+(AE7-$AE$98)^2+(AF7-$AF$98)^2+(AG7-$AG$98)^2)</f>
        <v>0</v>
      </c>
      <c r="HL7" s="36" t="s">
        <v>320</v>
      </c>
      <c r="HM7" s="37" t="s">
        <v>120</v>
      </c>
      <c r="HO7" s="44"/>
      <c r="HP7" s="36">
        <f>SQRT((A7-$A$99)^2+(B7-$B$99)^2+(C7-$C$99)^2+(D7-$D$99)^2+(E7-$E$99)^2+(F7-$F$99)^2+(G7-$G$99)^2+(H7-$H$99)^2+(I7-$I$99)^2+(J7-$J$99)^2+(K7-$K$99)^2+(L7-$L$99)^2+(M7-$M$99)^2+(N7-$N$99)^2+(O7-$O$99)^2+(P7-$P$99)^2+(Q7-$Q$99)^2+(R7-$R$99)^2+(S7-$S$99)^2+(T7-$T$99)^2+(U7-$U$99)^2+(V7-$V$99)^2+(W7-$W$99)^2+(X7-$X$99)^2+(Y7-$Y$99)^2+(Z7-$Z$99)^2+(AA7-$AA$99)^2+(AB7-$AB$99)^2+(AC7-$AC$99)^2+(AD7-$AD$99)^2+(AE7-$AE$99)^2+(AF7-$AF$99)^2+(AG7-$AG$99)^2)</f>
        <v>0</v>
      </c>
      <c r="HQ7" s="36" t="s">
        <v>320</v>
      </c>
      <c r="HR7" s="37" t="s">
        <v>120</v>
      </c>
      <c r="HT7" s="44"/>
      <c r="HU7" s="36">
        <f>SQRT((A7-$A$100)^2+(B7-$B$100)^2+(C7-$C$100)^2+(D7-$D$100)^2+(E7-$E$100)^2+(F7-$F$100)^2+(G7-$G$100)^2+(H7-$H$100)^2+(I7-$I$100)^2+(J7-$J$100)^2+(K7-$K$100)^2+(L7-$L$100)^2+(M7-$M$100)^2+(N7-$N$100)^2+(O7-$O$100)^2+(P7-$P$100)^2+(Q7-$Q$100)^2+(R7-$R$100)^2+(S7-$S$100)^2+(T7-$T$100)^2+(U7-$U$100)^2+(V7-$V$100)^2+(W7-$W$100)^2+(X7-$X$100)^2+(Y7-$Y$100)^2+(Z7-$Z$100)^2+(AA7-$AA$100)^2+(AB7-$AB$100)^2+(AC7-$AC$100)^2+(AD7-$AD$100)^2+(AE7-$AE$100)^2+(AF7-$AF$100)^2+(AG7-$AG$100)^2)</f>
        <v>0</v>
      </c>
      <c r="HV7" s="36" t="s">
        <v>320</v>
      </c>
      <c r="HW7" s="37" t="s">
        <v>120</v>
      </c>
      <c r="HY7" s="44"/>
      <c r="HZ7" s="36">
        <f>SQRT((A7-$A$101)^2+(B7-$B$101)^2+(C7-$C$101)^2+(D7-$D$101)^2+(E7-$E$101)^2+(F7-$F$101)^2+(G7-$G$101)^2+(H7-$H$101)^2+(I7-$I$101)^2+(J7-$J$101)^2+(K7-$K$101)^2+(L7-$L$101)^2+(M7-$M$101)^2+(N7-$N$101)^2+(O7-$O$101)^2+(P7-$P$101)^2+(Q7-$Q$101)^2+(R7-$R$101)^2+(S7-$S$101)^2+(T7-$T$101)^2+(U7-$U$101)^2+(V7-$V$101)^2+(W7-$W$101)^2+(X7-$X$101)^2+(Y7-$Y$101)^2+(Z7-$Z$101)^2+(AA7-$AA$101)^2+(AB7-$AB$101)^2+(AC7-$AC$101)^2+(AD7-$AD$101)^2+(AE7-$AE$101)^2+(AF7-$AF$101)^2+(AG7-$AG$101)^2)</f>
        <v>1.4405513255795901</v>
      </c>
      <c r="IA7" s="36" t="s">
        <v>315</v>
      </c>
      <c r="IB7" s="37" t="s">
        <v>120</v>
      </c>
    </row>
    <row r="8" spans="1:236" x14ac:dyDescent="0.35">
      <c r="A8" s="2">
        <v>0.83333333333333304</v>
      </c>
      <c r="B8" s="2">
        <v>0.5</v>
      </c>
      <c r="C8" s="2">
        <v>0</v>
      </c>
      <c r="D8" s="2">
        <v>0.66666666666666596</v>
      </c>
      <c r="E8" s="2">
        <v>0</v>
      </c>
      <c r="F8" s="2">
        <v>1</v>
      </c>
      <c r="G8" s="2">
        <v>0.55555555555555503</v>
      </c>
      <c r="H8" s="2">
        <v>1</v>
      </c>
      <c r="I8" s="2">
        <v>0.5</v>
      </c>
      <c r="J8" s="2">
        <v>0</v>
      </c>
      <c r="K8" s="2">
        <v>0</v>
      </c>
      <c r="L8" s="2">
        <v>0</v>
      </c>
      <c r="M8" s="2">
        <v>1</v>
      </c>
      <c r="N8" s="2">
        <v>0.33333333333333298</v>
      </c>
      <c r="O8" s="2">
        <v>0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0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0</v>
      </c>
      <c r="AH8" s="2" t="s">
        <v>120</v>
      </c>
      <c r="AI8" s="42"/>
      <c r="AJ8" s="42"/>
      <c r="AL8" s="44"/>
      <c r="AM8" s="36">
        <f>SQRT((A8-$A$62)^2+(B8-$B$62)^2+(C8-$C$62)^2+(D8-$D$62)^2+(E8-$E$62)^2+(F8-$F$62)^2+(G8-$G$62)^2+(H8-$H$62)^2+(I8-$I$62)^2+(J8-$J$62)^2+(K8-$K$62)^2+(L8-$L$62)^2+(M8-$M$62)^2+(N8-$N$62)^2+(O8-$O$62)^2+(P8-$P$62)^2+(Q8-$Q$62)^2+(R8-$R$62)^2+(S8-$S$62)^2+(T8-$T$62)^2+(U8-$U$62)^2+(V8-$V$62)^2+(W8-$W$62)^2+(X8-$X$62)^2+(Y8-$Y$62)^2+(Z8-$Z$62)^2+(AA8-$AA$62)^2+(AB8-$AB$62)^2+(AC8-$AC$62)^2+(AD8-$AD$62)^2+(AE8-$AE$62)^2+(AF8-$AF$62)^2+(AG8-$AG$62)^2)</f>
        <v>1.6971381139370407</v>
      </c>
      <c r="AN8" s="36" t="s">
        <v>127</v>
      </c>
      <c r="AO8" s="37" t="s">
        <v>120</v>
      </c>
      <c r="AP8" s="30"/>
      <c r="AQ8" s="44"/>
      <c r="AR8" s="36">
        <f>SQRT((A8-$A$63)^2+(B8-$B$63)^2+(C8-$C$63)^2+(D8-$D$63)^2+(E8-$E$63)^2+(F8-$F$63)^2+(G8-$G$63)^2+(H8-$H$63)^2+(I8-$I$63)^2+(J8-$J$63)^2+(K8-$K$63)^2+(L8-$L$63)^2+(M8-$M$63)^2+(N8-$N$63)^2+(O8-$O$63)^2+(P8-$P$63)^2+(Q8-$Q$63)^2+(R8-$R$63)^2+(S8-$S$63)^2+(T8-$T$63)^2+(U8-$U$63)^2+(V8-$V$63)^2+(W8-$W$63)^2+(X8-$X$63)^2+(Y8-$Y$63)^2+(Z8-$Z$63)^2+(AA8-$AA$63)^2+(AB8-$AB$63)^2+(AC8-$AC$63)^2+(AD8-$AD$63)^2+(AE8-$AE$63)^2+(AF8-$AF$63)^2+(AG8-$AG$63)^2)</f>
        <v>1.2124455123053828</v>
      </c>
      <c r="AS8" s="36" t="s">
        <v>125</v>
      </c>
      <c r="AT8" s="37" t="s">
        <v>120</v>
      </c>
      <c r="AU8" s="30"/>
      <c r="AV8" s="44"/>
      <c r="AW8" s="36">
        <f>SQRT((A8-$A$64)^2+(B8-$B$64)^2+(C8-$C$64)^2+(D8-$D$64)^2+(E8-$E$64)^2+(F8-$F$64)^2+(G8-$G$64)^2+(H8-$H$64)^2+(I8-$I$64)^2+(J8-$J$64)^2+(K8-$K$64)^2+(L8-$L$64)^2+(M8-$M$64)^2+(N8-$N$64)^2+(O8-$O$64)^2+(P8-$P$64)^2+(Q8-$Q$64)^2+(R8-$R$64)^2+(S8-$S$64)^2+(T8-$T$64)^2+(U8-$U$64)^2+(V8-$V$64)^2+(W8-$W$64)^2+(X8-$X$64)^2+(Y8-$Y$64)^2+(Z8-$Z$64)^2+(AA8-$AA$64)^2+(AB8-$AB$64)^2+(AC8-$AC$64)^2+(AD8-$AD$64)^2+(AE8-$AE$64)^2+(AF8-$AF$64)^2+(AG8-$AG$64)^2)</f>
        <v>1.2124455123053828</v>
      </c>
      <c r="AX8" s="36" t="s">
        <v>125</v>
      </c>
      <c r="AY8" s="37" t="s">
        <v>120</v>
      </c>
      <c r="AZ8" s="30"/>
      <c r="BA8" s="44"/>
      <c r="BB8" s="36">
        <f>SQRT((A8-$A$65)^2+(B8-$B$65)^2+(C8-$C$65)^2+(D8-$D$65)^2+(E8-$E$65)^2+(F8-$F$65)^2+(G8-$G$65)^2+(H8-$H$65)^2+(I8-$I$65)^2+(J8-$J$65)^2+(K8-$K$65)^2+(L8-$L$65)^2+(M8-$M$65)^2+(N8-$N$65)^2+(O8-$O$65)^2+(P8-$P$65)^2+(Q8-$Q$65)^2+(R8-$R$65)^2+(S8-$S$65)^2+(T8-$T$65)^2+(U8-$U$65)^2+(V8-$V$65)^2+(W8-$W$65)^2+(X8-$X$65)^2+(Y8-$Y$65)^2+(Z8-$Z$65)^2+(AA8-$AA$65)^2+(AB8-$AB$65)^2+(AC8-$AC$65)^2+(AD8-$AD$65)^2+(AE8-$AE$65)^2+(AF8-$AF$65)^2+(AG8-$AG$65)^2)</f>
        <v>1.2124455123053828</v>
      </c>
      <c r="BC8" s="36" t="s">
        <v>125</v>
      </c>
      <c r="BD8" s="37" t="s">
        <v>120</v>
      </c>
      <c r="BE8" s="30"/>
      <c r="BF8" s="44"/>
      <c r="BG8" s="36">
        <f>SQRT((A8-$A$66)^2+(B8-$B$66)^2+(C8-$C$66)^2+(D8-$D$66)^2+(E8-$E$66)^2+(F8-$F$66)^2+(G8-$G$66)^2+(H8-$H$66)^2+(I8-$I$66)^2+(J8-$J$66)^2+(K8-$K$66)^2+(L8-$L$66)^2+(M8-$M$66)^2+(N8-$N$66)^2+(O8-$O$66)^2+(P8-$P$66)^2+(Q8-$Q$66)^2+(R8-$R$66)^2+(S8-$S$66)^2+(T8-$T$66)^2+(U8-$U$66)^2+(V8-$V$66)^2+(W8-$W$66)^2+(X8-$X$66)^2+(Y8-$Y$66)^2+(Z8-$Z$66)^2+(AA8-$AA$66)^2+(AB8-$AB$66)^2+(AC8-$AC$66)^2+(AD8-$AD$66)^2+(AE8-$AE$66)^2+(AF8-$AF$66)^2+(AG8-$AG$66)^2)</f>
        <v>1.2124455123053828</v>
      </c>
      <c r="BH8" s="36" t="s">
        <v>125</v>
      </c>
      <c r="BI8" s="37" t="s">
        <v>120</v>
      </c>
      <c r="BJ8" s="30"/>
      <c r="BK8" s="44"/>
      <c r="BL8" s="36">
        <f>SQRT((A8-$A$67)^2+(B8-$B$67)^2+(C8-$C$67)^2+(D8-$D$67)^2+(E8-$E$67)^2+(F8-$F$67)^2+(G8-$G$67)^2+(H8-$H$67)^2+(I8-$I$67)^2+(J8-$J$67)^2+(K8-$K$67)^2+(L8-$L$67)^2+(M8-$M$67)^2+(N8-$N$67)^2+(O8-$O$67)^2+(P8-$P$67)^2+(Q8-$Q$67)^2+(R8-$R$67)^2+(S8-$S$67)^2+(T8-$T$67)^2+(U8-$U$67)^2+(V8-$V$67)^2+(W8-$W$67)^2+(X8-$X$67)^2+(Y8-$Y$67)^2+(Z8-$Z$67)^2+(AA8-$AA$67)^2+(AB8-$AB$67)^2+(AC8-$AC$67)^2+(AD8-$AD$67)^2+(AE8-$AE$67)^2+(AF8-$AF$67)^2+(AG8-$AG$67)^2)</f>
        <v>1.2124455123053828</v>
      </c>
      <c r="BM8" s="36" t="s">
        <v>125</v>
      </c>
      <c r="BN8" s="37" t="s">
        <v>120</v>
      </c>
      <c r="BO8" s="30"/>
      <c r="BP8" s="44"/>
      <c r="BQ8" s="36">
        <f>SQRT((A8-$A$68)^2+(B8-$B$68)^2+(C8-$C$68)^2+(D8-$D$68)^2+(E8-$E$68)^2+(F8-$F$68)^2+(G8-$G$68)^2+(H8-$H$68)^2+(I8-$I$68)^2+(J8-$J$68)^2+(K8-$K$68)^2+(L8-$L$68)^2+(M8-$M$68)^2+(N8-$N$68)^2+(O8-$O$68)^2+(P8-$P$68)^2+(Q8-$Q$68)^2+(R8-$R$68)^2+(S8-$S$68)^2+(T8-$T$68)^2+(U8-$U$68)^2+(V8-$V$68)^2+(W8-$W$68)^2+(X8-$X$68)^2+(Y8-$Y$68)^2+(Z8-$Z$68)^2+(AA8-$AA$68)^2+(AB8-$AB$68)^2+(AC8-$AC$68)^2+(AD8-$AD$68)^2+(AE8-$AE$68)^2+(AF8-$AF$68)^2+(AG8-$AG$68)^2)</f>
        <v>1.2124455123053828</v>
      </c>
      <c r="BR8" s="36" t="s">
        <v>125</v>
      </c>
      <c r="BS8" s="37" t="s">
        <v>120</v>
      </c>
      <c r="BT8" s="30"/>
      <c r="BU8" s="44"/>
      <c r="BV8" s="36">
        <f>SQRT((A8-$A$69)^2+(B8-$B$69)^2+(C8-$C$69)^2+(D8-$D$69)^2+(E8-$E$69)^2+(F8-$F$69)^2+(G8-$G$69)^2+(H8-$H$69)^2+(I8-$I$69)^2+(J8-$J$69)^2+(K8-$K$69)^2+(L8-$L$69)^2+(M8-$M$69)^2+(N8-$N$69)^2+(O8-$O$69)^2+(P8-$P$69)^2+(Q8-$Q$69)^2+(R8-$R$69)^2+(S8-$S$69)^2+(T8-$T$69)^2+(U8-$U$69)^2+(V8-$V$69)^2+(W8-$W$69)^2+(X8-$X$69)^2+(Y8-$Y$69)^2+(Z8-$Z$69)^2+(AA8-$AA$69)^2+(AB8-$AB$69)^2+(AC8-$AC$69)^2+(AD8-$AD$69)^2+(AE8-$AE$69)^2+(AF8-$AF$69)^2+(AG8-$AG$69)^2)</f>
        <v>2.4985368761245859</v>
      </c>
      <c r="BW8" s="36" t="s">
        <v>126</v>
      </c>
      <c r="BX8" s="37" t="s">
        <v>120</v>
      </c>
      <c r="BZ8" s="44"/>
      <c r="CA8" s="36">
        <f>SQRT((A8-$A$70)^2+(B8-$B$70)^2+(C8-$C$70)^2+(D8-$D$70)^2+(E8-$E$70)^2+(F8-$F$70)^2+(G8-$G$70)^2+(H8-$H$70)^2+(I8-$I$70)^2+(J8-$J$70)^2+(K8-$K$70)^2+(L8-$L$70)^2+(M8-$M$70)^2+(N8-$N$70)^2+(O8-$O$70)^2+(P8-$P$70)^2+(Q8-$Q$70)^2+(R8-$R$70)^2+(S8-$S$70)^2+(T8-$T$70)^2+(U8-$U$70)^2+(V8-$V$70)^2+(W8-$W$70)^2+(X8-$X$70)^2+(Y8-$Y$70)^2+(Z8-$Z$70)^2+(AA8-$AA$70)^2+(AB8-$AB$70)^2+(AC8-$AC$70)^2+(AD8-$AD$70)^2+(AE8-$AE$70)^2+(AF8-$AF$70)^2+(AG8-$AG$70)^2)</f>
        <v>1.3216605675422246</v>
      </c>
      <c r="CB8" s="36" t="s">
        <v>125</v>
      </c>
      <c r="CC8" s="37" t="s">
        <v>120</v>
      </c>
      <c r="CE8" s="44"/>
      <c r="CF8" s="36">
        <f>SQRT((A8-$A$71)^2+(B8-$B$71)^2+(C8-$C$71)^2+(D8-$D$71)^2+(E8-$E$71)^2+(F8-$F$71)^2+(G8-$G$71)^2+(H8-$H$71)^2+(I8-$I$71)^2+(J8-$J$71)^2+(K8-$K$71)^2+(L8-$L$71)^2+(M8-$M$71)^2+(N8-$N$71)^2+(O8-$O$71)^2+(P8-$P$71)^2+(Q8-$Q$71)^2+(R8-$R$71)^2+(S8-$S$71)^2+(T8-$T$71)^2+(U8-$U$71)^2+(V8-$V$71)^2+(W8-$W$71)^2+(X8-$X$71)^2+(Y8-$Y$71)^2+(Z8-$Z$71)^2+(AA8-$AA$71)^2+(AB8-$AB$71)^2+(AC8-$AC$71)^2+(AD8-$AD$71)^2+(AE8-$AE$71)^2+(AF8-$AF$71)^2+(AG8-$AG$71)^2)</f>
        <v>0.87613925213368238</v>
      </c>
      <c r="CG8" s="36" t="s">
        <v>128</v>
      </c>
      <c r="CH8" s="37" t="s">
        <v>120</v>
      </c>
      <c r="CJ8" s="44"/>
      <c r="CK8" s="36">
        <f>SQRT((A8-$A$72)^2+(B8-$B$72)^2+(C8-$C$72)^2+(D8-$D$72)^2+(E8-$E$72)^2+(F8-$F$72)^2+(G8-$G$72)^2+(H8-$H$72)^2+(I8-$I$72)^2+(J8-$J$72)^2+(K8-$K$72)^2+(L8-$L$72)^2+(M8-$M$72)^2+(N8-$N$72)^2+(O8-$O$72)^2+(P8-$P$72)^2+(Q8-$Q$72)^2+(R8-$R$72)^2+(S8-$S$72)^2+(T8-$T$72)^2+(U8-$U$72)^2+(V8-$V$72)^2+(W8-$W$72)^2+(X8-$X$72)^2+(Y8-$Y$72)^2+(Z8-$Z$72)^2+(AA8-$AA$72)^2+(AB8-$AB$72)^2+(AC8-$AC$72)^2+(AD8-$AD$72)^2+(AE8-$AE$72)^2+(AF8-$AF$72)^2+(AG8-$AG$72)^2)</f>
        <v>1.0970764691911064</v>
      </c>
      <c r="CL8" s="36" t="s">
        <v>331</v>
      </c>
      <c r="CM8" s="37" t="s">
        <v>120</v>
      </c>
      <c r="CO8" s="44"/>
      <c r="CP8" s="36">
        <f>SQRT((A8-$A$73)^2+(B8-$B$73)^2+(C8-$C$73)^2+(D8-$D$73)^2+(E8-$E$73)^2+(F8-$F$73)^2+(G8-$G$73)^2+(H8-$H$73)^2+(I8-$I$73)^2+(J8-$J$73)^2+(K8-$K$73)^2+(L8-$L$73)^2+(M8-$M$73)^2+(N8-$N$73)^2+(O8-$O$73)^2+(P8-$P$73)^2+(Q8-$Q$73)^2+(R8-$R$73)^2+(S8-$S$73)^2+(T8-$T$73)^2+(U8-$U$73)^2+(V8-$V$73)^2+(W8-$W$73)^2+(X8-$X$73)^2+(Y8-$Y$73)^2+(Z8-$Z$73)^2+(AA8-$AA$73)^2+(AB8-$AB$73)^2+(AC8-$AC$73)^2+(AD8-$AD$73)^2+(AE8-$AE$73)^2+(AF8-$AF$73)^2+(AG8-$AG$73)^2)</f>
        <v>1.653699556213952</v>
      </c>
      <c r="CQ8" s="36" t="s">
        <v>125</v>
      </c>
      <c r="CR8" s="37" t="s">
        <v>120</v>
      </c>
      <c r="CT8" s="44"/>
      <c r="CU8" s="36">
        <f>SQRT((A8-$A$74)^2+(B8-$B$74)^2+(C8-$C$74)^2+(D8-$D$74)^2+(E8-$E$74)^2+(F8-$F$74)^2+(G8-$G$74)^2+(H8-$H$74)^2+(I8-$I$74)^2+(J8-$J$74)^2+(K8-$K$74)^2+(L8-$L$74)^2+(M8-$M$74)^2+(N8-$N$74)^2+(O8-$O$74)^2+(P8-$P$74)^2+(Q8-$Q$74)^2+(R8-$R$74)^2+(S8-$S$74)^2+(T8-$T$74)^2+(U8-$U$74)^2+(V8-$V$74)^2+(W8-$W$74)^2+(X8-$X$74)^2+(Y8-$Y$74)^2+(Z8-$Z$74)^2+(AA8-$AA$74)^2+(AB8-$AB$74)^2+(AC8-$AC$74)^2+(AD8-$AD$74)^2+(AE8-$AE$74)^2+(AF8-$AF$74)^2+(AG8-$AG$74)^2)</f>
        <v>1.2473304828045102</v>
      </c>
      <c r="CV8" s="36" t="s">
        <v>126</v>
      </c>
      <c r="CW8" s="37" t="s">
        <v>120</v>
      </c>
      <c r="CY8" s="44"/>
      <c r="CZ8" s="36">
        <f>SQRT((A8-$A$75)^2+(B8-$B$75)^2+(C8-$C$75)^2+(D8-$D$75)^2+(E8-$E$75)^2+(F8-$F$75)^2+(G8-$G$75)^2+(H8-$H$75)^2+(I8-$I$75)^2+(J8-$J$75)^2+(K8-$K$75)^2+(L8-$L$75)^2+(M8-$M$75)^2+(N8-$N$75)^2+(O8-$O$75)^2+(P8-$P$75)^2+(Q8-$Q$75)^2+(R8-$R$75)^2+(S8-$S$75)^2+(T8-$T$75)^2+(U8-$U$75)^2+(V8-$V$75)^2+(W8-$W$75)^2+(X8-$X$75)^2+(Y8-$Y$75)^2+(Z8-$Z$75)^2+(AA8-$AA$75)^2+(AB8-$AB$75)^2+(AC8-$AC$75)^2+(AD8-$AD$75)^2+(AE8-$AE$75)^2+(AF8-$AF$75)^2+(AG8-$AG$75)^2)</f>
        <v>1.3889444433333777</v>
      </c>
      <c r="DA8" s="36" t="s">
        <v>320</v>
      </c>
      <c r="DB8" s="37" t="s">
        <v>120</v>
      </c>
      <c r="DD8" s="44"/>
      <c r="DE8" s="36">
        <f>SQRT((A8-$A$76)^2+(B8-$B$76)^2+(C8-$C$76)^2+(D8-$D$76)^2+(E8-$E$76)^2+(F8-$F$76)^2+(G8-$G$76)^2+(H8-$H$76)^2+(I8-$I$76)^2+(J8-$J$76)^2+(K8-$K$76)^2+(L8-$L$76)^2+(M8-$M$76)^2+(N8-$N$76)^2+(O8-$O$76)^2+(P8-$P$76)^2+(Q8-$Q$76)^2+(R8-$R$76)^2+(S8-$S$76)^2+(T8-$T$76)^2+(U8-$U$76)^2+(V8-$V$76)^2+(W8-$W$76)^2+(X8-$X$76)^2+(Y8-$Y$76)^2+(Z8-$Z$76)^2+(AA8-$AA$76)^2+(AB8-$AB$76)^2+(AC8-$AC$76)^2+(AD8-$AD$76)^2+(AE8-$AE$76)^2+(AF8-$AF$76)^2+(AG8-$AG$76)^2)</f>
        <v>1.2446552400832391</v>
      </c>
      <c r="DF8" s="36" t="s">
        <v>126</v>
      </c>
      <c r="DG8" s="37" t="s">
        <v>120</v>
      </c>
      <c r="DI8" s="44"/>
      <c r="DJ8" s="36">
        <f>SQRT((A8-$A$77)^2+(B8-$B$77)^2+(C8-$C$77)^2+(D8-$D$77)^2+(E8-$E$77)^2+(F8-$F$77)^2+(G8-$G$77)^2+(H8-$H$77)^2+(I8-$I$77)^2+(J8-$J$77)^2+(K8-$K$77)^2+(L8-$L$77)^2+(M8-$M$77)^2+(N8-$N$77)^2+(O8-$O$77)^2+(P8-$P$77)^2+(Q8-$Q$77)^2+(R8-$R$77)^2+(S8-$S$77)^2+(T8-$T$77)^2+(U8-$U$77)^2+(V8-$V$77)^2+(W8-$W$77)^2+(X8-$X$77)^2+(Y8-$Y$77)^2+(Z8-$Z$77)^2+(AA8-$AA$77)^2+(AB8-$AB$77)^2+(AC8-$AC$77)^2+(AD8-$AD$77)^2+(AE8-$AE$77)^2+(AF8-$AF$77)^2+(AG8-$AG$77)^2)</f>
        <v>2.0493901531919194</v>
      </c>
      <c r="DK8" s="36" t="s">
        <v>122</v>
      </c>
      <c r="DL8" s="37" t="s">
        <v>120</v>
      </c>
      <c r="DN8" s="44"/>
      <c r="DO8" s="36">
        <f>SQRT((A8-$A$78)^2+(B8-$B$78)^2+(C8-$C$78)^2+(D8-$D$78)^2+(E8-$E$78)^2+(F8-$F$78)^2+(G8-$G$78)^2+(H8-$H$78)^2+(I8-$I$78)^2+(J8-$J$78)^2+(K8-$K$78)^2+(L8-$L$78)^2+(M8-$M$78)^2+(N8-$N$78)^2+(O8-$O$78)^2+(P8-$P$78)^2+(Q8-$Q$78)^2+(R8-$R$78)^2+(S8-$S$78)^2+(T8-$T$78)^2+(U8-$U$78)^2+(V8-$V$78)^2+(W8-$W$78)^2+(X8-$X$78)^2+(Y8-$Y$78)^2+(Z8-$Z$78)^2+(AA8-$AA$78)^2+(AB8-$AB$78)^2+(AC8-$AC$78)^2+(AD8-$AD$78)^2+(AE8-$AE$78)^2+(AF8-$AF$78)^2+(AG8-$AG$78)^2)</f>
        <v>1.4296276888450556</v>
      </c>
      <c r="DP8" s="36" t="s">
        <v>321</v>
      </c>
      <c r="DQ8" s="37" t="s">
        <v>120</v>
      </c>
      <c r="DS8" s="44"/>
      <c r="DT8" s="36">
        <f>SQRT((A8-$A$79)^2+(B8-$B$79)^2+(C8-$C$79)^2+(D8-$D$79)^2+(E8-$E$79)^2+(F8-$F$79)^2+(G8-$G$79)^2+(H8-$H$79)^2+(I8-$I$79)^2+(J8-$J$79)^2+(K8-$K$79)^2+(L8-$L$79)^2+(M8-$M$79)^2+(N8-$N$79)^2+(O8-$O$79)^2+(P8-$P$79)^2+(Q8-$Q$79)^2+(R8-$R$79)^2+(S8-$S$79)^2+(T8-$T$79)^2+(U8-$U$79)^2+(V8-$V$79)^2+(W8-$W$79)^2+(X8-$X$79)^2+(Y8-$Y$79)^2+(Z8-$Z$79)^2+(AA8-$AA$79)^2+(AB8-$AB$79)^2+(AC8-$AC$79)^2+(AD8-$AD$79)^2+(AE8-$AE$79)^2+(AF8-$AF$79)^2+(AG8-$AG$79)^2)</f>
        <v>0.81825251105042207</v>
      </c>
      <c r="DU8" s="36" t="s">
        <v>131</v>
      </c>
      <c r="DV8" s="37" t="s">
        <v>120</v>
      </c>
      <c r="DX8" s="44"/>
      <c r="DY8" s="36">
        <f>SQRT((A8-$A$80)^2+(B8-$B$80)^2+(C8-$C$80)^2+(D8-$D$80)^2+(E8-$E$80)^2+(F8-$F$80)^2+(G8-$G$80)^2+(H8-$H$80)^2+(I8-$I$80)^2+(J8-$J$80)^2+(K8-$K$80)^2+(L8-$L$80)^2+(M8-$M$80)^2+(N8-$N$80)^2+(O8-$O$80)^2+(P8-$P$80)^2+(Q8-$Q$80)^2+(R8-$R$80)^2+(S8-$S$80)^2+(T8-$T$80)^2+(U8-$U$80)^2+(V8-$V$80)^2+(W8-$W$80)^2+(X8-$X$80)^2+(Y8-$Y$80)^2+(Z8-$Z$80)^2+(AA8-$AA$80)^2+(AB8-$AB$80)^2+(AC8-$AC$80)^2+(AD8-$AD$80)^2+(AE8-$AE$80)^2+(AF8-$AF$80)^2+(AG8-$AG$80)^2)</f>
        <v>1.6415609102991646</v>
      </c>
      <c r="DZ8" s="36" t="s">
        <v>142</v>
      </c>
      <c r="EA8" s="37" t="s">
        <v>120</v>
      </c>
      <c r="EC8" s="44"/>
      <c r="ED8" s="36">
        <f>SQRT((A8-$A$81)^2+(B8-$B$81)^2+(C8-$C$81)^2+(D8-$D$81)^2+(E8-$E$81)^2+(F8-$F$81)^2+(G8-$G$81)^2+(H8-$H$81)^2+(I8-$I$81)^2+(J8-$J$81)^2+(K8-$K$81)^2+(L8-$L$81)^2+(M8-$M$81)^2+(N8-$N$81)^2+(O8-$O$81)^2+(P8-$P$81)^2+(Q8-$Q$81)^2+(R8-$R$81)^2+(S8-$S$81)^2+(T8-$T$81)^2+(U8-$U$81)^2+(V8-$V$81)^2+(W8-$W$81)^2+(X8-$X$81)^2+(Y8-$Y$81)^2+(Z8-$Z$81)^2+(AA8-$AA$81)^2+(AB8-$AB$81)^2+(AC8-$AC$81)^2+(AD8-$AD$81)^2+(AE8-$AE$81)^2+(AF8-$AF$81)^2+(AG8-$AG$81)^2)</f>
        <v>1.6766368453279055</v>
      </c>
      <c r="EE8" s="36" t="s">
        <v>142</v>
      </c>
      <c r="EF8" s="37" t="s">
        <v>120</v>
      </c>
      <c r="EH8" s="44"/>
      <c r="EI8" s="36">
        <f>SQRT((A8-$A$82)^2+(B8-$B$82)^2+(C8-$C$82)^2+(D8-$D$82)^2+(E8-$E$82)^2+(F8-$F$82)^2+(G8-$G$82)^2+(H8-$H$82)^2+(I8-$I$82)^2+(J8-$J$82)^2+(K8-$K$82)^2+(L8-$L$82)^2+(M8-$M$82)^2+(N8-$N$82)^2+(O8-$O$82)^2+(P8-$P$82)^2+(Q8-$Q$82)^2+(R8-$R$82)^2+(S8-$S$82)^2+(T8-$T$82)^2+(U8-$U$82)^2+(V8-$V$82)^2+(W8-$W$82)^2+(X8-$X$82)^2+(Y8-$Y$82)^2+(Z8-$Z$82)^2+(AA8-$AA$82)^2+(AB8-$AB$82)^2+(AC8-$AC$82)^2+(AD8-$AD$82)^2+(AE8-$AE$82)^2+(AF8-$AF$82)^2+(AG8-$AG$82)^2)</f>
        <v>1.8225293156737514</v>
      </c>
      <c r="EJ8" s="36" t="s">
        <v>320</v>
      </c>
      <c r="EK8" s="37" t="s">
        <v>120</v>
      </c>
      <c r="EM8" s="44"/>
      <c r="EN8" s="36">
        <f>SQRT((A8-$A$83)^2+(B8-$B$83)^2+(C8-$C$83)^2+(D8-$D$83)^2+(E8-$E$83)^2+(F8-$F$83)^2+(G8-$G$83)^2+(H8-$H$83)^2+(I8-$I$83)^2+(J8-$J$83)^2+(K8-$K$83)^2+(L8-$L$83)^2+(M8-$M$83)^2+(N8-$N$83)^2+(O8-$O$83)^2+(P8-$P$83)^2+(Q8-$Q$83)^2+(R8-$R$83)^2+(S8-$S$83)^2+(T8-$T$83)^2+(U8-$U$83)^2+(V8-$V$83)^2+(W8-$W$83)^2+(X8-$X$83)^2+(Y8-$Y$83)^2+(Z8-$Z$83)^2+(AA8-$AA$83)^2+(AB8-$AB$83)^2+(AC8-$AC$83)^2+(AD8-$AD$83)^2+(AE8-$AE$83)^2+(AF8-$AF$83)^2+(AG8-$AG$83)^2)</f>
        <v>1.2924790115816664</v>
      </c>
      <c r="EO8" s="36" t="s">
        <v>125</v>
      </c>
      <c r="EP8" s="37" t="s">
        <v>120</v>
      </c>
      <c r="ER8" s="44"/>
      <c r="ES8" s="36">
        <f>SQRT((A8-$A$84)^2+(B8-$B$84)^2+(C8-$C$84)^2+(D8-$D$84)^2+(E8-$E$84)^2+(F8-$F$84)^2+(G8-$G$84)^2+(H8-$H$84)^2+(I8-$I$84)^2+(J8-$J$84)^2+(K8-$K$84)^2+(L8-$L$84)^2+(M8-$M$84)^2+(N8-$N$84)^2+(O8-$O$84)^2+(P8-$P$84)^2+(Q8-$Q$84)^2+(R8-$R$84)^2+(S8-$S$84)^2+(T8-$T$84)^2+(U8-$U$84)^2+(V8-$V$84)^2+(W8-$W$84)^2+(X8-$X$84)^2+(Y8-$Y$84)^2+(Z8-$Z$84)^2+(AA8-$AA$84)^2+(AB8-$AB$84)^2+(AC8-$AC$84)^2+(AD8-$AD$84)^2+(AE8-$AE$84)^2+(AF8-$AF$84)^2+(AG8-$AG$84)^2)</f>
        <v>1.2124455123053828</v>
      </c>
      <c r="ET8" s="36" t="s">
        <v>125</v>
      </c>
      <c r="EU8" s="37" t="s">
        <v>120</v>
      </c>
      <c r="EW8" s="44"/>
      <c r="EX8" s="36">
        <f>SQRT((A8-$A$85)^2+(B8-$B$85)^2+(C8-$C$85)^2+(D8-$D$85)^2+(E8-$E$85)^2+(F8-$F$85)^2+(G8-$G$85)^2+(H8-$H$85)^2+(I8-$I$85)^2+(J8-$J$85)^2+(K8-$K$85)^2+(L8-$L$85)^2+(M8-$M$85)^2+(N8-$N$85)^2+(O8-$O$85)^2+(P8-$P$85)^2+(Q8-$Q$85)^2+(R8-$R$85)^2+(S8-$S$85)^2+(T8-$T$85)^2+(U8-$U$85)^2+(V8-$V$85)^2+(W8-$W$85)^2+(X8-$X$85)^2+(Y8-$Y$85)^2+(Z8-$Z$85)^2+(AA8-$AA$85)^2+(AB8-$AB$85)^2+(AC8-$AC$85)^2+(AD8-$AD$85)^2+(AE8-$AE$85)^2+(AF8-$AF$85)^2+(AG8-$AG$85)^2)</f>
        <v>1.2124455123053828</v>
      </c>
      <c r="EY8" s="36" t="s">
        <v>125</v>
      </c>
      <c r="EZ8" s="37" t="s">
        <v>120</v>
      </c>
      <c r="FB8" s="44"/>
      <c r="FC8" s="36">
        <f>SQRT((A8-$A$86)^2+(B8-$B$86)^2+(C8-$C$86)^2+(D8-$D$86)^2+(E8-$E$86)^2+(F8-$F$86)^2+(G8-$G$86)^2+(H8-$H$86)^2+(I8-$I$86)^2+(J8-$J$86)^2+(K8-$K$86)^2+(L8-$L$86)^2+(M8-$M$86)^2+(N8-$N$86)^2+(O8-$O$86)^2+(P8-$P$86)^2+(Q8-$Q$86)^2+(R8-$R$86)^2+(S8-$S$86)^2+(T8-$T$86)^2+(U8-$U$86)^2+(V8-$V$86)^2+(W8-$W$86)^2+(X8-$X$86)^2+(Y8-$Y$86)^2+(Z8-$Z$86)^2+(AA8-$AA$86)^2+(AB8-$AB$86)^2+(AC8-$AC$86)^2+(AD8-$AD$86)^2+(AE8-$AE$86)^2+(AF8-$AF$86)^2+(AG8-$AG$86)^2)</f>
        <v>1.2124455123053828</v>
      </c>
      <c r="FD8" s="36" t="s">
        <v>125</v>
      </c>
      <c r="FE8" s="37" t="s">
        <v>120</v>
      </c>
      <c r="FG8" s="44"/>
      <c r="FH8" s="36">
        <f>SQRT((A8-$A$87)^2+(B8-$B$87)^2+(C8-$C$87)^2+(D8-$D$87)^2+(E8-$E$87)^2+(F8-$F$87)^2+(G8-$G$87)^2+(H8-$H$87)^2+(I8-$I$87)^2+(J8-$J$87)^2+(K8-$K$87)^2+(L8-$L$87)^2+(M8-$M$87)^2+(N8-$N$87)^2+(O8-$O$87)^2+(P8-$P$87)^2+(Q8-$Q$87)^2+(R8-$R$87)^2+(S8-$S$87)^2+(T8-$T$87)^2+(U8-$U$87)^2+(V8-$V$87)^2+(W8-$W$87)^2+(X8-$X$87)^2+(Y8-$Y$87)^2+(Z8-$Z$87)^2+(AA8-$AA$87)^2+(AB8-$AB$87)^2+(AC8-$AC$87)^2+(AD8-$AD$87)^2+(AE8-$AE$87)^2+(AF8-$AF$87)^2+(AG8-$AG$87)^2)</f>
        <v>1.3508227945301419</v>
      </c>
      <c r="FI8" s="36" t="s">
        <v>132</v>
      </c>
      <c r="FJ8" s="37" t="s">
        <v>120</v>
      </c>
      <c r="FL8" s="44"/>
      <c r="FM8" s="36">
        <f>SQRT((A8-$A$88)^2+(B8-$B$88)^2+(C8-$C$88)^2+(D8-$D$88)^2+(E8-$E$88)^2+(F8-$F$88)^2+(G8-$G$88)^2+(H8-$H$88)^2+(I8-$I$88)^2+(J8-$J$88)^2+(K8-$K$88)^2+(L8-$L$88)^2+(M8-$M$88)^2+(N8-$N$88)^2+(O8-$O$88)^2+(P8-$P$88)^2+(Q8-$Q$88)^2+(R8-$R$88)^2+(S8-$S$88)^2+(T8-$T$88)^2+(U8-$U$88)^2+(V8-$V$88)^2+(W8-$W$88)^2+(X8-$X$88)^2+(Y8-$Y$88)^2+(Z8-$Z$88)^2+(AA8-$AA$88)^2+(AB8-$AB$88)^2+(AC8-$AC$88)^2+(AD8-$AD$88)^2+(AE8-$AE$88)^2+(AF8-$AF$88)^2+(AG8-$AG$88)^2)</f>
        <v>0.98438248563160535</v>
      </c>
      <c r="FN8" s="36" t="s">
        <v>131</v>
      </c>
      <c r="FO8" s="37" t="s">
        <v>120</v>
      </c>
      <c r="FQ8" s="44"/>
      <c r="FR8" s="36">
        <f>SQRT((A8-$A$89)^2+(B8-$B$89)^2+(C8-$C$89)^2+(D8-$D$89)^2+(E8-$E$89)^2+(F8-$F$89)^2+(G8-$G$89)^2+(H8-$H$89)^2+(I8-$I$89)^2+(J8-$J$89)^2+(K8-$K$89)^2+(L8-$L$89)^2+(M8-$M$89)^2+(N8-$N$89)^2+(O8-$O$89)^2+(P8-$P$89)^2+(Q8-$Q$89)^2+(R8-$R$89)^2+(S8-$S$89)^2+(T8-$T$89)^2+(U8-$U$89)^2+(V8-$V$89)^2+(W8-$W$89)^2+(X8-$X$89)^2+(Y8-$Y$89)^2+(Z8-$Z$89)^2+(AA8-$AA$89)^2+(AB8-$AB$89)^2+(AC8-$AC$89)^2+(AD8-$AD$89)^2+(AE8-$AE$89)^2+(AF8-$AF$89)^2+(AG8-$AG$89)^2)</f>
        <v>1.5763001688200831</v>
      </c>
      <c r="FS8" s="36" t="s">
        <v>142</v>
      </c>
      <c r="FT8" s="37" t="s">
        <v>120</v>
      </c>
      <c r="FV8" s="44"/>
      <c r="FW8" s="36">
        <f>SQRT((A8-$A$90)^2+(B8-$B$90)^2+(C8-$C$90)^2+(D8-$D$90)^2+(E8-$E$90)^2+(F8-$F$90)^2+(G8-$G$90)^2+(H8-$H$90)^2+(I8-$I$90)^2+(J8-$J$90)^2+(K8-$K$90)^2+(L8-$L$90)^2+(M8-$M$90)^2+(N8-$N$90)^2+(O8-$O$90)^2+(P8-$P$90)^2+(Q8-$Q$90)^2+(R8-$R$90)^2+(S8-$S$90)^2+(T8-$T$90)^2+(U8-$U$90)^2+(V8-$V$90)^2+(W8-$W$90)^2+(X8-$X$90)^2+(Y8-$Y$90)^2+(Z8-$Z$90)^2+(AA8-$AA$90)^2+(AB8-$AB$90)^2+(AC8-$AC$90)^2+(AD8-$AD$90)^2+(AE8-$AE$90)^2+(AF8-$AF$90)^2+(AG8-$AG$90)^2)</f>
        <v>1.6351180725290484</v>
      </c>
      <c r="FX8" s="36" t="s">
        <v>126</v>
      </c>
      <c r="FY8" s="37" t="s">
        <v>120</v>
      </c>
      <c r="GA8" s="44"/>
      <c r="GB8" s="36">
        <f>SQRT((A8-$A$91)^2+(B8-$B$91)^2+(C8-$C$91)^2+(D8-$D$91)^2+(E8-$E$91)^2+(F8-$F$91)^2+(G8-$G$91)^2+(H8-$H$91)^2+(I8-$I$91)^2+(J8-$J$91)^2+(K8-$K$91)^2+(L8-$L$91)^2+(M8-$M$91)^2+(N8-$N$91)^2+(O8-$O$91)^2+(P8-$P$91)^2+(Q8-$Q$91)^2+(R8-$R$91)^2+(S8-$S$91)^2+(T8-$T$91)^2+(U8-$U$91)^2+(V8-$V$91)^2+(W8-$W$91)^2+(X8-$X$91)^2+(Y8-$Y$91)^2+(Z8-$Z$91)^2+(AA8-$AA$91)^2+(AB8-$AB$91)^2+(AC8-$AC$91)^2+(AD8-$AD$91)^2+(AE8-$AE$91)^2+(AF8-$AF$91)^2+(AG8-$AG$91)^2)</f>
        <v>2.213845322309377</v>
      </c>
      <c r="GC8" s="36" t="s">
        <v>129</v>
      </c>
      <c r="GD8" s="37" t="s">
        <v>120</v>
      </c>
      <c r="GF8" s="44"/>
      <c r="GG8" s="36">
        <f>SQRT((A8-$A$92)^2+(B8-$B$92)^2+(C8-$C$92)^2+(D8-$D$92)^2+(E8-$E$92)^2+(F8-$F$92)^2+(G8-$G$92)^2+(H8-$H$92)^2+(I8-$I$92)^2+(J8-$J$92)^2+(K8-$K$92)^2+(L8-$L$92)^2+(M8-$M$92)^2+(N8-$N$92)^2+(O8-$O$92)^2+(P8-$P$92)^2+(Q8-$Q$92)^2+(R8-$R$92)^2+(S8-$S$92)^2+(T8-$T$92)^2+(U8-$U$92)^2+(V8-$V$92)^2+(W8-$W$92)^2+(X8-$X$92)^2+(Y8-$Y$92)^2+(Z8-$Z$92)^2+(AA8-$AA$92)^2+(AB8-$AB$92)^2+(AC8-$AC$92)^2+(AD8-$AD$92)^2+(AE8-$AE$92)^2+(AF8-$AF$92)^2+(AG8-$AG$92)^2)</f>
        <v>1.5801223546915713</v>
      </c>
      <c r="GH8" s="36" t="s">
        <v>321</v>
      </c>
      <c r="GI8" s="37" t="s">
        <v>120</v>
      </c>
      <c r="GK8" s="44"/>
      <c r="GL8" s="36">
        <f>SQRT((A8-$A$93)^2+(B8-$B$93)^2+(C8-$C$93)^2+(D8-$D$93)^2+(E8-$E$93)^2+(F8-$F$93)^2+(G8-$G$93)^2+(H8-$H$93)^2+(I8-$I$93)^2+(J8-$J$93)^2+(K8-$K$93)^2+(L8-$L$93)^2+(M8-$M$93)^2+(N8-$N$93)^2+(O8-$O$93)^2+(P8-$P$93)^2+(Q8-$Q$93)^2+(R8-$R$93)^2+(S8-$S$93)^2+(T8-$T$93)^2+(U8-$U$93)^2+(V8-$V$93)^2+(W8-$W$93)^2+(X8-$X$93)^2+(Y8-$Y$93)^2+(Z8-$Z$93)^2+(AA8-$AA$93)^2+(AB8-$AB$93)^2+(AC8-$AC$93)^2+(AD8-$AD$93)^2+(AE8-$AE$93)^2+(AF8-$AF$93)^2+(AG8-$AG$93)^2)</f>
        <v>2.3033791601808753</v>
      </c>
      <c r="GM8" s="36" t="s">
        <v>129</v>
      </c>
      <c r="GN8" s="37" t="s">
        <v>120</v>
      </c>
      <c r="GP8" s="44"/>
      <c r="GQ8" s="36">
        <f>SQRT((A8-$A$94)^2+(B8-$B$94)^2+(C8-$C$94)^2+(D8-$D$94)^2+(E8-$E$94)^2+(F8-$F$94)^2+(G8-$G$94)^2+(H8-$H$94)^2+(I8-$I$94)^2+(J8-$J$94)^2+(K8-$K$94)^2+(L8-$L$94)^2+(M8-$M$94)^2+(N8-$N$94)^2+(O8-$O$94)^2+(P8-$P$94)^2+(Q8-$Q$94)^2+(R8-$R$94)^2+(S8-$S$94)^2+(T8-$T$94)^2+(U8-$U$94)^2+(V8-$V$94)^2+(W8-$W$94)^2+(X8-$X$94)^2+(Y8-$Y$94)^2+(Z8-$Z$94)^2+(AA8-$AA$94)^2+(AB8-$AB$94)^2+(AC8-$AC$94)^2+(AD8-$AD$94)^2+(AE8-$AE$94)^2+(AF8-$AF$94)^2+(AG8-$AG$94)^2)</f>
        <v>1.6631468819483974</v>
      </c>
      <c r="GR8" s="36" t="s">
        <v>129</v>
      </c>
      <c r="GS8" s="37" t="s">
        <v>120</v>
      </c>
      <c r="GU8" s="44"/>
      <c r="GV8" s="36">
        <f>SQRT((A8-$A$95)^2+(B8-$B$95)^2+(C8-$C$95)^2+(D8-$D$95)^2+(E8-$E$95)^2+(F8-$F$95)^2+(G8-$G$95)^2+(H8-$H$95)^2+(I8-$I$95)^2+(J8-$J$95)^2+(K8-$K$95)^2+(L8-$L$95)^2+(M8-$M$95)^2+(N8-$N$95)^2+(O8-$O$95)^2+(P8-$P$95)^2+(Q8-$Q$95)^2+(R8-$R$95)^2+(S8-$S$95)^2+(T8-$T$95)^2+(U8-$U$95)^2+(V8-$V$95)^2+(W8-$W$95)^2+(X8-$X$95)^2+(Y8-$Y$95)^2+(Z8-$Z$95)^2+(AA8-$AA$95)^2+(AB8-$AB$95)^2+(AC8-$AC$95)^2+(AD8-$AD$95)^2+(AE8-$AE$95)^2+(AF8-$AF$95)^2+(AG8-$AG$95)^2)</f>
        <v>2.2634781495153278</v>
      </c>
      <c r="GW8" s="36" t="s">
        <v>328</v>
      </c>
      <c r="GX8" s="37" t="s">
        <v>120</v>
      </c>
      <c r="GZ8" s="44"/>
      <c r="HA8" s="36">
        <f>SQRT((A8-$A$96)^2+(B8-$B$96)^2+(C8-$C$96)^2+(D8-$D$96)^2+(E8-$E$96)^2+(F8-$F$96)^2+(G8-$G$96)^2+(H8-$H$96)^2+(I8-$I$96)^2+(J8-$J$96)^2+(K8-$K$96)^2+(L8-$L$96)^2+(M8-$M$96)^2+(N8-$N$96)^2+(O8-$O$96)^2+(P8-$P$96)^2+(Q8-$Q$96)^2+(R8-$R$96)^2+(S8-$S$96)^2+(T8-$T$96)^2+(U8-$U$96)^2+(V8-$V$96)^2+(W8-$W$96)^2+(X8-$X$96)^2+(Y8-$Y$96)^2+(Z8-$Z$96)^2+(AA8-$AA$96)^2+(AB8-$AB$96)^2+(AC8-$AC$96)^2+(AD8-$AD$96)^2+(AE8-$AE$96)^2+(AF8-$AF$96)^2+(AG8-$AG$96)^2)</f>
        <v>2.2173557826083448</v>
      </c>
      <c r="HB8" s="36" t="s">
        <v>126</v>
      </c>
      <c r="HC8" s="37" t="s">
        <v>120</v>
      </c>
      <c r="HE8" s="44"/>
      <c r="HF8" s="36">
        <f>SQRT((A8-$A$97)^2+(B8-$B$97)^2+(C8-$C$97)^2+(D8-$D$97)^2+(E8-$E$97)^2+(F8-$F$97)^2+(G8-$G$97)^2+(H8-$H$97)^2+(I8-$I$97)^2+(J8-$J$97)^2+(K8-$K$97)^2+(L8-$L$97)^2+(M8-$M$97)^2+(N8-$N$97)^2+(O8-$O$97)^2+(P8-$P$97)^2+(Q8-$Q$97)^2+(R8-$R$97)^2+(S8-$S$97)^2+(T8-$T$97)^2+(U8-$U$97)^2+(V8-$V$97)^2+(W8-$W$97)^2+(X8-$X$97)^2+(Y8-$Y$97)^2+(Z8-$Z$97)^2+(AA8-$AA$97)^2+(AB8-$AB$97)^2+(AC8-$AC$97)^2+(AD8-$AD$97)^2+(AE8-$AE$97)^2+(AF8-$AF$97)^2+(AG8-$AG$97)^2)</f>
        <v>1.2124455123053828</v>
      </c>
      <c r="HG8" s="36" t="s">
        <v>125</v>
      </c>
      <c r="HH8" s="37" t="s">
        <v>120</v>
      </c>
      <c r="HJ8" s="44"/>
      <c r="HK8" s="36">
        <f>SQRT((A8-$A$98)^2+(B8-$B$98)^2+(C8-$C$98)^2+(D8-$D$98)^2+(E8-$E$98)^2+(F8-$F$98)^2+(G8-$G$98)^2+(H8-$H$98)^2+(I8-$I$98)^2+(J8-$J$98)^2+(K8-$K$98)^2+(L8-$L$98)^2+(M8-$M$98)^2+(N8-$N$98)^2+(O8-$O$98)^2+(P8-$P$98)^2+(Q8-$Q$98)^2+(R8-$R$98)^2+(S8-$S$98)^2+(T8-$T$98)^2+(U8-$U$98)^2+(V8-$V$98)^2+(W8-$W$98)^2+(X8-$X$98)^2+(Y8-$Y$98)^2+(Z8-$Z$98)^2+(AA8-$AA$98)^2+(AB8-$AB$98)^2+(AC8-$AC$98)^2+(AD8-$AD$98)^2+(AE8-$AE$98)^2+(AF8-$AF$98)^2+(AG8-$AG$98)^2)</f>
        <v>1.2124455123053828</v>
      </c>
      <c r="HL8" s="36" t="s">
        <v>125</v>
      </c>
      <c r="HM8" s="37" t="s">
        <v>120</v>
      </c>
      <c r="HO8" s="44"/>
      <c r="HP8" s="36">
        <f>SQRT((A8-$A$99)^2+(B8-$B$99)^2+(C8-$C$99)^2+(D8-$D$99)^2+(E8-$E$99)^2+(F8-$F$99)^2+(G8-$G$99)^2+(H8-$H$99)^2+(I8-$I$99)^2+(J8-$J$99)^2+(K8-$K$99)^2+(L8-$L$99)^2+(M8-$M$99)^2+(N8-$N$99)^2+(O8-$O$99)^2+(P8-$P$99)^2+(Q8-$Q$99)^2+(R8-$R$99)^2+(S8-$S$99)^2+(T8-$T$99)^2+(U8-$U$99)^2+(V8-$V$99)^2+(W8-$W$99)^2+(X8-$X$99)^2+(Y8-$Y$99)^2+(Z8-$Z$99)^2+(AA8-$AA$99)^2+(AB8-$AB$99)^2+(AC8-$AC$99)^2+(AD8-$AD$99)^2+(AE8-$AE$99)^2+(AF8-$AF$99)^2+(AG8-$AG$99)^2)</f>
        <v>1.2124455123053828</v>
      </c>
      <c r="HQ8" s="36" t="s">
        <v>125</v>
      </c>
      <c r="HR8" s="37" t="s">
        <v>120</v>
      </c>
      <c r="HT8" s="44"/>
      <c r="HU8" s="36">
        <f>SQRT((A8-$A$100)^2+(B8-$B$100)^2+(C8-$C$100)^2+(D8-$D$100)^2+(E8-$E$100)^2+(F8-$F$100)^2+(G8-$G$100)^2+(H8-$H$100)^2+(I8-$I$100)^2+(J8-$J$100)^2+(K8-$K$100)^2+(L8-$L$100)^2+(M8-$M$100)^2+(N8-$N$100)^2+(O8-$O$100)^2+(P8-$P$100)^2+(Q8-$Q$100)^2+(R8-$R$100)^2+(S8-$S$100)^2+(T8-$T$100)^2+(U8-$U$100)^2+(V8-$V$100)^2+(W8-$W$100)^2+(X8-$X$100)^2+(Y8-$Y$100)^2+(Z8-$Z$100)^2+(AA8-$AA$100)^2+(AB8-$AB$100)^2+(AC8-$AC$100)^2+(AD8-$AD$100)^2+(AE8-$AE$100)^2+(AF8-$AF$100)^2+(AG8-$AG$100)^2)</f>
        <v>1.2124455123053828</v>
      </c>
      <c r="HV8" s="36" t="s">
        <v>125</v>
      </c>
      <c r="HW8" s="37" t="s">
        <v>120</v>
      </c>
      <c r="HY8" s="44"/>
      <c r="HZ8" s="36">
        <f>SQRT((A8-$A$101)^2+(B8-$B$101)^2+(C8-$C$101)^2+(D8-$D$101)^2+(E8-$E$101)^2+(F8-$F$101)^2+(G8-$G$101)^2+(H8-$H$101)^2+(I8-$I$101)^2+(J8-$J$101)^2+(K8-$K$101)^2+(L8-$L$101)^2+(M8-$M$101)^2+(N8-$N$101)^2+(O8-$O$101)^2+(P8-$P$101)^2+(Q8-$Q$101)^2+(R8-$R$101)^2+(S8-$S$101)^2+(T8-$T$101)^2+(U8-$U$101)^2+(V8-$V$101)^2+(W8-$W$101)^2+(X8-$X$101)^2+(Y8-$Y$101)^2+(Z8-$Z$101)^2+(AA8-$AA$101)^2+(AB8-$AB$101)^2+(AC8-$AC$101)^2+(AD8-$AD$101)^2+(AE8-$AE$101)^2+(AF8-$AF$101)^2+(AG8-$AG$101)^2)</f>
        <v>1.6224124698183942</v>
      </c>
      <c r="IA8" s="36" t="s">
        <v>142</v>
      </c>
      <c r="IB8" s="37" t="s">
        <v>120</v>
      </c>
    </row>
    <row r="9" spans="1:236" x14ac:dyDescent="0.35">
      <c r="A9" s="2">
        <v>0</v>
      </c>
      <c r="B9" s="2">
        <v>0.23765432098765399</v>
      </c>
      <c r="C9" s="2">
        <v>0.23899371069182301</v>
      </c>
      <c r="D9" s="2">
        <v>0.53703703703703698</v>
      </c>
      <c r="E9" s="2">
        <v>0.12757201646090499</v>
      </c>
      <c r="F9" s="2">
        <v>0.94805194805194803</v>
      </c>
      <c r="G9" s="2">
        <v>0.55692729766803795</v>
      </c>
      <c r="H9" s="2">
        <v>0.936708860759493</v>
      </c>
      <c r="I9" s="2">
        <v>0.407407407407407</v>
      </c>
      <c r="J9" s="2">
        <v>0.19478737997256501</v>
      </c>
      <c r="K9" s="2">
        <v>5.5555555555555497E-2</v>
      </c>
      <c r="L9" s="2">
        <v>0.158904109589041</v>
      </c>
      <c r="M9" s="2">
        <v>0.95061728395061695</v>
      </c>
      <c r="N9" s="2">
        <v>6.1728395061728301E-2</v>
      </c>
      <c r="O9" s="2">
        <v>0.189873417721519</v>
      </c>
      <c r="P9" s="2">
        <v>0.32345679012345602</v>
      </c>
      <c r="Q9" s="2">
        <v>0.98765432098765404</v>
      </c>
      <c r="R9" s="2">
        <v>0.76543209876543195</v>
      </c>
      <c r="S9" s="2">
        <v>0.97530864197530798</v>
      </c>
      <c r="T9" s="2">
        <v>1</v>
      </c>
      <c r="U9" s="2">
        <v>1</v>
      </c>
      <c r="V9" s="2">
        <v>0.11111111111111099</v>
      </c>
      <c r="W9" s="2">
        <v>1</v>
      </c>
      <c r="X9" s="2">
        <v>0.97530864197530798</v>
      </c>
      <c r="Y9" s="2">
        <v>0.90123456790123402</v>
      </c>
      <c r="Z9" s="2">
        <v>0.44444444444444398</v>
      </c>
      <c r="AA9" s="2">
        <v>1</v>
      </c>
      <c r="AB9" s="2">
        <v>1</v>
      </c>
      <c r="AC9" s="2">
        <v>1</v>
      </c>
      <c r="AD9" s="2">
        <v>1</v>
      </c>
      <c r="AE9" s="2">
        <v>0.938271604938271</v>
      </c>
      <c r="AF9" s="2">
        <v>1</v>
      </c>
      <c r="AG9" s="2">
        <v>0.19565217391304299</v>
      </c>
      <c r="AH9" s="2" t="s">
        <v>120</v>
      </c>
      <c r="AI9" s="42"/>
      <c r="AJ9" s="42"/>
      <c r="AL9" s="44"/>
      <c r="AM9" s="36">
        <f>SQRT((A9-$A$62)^2+(B9-$B$62)^2+(C9-$C$62)^2+(D9-$D$62)^2+(E9-$E$62)^2+(F9-$F$62)^2+(G9-$G$62)^2+(H9-$H$62)^2+(I9-$I$62)^2+(J9-$J$62)^2+(K9-$K$62)^2+(L9-$L$62)^2+(M9-$M$62)^2+(N9-$N$62)^2+(O9-$O$62)^2+(P9-$P$62)^2+(Q9-$Q$62)^2+(R9-$R$62)^2+(S9-$S$62)^2+(T9-$T$62)^2+(U9-$U$62)^2+(V9-$V$62)^2+(W9-$W$62)^2+(X9-$X$62)^2+(Y9-$Y$62)^2+(Z9-$Z$62)^2+(AA9-$AA$62)^2+(AB9-$AB$62)^2+(AC9-$AC$62)^2+(AD9-$AD$62)^2+(AE9-$AE$62)^2+(AF9-$AF$62)^2+(AG9-$AG$62)^2)</f>
        <v>1.5556691766058219</v>
      </c>
      <c r="AN9" s="36" t="s">
        <v>129</v>
      </c>
      <c r="AO9" s="37" t="s">
        <v>120</v>
      </c>
      <c r="AP9" s="30"/>
      <c r="AQ9" s="44"/>
      <c r="AR9" s="36">
        <f>SQRT((A9-$A$63)^2+(B9-$B$63)^2+(C9-$C$63)^2+(D9-$D$63)^2+(E9-$E$63)^2+(F9-$F$63)^2+(G9-$G$63)^2+(H9-$H$63)^2+(I9-$I$63)^2+(J9-$J$63)^2+(K9-$K$63)^2+(L9-$L$63)^2+(M9-$M$63)^2+(N9-$N$63)^2+(O9-$O$63)^2+(P9-$P$63)^2+(Q9-$Q$63)^2+(R9-$R$63)^2+(S9-$S$63)^2+(T9-$T$63)^2+(U9-$U$63)^2+(V9-$V$63)^2+(W9-$W$63)^2+(X9-$X$63)^2+(Y9-$Y$63)^2+(Z9-$Z$63)^2+(AA9-$AA$63)^2+(AB9-$AB$63)^2+(AC9-$AC$63)^2+(AD9-$AD$63)^2+(AE9-$AE$63)^2+(AF9-$AF$63)^2+(AG9-$AG$63)^2)</f>
        <v>0</v>
      </c>
      <c r="AS9" s="36" t="s">
        <v>334</v>
      </c>
      <c r="AT9" s="37" t="s">
        <v>120</v>
      </c>
      <c r="AU9" s="30"/>
      <c r="AV9" s="44"/>
      <c r="AW9" s="36">
        <f>SQRT((A9-$A$64)^2+(B9-$B$64)^2+(C9-$C$64)^2+(D9-$D$64)^2+(E9-$E$64)^2+(F9-$F$64)^2+(G9-$G$64)^2+(H9-$H$64)^2+(I9-$I$64)^2+(J9-$J$64)^2+(K9-$K$64)^2+(L9-$L$64)^2+(M9-$M$64)^2+(N9-$N$64)^2+(O9-$O$64)^2+(P9-$P$64)^2+(Q9-$Q$64)^2+(R9-$R$64)^2+(S9-$S$64)^2+(T9-$T$64)^2+(U9-$U$64)^2+(V9-$V$64)^2+(W9-$W$64)^2+(X9-$X$64)^2+(Y9-$Y$64)^2+(Z9-$Z$64)^2+(AA9-$AA$64)^2+(AB9-$AB$64)^2+(AC9-$AC$64)^2+(AD9-$AD$64)^2+(AE9-$AE$64)^2+(AF9-$AF$64)^2+(AG9-$AG$64)^2)</f>
        <v>0</v>
      </c>
      <c r="AX9" s="36" t="s">
        <v>334</v>
      </c>
      <c r="AY9" s="37" t="s">
        <v>120</v>
      </c>
      <c r="AZ9" s="30"/>
      <c r="BA9" s="44"/>
      <c r="BB9" s="36">
        <f>SQRT((A9-$A$65)^2+(B9-$B$65)^2+(C9-$C$65)^2+(D9-$D$65)^2+(E9-$E$65)^2+(F9-$F$65)^2+(G9-$G$65)^2+(H9-$H$65)^2+(I9-$I$65)^2+(J9-$J$65)^2+(K9-$K$65)^2+(L9-$L$65)^2+(M9-$M$65)^2+(N9-$N$65)^2+(O9-$O$65)^2+(P9-$P$65)^2+(Q9-$Q$65)^2+(R9-$R$65)^2+(S9-$S$65)^2+(T9-$T$65)^2+(U9-$U$65)^2+(V9-$V$65)^2+(W9-$W$65)^2+(X9-$X$65)^2+(Y9-$Y$65)^2+(Z9-$Z$65)^2+(AA9-$AA$65)^2+(AB9-$AB$65)^2+(AC9-$AC$65)^2+(AD9-$AD$65)^2+(AE9-$AE$65)^2+(AF9-$AF$65)^2+(AG9-$AG$65)^2)</f>
        <v>0</v>
      </c>
      <c r="BC9" s="36" t="s">
        <v>334</v>
      </c>
      <c r="BD9" s="37" t="s">
        <v>120</v>
      </c>
      <c r="BE9" s="30"/>
      <c r="BF9" s="44"/>
      <c r="BG9" s="36">
        <f>SQRT((A9-$A$66)^2+(B9-$B$66)^2+(C9-$C$66)^2+(D9-$D$66)^2+(E9-$E$66)^2+(F9-$F$66)^2+(G9-$G$66)^2+(H9-$H$66)^2+(I9-$I$66)^2+(J9-$J$66)^2+(K9-$K$66)^2+(L9-$L$66)^2+(M9-$M$66)^2+(N9-$N$66)^2+(O9-$O$66)^2+(P9-$P$66)^2+(Q9-$Q$66)^2+(R9-$R$66)^2+(S9-$S$66)^2+(T9-$T$66)^2+(U9-$U$66)^2+(V9-$V$66)^2+(W9-$W$66)^2+(X9-$X$66)^2+(Y9-$Y$66)^2+(Z9-$Z$66)^2+(AA9-$AA$66)^2+(AB9-$AB$66)^2+(AC9-$AC$66)^2+(AD9-$AD$66)^2+(AE9-$AE$66)^2+(AF9-$AF$66)^2+(AG9-$AG$66)^2)</f>
        <v>0</v>
      </c>
      <c r="BH9" s="36" t="s">
        <v>334</v>
      </c>
      <c r="BI9" s="37" t="s">
        <v>120</v>
      </c>
      <c r="BJ9" s="30"/>
      <c r="BK9" s="44"/>
      <c r="BL9" s="36">
        <f>SQRT((A9-$A$67)^2+(B9-$B$67)^2+(C9-$C$67)^2+(D9-$D$67)^2+(E9-$E$67)^2+(F9-$F$67)^2+(G9-$G$67)^2+(H9-$H$67)^2+(I9-$I$67)^2+(J9-$J$67)^2+(K9-$K$67)^2+(L9-$L$67)^2+(M9-$M$67)^2+(N9-$N$67)^2+(O9-$O$67)^2+(P9-$P$67)^2+(Q9-$Q$67)^2+(R9-$R$67)^2+(S9-$S$67)^2+(T9-$T$67)^2+(U9-$U$67)^2+(V9-$V$67)^2+(W9-$W$67)^2+(X9-$X$67)^2+(Y9-$Y$67)^2+(Z9-$Z$67)^2+(AA9-$AA$67)^2+(AB9-$AB$67)^2+(AC9-$AC$67)^2+(AD9-$AD$67)^2+(AE9-$AE$67)^2+(AF9-$AF$67)^2+(AG9-$AG$67)^2)</f>
        <v>0</v>
      </c>
      <c r="BM9" s="36" t="s">
        <v>334</v>
      </c>
      <c r="BN9" s="37" t="s">
        <v>120</v>
      </c>
      <c r="BO9" s="30"/>
      <c r="BP9" s="44"/>
      <c r="BQ9" s="36">
        <f>SQRT((A9-$A$68)^2+(B9-$B$68)^2+(C9-$C$68)^2+(D9-$D$68)^2+(E9-$E$68)^2+(F9-$F$68)^2+(G9-$G$68)^2+(H9-$H$68)^2+(I9-$I$68)^2+(J9-$J$68)^2+(K9-$K$68)^2+(L9-$L$68)^2+(M9-$M$68)^2+(N9-$N$68)^2+(O9-$O$68)^2+(P9-$P$68)^2+(Q9-$Q$68)^2+(R9-$R$68)^2+(S9-$S$68)^2+(T9-$T$68)^2+(U9-$U$68)^2+(V9-$V$68)^2+(W9-$W$68)^2+(X9-$X$68)^2+(Y9-$Y$68)^2+(Z9-$Z$68)^2+(AA9-$AA$68)^2+(AB9-$AB$68)^2+(AC9-$AC$68)^2+(AD9-$AD$68)^2+(AE9-$AE$68)^2+(AF9-$AF$68)^2+(AG9-$AG$68)^2)</f>
        <v>0</v>
      </c>
      <c r="BR9" s="36" t="s">
        <v>334</v>
      </c>
      <c r="BS9" s="37" t="s">
        <v>120</v>
      </c>
      <c r="BT9" s="30"/>
      <c r="BU9" s="44"/>
      <c r="BV9" s="36">
        <f>SQRT((A9-$A$69)^2+(B9-$B$69)^2+(C9-$C$69)^2+(D9-$D$69)^2+(E9-$E$69)^2+(F9-$F$69)^2+(G9-$G$69)^2+(H9-$H$69)^2+(I9-$I$69)^2+(J9-$J$69)^2+(K9-$K$69)^2+(L9-$L$69)^2+(M9-$M$69)^2+(N9-$N$69)^2+(O9-$O$69)^2+(P9-$P$69)^2+(Q9-$Q$69)^2+(R9-$R$69)^2+(S9-$S$69)^2+(T9-$T$69)^2+(U9-$U$69)^2+(V9-$V$69)^2+(W9-$W$69)^2+(X9-$X$69)^2+(Y9-$Y$69)^2+(Z9-$Z$69)^2+(AA9-$AA$69)^2+(AB9-$AB$69)^2+(AC9-$AC$69)^2+(AD9-$AD$69)^2+(AE9-$AE$69)^2+(AF9-$AF$69)^2+(AG9-$AG$69)^2)</f>
        <v>2.0037487409898285</v>
      </c>
      <c r="BW9" s="36" t="s">
        <v>127</v>
      </c>
      <c r="BX9" s="37" t="s">
        <v>120</v>
      </c>
      <c r="BZ9" s="44"/>
      <c r="CA9" s="36">
        <f>SQRT((A9-$A$70)^2+(B9-$B$70)^2+(C9-$C$70)^2+(D9-$D$70)^2+(E9-$E$70)^2+(F9-$F$70)^2+(G9-$G$70)^2+(H9-$H$70)^2+(I9-$I$70)^2+(J9-$J$70)^2+(K9-$K$70)^2+(L9-$L$70)^2+(M9-$M$70)^2+(N9-$N$70)^2+(O9-$O$70)^2+(P9-$P$70)^2+(Q9-$Q$70)^2+(R9-$R$70)^2+(S9-$S$70)^2+(T9-$T$70)^2+(U9-$U$70)^2+(V9-$V$70)^2+(W9-$W$70)^2+(X9-$X$70)^2+(Y9-$Y$70)^2+(Z9-$Z$70)^2+(AA9-$AA$70)^2+(AB9-$AB$70)^2+(AC9-$AC$70)^2+(AD9-$AD$70)^2+(AE9-$AE$70)^2+(AF9-$AF$70)^2+(AG9-$AG$70)^2)</f>
        <v>1.0640423434918624</v>
      </c>
      <c r="CB9" s="36" t="s">
        <v>325</v>
      </c>
      <c r="CC9" s="37" t="s">
        <v>120</v>
      </c>
      <c r="CE9" s="44"/>
      <c r="CF9" s="36">
        <f>SQRT((A9-$A$71)^2+(B9-$B$71)^2+(C9-$C$71)^2+(D9-$D$71)^2+(E9-$E$71)^2+(F9-$F$71)^2+(G9-$G$71)^2+(H9-$H$71)^2+(I9-$I$71)^2+(J9-$J$71)^2+(K9-$K$71)^2+(L9-$L$71)^2+(M9-$M$71)^2+(N9-$N$71)^2+(O9-$O$71)^2+(P9-$P$71)^2+(Q9-$Q$71)^2+(R9-$R$71)^2+(S9-$S$71)^2+(T9-$T$71)^2+(U9-$U$71)^2+(V9-$V$71)^2+(W9-$W$71)^2+(X9-$X$71)^2+(Y9-$Y$71)^2+(Z9-$Z$71)^2+(AA9-$AA$71)^2+(AB9-$AB$71)^2+(AC9-$AC$71)^2+(AD9-$AD$71)^2+(AE9-$AE$71)^2+(AF9-$AF$71)^2+(AG9-$AG$71)^2)</f>
        <v>0.94620473085599832</v>
      </c>
      <c r="CG9" s="36" t="s">
        <v>322</v>
      </c>
      <c r="CH9" s="37" t="s">
        <v>120</v>
      </c>
      <c r="CJ9" s="44"/>
      <c r="CK9" s="36">
        <f>SQRT((A9-$A$72)^2+(B9-$B$72)^2+(C9-$C$72)^2+(D9-$D$72)^2+(E9-$E$72)^2+(F9-$F$72)^2+(G9-$G$72)^2+(H9-$H$72)^2+(I9-$I$72)^2+(J9-$J$72)^2+(K9-$K$72)^2+(L9-$L$72)^2+(M9-$M$72)^2+(N9-$N$72)^2+(O9-$O$72)^2+(P9-$P$72)^2+(Q9-$Q$72)^2+(R9-$R$72)^2+(S9-$S$72)^2+(T9-$T$72)^2+(U9-$U$72)^2+(V9-$V$72)^2+(W9-$W$72)^2+(X9-$X$72)^2+(Y9-$Y$72)^2+(Z9-$Z$72)^2+(AA9-$AA$72)^2+(AB9-$AB$72)^2+(AC9-$AC$72)^2+(AD9-$AD$72)^2+(AE9-$AE$72)^2+(AF9-$AF$72)^2+(AG9-$AG$72)^2)</f>
        <v>1.220617044171155</v>
      </c>
      <c r="CL9" s="36" t="s">
        <v>322</v>
      </c>
      <c r="CM9" s="37" t="s">
        <v>120</v>
      </c>
      <c r="CO9" s="44"/>
      <c r="CP9" s="36">
        <f>SQRT((A9-$A$73)^2+(B9-$B$73)^2+(C9-$C$73)^2+(D9-$D$73)^2+(E9-$E$73)^2+(F9-$F$73)^2+(G9-$G$73)^2+(H9-$H$73)^2+(I9-$I$73)^2+(J9-$J$73)^2+(K9-$K$73)^2+(L9-$L$73)^2+(M9-$M$73)^2+(N9-$N$73)^2+(O9-$O$73)^2+(P9-$P$73)^2+(Q9-$Q$73)^2+(R9-$R$73)^2+(S9-$S$73)^2+(T9-$T$73)^2+(U9-$U$73)^2+(V9-$V$73)^2+(W9-$W$73)^2+(X9-$X$73)^2+(Y9-$Y$73)^2+(Z9-$Z$73)^2+(AA9-$AA$73)^2+(AB9-$AB$73)^2+(AC9-$AC$73)^2+(AD9-$AD$73)^2+(AE9-$AE$73)^2+(AF9-$AF$73)^2+(AG9-$AG$73)^2)</f>
        <v>1.1043048958919004</v>
      </c>
      <c r="CQ9" s="36" t="s">
        <v>321</v>
      </c>
      <c r="CR9" s="37" t="s">
        <v>120</v>
      </c>
      <c r="CT9" s="44"/>
      <c r="CU9" s="36">
        <f>SQRT((A9-$A$74)^2+(B9-$B$74)^2+(C9-$C$74)^2+(D9-$D$74)^2+(E9-$E$74)^2+(F9-$F$74)^2+(G9-$G$74)^2+(H9-$H$74)^2+(I9-$I$74)^2+(J9-$J$74)^2+(K9-$K$74)^2+(L9-$L$74)^2+(M9-$M$74)^2+(N9-$N$74)^2+(O9-$O$74)^2+(P9-$P$74)^2+(Q9-$Q$74)^2+(R9-$R$74)^2+(S9-$S$74)^2+(T9-$T$74)^2+(U9-$U$74)^2+(V9-$V$74)^2+(W9-$W$74)^2+(X9-$X$74)^2+(Y9-$Y$74)^2+(Z9-$Z$74)^2+(AA9-$AA$74)^2+(AB9-$AB$74)^2+(AC9-$AC$74)^2+(AD9-$AD$74)^2+(AE9-$AE$74)^2+(AF9-$AF$74)^2+(AG9-$AG$74)^2)</f>
        <v>1.1273103941258655</v>
      </c>
      <c r="CV9" s="36" t="s">
        <v>127</v>
      </c>
      <c r="CW9" s="37" t="s">
        <v>120</v>
      </c>
      <c r="CY9" s="44"/>
      <c r="CZ9" s="36">
        <f>SQRT((A9-$A$75)^2+(B9-$B$75)^2+(C9-$C$75)^2+(D9-$D$75)^2+(E9-$E$75)^2+(F9-$F$75)^2+(G9-$G$75)^2+(H9-$H$75)^2+(I9-$I$75)^2+(J9-$J$75)^2+(K9-$K$75)^2+(L9-$L$75)^2+(M9-$M$75)^2+(N9-$N$75)^2+(O9-$O$75)^2+(P9-$P$75)^2+(Q9-$Q$75)^2+(R9-$R$75)^2+(S9-$S$75)^2+(T9-$T$75)^2+(U9-$U$75)^2+(V9-$V$75)^2+(W9-$W$75)^2+(X9-$X$75)^2+(Y9-$Y$75)^2+(Z9-$Z$75)^2+(AA9-$AA$75)^2+(AB9-$AB$75)^2+(AC9-$AC$75)^2+(AD9-$AD$75)^2+(AE9-$AE$75)^2+(AF9-$AF$75)^2+(AG9-$AG$75)^2)</f>
        <v>1.0124449904297892</v>
      </c>
      <c r="DA9" s="36" t="s">
        <v>151</v>
      </c>
      <c r="DB9" s="37" t="s">
        <v>120</v>
      </c>
      <c r="DD9" s="44"/>
      <c r="DE9" s="36">
        <f>SQRT((A9-$A$76)^2+(B9-$B$76)^2+(C9-$C$76)^2+(D9-$D$76)^2+(E9-$E$76)^2+(F9-$F$76)^2+(G9-$G$76)^2+(H9-$H$76)^2+(I9-$I$76)^2+(J9-$J$76)^2+(K9-$K$76)^2+(L9-$L$76)^2+(M9-$M$76)^2+(N9-$N$76)^2+(O9-$O$76)^2+(P9-$P$76)^2+(Q9-$Q$76)^2+(R9-$R$76)^2+(S9-$S$76)^2+(T9-$T$76)^2+(U9-$U$76)^2+(V9-$V$76)^2+(W9-$W$76)^2+(X9-$X$76)^2+(Y9-$Y$76)^2+(Z9-$Z$76)^2+(AA9-$AA$76)^2+(AB9-$AB$76)^2+(AC9-$AC$76)^2+(AD9-$AD$76)^2+(AE9-$AE$76)^2+(AF9-$AF$76)^2+(AG9-$AG$76)^2)</f>
        <v>1.0310017925746982</v>
      </c>
      <c r="DF9" s="36" t="s">
        <v>127</v>
      </c>
      <c r="DG9" s="37" t="s">
        <v>120</v>
      </c>
      <c r="DI9" s="44"/>
      <c r="DJ9" s="36">
        <f>SQRT((A9-$A$77)^2+(B9-$B$77)^2+(C9-$C$77)^2+(D9-$D$77)^2+(E9-$E$77)^2+(F9-$F$77)^2+(G9-$G$77)^2+(H9-$H$77)^2+(I9-$I$77)^2+(J9-$J$77)^2+(K9-$K$77)^2+(L9-$L$77)^2+(M9-$M$77)^2+(N9-$N$77)^2+(O9-$O$77)^2+(P9-$P$77)^2+(Q9-$Q$77)^2+(R9-$R$77)^2+(S9-$S$77)^2+(T9-$T$77)^2+(U9-$U$77)^2+(V9-$V$77)^2+(W9-$W$77)^2+(X9-$X$77)^2+(Y9-$Y$77)^2+(Z9-$Z$77)^2+(AA9-$AA$77)^2+(AB9-$AB$77)^2+(AC9-$AC$77)^2+(AD9-$AD$77)^2+(AE9-$AE$77)^2+(AF9-$AF$77)^2+(AG9-$AG$77)^2)</f>
        <v>1.6546970659891436</v>
      </c>
      <c r="DK9" s="36" t="s">
        <v>320</v>
      </c>
      <c r="DL9" s="37" t="s">
        <v>120</v>
      </c>
      <c r="DN9" s="44"/>
      <c r="DO9" s="36">
        <f>SQRT((A9-$A$78)^2+(B9-$B$78)^2+(C9-$C$78)^2+(D9-$D$78)^2+(E9-$E$78)^2+(F9-$F$78)^2+(G9-$G$78)^2+(H9-$H$78)^2+(I9-$I$78)^2+(J9-$J$78)^2+(K9-$K$78)^2+(L9-$L$78)^2+(M9-$M$78)^2+(N9-$N$78)^2+(O9-$O$78)^2+(P9-$P$78)^2+(Q9-$Q$78)^2+(R9-$R$78)^2+(S9-$S$78)^2+(T9-$T$78)^2+(U9-$U$78)^2+(V9-$V$78)^2+(W9-$W$78)^2+(X9-$X$78)^2+(Y9-$Y$78)^2+(Z9-$Z$78)^2+(AA9-$AA$78)^2+(AB9-$AB$78)^2+(AC9-$AC$78)^2+(AD9-$AD$78)^2+(AE9-$AE$78)^2+(AF9-$AF$78)^2+(AG9-$AG$78)^2)</f>
        <v>0.81948592966179457</v>
      </c>
      <c r="DP9" s="36" t="s">
        <v>126</v>
      </c>
      <c r="DQ9" s="37" t="s">
        <v>120</v>
      </c>
      <c r="DS9" s="44"/>
      <c r="DT9" s="36">
        <f>SQRT((A9-$A$79)^2+(B9-$B$79)^2+(C9-$C$79)^2+(D9-$D$79)^2+(E9-$E$79)^2+(F9-$F$79)^2+(G9-$G$79)^2+(H9-$H$79)^2+(I9-$I$79)^2+(J9-$J$79)^2+(K9-$K$79)^2+(L9-$L$79)^2+(M9-$M$79)^2+(N9-$N$79)^2+(O9-$O$79)^2+(P9-$P$79)^2+(Q9-$Q$79)^2+(R9-$R$79)^2+(S9-$S$79)^2+(T9-$T$79)^2+(U9-$U$79)^2+(V9-$V$79)^2+(W9-$W$79)^2+(X9-$X$79)^2+(Y9-$Y$79)^2+(Z9-$Z$79)^2+(AA9-$AA$79)^2+(AB9-$AB$79)^2+(AC9-$AC$79)^2+(AD9-$AD$79)^2+(AE9-$AE$79)^2+(AF9-$AF$79)^2+(AG9-$AG$79)^2)</f>
        <v>1.0607054265756746</v>
      </c>
      <c r="DU9" s="36" t="s">
        <v>336</v>
      </c>
      <c r="DV9" s="37" t="s">
        <v>120</v>
      </c>
      <c r="DX9" s="44"/>
      <c r="DY9" s="36">
        <f>SQRT((A9-$A$80)^2+(B9-$B$80)^2+(C9-$C$80)^2+(D9-$D$80)^2+(E9-$E$80)^2+(F9-$F$80)^2+(G9-$G$80)^2+(H9-$H$80)^2+(I9-$I$80)^2+(J9-$J$80)^2+(K9-$K$80)^2+(L9-$L$80)^2+(M9-$M$80)^2+(N9-$N$80)^2+(O9-$O$80)^2+(P9-$P$80)^2+(Q9-$Q$80)^2+(R9-$R$80)^2+(S9-$S$80)^2+(T9-$T$80)^2+(U9-$U$80)^2+(V9-$V$80)^2+(W9-$W$80)^2+(X9-$X$80)^2+(Y9-$Y$80)^2+(Z9-$Z$80)^2+(AA9-$AA$80)^2+(AB9-$AB$80)^2+(AC9-$AC$80)^2+(AD9-$AD$80)^2+(AE9-$AE$80)^2+(AF9-$AF$80)^2+(AG9-$AG$80)^2)</f>
        <v>1.3534230834799195</v>
      </c>
      <c r="DZ9" s="36" t="s">
        <v>123</v>
      </c>
      <c r="EA9" s="37" t="s">
        <v>120</v>
      </c>
      <c r="EC9" s="44"/>
      <c r="ED9" s="36">
        <f>SQRT((A9-$A$81)^2+(B9-$B$81)^2+(C9-$C$81)^2+(D9-$D$81)^2+(E9-$E$81)^2+(F9-$F$81)^2+(G9-$G$81)^2+(H9-$H$81)^2+(I9-$I$81)^2+(J9-$J$81)^2+(K9-$K$81)^2+(L9-$L$81)^2+(M9-$M$81)^2+(N9-$N$81)^2+(O9-$O$81)^2+(P9-$P$81)^2+(Q9-$Q$81)^2+(R9-$R$81)^2+(S9-$S$81)^2+(T9-$T$81)^2+(U9-$U$81)^2+(V9-$V$81)^2+(W9-$W$81)^2+(X9-$X$81)^2+(Y9-$Y$81)^2+(Z9-$Z$81)^2+(AA9-$AA$81)^2+(AB9-$AB$81)^2+(AC9-$AC$81)^2+(AD9-$AD$81)^2+(AE9-$AE$81)^2+(AF9-$AF$81)^2+(AG9-$AG$81)^2)</f>
        <v>1.3830175663760051</v>
      </c>
      <c r="EE9" s="36" t="s">
        <v>141</v>
      </c>
      <c r="EF9" s="37" t="s">
        <v>120</v>
      </c>
      <c r="EH9" s="44"/>
      <c r="EI9" s="36">
        <f>SQRT((A9-$A$82)^2+(B9-$B$82)^2+(C9-$C$82)^2+(D9-$D$82)^2+(E9-$E$82)^2+(F9-$F$82)^2+(G9-$G$82)^2+(H9-$H$82)^2+(I9-$I$82)^2+(J9-$J$82)^2+(K9-$K$82)^2+(L9-$L$82)^2+(M9-$M$82)^2+(N9-$N$82)^2+(O9-$O$82)^2+(P9-$P$82)^2+(Q9-$Q$82)^2+(R9-$R$82)^2+(S9-$S$82)^2+(T9-$T$82)^2+(U9-$U$82)^2+(V9-$V$82)^2+(W9-$W$82)^2+(X9-$X$82)^2+(Y9-$Y$82)^2+(Z9-$Z$82)^2+(AA9-$AA$82)^2+(AB9-$AB$82)^2+(AC9-$AC$82)^2+(AD9-$AD$82)^2+(AE9-$AE$82)^2+(AF9-$AF$82)^2+(AG9-$AG$82)^2)</f>
        <v>1.3010042798714898</v>
      </c>
      <c r="EJ9" s="36" t="s">
        <v>132</v>
      </c>
      <c r="EK9" s="37" t="s">
        <v>120</v>
      </c>
      <c r="EM9" s="44"/>
      <c r="EN9" s="36">
        <f>SQRT((A9-$A$83)^2+(B9-$B$83)^2+(C9-$C$83)^2+(D9-$D$83)^2+(E9-$E$83)^2+(F9-$F$83)^2+(G9-$G$83)^2+(H9-$H$83)^2+(I9-$I$83)^2+(J9-$J$83)^2+(K9-$K$83)^2+(L9-$L$83)^2+(M9-$M$83)^2+(N9-$N$83)^2+(O9-$O$83)^2+(P9-$P$83)^2+(Q9-$Q$83)^2+(R9-$R$83)^2+(S9-$S$83)^2+(T9-$T$83)^2+(U9-$U$83)^2+(V9-$V$83)^2+(W9-$W$83)^2+(X9-$X$83)^2+(Y9-$Y$83)^2+(Z9-$Z$83)^2+(AA9-$AA$83)^2+(AB9-$AB$83)^2+(AC9-$AC$83)^2+(AD9-$AD$83)^2+(AE9-$AE$83)^2+(AF9-$AF$83)^2+(AG9-$AG$83)^2)</f>
        <v>0.95777923081026062</v>
      </c>
      <c r="EO9" s="36" t="s">
        <v>122</v>
      </c>
      <c r="EP9" s="37" t="s">
        <v>120</v>
      </c>
      <c r="ER9" s="44"/>
      <c r="ES9" s="36">
        <f>SQRT((A9-$A$84)^2+(B9-$B$84)^2+(C9-$C$84)^2+(D9-$D$84)^2+(E9-$E$84)^2+(F9-$F$84)^2+(G9-$G$84)^2+(H9-$H$84)^2+(I9-$I$84)^2+(J9-$J$84)^2+(K9-$K$84)^2+(L9-$L$84)^2+(M9-$M$84)^2+(N9-$N$84)^2+(O9-$O$84)^2+(P9-$P$84)^2+(Q9-$Q$84)^2+(R9-$R$84)^2+(S9-$S$84)^2+(T9-$T$84)^2+(U9-$U$84)^2+(V9-$V$84)^2+(W9-$W$84)^2+(X9-$X$84)^2+(Y9-$Y$84)^2+(Z9-$Z$84)^2+(AA9-$AA$84)^2+(AB9-$AB$84)^2+(AC9-$AC$84)^2+(AD9-$AD$84)^2+(AE9-$AE$84)^2+(AF9-$AF$84)^2+(AG9-$AG$84)^2)</f>
        <v>0</v>
      </c>
      <c r="ET9" s="36" t="s">
        <v>334</v>
      </c>
      <c r="EU9" s="37" t="s">
        <v>120</v>
      </c>
      <c r="EW9" s="44"/>
      <c r="EX9" s="36">
        <f>SQRT((A9-$A$85)^2+(B9-$B$85)^2+(C9-$C$85)^2+(D9-$D$85)^2+(E9-$E$85)^2+(F9-$F$85)^2+(G9-$G$85)^2+(H9-$H$85)^2+(I9-$I$85)^2+(J9-$J$85)^2+(K9-$K$85)^2+(L9-$L$85)^2+(M9-$M$85)^2+(N9-$N$85)^2+(O9-$O$85)^2+(P9-$P$85)^2+(Q9-$Q$85)^2+(R9-$R$85)^2+(S9-$S$85)^2+(T9-$T$85)^2+(U9-$U$85)^2+(V9-$V$85)^2+(W9-$W$85)^2+(X9-$X$85)^2+(Y9-$Y$85)^2+(Z9-$Z$85)^2+(AA9-$AA$85)^2+(AB9-$AB$85)^2+(AC9-$AC$85)^2+(AD9-$AD$85)^2+(AE9-$AE$85)^2+(AF9-$AF$85)^2+(AG9-$AG$85)^2)</f>
        <v>0</v>
      </c>
      <c r="EY9" s="36" t="s">
        <v>334</v>
      </c>
      <c r="EZ9" s="37" t="s">
        <v>120</v>
      </c>
      <c r="FB9" s="44"/>
      <c r="FC9" s="36">
        <f>SQRT((A9-$A$86)^2+(B9-$B$86)^2+(C9-$C$86)^2+(D9-$D$86)^2+(E9-$E$86)^2+(F9-$F$86)^2+(G9-$G$86)^2+(H9-$H$86)^2+(I9-$I$86)^2+(J9-$J$86)^2+(K9-$K$86)^2+(L9-$L$86)^2+(M9-$M$86)^2+(N9-$N$86)^2+(O9-$O$86)^2+(P9-$P$86)^2+(Q9-$Q$86)^2+(R9-$R$86)^2+(S9-$S$86)^2+(T9-$T$86)^2+(U9-$U$86)^2+(V9-$V$86)^2+(W9-$W$86)^2+(X9-$X$86)^2+(Y9-$Y$86)^2+(Z9-$Z$86)^2+(AA9-$AA$86)^2+(AB9-$AB$86)^2+(AC9-$AC$86)^2+(AD9-$AD$86)^2+(AE9-$AE$86)^2+(AF9-$AF$86)^2+(AG9-$AG$86)^2)</f>
        <v>0</v>
      </c>
      <c r="FD9" s="36" t="s">
        <v>334</v>
      </c>
      <c r="FE9" s="37" t="s">
        <v>120</v>
      </c>
      <c r="FG9" s="44"/>
      <c r="FH9" s="36">
        <f>SQRT((A9-$A$87)^2+(B9-$B$87)^2+(C9-$C$87)^2+(D9-$D$87)^2+(E9-$E$87)^2+(F9-$F$87)^2+(G9-$G$87)^2+(H9-$H$87)^2+(I9-$I$87)^2+(J9-$J$87)^2+(K9-$K$87)^2+(L9-$L$87)^2+(M9-$M$87)^2+(N9-$N$87)^2+(O9-$O$87)^2+(P9-$P$87)^2+(Q9-$Q$87)^2+(R9-$R$87)^2+(S9-$S$87)^2+(T9-$T$87)^2+(U9-$U$87)^2+(V9-$V$87)^2+(W9-$W$87)^2+(X9-$X$87)^2+(Y9-$Y$87)^2+(Z9-$Z$87)^2+(AA9-$AA$87)^2+(AB9-$AB$87)^2+(AC9-$AC$87)^2+(AD9-$AD$87)^2+(AE9-$AE$87)^2+(AF9-$AF$87)^2+(AG9-$AG$87)^2)</f>
        <v>0.97200717336145681</v>
      </c>
      <c r="FI9" s="36" t="s">
        <v>335</v>
      </c>
      <c r="FJ9" s="37" t="s">
        <v>120</v>
      </c>
      <c r="FL9" s="44"/>
      <c r="FM9" s="36">
        <f>SQRT((A9-$A$88)^2+(B9-$B$88)^2+(C9-$C$88)^2+(D9-$D$88)^2+(E9-$E$88)^2+(F9-$F$88)^2+(G9-$G$88)^2+(H9-$H$88)^2+(I9-$I$88)^2+(J9-$J$88)^2+(K9-$K$88)^2+(L9-$L$88)^2+(M9-$M$88)^2+(N9-$N$88)^2+(O9-$O$88)^2+(P9-$P$88)^2+(Q9-$Q$88)^2+(R9-$R$88)^2+(S9-$S$88)^2+(T9-$T$88)^2+(U9-$U$88)^2+(V9-$V$88)^2+(W9-$W$88)^2+(X9-$X$88)^2+(Y9-$Y$88)^2+(Z9-$Z$88)^2+(AA9-$AA$88)^2+(AB9-$AB$88)^2+(AC9-$AC$88)^2+(AD9-$AD$88)^2+(AE9-$AE$88)^2+(AF9-$AF$88)^2+(AG9-$AG$88)^2)</f>
        <v>1.1348474957061225</v>
      </c>
      <c r="FN9" s="36" t="s">
        <v>126</v>
      </c>
      <c r="FO9" s="37" t="s">
        <v>120</v>
      </c>
      <c r="FQ9" s="44"/>
      <c r="FR9" s="36">
        <f>SQRT((A9-$A$89)^2+(B9-$B$89)^2+(C9-$C$89)^2+(D9-$D$89)^2+(E9-$E$89)^2+(F9-$F$89)^2+(G9-$G$89)^2+(H9-$H$89)^2+(I9-$I$89)^2+(J9-$J$89)^2+(K9-$K$89)^2+(L9-$L$89)^2+(M9-$M$89)^2+(N9-$N$89)^2+(O9-$O$89)^2+(P9-$P$89)^2+(Q9-$Q$89)^2+(R9-$R$89)^2+(S9-$S$89)^2+(T9-$T$89)^2+(U9-$U$89)^2+(V9-$V$89)^2+(W9-$W$89)^2+(X9-$X$89)^2+(Y9-$Y$89)^2+(Z9-$Z$89)^2+(AA9-$AA$89)^2+(AB9-$AB$89)^2+(AC9-$AC$89)^2+(AD9-$AD$89)^2+(AE9-$AE$89)^2+(AF9-$AF$89)^2+(AG9-$AG$89)^2)</f>
        <v>1.5464558617671604</v>
      </c>
      <c r="FS9" s="36" t="s">
        <v>123</v>
      </c>
      <c r="FT9" s="37" t="s">
        <v>120</v>
      </c>
      <c r="FV9" s="44"/>
      <c r="FW9" s="36">
        <f>SQRT((A9-$A$90)^2+(B9-$B$90)^2+(C9-$C$90)^2+(D9-$D$90)^2+(E9-$E$90)^2+(F9-$F$90)^2+(G9-$G$90)^2+(H9-$H$90)^2+(I9-$I$90)^2+(J9-$J$90)^2+(K9-$K$90)^2+(L9-$L$90)^2+(M9-$M$90)^2+(N9-$N$90)^2+(O9-$O$90)^2+(P9-$P$90)^2+(Q9-$Q$90)^2+(R9-$R$90)^2+(S9-$S$90)^2+(T9-$T$90)^2+(U9-$U$90)^2+(V9-$V$90)^2+(W9-$W$90)^2+(X9-$X$90)^2+(Y9-$Y$90)^2+(Z9-$Z$90)^2+(AA9-$AA$90)^2+(AB9-$AB$90)^2+(AC9-$AC$90)^2+(AD9-$AD$90)^2+(AE9-$AE$90)^2+(AF9-$AF$90)^2+(AG9-$AG$90)^2)</f>
        <v>1.5349934074665983</v>
      </c>
      <c r="FX9" s="36" t="s">
        <v>127</v>
      </c>
      <c r="FY9" s="37" t="s">
        <v>120</v>
      </c>
      <c r="GA9" s="44"/>
      <c r="GB9" s="36">
        <f>SQRT((A9-$A$91)^2+(B9-$B$91)^2+(C9-$C$91)^2+(D9-$D$91)^2+(E9-$E$91)^2+(F9-$F$91)^2+(G9-$G$91)^2+(H9-$H$91)^2+(I9-$I$91)^2+(J9-$J$91)^2+(K9-$K$91)^2+(L9-$L$91)^2+(M9-$M$91)^2+(N9-$N$91)^2+(O9-$O$91)^2+(P9-$P$91)^2+(Q9-$Q$91)^2+(R9-$R$91)^2+(S9-$S$91)^2+(T9-$T$91)^2+(U9-$U$91)^2+(V9-$V$91)^2+(W9-$W$91)^2+(X9-$X$91)^2+(Y9-$Y$91)^2+(Z9-$Z$91)^2+(AA9-$AA$91)^2+(AB9-$AB$91)^2+(AC9-$AC$91)^2+(AD9-$AD$91)^2+(AE9-$AE$91)^2+(AF9-$AF$91)^2+(AG9-$AG$91)^2)</f>
        <v>1.6928697576375886</v>
      </c>
      <c r="GC9" s="36" t="s">
        <v>318</v>
      </c>
      <c r="GD9" s="37" t="s">
        <v>120</v>
      </c>
      <c r="GF9" s="44"/>
      <c r="GG9" s="36">
        <f>SQRT((A9-$A$92)^2+(B9-$B$92)^2+(C9-$C$92)^2+(D9-$D$92)^2+(E9-$E$92)^2+(F9-$F$92)^2+(G9-$G$92)^2+(H9-$H$92)^2+(I9-$I$92)^2+(J9-$J$92)^2+(K9-$K$92)^2+(L9-$L$92)^2+(M9-$M$92)^2+(N9-$N$92)^2+(O9-$O$92)^2+(P9-$P$92)^2+(Q9-$Q$92)^2+(R9-$R$92)^2+(S9-$S$92)^2+(T9-$T$92)^2+(U9-$U$92)^2+(V9-$V$92)^2+(W9-$W$92)^2+(X9-$X$92)^2+(Y9-$Y$92)^2+(Z9-$Z$92)^2+(AA9-$AA$92)^2+(AB9-$AB$92)^2+(AC9-$AC$92)^2+(AD9-$AD$92)^2+(AE9-$AE$92)^2+(AF9-$AF$92)^2+(AG9-$AG$92)^2)</f>
        <v>1.5192471934052019</v>
      </c>
      <c r="GH9" s="36" t="s">
        <v>334</v>
      </c>
      <c r="GI9" s="37" t="s">
        <v>120</v>
      </c>
      <c r="GK9" s="44"/>
      <c r="GL9" s="36">
        <f>SQRT((A9-$A$93)^2+(B9-$B$93)^2+(C9-$C$93)^2+(D9-$D$93)^2+(E9-$E$93)^2+(F9-$F$93)^2+(G9-$G$93)^2+(H9-$H$93)^2+(I9-$I$93)^2+(J9-$J$93)^2+(K9-$K$93)^2+(L9-$L$93)^2+(M9-$M$93)^2+(N9-$N$93)^2+(O9-$O$93)^2+(P9-$P$93)^2+(Q9-$Q$93)^2+(R9-$R$93)^2+(S9-$S$93)^2+(T9-$T$93)^2+(U9-$U$93)^2+(V9-$V$93)^2+(W9-$W$93)^2+(X9-$X$93)^2+(Y9-$Y$93)^2+(Z9-$Z$93)^2+(AA9-$AA$93)^2+(AB9-$AB$93)^2+(AC9-$AC$93)^2+(AD9-$AD$93)^2+(AE9-$AE$93)^2+(AF9-$AF$93)^2+(AG9-$AG$93)^2)</f>
        <v>1.7785055277960402</v>
      </c>
      <c r="GM9" s="36" t="s">
        <v>318</v>
      </c>
      <c r="GN9" s="37" t="s">
        <v>120</v>
      </c>
      <c r="GP9" s="44"/>
      <c r="GQ9" s="36">
        <f>SQRT((A9-$A$94)^2+(B9-$B$94)^2+(C9-$C$94)^2+(D9-$D$94)^2+(E9-$E$94)^2+(F9-$F$94)^2+(G9-$G$94)^2+(H9-$H$94)^2+(I9-$I$94)^2+(J9-$J$94)^2+(K9-$K$94)^2+(L9-$L$94)^2+(M9-$M$94)^2+(N9-$N$94)^2+(O9-$O$94)^2+(P9-$P$94)^2+(Q9-$Q$94)^2+(R9-$R$94)^2+(S9-$S$94)^2+(T9-$T$94)^2+(U9-$U$94)^2+(V9-$V$94)^2+(W9-$W$94)^2+(X9-$X$94)^2+(Y9-$Y$94)^2+(Z9-$Z$94)^2+(AA9-$AA$94)^2+(AB9-$AB$94)^2+(AC9-$AC$94)^2+(AD9-$AD$94)^2+(AE9-$AE$94)^2+(AF9-$AF$94)^2+(AG9-$AG$94)^2)</f>
        <v>1.0229963837983551</v>
      </c>
      <c r="GR9" s="36" t="s">
        <v>318</v>
      </c>
      <c r="GS9" s="37" t="s">
        <v>120</v>
      </c>
      <c r="GU9" s="44"/>
      <c r="GV9" s="36">
        <f>SQRT((A9-$A$95)^2+(B9-$B$95)^2+(C9-$C$95)^2+(D9-$D$95)^2+(E9-$E$95)^2+(F9-$F$95)^2+(G9-$G$95)^2+(H9-$H$95)^2+(I9-$I$95)^2+(J9-$J$95)^2+(K9-$K$95)^2+(L9-$L$95)^2+(M9-$M$95)^2+(N9-$N$95)^2+(O9-$O$95)^2+(P9-$P$95)^2+(Q9-$Q$95)^2+(R9-$R$95)^2+(S9-$S$95)^2+(T9-$T$95)^2+(U9-$U$95)^2+(V9-$V$95)^2+(W9-$W$95)^2+(X9-$X$95)^2+(Y9-$Y$95)^2+(Z9-$Z$95)^2+(AA9-$AA$95)^2+(AB9-$AB$95)^2+(AC9-$AC$95)^2+(AD9-$AD$95)^2+(AE9-$AE$95)^2+(AF9-$AF$95)^2+(AG9-$AG$95)^2)</f>
        <v>2.248679199469116</v>
      </c>
      <c r="GW9" s="36" t="s">
        <v>151</v>
      </c>
      <c r="GX9" s="37" t="s">
        <v>120</v>
      </c>
      <c r="GZ9" s="44"/>
      <c r="HA9" s="36">
        <f>SQRT((A9-$A$96)^2+(B9-$B$96)^2+(C9-$C$96)^2+(D9-$D$96)^2+(E9-$E$96)^2+(F9-$F$96)^2+(G9-$G$96)^2+(H9-$H$96)^2+(I9-$I$96)^2+(J9-$J$96)^2+(K9-$K$96)^2+(L9-$L$96)^2+(M9-$M$96)^2+(N9-$N$96)^2+(O9-$O$96)^2+(P9-$P$96)^2+(Q9-$Q$96)^2+(R9-$R$96)^2+(S9-$S$96)^2+(T9-$T$96)^2+(U9-$U$96)^2+(V9-$V$96)^2+(W9-$W$96)^2+(X9-$X$96)^2+(Y9-$Y$96)^2+(Z9-$Z$96)^2+(AA9-$AA$96)^2+(AB9-$AB$96)^2+(AC9-$AC$96)^2+(AD9-$AD$96)^2+(AE9-$AE$96)^2+(AF9-$AF$96)^2+(AG9-$AG$96)^2)</f>
        <v>2.1132636339302331</v>
      </c>
      <c r="HB9" s="36" t="s">
        <v>127</v>
      </c>
      <c r="HC9" s="37" t="s">
        <v>120</v>
      </c>
      <c r="HE9" s="44"/>
      <c r="HF9" s="36">
        <f>SQRT((A9-$A$97)^2+(B9-$B$97)^2+(C9-$C$97)^2+(D9-$D$97)^2+(E9-$E$97)^2+(F9-$F$97)^2+(G9-$G$97)^2+(H9-$H$97)^2+(I9-$I$97)^2+(J9-$J$97)^2+(K9-$K$97)^2+(L9-$L$97)^2+(M9-$M$97)^2+(N9-$N$97)^2+(O9-$O$97)^2+(P9-$P$97)^2+(Q9-$Q$97)^2+(R9-$R$97)^2+(S9-$S$97)^2+(T9-$T$97)^2+(U9-$U$97)^2+(V9-$V$97)^2+(W9-$W$97)^2+(X9-$X$97)^2+(Y9-$Y$97)^2+(Z9-$Z$97)^2+(AA9-$AA$97)^2+(AB9-$AB$97)^2+(AC9-$AC$97)^2+(AD9-$AD$97)^2+(AE9-$AE$97)^2+(AF9-$AF$97)^2+(AG9-$AG$97)^2)</f>
        <v>0</v>
      </c>
      <c r="HG9" s="36" t="s">
        <v>334</v>
      </c>
      <c r="HH9" s="37" t="s">
        <v>120</v>
      </c>
      <c r="HJ9" s="44"/>
      <c r="HK9" s="36">
        <f>SQRT((A9-$A$98)^2+(B9-$B$98)^2+(C9-$C$98)^2+(D9-$D$98)^2+(E9-$E$98)^2+(F9-$F$98)^2+(G9-$G$98)^2+(H9-$H$98)^2+(I9-$I$98)^2+(J9-$J$98)^2+(K9-$K$98)^2+(L9-$L$98)^2+(M9-$M$98)^2+(N9-$N$98)^2+(O9-$O$98)^2+(P9-$P$98)^2+(Q9-$Q$98)^2+(R9-$R$98)^2+(S9-$S$98)^2+(T9-$T$98)^2+(U9-$U$98)^2+(V9-$V$98)^2+(W9-$W$98)^2+(X9-$X$98)^2+(Y9-$Y$98)^2+(Z9-$Z$98)^2+(AA9-$AA$98)^2+(AB9-$AB$98)^2+(AC9-$AC$98)^2+(AD9-$AD$98)^2+(AE9-$AE$98)^2+(AF9-$AF$98)^2+(AG9-$AG$98)^2)</f>
        <v>0</v>
      </c>
      <c r="HL9" s="36" t="s">
        <v>334</v>
      </c>
      <c r="HM9" s="37" t="s">
        <v>120</v>
      </c>
      <c r="HO9" s="44"/>
      <c r="HP9" s="36">
        <f>SQRT((A9-$A$99)^2+(B9-$B$99)^2+(C9-$C$99)^2+(D9-$D$99)^2+(E9-$E$99)^2+(F9-$F$99)^2+(G9-$G$99)^2+(H9-$H$99)^2+(I9-$I$99)^2+(J9-$J$99)^2+(K9-$K$99)^2+(L9-$L$99)^2+(M9-$M$99)^2+(N9-$N$99)^2+(O9-$O$99)^2+(P9-$P$99)^2+(Q9-$Q$99)^2+(R9-$R$99)^2+(S9-$S$99)^2+(T9-$T$99)^2+(U9-$U$99)^2+(V9-$V$99)^2+(W9-$W$99)^2+(X9-$X$99)^2+(Y9-$Y$99)^2+(Z9-$Z$99)^2+(AA9-$AA$99)^2+(AB9-$AB$99)^2+(AC9-$AC$99)^2+(AD9-$AD$99)^2+(AE9-$AE$99)^2+(AF9-$AF$99)^2+(AG9-$AG$99)^2)</f>
        <v>0</v>
      </c>
      <c r="HQ9" s="36" t="s">
        <v>334</v>
      </c>
      <c r="HR9" s="37" t="s">
        <v>120</v>
      </c>
      <c r="HT9" s="44"/>
      <c r="HU9" s="36">
        <f>SQRT((A9-$A$100)^2+(B9-$B$100)^2+(C9-$C$100)^2+(D9-$D$100)^2+(E9-$E$100)^2+(F9-$F$100)^2+(G9-$G$100)^2+(H9-$H$100)^2+(I9-$I$100)^2+(J9-$J$100)^2+(K9-$K$100)^2+(L9-$L$100)^2+(M9-$M$100)^2+(N9-$N$100)^2+(O9-$O$100)^2+(P9-$P$100)^2+(Q9-$Q$100)^2+(R9-$R$100)^2+(S9-$S$100)^2+(T9-$T$100)^2+(U9-$U$100)^2+(V9-$V$100)^2+(W9-$W$100)^2+(X9-$X$100)^2+(Y9-$Y$100)^2+(Z9-$Z$100)^2+(AA9-$AA$100)^2+(AB9-$AB$100)^2+(AC9-$AC$100)^2+(AD9-$AD$100)^2+(AE9-$AE$100)^2+(AF9-$AF$100)^2+(AG9-$AG$100)^2)</f>
        <v>0</v>
      </c>
      <c r="HV9" s="36" t="s">
        <v>334</v>
      </c>
      <c r="HW9" s="37" t="s">
        <v>120</v>
      </c>
      <c r="HY9" s="44"/>
      <c r="HZ9" s="36">
        <f>SQRT((A9-$A$101)^2+(B9-$B$101)^2+(C9-$C$101)^2+(D9-$D$101)^2+(E9-$E$101)^2+(F9-$F$101)^2+(G9-$G$101)^2+(H9-$H$101)^2+(I9-$I$101)^2+(J9-$J$101)^2+(K9-$K$101)^2+(L9-$L$101)^2+(M9-$M$101)^2+(N9-$N$101)^2+(O9-$O$101)^2+(P9-$P$101)^2+(Q9-$Q$101)^2+(R9-$R$101)^2+(S9-$S$101)^2+(T9-$T$101)^2+(U9-$U$101)^2+(V9-$V$101)^2+(W9-$W$101)^2+(X9-$X$101)^2+(Y9-$Y$101)^2+(Z9-$Z$101)^2+(AA9-$AA$101)^2+(AB9-$AB$101)^2+(AC9-$AC$101)^2+(AD9-$AD$101)^2+(AE9-$AE$101)^2+(AF9-$AF$101)^2+(AG9-$AG$101)^2)</f>
        <v>1.4405513255795901</v>
      </c>
      <c r="IA9" s="36" t="s">
        <v>141</v>
      </c>
      <c r="IB9" s="37" t="s">
        <v>120</v>
      </c>
    </row>
    <row r="10" spans="1:236" x14ac:dyDescent="0.35">
      <c r="A10" s="2">
        <v>0.16666666666666599</v>
      </c>
      <c r="B10" s="2">
        <v>0.25</v>
      </c>
      <c r="C10" s="2">
        <v>0.23899371069182301</v>
      </c>
      <c r="D10" s="2">
        <v>0.66666666666666596</v>
      </c>
      <c r="E10" s="2">
        <v>1</v>
      </c>
      <c r="F10" s="2">
        <v>0.94805194805194803</v>
      </c>
      <c r="G10" s="2">
        <v>1</v>
      </c>
      <c r="H10" s="2">
        <v>0.936708860759493</v>
      </c>
      <c r="I10" s="2">
        <v>0</v>
      </c>
      <c r="J10" s="2">
        <v>0.55555555555555503</v>
      </c>
      <c r="K10" s="2">
        <v>0.5</v>
      </c>
      <c r="L10" s="2">
        <v>0.158904109589041</v>
      </c>
      <c r="M10" s="2">
        <v>1</v>
      </c>
      <c r="N10" s="2">
        <v>1</v>
      </c>
      <c r="O10" s="2">
        <v>0.189873417721519</v>
      </c>
      <c r="P10" s="2">
        <v>0.4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 t="s">
        <v>120</v>
      </c>
      <c r="AI10" s="42"/>
      <c r="AJ10" s="42"/>
      <c r="AL10" s="44"/>
      <c r="AM10" s="36">
        <f>SQRT((A10-$A$62)^2+(B10-$B$62)^2+(C10-$C$62)^2+(D10-$D$62)^2+(E10-$E$62)^2+(F10-$F$62)^2+(G10-$G$62)^2+(H10-$H$62)^2+(I10-$I$62)^2+(J10-$J$62)^2+(K10-$K$62)^2+(L10-$L$62)^2+(M10-$M$62)^2+(N10-$N$62)^2+(O10-$O$62)^2+(P10-$P$62)^2+(Q10-$Q$62)^2+(R10-$R$62)^2+(S10-$S$62)^2+(T10-$T$62)^2+(U10-$U$62)^2+(V10-$V$62)^2+(W10-$W$62)^2+(X10-$X$62)^2+(Y10-$Y$62)^2+(Z10-$Z$62)^2+(AA10-$AA$62)^2+(AB10-$AB$62)^2+(AC10-$AC$62)^2+(AD10-$AD$62)^2+(AE10-$AE$62)^2+(AF10-$AF$62)^2+(AG10-$AG$62)^2)</f>
        <v>2.9622750572550398</v>
      </c>
      <c r="AN10" s="36" t="s">
        <v>318</v>
      </c>
      <c r="AO10" s="37" t="s">
        <v>120</v>
      </c>
      <c r="AP10" s="30"/>
      <c r="AQ10" s="44"/>
      <c r="AR10" s="36">
        <f>SQRT((A10-$A$63)^2+(B10-$B$63)^2+(C10-$C$63)^2+(D10-$D$63)^2+(E10-$E$63)^2+(F10-$F$63)^2+(G10-$G$63)^2+(H10-$H$63)^2+(I10-$I$63)^2+(J10-$J$63)^2+(K10-$K$63)^2+(L10-$L$63)^2+(M10-$M$63)^2+(N10-$N$63)^2+(O10-$O$63)^2+(P10-$P$63)^2+(Q10-$Q$63)^2+(R10-$R$63)^2+(S10-$S$63)^2+(T10-$T$63)^2+(U10-$U$63)^2+(V10-$V$63)^2+(W10-$W$63)^2+(X10-$X$63)^2+(Y10-$Y$63)^2+(Z10-$Z$63)^2+(AA10-$AA$63)^2+(AB10-$AB$63)^2+(AC10-$AC$63)^2+(AD10-$AD$63)^2+(AE10-$AE$63)^2+(AF10-$AF$63)^2+(AG10-$AG$63)^2)</f>
        <v>2.0494375331303725</v>
      </c>
      <c r="AS10" s="36" t="s">
        <v>149</v>
      </c>
      <c r="AT10" s="37" t="s">
        <v>120</v>
      </c>
      <c r="AU10" s="30"/>
      <c r="AV10" s="44"/>
      <c r="AW10" s="36">
        <f>SQRT((A10-$A$64)^2+(B10-$B$64)^2+(C10-$C$64)^2+(D10-$D$64)^2+(E10-$E$64)^2+(F10-$F$64)^2+(G10-$G$64)^2+(H10-$H$64)^2+(I10-$I$64)^2+(J10-$J$64)^2+(K10-$K$64)^2+(L10-$L$64)^2+(M10-$M$64)^2+(N10-$N$64)^2+(O10-$O$64)^2+(P10-$P$64)^2+(Q10-$Q$64)^2+(R10-$R$64)^2+(S10-$S$64)^2+(T10-$T$64)^2+(U10-$U$64)^2+(V10-$V$64)^2+(W10-$W$64)^2+(X10-$X$64)^2+(Y10-$Y$64)^2+(Z10-$Z$64)^2+(AA10-$AA$64)^2+(AB10-$AB$64)^2+(AC10-$AC$64)^2+(AD10-$AD$64)^2+(AE10-$AE$64)^2+(AF10-$AF$64)^2+(AG10-$AG$64)^2)</f>
        <v>2.0494375331303725</v>
      </c>
      <c r="AX10" s="36" t="s">
        <v>149</v>
      </c>
      <c r="AY10" s="37" t="s">
        <v>120</v>
      </c>
      <c r="AZ10" s="30"/>
      <c r="BA10" s="44"/>
      <c r="BB10" s="36">
        <f>SQRT((A10-$A$65)^2+(B10-$B$65)^2+(C10-$C$65)^2+(D10-$D$65)^2+(E10-$E$65)^2+(F10-$F$65)^2+(G10-$G$65)^2+(H10-$H$65)^2+(I10-$I$65)^2+(J10-$J$65)^2+(K10-$K$65)^2+(L10-$L$65)^2+(M10-$M$65)^2+(N10-$N$65)^2+(O10-$O$65)^2+(P10-$P$65)^2+(Q10-$Q$65)^2+(R10-$R$65)^2+(S10-$S$65)^2+(T10-$T$65)^2+(U10-$U$65)^2+(V10-$V$65)^2+(W10-$W$65)^2+(X10-$X$65)^2+(Y10-$Y$65)^2+(Z10-$Z$65)^2+(AA10-$AA$65)^2+(AB10-$AB$65)^2+(AC10-$AC$65)^2+(AD10-$AD$65)^2+(AE10-$AE$65)^2+(AF10-$AF$65)^2+(AG10-$AG$65)^2)</f>
        <v>2.0494375331303725</v>
      </c>
      <c r="BC10" s="36" t="s">
        <v>149</v>
      </c>
      <c r="BD10" s="37" t="s">
        <v>120</v>
      </c>
      <c r="BE10" s="30"/>
      <c r="BF10" s="44"/>
      <c r="BG10" s="36">
        <f>SQRT((A10-$A$66)^2+(B10-$B$66)^2+(C10-$C$66)^2+(D10-$D$66)^2+(E10-$E$66)^2+(F10-$F$66)^2+(G10-$G$66)^2+(H10-$H$66)^2+(I10-$I$66)^2+(J10-$J$66)^2+(K10-$K$66)^2+(L10-$L$66)^2+(M10-$M$66)^2+(N10-$N$66)^2+(O10-$O$66)^2+(P10-$P$66)^2+(Q10-$Q$66)^2+(R10-$R$66)^2+(S10-$S$66)^2+(T10-$T$66)^2+(U10-$U$66)^2+(V10-$V$66)^2+(W10-$W$66)^2+(X10-$X$66)^2+(Y10-$Y$66)^2+(Z10-$Z$66)^2+(AA10-$AA$66)^2+(AB10-$AB$66)^2+(AC10-$AC$66)^2+(AD10-$AD$66)^2+(AE10-$AE$66)^2+(AF10-$AF$66)^2+(AG10-$AG$66)^2)</f>
        <v>2.0494375331303725</v>
      </c>
      <c r="BH10" s="36" t="s">
        <v>149</v>
      </c>
      <c r="BI10" s="37" t="s">
        <v>120</v>
      </c>
      <c r="BJ10" s="30"/>
      <c r="BK10" s="44"/>
      <c r="BL10" s="36">
        <f>SQRT((A10-$A$67)^2+(B10-$B$67)^2+(C10-$C$67)^2+(D10-$D$67)^2+(E10-$E$67)^2+(F10-$F$67)^2+(G10-$G$67)^2+(H10-$H$67)^2+(I10-$I$67)^2+(J10-$J$67)^2+(K10-$K$67)^2+(L10-$L$67)^2+(M10-$M$67)^2+(N10-$N$67)^2+(O10-$O$67)^2+(P10-$P$67)^2+(Q10-$Q$67)^2+(R10-$R$67)^2+(S10-$S$67)^2+(T10-$T$67)^2+(U10-$U$67)^2+(V10-$V$67)^2+(W10-$W$67)^2+(X10-$X$67)^2+(Y10-$Y$67)^2+(Z10-$Z$67)^2+(AA10-$AA$67)^2+(AB10-$AB$67)^2+(AC10-$AC$67)^2+(AD10-$AD$67)^2+(AE10-$AE$67)^2+(AF10-$AF$67)^2+(AG10-$AG$67)^2)</f>
        <v>2.0494375331303725</v>
      </c>
      <c r="BM10" s="36" t="s">
        <v>149</v>
      </c>
      <c r="BN10" s="37" t="s">
        <v>120</v>
      </c>
      <c r="BO10" s="30"/>
      <c r="BP10" s="44"/>
      <c r="BQ10" s="36">
        <f>SQRT((A10-$A$68)^2+(B10-$B$68)^2+(C10-$C$68)^2+(D10-$D$68)^2+(E10-$E$68)^2+(F10-$F$68)^2+(G10-$G$68)^2+(H10-$H$68)^2+(I10-$I$68)^2+(J10-$J$68)^2+(K10-$K$68)^2+(L10-$L$68)^2+(M10-$M$68)^2+(N10-$N$68)^2+(O10-$O$68)^2+(P10-$P$68)^2+(Q10-$Q$68)^2+(R10-$R$68)^2+(S10-$S$68)^2+(T10-$T$68)^2+(U10-$U$68)^2+(V10-$V$68)^2+(W10-$W$68)^2+(X10-$X$68)^2+(Y10-$Y$68)^2+(Z10-$Z$68)^2+(AA10-$AA$68)^2+(AB10-$AB$68)^2+(AC10-$AC$68)^2+(AD10-$AD$68)^2+(AE10-$AE$68)^2+(AF10-$AF$68)^2+(AG10-$AG$68)^2)</f>
        <v>2.0494375331303725</v>
      </c>
      <c r="BR10" s="36" t="s">
        <v>149</v>
      </c>
      <c r="BS10" s="37" t="s">
        <v>120</v>
      </c>
      <c r="BT10" s="30"/>
      <c r="BU10" s="44"/>
      <c r="BV10" s="36">
        <f>SQRT((A10-$A$69)^2+(B10-$B$69)^2+(C10-$C$69)^2+(D10-$D$69)^2+(E10-$E$69)^2+(F10-$F$69)^2+(G10-$G$69)^2+(H10-$H$69)^2+(I10-$I$69)^2+(J10-$J$69)^2+(K10-$K$69)^2+(L10-$L$69)^2+(M10-$M$69)^2+(N10-$N$69)^2+(O10-$O$69)^2+(P10-$P$69)^2+(Q10-$Q$69)^2+(R10-$R$69)^2+(S10-$S$69)^2+(T10-$T$69)^2+(U10-$U$69)^2+(V10-$V$69)^2+(W10-$W$69)^2+(X10-$X$69)^2+(Y10-$Y$69)^2+(Z10-$Z$69)^2+(AA10-$AA$69)^2+(AB10-$AB$69)^2+(AC10-$AC$69)^2+(AD10-$AD$69)^2+(AE10-$AE$69)^2+(AF10-$AF$69)^2+(AG10-$AG$69)^2)</f>
        <v>0.5270462766947297</v>
      </c>
      <c r="BW10" s="36" t="s">
        <v>129</v>
      </c>
      <c r="BX10" s="37" t="s">
        <v>120</v>
      </c>
      <c r="BZ10" s="44"/>
      <c r="CA10" s="36">
        <f>SQRT((A10-$A$70)^2+(B10-$B$70)^2+(C10-$C$70)^2+(D10-$D$70)^2+(E10-$E$70)^2+(F10-$F$70)^2+(G10-$G$70)^2+(H10-$H$70)^2+(I10-$I$70)^2+(J10-$J$70)^2+(K10-$K$70)^2+(L10-$L$70)^2+(M10-$M$70)^2+(N10-$N$70)^2+(O10-$O$70)^2+(P10-$P$70)^2+(Q10-$Q$70)^2+(R10-$R$70)^2+(S10-$S$70)^2+(T10-$T$70)^2+(U10-$U$70)^2+(V10-$V$70)^2+(W10-$W$70)^2+(X10-$X$70)^2+(Y10-$Y$70)^2+(Z10-$Z$70)^2+(AA10-$AA$70)^2+(AB10-$AB$70)^2+(AC10-$AC$70)^2+(AD10-$AD$70)^2+(AE10-$AE$70)^2+(AF10-$AF$70)^2+(AG10-$AG$70)^2)</f>
        <v>2.1673932315596227</v>
      </c>
      <c r="CB10" s="36" t="s">
        <v>335</v>
      </c>
      <c r="CC10" s="37" t="s">
        <v>120</v>
      </c>
      <c r="CE10" s="44"/>
      <c r="CF10" s="36">
        <f>SQRT((A10-$A$71)^2+(B10-$B$71)^2+(C10-$C$71)^2+(D10-$D$71)^2+(E10-$E$71)^2+(F10-$F$71)^2+(G10-$G$71)^2+(H10-$H$71)^2+(I10-$I$71)^2+(J10-$J$71)^2+(K10-$K$71)^2+(L10-$L$71)^2+(M10-$M$71)^2+(N10-$N$71)^2+(O10-$O$71)^2+(P10-$P$71)^2+(Q10-$Q$71)^2+(R10-$R$71)^2+(S10-$S$71)^2+(T10-$T$71)^2+(U10-$U$71)^2+(V10-$V$71)^2+(W10-$W$71)^2+(X10-$X$71)^2+(Y10-$Y$71)^2+(Z10-$Z$71)^2+(AA10-$AA$71)^2+(AB10-$AB$71)^2+(AC10-$AC$71)^2+(AD10-$AD$71)^2+(AE10-$AE$71)^2+(AF10-$AF$71)^2+(AG10-$AG$71)^2)</f>
        <v>2.3709079550504648</v>
      </c>
      <c r="CG10" s="36" t="s">
        <v>126</v>
      </c>
      <c r="CH10" s="37" t="s">
        <v>120</v>
      </c>
      <c r="CJ10" s="44"/>
      <c r="CK10" s="36">
        <f>SQRT((A10-$A$72)^2+(B10-$B$72)^2+(C10-$C$72)^2+(D10-$D$72)^2+(E10-$E$72)^2+(F10-$F$72)^2+(G10-$G$72)^2+(H10-$H$72)^2+(I10-$I$72)^2+(J10-$J$72)^2+(K10-$K$72)^2+(L10-$L$72)^2+(M10-$M$72)^2+(N10-$N$72)^2+(O10-$O$72)^2+(P10-$P$72)^2+(Q10-$Q$72)^2+(R10-$R$72)^2+(S10-$S$72)^2+(T10-$T$72)^2+(U10-$U$72)^2+(V10-$V$72)^2+(W10-$W$72)^2+(X10-$X$72)^2+(Y10-$Y$72)^2+(Z10-$Z$72)^2+(AA10-$AA$72)^2+(AB10-$AB$72)^2+(AC10-$AC$72)^2+(AD10-$AD$72)^2+(AE10-$AE$72)^2+(AF10-$AF$72)^2+(AG10-$AG$72)^2)</f>
        <v>2.6562413503988092</v>
      </c>
      <c r="CL10" s="36" t="s">
        <v>126</v>
      </c>
      <c r="CM10" s="37" t="s">
        <v>120</v>
      </c>
      <c r="CO10" s="44"/>
      <c r="CP10" s="36">
        <f>SQRT((A10-$A$73)^2+(B10-$B$73)^2+(C10-$C$73)^2+(D10-$D$73)^2+(E10-$E$73)^2+(F10-$F$73)^2+(G10-$G$73)^2+(H10-$H$73)^2+(I10-$I$73)^2+(J10-$J$73)^2+(K10-$K$73)^2+(L10-$L$73)^2+(M10-$M$73)^2+(N10-$N$73)^2+(O10-$O$73)^2+(P10-$P$73)^2+(Q10-$Q$73)^2+(R10-$R$73)^2+(S10-$S$73)^2+(T10-$T$73)^2+(U10-$U$73)^2+(V10-$V$73)^2+(W10-$W$73)^2+(X10-$X$73)^2+(Y10-$Y$73)^2+(Z10-$Z$73)^2+(AA10-$AA$73)^2+(AB10-$AB$73)^2+(AC10-$AC$73)^2+(AD10-$AD$73)^2+(AE10-$AE$73)^2+(AF10-$AF$73)^2+(AG10-$AG$73)^2)</f>
        <v>2.4672445636899418</v>
      </c>
      <c r="CQ10" s="36" t="s">
        <v>152</v>
      </c>
      <c r="CR10" s="37" t="s">
        <v>120</v>
      </c>
      <c r="CT10" s="44"/>
      <c r="CU10" s="36">
        <f>SQRT((A10-$A$74)^2+(B10-$B$74)^2+(C10-$C$74)^2+(D10-$D$74)^2+(E10-$E$74)^2+(F10-$F$74)^2+(G10-$G$74)^2+(H10-$H$74)^2+(I10-$I$74)^2+(J10-$J$74)^2+(K10-$K$74)^2+(L10-$L$74)^2+(M10-$M$74)^2+(N10-$N$74)^2+(O10-$O$74)^2+(P10-$P$74)^2+(Q10-$Q$74)^2+(R10-$R$74)^2+(S10-$S$74)^2+(T10-$T$74)^2+(U10-$U$74)^2+(V10-$V$74)^2+(W10-$W$74)^2+(X10-$X$74)^2+(Y10-$Y$74)^2+(Z10-$Z$74)^2+(AA10-$AA$74)^2+(AB10-$AB$74)^2+(AC10-$AC$74)^2+(AD10-$AD$74)^2+(AE10-$AE$74)^2+(AF10-$AF$74)^2+(AG10-$AG$74)^2)</f>
        <v>2.6821988580689764</v>
      </c>
      <c r="CV10" s="36" t="s">
        <v>129</v>
      </c>
      <c r="CW10" s="37" t="s">
        <v>120</v>
      </c>
      <c r="CY10" s="44"/>
      <c r="CZ10" s="36">
        <f>SQRT((A10-$A$75)^2+(B10-$B$75)^2+(C10-$C$75)^2+(D10-$D$75)^2+(E10-$E$75)^2+(F10-$F$75)^2+(G10-$G$75)^2+(H10-$H$75)^2+(I10-$I$75)^2+(J10-$J$75)^2+(K10-$K$75)^2+(L10-$L$75)^2+(M10-$M$75)^2+(N10-$N$75)^2+(O10-$O$75)^2+(P10-$P$75)^2+(Q10-$Q$75)^2+(R10-$R$75)^2+(S10-$S$75)^2+(T10-$T$75)^2+(U10-$U$75)^2+(V10-$V$75)^2+(W10-$W$75)^2+(X10-$X$75)^2+(Y10-$Y$75)^2+(Z10-$Z$75)^2+(AA10-$AA$75)^2+(AB10-$AB$75)^2+(AC10-$AC$75)^2+(AD10-$AD$75)^2+(AE10-$AE$75)^2+(AF10-$AF$75)^2+(AG10-$AG$75)^2)</f>
        <v>2.6569753403597467</v>
      </c>
      <c r="DA10" s="36" t="s">
        <v>146</v>
      </c>
      <c r="DB10" s="37" t="s">
        <v>120</v>
      </c>
      <c r="DD10" s="44"/>
      <c r="DE10" s="36">
        <f>SQRT((A10-$A$76)^2+(B10-$B$76)^2+(C10-$C$76)^2+(D10-$D$76)^2+(E10-$E$76)^2+(F10-$F$76)^2+(G10-$G$76)^2+(H10-$H$76)^2+(I10-$I$76)^2+(J10-$J$76)^2+(K10-$K$76)^2+(L10-$L$76)^2+(M10-$M$76)^2+(N10-$N$76)^2+(O10-$O$76)^2+(P10-$P$76)^2+(Q10-$Q$76)^2+(R10-$R$76)^2+(S10-$S$76)^2+(T10-$T$76)^2+(U10-$U$76)^2+(V10-$V$76)^2+(W10-$W$76)^2+(X10-$X$76)^2+(Y10-$Y$76)^2+(Z10-$Z$76)^2+(AA10-$AA$76)^2+(AB10-$AB$76)^2+(AC10-$AC$76)^2+(AD10-$AD$76)^2+(AE10-$AE$76)^2+(AF10-$AF$76)^2+(AG10-$AG$76)^2)</f>
        <v>2.5175739388678138</v>
      </c>
      <c r="DF10" s="36" t="s">
        <v>129</v>
      </c>
      <c r="DG10" s="37" t="s">
        <v>120</v>
      </c>
      <c r="DI10" s="44"/>
      <c r="DJ10" s="36">
        <f>SQRT((A10-$A$77)^2+(B10-$B$77)^2+(C10-$C$77)^2+(D10-$D$77)^2+(E10-$E$77)^2+(F10-$F$77)^2+(G10-$G$77)^2+(H10-$H$77)^2+(I10-$I$77)^2+(J10-$J$77)^2+(K10-$K$77)^2+(L10-$L$77)^2+(M10-$M$77)^2+(N10-$N$77)^2+(O10-$O$77)^2+(P10-$P$77)^2+(Q10-$Q$77)^2+(R10-$R$77)^2+(S10-$S$77)^2+(T10-$T$77)^2+(U10-$U$77)^2+(V10-$V$77)^2+(W10-$W$77)^2+(X10-$X$77)^2+(Y10-$Y$77)^2+(Z10-$Z$77)^2+(AA10-$AA$77)^2+(AB10-$AB$77)^2+(AC10-$AC$77)^2+(AD10-$AD$77)^2+(AE10-$AE$77)^2+(AF10-$AF$77)^2+(AG10-$AG$77)^2)</f>
        <v>3.0226963148306343</v>
      </c>
      <c r="DK10" s="36" t="s">
        <v>330</v>
      </c>
      <c r="DL10" s="37" t="s">
        <v>120</v>
      </c>
      <c r="DN10" s="44"/>
      <c r="DO10" s="36">
        <f>SQRT((A10-$A$78)^2+(B10-$B$78)^2+(C10-$C$78)^2+(D10-$D$78)^2+(E10-$E$78)^2+(F10-$F$78)^2+(G10-$G$78)^2+(H10-$H$78)^2+(I10-$I$78)^2+(J10-$J$78)^2+(K10-$K$78)^2+(L10-$L$78)^2+(M10-$M$78)^2+(N10-$N$78)^2+(O10-$O$78)^2+(P10-$P$78)^2+(Q10-$Q$78)^2+(R10-$R$78)^2+(S10-$S$78)^2+(T10-$T$78)^2+(U10-$U$78)^2+(V10-$V$78)^2+(W10-$W$78)^2+(X10-$X$78)^2+(Y10-$Y$78)^2+(Z10-$Z$78)^2+(AA10-$AA$78)^2+(AB10-$AB$78)^2+(AC10-$AC$78)^2+(AD10-$AD$78)^2+(AE10-$AE$78)^2+(AF10-$AF$78)^2+(AG10-$AG$78)^2)</f>
        <v>2.1948146650596061</v>
      </c>
      <c r="DP10" s="36" t="s">
        <v>127</v>
      </c>
      <c r="DQ10" s="37" t="s">
        <v>120</v>
      </c>
      <c r="DS10" s="44"/>
      <c r="DT10" s="36">
        <f>SQRT((A10-$A$79)^2+(B10-$B$79)^2+(C10-$C$79)^2+(D10-$D$79)^2+(E10-$E$79)^2+(F10-$F$79)^2+(G10-$G$79)^2+(H10-$H$79)^2+(I10-$I$79)^2+(J10-$J$79)^2+(K10-$K$79)^2+(L10-$L$79)^2+(M10-$M$79)^2+(N10-$N$79)^2+(O10-$O$79)^2+(P10-$P$79)^2+(Q10-$Q$79)^2+(R10-$R$79)^2+(S10-$S$79)^2+(T10-$T$79)^2+(U10-$U$79)^2+(V10-$V$79)^2+(W10-$W$79)^2+(X10-$X$79)^2+(Y10-$Y$79)^2+(Z10-$Z$79)^2+(AA10-$AA$79)^2+(AB10-$AB$79)^2+(AC10-$AC$79)^2+(AD10-$AD$79)^2+(AE10-$AE$79)^2+(AF10-$AF$79)^2+(AG10-$AG$79)^2)</f>
        <v>2.3996675911471148</v>
      </c>
      <c r="DU10" s="36" t="s">
        <v>126</v>
      </c>
      <c r="DV10" s="37" t="s">
        <v>120</v>
      </c>
      <c r="DX10" s="44"/>
      <c r="DY10" s="36">
        <f>SQRT((A10-$A$80)^2+(B10-$B$80)^2+(C10-$C$80)^2+(D10-$D$80)^2+(E10-$E$80)^2+(F10-$F$80)^2+(G10-$G$80)^2+(H10-$H$80)^2+(I10-$I$80)^2+(J10-$J$80)^2+(K10-$K$80)^2+(L10-$L$80)^2+(M10-$M$80)^2+(N10-$N$80)^2+(O10-$O$80)^2+(P10-$P$80)^2+(Q10-$Q$80)^2+(R10-$R$80)^2+(S10-$S$80)^2+(T10-$T$80)^2+(U10-$U$80)^2+(V10-$V$80)^2+(W10-$W$80)^2+(X10-$X$80)^2+(Y10-$Y$80)^2+(Z10-$Z$80)^2+(AA10-$AA$80)^2+(AB10-$AB$80)^2+(AC10-$AC$80)^2+(AD10-$AD$80)^2+(AE10-$AE$80)^2+(AF10-$AF$80)^2+(AG10-$AG$80)^2)</f>
        <v>2.5729359561285317</v>
      </c>
      <c r="DZ10" s="36" t="s">
        <v>141</v>
      </c>
      <c r="EA10" s="37" t="s">
        <v>120</v>
      </c>
      <c r="EC10" s="44"/>
      <c r="ED10" s="36">
        <f>SQRT((A10-$A$81)^2+(B10-$B$81)^2+(C10-$C$81)^2+(D10-$D$81)^2+(E10-$E$81)^2+(F10-$F$81)^2+(G10-$G$81)^2+(H10-$H$81)^2+(I10-$I$81)^2+(J10-$J$81)^2+(K10-$K$81)^2+(L10-$L$81)^2+(M10-$M$81)^2+(N10-$N$81)^2+(O10-$O$81)^2+(P10-$P$81)^2+(Q10-$Q$81)^2+(R10-$R$81)^2+(S10-$S$81)^2+(T10-$T$81)^2+(U10-$U$81)^2+(V10-$V$81)^2+(W10-$W$81)^2+(X10-$X$81)^2+(Y10-$Y$81)^2+(Z10-$Z$81)^2+(AA10-$AA$81)^2+(AB10-$AB$81)^2+(AC10-$AC$81)^2+(AD10-$AD$81)^2+(AE10-$AE$81)^2+(AF10-$AF$81)^2+(AG10-$AG$81)^2)</f>
        <v>2.5898177194261236</v>
      </c>
      <c r="EE10" s="36" t="s">
        <v>123</v>
      </c>
      <c r="EF10" s="37" t="s">
        <v>120</v>
      </c>
      <c r="EH10" s="44"/>
      <c r="EI10" s="36">
        <f>SQRT((A10-$A$82)^2+(B10-$B$82)^2+(C10-$C$82)^2+(D10-$D$82)^2+(E10-$E$82)^2+(F10-$F$82)^2+(G10-$G$82)^2+(H10-$H$82)^2+(I10-$I$82)^2+(J10-$J$82)^2+(K10-$K$82)^2+(L10-$L$82)^2+(M10-$M$82)^2+(N10-$N$82)^2+(O10-$O$82)^2+(P10-$P$82)^2+(Q10-$Q$82)^2+(R10-$R$82)^2+(S10-$S$82)^2+(T10-$T$82)^2+(U10-$U$82)^2+(V10-$V$82)^2+(W10-$W$82)^2+(X10-$X$82)^2+(Y10-$Y$82)^2+(Z10-$Z$82)^2+(AA10-$AA$82)^2+(AB10-$AB$82)^2+(AC10-$AC$82)^2+(AD10-$AD$82)^2+(AE10-$AE$82)^2+(AF10-$AF$82)^2+(AG10-$AG$82)^2)</f>
        <v>2.2341028639775811</v>
      </c>
      <c r="EJ10" s="36" t="s">
        <v>125</v>
      </c>
      <c r="EK10" s="37" t="s">
        <v>120</v>
      </c>
      <c r="EM10" s="44"/>
      <c r="EN10" s="36">
        <f>SQRT((A10-$A$83)^2+(B10-$B$83)^2+(C10-$C$83)^2+(D10-$D$83)^2+(E10-$E$83)^2+(F10-$F$83)^2+(G10-$G$83)^2+(H10-$H$83)^2+(I10-$I$83)^2+(J10-$J$83)^2+(K10-$K$83)^2+(L10-$L$83)^2+(M10-$M$83)^2+(N10-$N$83)^2+(O10-$O$83)^2+(P10-$P$83)^2+(Q10-$Q$83)^2+(R10-$R$83)^2+(S10-$S$83)^2+(T10-$T$83)^2+(U10-$U$83)^2+(V10-$V$83)^2+(W10-$W$83)^2+(X10-$X$83)^2+(Y10-$Y$83)^2+(Z10-$Z$83)^2+(AA10-$AA$83)^2+(AB10-$AB$83)^2+(AC10-$AC$83)^2+(AD10-$AD$83)^2+(AE10-$AE$83)^2+(AF10-$AF$83)^2+(AG10-$AG$83)^2)</f>
        <v>2.2252829413149779</v>
      </c>
      <c r="EO10" s="36" t="s">
        <v>320</v>
      </c>
      <c r="EP10" s="37" t="s">
        <v>120</v>
      </c>
      <c r="ER10" s="44"/>
      <c r="ES10" s="36">
        <f>SQRT((A10-$A$84)^2+(B10-$B$84)^2+(C10-$C$84)^2+(D10-$D$84)^2+(E10-$E$84)^2+(F10-$F$84)^2+(G10-$G$84)^2+(H10-$H$84)^2+(I10-$I$84)^2+(J10-$J$84)^2+(K10-$K$84)^2+(L10-$L$84)^2+(M10-$M$84)^2+(N10-$N$84)^2+(O10-$O$84)^2+(P10-$P$84)^2+(Q10-$Q$84)^2+(R10-$R$84)^2+(S10-$S$84)^2+(T10-$T$84)^2+(U10-$U$84)^2+(V10-$V$84)^2+(W10-$W$84)^2+(X10-$X$84)^2+(Y10-$Y$84)^2+(Z10-$Z$84)^2+(AA10-$AA$84)^2+(AB10-$AB$84)^2+(AC10-$AC$84)^2+(AD10-$AD$84)^2+(AE10-$AE$84)^2+(AF10-$AF$84)^2+(AG10-$AG$84)^2)</f>
        <v>2.0494375331303725</v>
      </c>
      <c r="ET10" s="36" t="s">
        <v>149</v>
      </c>
      <c r="EU10" s="37" t="s">
        <v>120</v>
      </c>
      <c r="EW10" s="44"/>
      <c r="EX10" s="36">
        <f>SQRT((A10-$A$85)^2+(B10-$B$85)^2+(C10-$C$85)^2+(D10-$D$85)^2+(E10-$E$85)^2+(F10-$F$85)^2+(G10-$G$85)^2+(H10-$H$85)^2+(I10-$I$85)^2+(J10-$J$85)^2+(K10-$K$85)^2+(L10-$L$85)^2+(M10-$M$85)^2+(N10-$N$85)^2+(O10-$O$85)^2+(P10-$P$85)^2+(Q10-$Q$85)^2+(R10-$R$85)^2+(S10-$S$85)^2+(T10-$T$85)^2+(U10-$U$85)^2+(V10-$V$85)^2+(W10-$W$85)^2+(X10-$X$85)^2+(Y10-$Y$85)^2+(Z10-$Z$85)^2+(AA10-$AA$85)^2+(AB10-$AB$85)^2+(AC10-$AC$85)^2+(AD10-$AD$85)^2+(AE10-$AE$85)^2+(AF10-$AF$85)^2+(AG10-$AG$85)^2)</f>
        <v>2.0494375331303725</v>
      </c>
      <c r="EY10" s="36" t="s">
        <v>149</v>
      </c>
      <c r="EZ10" s="37" t="s">
        <v>120</v>
      </c>
      <c r="FB10" s="44"/>
      <c r="FC10" s="36">
        <f>SQRT((A10-$A$86)^2+(B10-$B$86)^2+(C10-$C$86)^2+(D10-$D$86)^2+(E10-$E$86)^2+(F10-$F$86)^2+(G10-$G$86)^2+(H10-$H$86)^2+(I10-$I$86)^2+(J10-$J$86)^2+(K10-$K$86)^2+(L10-$L$86)^2+(M10-$M$86)^2+(N10-$N$86)^2+(O10-$O$86)^2+(P10-$P$86)^2+(Q10-$Q$86)^2+(R10-$R$86)^2+(S10-$S$86)^2+(T10-$T$86)^2+(U10-$U$86)^2+(V10-$V$86)^2+(W10-$W$86)^2+(X10-$X$86)^2+(Y10-$Y$86)^2+(Z10-$Z$86)^2+(AA10-$AA$86)^2+(AB10-$AB$86)^2+(AC10-$AC$86)^2+(AD10-$AD$86)^2+(AE10-$AE$86)^2+(AF10-$AF$86)^2+(AG10-$AG$86)^2)</f>
        <v>2.0494375331303725</v>
      </c>
      <c r="FD10" s="36" t="s">
        <v>149</v>
      </c>
      <c r="FE10" s="37" t="s">
        <v>120</v>
      </c>
      <c r="FG10" s="44"/>
      <c r="FH10" s="36">
        <f>SQRT((A10-$A$87)^2+(B10-$B$87)^2+(C10-$C$87)^2+(D10-$D$87)^2+(E10-$E$87)^2+(F10-$F$87)^2+(G10-$G$87)^2+(H10-$H$87)^2+(I10-$I$87)^2+(J10-$J$87)^2+(K10-$K$87)^2+(L10-$L$87)^2+(M10-$M$87)^2+(N10-$N$87)^2+(O10-$O$87)^2+(P10-$P$87)^2+(Q10-$Q$87)^2+(R10-$R$87)^2+(S10-$S$87)^2+(T10-$T$87)^2+(U10-$U$87)^2+(V10-$V$87)^2+(W10-$W$87)^2+(X10-$X$87)^2+(Y10-$Y$87)^2+(Z10-$Z$87)^2+(AA10-$AA$87)^2+(AB10-$AB$87)^2+(AC10-$AC$87)^2+(AD10-$AD$87)^2+(AE10-$AE$87)^2+(AF10-$AF$87)^2+(AG10-$AG$87)^2)</f>
        <v>2.2354632041385902</v>
      </c>
      <c r="FI10" s="36" t="s">
        <v>337</v>
      </c>
      <c r="FJ10" s="37" t="s">
        <v>120</v>
      </c>
      <c r="FL10" s="44"/>
      <c r="FM10" s="36">
        <f>SQRT((A10-$A$88)^2+(B10-$B$88)^2+(C10-$C$88)^2+(D10-$D$88)^2+(E10-$E$88)^2+(F10-$F$88)^2+(G10-$G$88)^2+(H10-$H$88)^2+(I10-$I$88)^2+(J10-$J$88)^2+(K10-$K$88)^2+(L10-$L$88)^2+(M10-$M$88)^2+(N10-$N$88)^2+(O10-$O$88)^2+(P10-$P$88)^2+(Q10-$Q$88)^2+(R10-$R$88)^2+(S10-$S$88)^2+(T10-$T$88)^2+(U10-$U$88)^2+(V10-$V$88)^2+(W10-$W$88)^2+(X10-$X$88)^2+(Y10-$Y$88)^2+(Z10-$Z$88)^2+(AA10-$AA$88)^2+(AB10-$AB$88)^2+(AC10-$AC$88)^2+(AD10-$AD$88)^2+(AE10-$AE$88)^2+(AF10-$AF$88)^2+(AG10-$AG$88)^2)</f>
        <v>2.3985722786203509</v>
      </c>
      <c r="FN10" s="36" t="s">
        <v>127</v>
      </c>
      <c r="FO10" s="37" t="s">
        <v>120</v>
      </c>
      <c r="FQ10" s="44"/>
      <c r="FR10" s="36">
        <f>SQRT((A10-$A$89)^2+(B10-$B$89)^2+(C10-$C$89)^2+(D10-$D$89)^2+(E10-$E$89)^2+(F10-$F$89)^2+(G10-$G$89)^2+(H10-$H$89)^2+(I10-$I$89)^2+(J10-$J$89)^2+(K10-$K$89)^2+(L10-$L$89)^2+(M10-$M$89)^2+(N10-$N$89)^2+(O10-$O$89)^2+(P10-$P$89)^2+(Q10-$Q$89)^2+(R10-$R$89)^2+(S10-$S$89)^2+(T10-$T$89)^2+(U10-$U$89)^2+(V10-$V$89)^2+(W10-$W$89)^2+(X10-$X$89)^2+(Y10-$Y$89)^2+(Z10-$Z$89)^2+(AA10-$AA$89)^2+(AB10-$AB$89)^2+(AC10-$AC$89)^2+(AD10-$AD$89)^2+(AE10-$AE$89)^2+(AF10-$AF$89)^2+(AG10-$AG$89)^2)</f>
        <v>2.648226662725472</v>
      </c>
      <c r="FS10" s="36" t="s">
        <v>150</v>
      </c>
      <c r="FT10" s="37" t="s">
        <v>120</v>
      </c>
      <c r="FV10" s="44"/>
      <c r="FW10" s="36">
        <f>SQRT((A10-$A$90)^2+(B10-$B$90)^2+(C10-$C$90)^2+(D10-$D$90)^2+(E10-$E$90)^2+(F10-$F$90)^2+(G10-$G$90)^2+(H10-$H$90)^2+(I10-$I$90)^2+(J10-$J$90)^2+(K10-$K$90)^2+(L10-$L$90)^2+(M10-$M$90)^2+(N10-$N$90)^2+(O10-$O$90)^2+(P10-$P$90)^2+(Q10-$Q$90)^2+(R10-$R$90)^2+(S10-$S$90)^2+(T10-$T$90)^2+(U10-$U$90)^2+(V10-$V$90)^2+(W10-$W$90)^2+(X10-$X$90)^2+(Y10-$Y$90)^2+(Z10-$Z$90)^2+(AA10-$AA$90)^2+(AB10-$AB$90)^2+(AC10-$AC$90)^2+(AD10-$AD$90)^2+(AE10-$AE$90)^2+(AF10-$AF$90)^2+(AG10-$AG$90)^2)</f>
        <v>2.3848530452755061</v>
      </c>
      <c r="FX10" s="36" t="s">
        <v>129</v>
      </c>
      <c r="FY10" s="37" t="s">
        <v>120</v>
      </c>
      <c r="GA10" s="44"/>
      <c r="GB10" s="36">
        <f>SQRT((A10-$A$91)^2+(B10-$B$91)^2+(C10-$C$91)^2+(D10-$D$91)^2+(E10-$E$91)^2+(F10-$F$91)^2+(G10-$G$91)^2+(H10-$H$91)^2+(I10-$I$91)^2+(J10-$J$91)^2+(K10-$K$91)^2+(L10-$L$91)^2+(M10-$M$91)^2+(N10-$N$91)^2+(O10-$O$91)^2+(P10-$P$91)^2+(Q10-$Q$91)^2+(R10-$R$91)^2+(S10-$S$91)^2+(T10-$T$91)^2+(U10-$U$91)^2+(V10-$V$91)^2+(W10-$W$91)^2+(X10-$X$91)^2+(Y10-$Y$91)^2+(Z10-$Z$91)^2+(AA10-$AA$91)^2+(AB10-$AB$91)^2+(AC10-$AC$91)^2+(AD10-$AD$91)^2+(AE10-$AE$91)^2+(AF10-$AF$91)^2+(AG10-$AG$91)^2)</f>
        <v>2.7414268499843439</v>
      </c>
      <c r="GC10" s="36" t="s">
        <v>122</v>
      </c>
      <c r="GD10" s="37" t="s">
        <v>120</v>
      </c>
      <c r="GF10" s="44"/>
      <c r="GG10" s="36">
        <f>SQRT((A10-$A$92)^2+(B10-$B$92)^2+(C10-$C$92)^2+(D10-$D$92)^2+(E10-$E$92)^2+(F10-$F$92)^2+(G10-$G$92)^2+(H10-$H$92)^2+(I10-$I$92)^2+(J10-$J$92)^2+(K10-$K$92)^2+(L10-$L$92)^2+(M10-$M$92)^2+(N10-$N$92)^2+(O10-$O$92)^2+(P10-$P$92)^2+(Q10-$Q$92)^2+(R10-$R$92)^2+(S10-$S$92)^2+(T10-$T$92)^2+(U10-$U$92)^2+(V10-$V$92)^2+(W10-$W$92)^2+(X10-$X$92)^2+(Y10-$Y$92)^2+(Z10-$Z$92)^2+(AA10-$AA$92)^2+(AB10-$AB$92)^2+(AC10-$AC$92)^2+(AD10-$AD$92)^2+(AE10-$AE$92)^2+(AF10-$AF$92)^2+(AG10-$AG$92)^2)</f>
        <v>2.0957189374185914</v>
      </c>
      <c r="GH10" s="36" t="s">
        <v>317</v>
      </c>
      <c r="GI10" s="37" t="s">
        <v>120</v>
      </c>
      <c r="GK10" s="44"/>
      <c r="GL10" s="36">
        <f>SQRT((A10-$A$93)^2+(B10-$B$93)^2+(C10-$C$93)^2+(D10-$D$93)^2+(E10-$E$93)^2+(F10-$F$93)^2+(G10-$G$93)^2+(H10-$H$93)^2+(I10-$I$93)^2+(J10-$J$93)^2+(K10-$K$93)^2+(L10-$L$93)^2+(M10-$M$93)^2+(N10-$N$93)^2+(O10-$O$93)^2+(P10-$P$93)^2+(Q10-$Q$93)^2+(R10-$R$93)^2+(S10-$S$93)^2+(T10-$T$93)^2+(U10-$U$93)^2+(V10-$V$93)^2+(W10-$W$93)^2+(X10-$X$93)^2+(Y10-$Y$93)^2+(Z10-$Z$93)^2+(AA10-$AA$93)^2+(AB10-$AB$93)^2+(AC10-$AC$93)^2+(AD10-$AD$93)^2+(AE10-$AE$93)^2+(AF10-$AF$93)^2+(AG10-$AG$93)^2)</f>
        <v>2.6705009661565922</v>
      </c>
      <c r="GM10" s="36" t="s">
        <v>330</v>
      </c>
      <c r="GN10" s="37" t="s">
        <v>120</v>
      </c>
      <c r="GP10" s="44"/>
      <c r="GQ10" s="36">
        <f>SQRT((A10-$A$94)^2+(B10-$B$94)^2+(C10-$C$94)^2+(D10-$D$94)^2+(E10-$E$94)^2+(F10-$F$94)^2+(G10-$G$94)^2+(H10-$H$94)^2+(I10-$I$94)^2+(J10-$J$94)^2+(K10-$K$94)^2+(L10-$L$94)^2+(M10-$M$94)^2+(N10-$N$94)^2+(O10-$O$94)^2+(P10-$P$94)^2+(Q10-$Q$94)^2+(R10-$R$94)^2+(S10-$S$94)^2+(T10-$T$94)^2+(U10-$U$94)^2+(V10-$V$94)^2+(W10-$W$94)^2+(X10-$X$94)^2+(Y10-$Y$94)^2+(Z10-$Z$94)^2+(AA10-$AA$94)^2+(AB10-$AB$94)^2+(AC10-$AC$94)^2+(AD10-$AD$94)^2+(AE10-$AE$94)^2+(AF10-$AF$94)^2+(AG10-$AG$94)^2)</f>
        <v>1.8832873286857708</v>
      </c>
      <c r="GR10" s="36" t="s">
        <v>321</v>
      </c>
      <c r="GS10" s="37" t="s">
        <v>120</v>
      </c>
      <c r="GU10" s="44"/>
      <c r="GV10" s="36">
        <f>SQRT((A10-$A$95)^2+(B10-$B$95)^2+(C10-$C$95)^2+(D10-$D$95)^2+(E10-$E$95)^2+(F10-$F$95)^2+(G10-$G$95)^2+(H10-$H$95)^2+(I10-$I$95)^2+(J10-$J$95)^2+(K10-$K$95)^2+(L10-$L$95)^2+(M10-$M$95)^2+(N10-$N$95)^2+(O10-$O$95)^2+(P10-$P$95)^2+(Q10-$Q$95)^2+(R10-$R$95)^2+(S10-$S$95)^2+(T10-$T$95)^2+(U10-$U$95)^2+(V10-$V$95)^2+(W10-$W$95)^2+(X10-$X$95)^2+(Y10-$Y$95)^2+(Z10-$Z$95)^2+(AA10-$AA$95)^2+(AB10-$AB$95)^2+(AC10-$AC$95)^2+(AD10-$AD$95)^2+(AE10-$AE$95)^2+(AF10-$AF$95)^2+(AG10-$AG$95)^2)</f>
        <v>3.4162529662157981</v>
      </c>
      <c r="GW10" s="36" t="s">
        <v>126</v>
      </c>
      <c r="GX10" s="37" t="s">
        <v>120</v>
      </c>
      <c r="GZ10" s="44"/>
      <c r="HA10" s="36">
        <f>SQRT((A10-$A$96)^2+(B10-$B$96)^2+(C10-$C$96)^2+(D10-$D$96)^2+(E10-$E$96)^2+(F10-$F$96)^2+(G10-$G$96)^2+(H10-$H$96)^2+(I10-$I$96)^2+(J10-$J$96)^2+(K10-$K$96)^2+(L10-$L$96)^2+(M10-$M$96)^2+(N10-$N$96)^2+(O10-$O$96)^2+(P10-$P$96)^2+(Q10-$Q$96)^2+(R10-$R$96)^2+(S10-$S$96)^2+(T10-$T$96)^2+(U10-$U$96)^2+(V10-$V$96)^2+(W10-$W$96)^2+(X10-$X$96)^2+(Y10-$Y$96)^2+(Z10-$Z$96)^2+(AA10-$AA$96)^2+(AB10-$AB$96)^2+(AC10-$AC$96)^2+(AD10-$AD$96)^2+(AE10-$AE$96)^2+(AF10-$AF$96)^2+(AG10-$AG$96)^2)</f>
        <v>3.2678547711983703</v>
      </c>
      <c r="HB10" s="36" t="s">
        <v>129</v>
      </c>
      <c r="HC10" s="37" t="s">
        <v>120</v>
      </c>
      <c r="HE10" s="44"/>
      <c r="HF10" s="36">
        <f>SQRT((A10-$A$97)^2+(B10-$B$97)^2+(C10-$C$97)^2+(D10-$D$97)^2+(E10-$E$97)^2+(F10-$F$97)^2+(G10-$G$97)^2+(H10-$H$97)^2+(I10-$I$97)^2+(J10-$J$97)^2+(K10-$K$97)^2+(L10-$L$97)^2+(M10-$M$97)^2+(N10-$N$97)^2+(O10-$O$97)^2+(P10-$P$97)^2+(Q10-$Q$97)^2+(R10-$R$97)^2+(S10-$S$97)^2+(T10-$T$97)^2+(U10-$U$97)^2+(V10-$V$97)^2+(W10-$W$97)^2+(X10-$X$97)^2+(Y10-$Y$97)^2+(Z10-$Z$97)^2+(AA10-$AA$97)^2+(AB10-$AB$97)^2+(AC10-$AC$97)^2+(AD10-$AD$97)^2+(AE10-$AE$97)^2+(AF10-$AF$97)^2+(AG10-$AG$97)^2)</f>
        <v>2.0494375331303725</v>
      </c>
      <c r="HG10" s="36" t="s">
        <v>149</v>
      </c>
      <c r="HH10" s="37" t="s">
        <v>120</v>
      </c>
      <c r="HJ10" s="44"/>
      <c r="HK10" s="36">
        <f>SQRT((A10-$A$98)^2+(B10-$B$98)^2+(C10-$C$98)^2+(D10-$D$98)^2+(E10-$E$98)^2+(F10-$F$98)^2+(G10-$G$98)^2+(H10-$H$98)^2+(I10-$I$98)^2+(J10-$J$98)^2+(K10-$K$98)^2+(L10-$L$98)^2+(M10-$M$98)^2+(N10-$N$98)^2+(O10-$O$98)^2+(P10-$P$98)^2+(Q10-$Q$98)^2+(R10-$R$98)^2+(S10-$S$98)^2+(T10-$T$98)^2+(U10-$U$98)^2+(V10-$V$98)^2+(W10-$W$98)^2+(X10-$X$98)^2+(Y10-$Y$98)^2+(Z10-$Z$98)^2+(AA10-$AA$98)^2+(AB10-$AB$98)^2+(AC10-$AC$98)^2+(AD10-$AD$98)^2+(AE10-$AE$98)^2+(AF10-$AF$98)^2+(AG10-$AG$98)^2)</f>
        <v>2.0494375331303725</v>
      </c>
      <c r="HL10" s="36" t="s">
        <v>149</v>
      </c>
      <c r="HM10" s="37" t="s">
        <v>120</v>
      </c>
      <c r="HO10" s="44"/>
      <c r="HP10" s="36">
        <f>SQRT((A10-$A$99)^2+(B10-$B$99)^2+(C10-$C$99)^2+(D10-$D$99)^2+(E10-$E$99)^2+(F10-$F$99)^2+(G10-$G$99)^2+(H10-$H$99)^2+(I10-$I$99)^2+(J10-$J$99)^2+(K10-$K$99)^2+(L10-$L$99)^2+(M10-$M$99)^2+(N10-$N$99)^2+(O10-$O$99)^2+(P10-$P$99)^2+(Q10-$Q$99)^2+(R10-$R$99)^2+(S10-$S$99)^2+(T10-$T$99)^2+(U10-$U$99)^2+(V10-$V$99)^2+(W10-$W$99)^2+(X10-$X$99)^2+(Y10-$Y$99)^2+(Z10-$Z$99)^2+(AA10-$AA$99)^2+(AB10-$AB$99)^2+(AC10-$AC$99)^2+(AD10-$AD$99)^2+(AE10-$AE$99)^2+(AF10-$AF$99)^2+(AG10-$AG$99)^2)</f>
        <v>2.0494375331303725</v>
      </c>
      <c r="HQ10" s="36" t="s">
        <v>149</v>
      </c>
      <c r="HR10" s="37" t="s">
        <v>120</v>
      </c>
      <c r="HT10" s="44"/>
      <c r="HU10" s="36">
        <f>SQRT((A10-$A$100)^2+(B10-$B$100)^2+(C10-$C$100)^2+(D10-$D$100)^2+(E10-$E$100)^2+(F10-$F$100)^2+(G10-$G$100)^2+(H10-$H$100)^2+(I10-$I$100)^2+(J10-$J$100)^2+(K10-$K$100)^2+(L10-$L$100)^2+(M10-$M$100)^2+(N10-$N$100)^2+(O10-$O$100)^2+(P10-$P$100)^2+(Q10-$Q$100)^2+(R10-$R$100)^2+(S10-$S$100)^2+(T10-$T$100)^2+(U10-$U$100)^2+(V10-$V$100)^2+(W10-$W$100)^2+(X10-$X$100)^2+(Y10-$Y$100)^2+(Z10-$Z$100)^2+(AA10-$AA$100)^2+(AB10-$AB$100)^2+(AC10-$AC$100)^2+(AD10-$AD$100)^2+(AE10-$AE$100)^2+(AF10-$AF$100)^2+(AG10-$AG$100)^2)</f>
        <v>2.0494375331303725</v>
      </c>
      <c r="HV10" s="36" t="s">
        <v>149</v>
      </c>
      <c r="HW10" s="37" t="s">
        <v>120</v>
      </c>
      <c r="HY10" s="44"/>
      <c r="HZ10" s="36">
        <f>SQRT((A10-$A$101)^2+(B10-$B$101)^2+(C10-$C$101)^2+(D10-$D$101)^2+(E10-$E$101)^2+(F10-$F$101)^2+(G10-$G$101)^2+(H10-$H$101)^2+(I10-$I$101)^2+(J10-$J$101)^2+(K10-$K$101)^2+(L10-$L$101)^2+(M10-$M$101)^2+(N10-$N$101)^2+(O10-$O$101)^2+(P10-$P$101)^2+(Q10-$Q$101)^2+(R10-$R$101)^2+(S10-$S$101)^2+(T10-$T$101)^2+(U10-$U$101)^2+(V10-$V$101)^2+(W10-$W$101)^2+(X10-$X$101)^2+(Y10-$Y$101)^2+(Z10-$Z$101)^2+(AA10-$AA$101)^2+(AB10-$AB$101)^2+(AC10-$AC$101)^2+(AD10-$AD$101)^2+(AE10-$AE$101)^2+(AF10-$AF$101)^2+(AG10-$AG$101)^2)</f>
        <v>2.6103736891530449</v>
      </c>
      <c r="IA10" s="36" t="s">
        <v>123</v>
      </c>
      <c r="IB10" s="37" t="s">
        <v>120</v>
      </c>
    </row>
    <row r="11" spans="1:236" x14ac:dyDescent="0.35">
      <c r="A11" s="2">
        <v>0.83333333333333304</v>
      </c>
      <c r="B11" s="2">
        <v>0</v>
      </c>
      <c r="C11" s="2">
        <v>0</v>
      </c>
      <c r="D11" s="2">
        <v>0.66666666666666596</v>
      </c>
      <c r="E11" s="2">
        <v>0</v>
      </c>
      <c r="F11" s="2">
        <v>1</v>
      </c>
      <c r="G11" s="2">
        <v>0.55555555555555503</v>
      </c>
      <c r="H11" s="2">
        <v>1</v>
      </c>
      <c r="I11" s="2">
        <v>1</v>
      </c>
      <c r="J11" s="2">
        <v>0</v>
      </c>
      <c r="K11" s="2">
        <v>0</v>
      </c>
      <c r="L11" s="2">
        <v>0.2</v>
      </c>
      <c r="M11" s="2">
        <v>1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1</v>
      </c>
      <c r="Y11" s="2">
        <v>1</v>
      </c>
      <c r="Z11" s="2">
        <v>0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0</v>
      </c>
      <c r="AH11" s="2" t="s">
        <v>120</v>
      </c>
      <c r="AI11" s="42"/>
      <c r="AJ11" s="42"/>
      <c r="AL11" s="44"/>
      <c r="AM11" s="36">
        <f>SQRT((A11-$A$62)^2+(B11-$B$62)^2+(C11-$C$62)^2+(D11-$D$62)^2+(E11-$E$62)^2+(F11-$F$62)^2+(G11-$G$62)^2+(H11-$H$62)^2+(I11-$I$62)^2+(J11-$J$62)^2+(K11-$K$62)^2+(L11-$L$62)^2+(M11-$M$62)^2+(N11-$N$62)^2+(O11-$O$62)^2+(P11-$P$62)^2+(Q11-$Q$62)^2+(R11-$R$62)^2+(S11-$S$62)^2+(T11-$T$62)^2+(U11-$U$62)^2+(V11-$V$62)^2+(W11-$W$62)^2+(X11-$X$62)^2+(Y11-$Y$62)^2+(Z11-$Z$62)^2+(AA11-$AA$62)^2+(AB11-$AB$62)^2+(AC11-$AC$62)^2+(AD11-$AD$62)^2+(AE11-$AE$62)^2+(AF11-$AF$62)^2+(AG11-$AG$62)^2)</f>
        <v>1.7260262647673312</v>
      </c>
      <c r="AN11" s="36" t="s">
        <v>146</v>
      </c>
      <c r="AO11" s="37" t="s">
        <v>120</v>
      </c>
      <c r="AP11" s="30"/>
      <c r="AQ11" s="44"/>
      <c r="AR11" s="36">
        <f>SQRT((A11-$A$63)^2+(B11-$B$63)^2+(C11-$C$63)^2+(D11-$D$63)^2+(E11-$E$63)^2+(F11-$F$63)^2+(G11-$G$63)^2+(H11-$H$63)^2+(I11-$I$63)^2+(J11-$J$63)^2+(K11-$K$63)^2+(L11-$L$63)^2+(M11-$M$63)^2+(N11-$N$63)^2+(O11-$O$63)^2+(P11-$P$63)^2+(Q11-$Q$63)^2+(R11-$R$63)^2+(S11-$S$63)^2+(T11-$T$63)^2+(U11-$U$63)^2+(V11-$V$63)^2+(W11-$W$63)^2+(X11-$X$63)^2+(Y11-$Y$63)^2+(Z11-$Z$63)^2+(AA11-$AA$63)^2+(AB11-$AB$63)^2+(AC11-$AC$63)^2+(AD11-$AD$63)^2+(AE11-$AE$63)^2+(AF11-$AF$63)^2+(AG11-$AG$63)^2)</f>
        <v>1.3064266310503116</v>
      </c>
      <c r="AS11" s="36" t="s">
        <v>321</v>
      </c>
      <c r="AT11" s="37" t="s">
        <v>120</v>
      </c>
      <c r="AU11" s="30"/>
      <c r="AV11" s="44"/>
      <c r="AW11" s="36">
        <f>SQRT((A11-$A$64)^2+(B11-$B$64)^2+(C11-$C$64)^2+(D11-$D$64)^2+(E11-$E$64)^2+(F11-$F$64)^2+(G11-$G$64)^2+(H11-$H$64)^2+(I11-$I$64)^2+(J11-$J$64)^2+(K11-$K$64)^2+(L11-$L$64)^2+(M11-$M$64)^2+(N11-$N$64)^2+(O11-$O$64)^2+(P11-$P$64)^2+(Q11-$Q$64)^2+(R11-$R$64)^2+(S11-$S$64)^2+(T11-$T$64)^2+(U11-$U$64)^2+(V11-$V$64)^2+(W11-$W$64)^2+(X11-$X$64)^2+(Y11-$Y$64)^2+(Z11-$Z$64)^2+(AA11-$AA$64)^2+(AB11-$AB$64)^2+(AC11-$AC$64)^2+(AD11-$AD$64)^2+(AE11-$AE$64)^2+(AF11-$AF$64)^2+(AG11-$AG$64)^2)</f>
        <v>1.3064266310503116</v>
      </c>
      <c r="AX11" s="36" t="s">
        <v>321</v>
      </c>
      <c r="AY11" s="37" t="s">
        <v>120</v>
      </c>
      <c r="AZ11" s="30"/>
      <c r="BA11" s="44"/>
      <c r="BB11" s="36">
        <f>SQRT((A11-$A$65)^2+(B11-$B$65)^2+(C11-$C$65)^2+(D11-$D$65)^2+(E11-$E$65)^2+(F11-$F$65)^2+(G11-$G$65)^2+(H11-$H$65)^2+(I11-$I$65)^2+(J11-$J$65)^2+(K11-$K$65)^2+(L11-$L$65)^2+(M11-$M$65)^2+(N11-$N$65)^2+(O11-$O$65)^2+(P11-$P$65)^2+(Q11-$Q$65)^2+(R11-$R$65)^2+(S11-$S$65)^2+(T11-$T$65)^2+(U11-$U$65)^2+(V11-$V$65)^2+(W11-$W$65)^2+(X11-$X$65)^2+(Y11-$Y$65)^2+(Z11-$Z$65)^2+(AA11-$AA$65)^2+(AB11-$AB$65)^2+(AC11-$AC$65)^2+(AD11-$AD$65)^2+(AE11-$AE$65)^2+(AF11-$AF$65)^2+(AG11-$AG$65)^2)</f>
        <v>1.3064266310503116</v>
      </c>
      <c r="BC11" s="36" t="s">
        <v>321</v>
      </c>
      <c r="BD11" s="37" t="s">
        <v>120</v>
      </c>
      <c r="BE11" s="30"/>
      <c r="BF11" s="44"/>
      <c r="BG11" s="36">
        <f>SQRT((A11-$A$66)^2+(B11-$B$66)^2+(C11-$C$66)^2+(D11-$D$66)^2+(E11-$E$66)^2+(F11-$F$66)^2+(G11-$G$66)^2+(H11-$H$66)^2+(I11-$I$66)^2+(J11-$J$66)^2+(K11-$K$66)^2+(L11-$L$66)^2+(M11-$M$66)^2+(N11-$N$66)^2+(O11-$O$66)^2+(P11-$P$66)^2+(Q11-$Q$66)^2+(R11-$R$66)^2+(S11-$S$66)^2+(T11-$T$66)^2+(U11-$U$66)^2+(V11-$V$66)^2+(W11-$W$66)^2+(X11-$X$66)^2+(Y11-$Y$66)^2+(Z11-$Z$66)^2+(AA11-$AA$66)^2+(AB11-$AB$66)^2+(AC11-$AC$66)^2+(AD11-$AD$66)^2+(AE11-$AE$66)^2+(AF11-$AF$66)^2+(AG11-$AG$66)^2)</f>
        <v>1.3064266310503116</v>
      </c>
      <c r="BH11" s="36" t="s">
        <v>321</v>
      </c>
      <c r="BI11" s="37" t="s">
        <v>120</v>
      </c>
      <c r="BJ11" s="30"/>
      <c r="BK11" s="44"/>
      <c r="BL11" s="36">
        <f>SQRT((A11-$A$67)^2+(B11-$B$67)^2+(C11-$C$67)^2+(D11-$D$67)^2+(E11-$E$67)^2+(F11-$F$67)^2+(G11-$G$67)^2+(H11-$H$67)^2+(I11-$I$67)^2+(J11-$J$67)^2+(K11-$K$67)^2+(L11-$L$67)^2+(M11-$M$67)^2+(N11-$N$67)^2+(O11-$O$67)^2+(P11-$P$67)^2+(Q11-$Q$67)^2+(R11-$R$67)^2+(S11-$S$67)^2+(T11-$T$67)^2+(U11-$U$67)^2+(V11-$V$67)^2+(W11-$W$67)^2+(X11-$X$67)^2+(Y11-$Y$67)^2+(Z11-$Z$67)^2+(AA11-$AA$67)^2+(AB11-$AB$67)^2+(AC11-$AC$67)^2+(AD11-$AD$67)^2+(AE11-$AE$67)^2+(AF11-$AF$67)^2+(AG11-$AG$67)^2)</f>
        <v>1.3064266310503116</v>
      </c>
      <c r="BM11" s="36" t="s">
        <v>321</v>
      </c>
      <c r="BN11" s="37" t="s">
        <v>120</v>
      </c>
      <c r="BO11" s="30"/>
      <c r="BP11" s="44"/>
      <c r="BQ11" s="36">
        <f>SQRT((A11-$A$68)^2+(B11-$B$68)^2+(C11-$C$68)^2+(D11-$D$68)^2+(E11-$E$68)^2+(F11-$F$68)^2+(G11-$G$68)^2+(H11-$H$68)^2+(I11-$I$68)^2+(J11-$J$68)^2+(K11-$K$68)^2+(L11-$L$68)^2+(M11-$M$68)^2+(N11-$N$68)^2+(O11-$O$68)^2+(P11-$P$68)^2+(Q11-$Q$68)^2+(R11-$R$68)^2+(S11-$S$68)^2+(T11-$T$68)^2+(U11-$U$68)^2+(V11-$V$68)^2+(W11-$W$68)^2+(X11-$X$68)^2+(Y11-$Y$68)^2+(Z11-$Z$68)^2+(AA11-$AA$68)^2+(AB11-$AB$68)^2+(AC11-$AC$68)^2+(AD11-$AD$68)^2+(AE11-$AE$68)^2+(AF11-$AF$68)^2+(AG11-$AG$68)^2)</f>
        <v>1.3064266310503116</v>
      </c>
      <c r="BR11" s="36" t="s">
        <v>321</v>
      </c>
      <c r="BS11" s="37" t="s">
        <v>120</v>
      </c>
      <c r="BT11" s="30"/>
      <c r="BU11" s="44"/>
      <c r="BV11" s="36">
        <f>SQRT((A11-$A$69)^2+(B11-$B$69)^2+(C11-$C$69)^2+(D11-$D$69)^2+(E11-$E$69)^2+(F11-$F$69)^2+(G11-$G$69)^2+(H11-$H$69)^2+(I11-$I$69)^2+(J11-$J$69)^2+(K11-$K$69)^2+(L11-$L$69)^2+(M11-$M$69)^2+(N11-$N$69)^2+(O11-$O$69)^2+(P11-$P$69)^2+(Q11-$Q$69)^2+(R11-$R$69)^2+(S11-$S$69)^2+(T11-$T$69)^2+(U11-$U$69)^2+(V11-$V$69)^2+(W11-$W$69)^2+(X11-$X$69)^2+(Y11-$Y$69)^2+(Z11-$Z$69)^2+(AA11-$AA$69)^2+(AB11-$AB$69)^2+(AC11-$AC$69)^2+(AD11-$AD$69)^2+(AE11-$AE$69)^2+(AF11-$AF$69)^2+(AG11-$AG$69)^2)</f>
        <v>2.6504113705374763</v>
      </c>
      <c r="BW11" s="36" t="s">
        <v>318</v>
      </c>
      <c r="BX11" s="37" t="s">
        <v>120</v>
      </c>
      <c r="BZ11" s="44"/>
      <c r="CA11" s="36">
        <f>SQRT((A11-$A$70)^2+(B11-$B$70)^2+(C11-$C$70)^2+(D11-$D$70)^2+(E11-$E$70)^2+(F11-$F$70)^2+(G11-$G$70)^2+(H11-$H$70)^2+(I11-$I$70)^2+(J11-$J$70)^2+(K11-$K$70)^2+(L11-$L$70)^2+(M11-$M$70)^2+(N11-$N$70)^2+(O11-$O$70)^2+(P11-$P$70)^2+(Q11-$Q$70)^2+(R11-$R$70)^2+(S11-$S$70)^2+(T11-$T$70)^2+(U11-$U$70)^2+(V11-$V$70)^2+(W11-$W$70)^2+(X11-$X$70)^2+(Y11-$Y$70)^2+(Z11-$Z$70)^2+(AA11-$AA$70)^2+(AB11-$AB$70)^2+(AC11-$AC$70)^2+(AD11-$AD$70)^2+(AE11-$AE$70)^2+(AF11-$AF$70)^2+(AG11-$AG$70)^2)</f>
        <v>1.5315598403865662</v>
      </c>
      <c r="CB11" s="36" t="s">
        <v>331</v>
      </c>
      <c r="CC11" s="37" t="s">
        <v>120</v>
      </c>
      <c r="CE11" s="44"/>
      <c r="CF11" s="36">
        <f>SQRT((A11-$A$71)^2+(B11-$B$71)^2+(C11-$C$71)^2+(D11-$D$71)^2+(E11-$E$71)^2+(F11-$F$71)^2+(G11-$G$71)^2+(H11-$H$71)^2+(I11-$I$71)^2+(J11-$J$71)^2+(K11-$K$71)^2+(L11-$L$71)^2+(M11-$M$71)^2+(N11-$N$71)^2+(O11-$O$71)^2+(P11-$P$71)^2+(Q11-$Q$71)^2+(R11-$R$71)^2+(S11-$S$71)^2+(T11-$T$71)^2+(U11-$U$71)^2+(V11-$V$71)^2+(W11-$W$71)^2+(X11-$X$71)^2+(Y11-$Y$71)^2+(Z11-$Z$71)^2+(AA11-$AA$71)^2+(AB11-$AB$71)^2+(AC11-$AC$71)^2+(AD11-$AD$71)^2+(AE11-$AE$71)^2+(AF11-$AF$71)^2+(AG11-$AG$71)^2)</f>
        <v>1.2714200242320621</v>
      </c>
      <c r="CG11" s="36" t="s">
        <v>127</v>
      </c>
      <c r="CH11" s="37" t="s">
        <v>120</v>
      </c>
      <c r="CJ11" s="44"/>
      <c r="CK11" s="36">
        <f>SQRT((A11-$A$72)^2+(B11-$B$72)^2+(C11-$C$72)^2+(D11-$D$72)^2+(E11-$E$72)^2+(F11-$F$72)^2+(G11-$G$72)^2+(H11-$H$72)^2+(I11-$I$72)^2+(J11-$J$72)^2+(K11-$K$72)^2+(L11-$L$72)^2+(M11-$M$72)^2+(N11-$N$72)^2+(O11-$O$72)^2+(P11-$P$72)^2+(Q11-$Q$72)^2+(R11-$R$72)^2+(S11-$S$72)^2+(T11-$T$72)^2+(U11-$U$72)^2+(V11-$V$72)^2+(W11-$W$72)^2+(X11-$X$72)^2+(Y11-$Y$72)^2+(Z11-$Z$72)^2+(AA11-$AA$72)^2+(AB11-$AB$72)^2+(AC11-$AC$72)^2+(AD11-$AD$72)^2+(AE11-$AE$72)^2+(AF11-$AF$72)^2+(AG11-$AG$72)^2)</f>
        <v>0.89580448097880905</v>
      </c>
      <c r="CL11" s="36" t="s">
        <v>127</v>
      </c>
      <c r="CM11" s="37" t="s">
        <v>120</v>
      </c>
      <c r="CO11" s="44"/>
      <c r="CP11" s="36">
        <f>SQRT((A11-$A$73)^2+(B11-$B$73)^2+(C11-$C$73)^2+(D11-$D$73)^2+(E11-$E$73)^2+(F11-$F$73)^2+(G11-$G$73)^2+(H11-$H$73)^2+(I11-$I$73)^2+(J11-$J$73)^2+(K11-$K$73)^2+(L11-$L$73)^2+(M11-$M$73)^2+(N11-$N$73)^2+(O11-$O$73)^2+(P11-$P$73)^2+(Q11-$Q$73)^2+(R11-$R$73)^2+(S11-$S$73)^2+(T11-$T$73)^2+(U11-$U$73)^2+(V11-$V$73)^2+(W11-$W$73)^2+(X11-$X$73)^2+(Y11-$Y$73)^2+(Z11-$Z$73)^2+(AA11-$AA$73)^2+(AB11-$AB$73)^2+(AC11-$AC$73)^2+(AD11-$AD$73)^2+(AE11-$AE$73)^2+(AF11-$AF$73)^2+(AG11-$AG$73)^2)</f>
        <v>1.6833333333333333</v>
      </c>
      <c r="CQ11" s="36" t="s">
        <v>132</v>
      </c>
      <c r="CR11" s="37" t="s">
        <v>120</v>
      </c>
      <c r="CT11" s="44"/>
      <c r="CU11" s="36">
        <f>SQRT((A11-$A$74)^2+(B11-$B$74)^2+(C11-$C$74)^2+(D11-$D$74)^2+(E11-$E$74)^2+(F11-$F$74)^2+(G11-$G$74)^2+(H11-$H$74)^2+(I11-$I$74)^2+(J11-$J$74)^2+(K11-$K$74)^2+(L11-$L$74)^2+(M11-$M$74)^2+(N11-$N$74)^2+(O11-$O$74)^2+(P11-$P$74)^2+(Q11-$Q$74)^2+(R11-$R$74)^2+(S11-$S$74)^2+(T11-$T$74)^2+(U11-$U$74)^2+(V11-$V$74)^2+(W11-$W$74)^2+(X11-$X$74)^2+(Y11-$Y$74)^2+(Z11-$Z$74)^2+(AA11-$AA$74)^2+(AB11-$AB$74)^2+(AC11-$AC$74)^2+(AD11-$AD$74)^2+(AE11-$AE$74)^2+(AF11-$AF$74)^2+(AG11-$AG$74)^2)</f>
        <v>1.3170885400086898</v>
      </c>
      <c r="CV11" s="36" t="s">
        <v>318</v>
      </c>
      <c r="CW11" s="37" t="s">
        <v>120</v>
      </c>
      <c r="CY11" s="44"/>
      <c r="CZ11" s="36">
        <f>SQRT((A11-$A$75)^2+(B11-$B$75)^2+(C11-$C$75)^2+(D11-$D$75)^2+(E11-$E$75)^2+(F11-$F$75)^2+(G11-$G$75)^2+(H11-$H$75)^2+(I11-$I$75)^2+(J11-$J$75)^2+(K11-$K$75)^2+(L11-$L$75)^2+(M11-$M$75)^2+(N11-$N$75)^2+(O11-$O$75)^2+(P11-$P$75)^2+(Q11-$Q$75)^2+(R11-$R$75)^2+(S11-$S$75)^2+(T11-$T$75)^2+(U11-$U$75)^2+(V11-$V$75)^2+(W11-$W$75)^2+(X11-$X$75)^2+(Y11-$Y$75)^2+(Z11-$Z$75)^2+(AA11-$AA$75)^2+(AB11-$AB$75)^2+(AC11-$AC$75)^2+(AD11-$AD$75)^2+(AE11-$AE$75)^2+(AF11-$AF$75)^2+(AG11-$AG$75)^2)</f>
        <v>1.4240981551689322</v>
      </c>
      <c r="DA11" s="36" t="s">
        <v>328</v>
      </c>
      <c r="DB11" s="37" t="s">
        <v>120</v>
      </c>
      <c r="DD11" s="44"/>
      <c r="DE11" s="36">
        <f>SQRT((A11-$A$76)^2+(B11-$B$76)^2+(C11-$C$76)^2+(D11-$D$76)^2+(E11-$E$76)^2+(F11-$F$76)^2+(G11-$G$76)^2+(H11-$H$76)^2+(I11-$I$76)^2+(J11-$J$76)^2+(K11-$K$76)^2+(L11-$L$76)^2+(M11-$M$76)^2+(N11-$N$76)^2+(O11-$O$76)^2+(P11-$P$76)^2+(Q11-$Q$76)^2+(R11-$R$76)^2+(S11-$S$76)^2+(T11-$T$76)^2+(U11-$U$76)^2+(V11-$V$76)^2+(W11-$W$76)^2+(X11-$X$76)^2+(Y11-$Y$76)^2+(Z11-$Z$76)^2+(AA11-$AA$76)^2+(AB11-$AB$76)^2+(AC11-$AC$76)^2+(AD11-$AD$76)^2+(AE11-$AE$76)^2+(AF11-$AF$76)^2+(AG11-$AG$76)^2)</f>
        <v>1.4380735570740304</v>
      </c>
      <c r="DF11" s="36" t="s">
        <v>318</v>
      </c>
      <c r="DG11" s="37" t="s">
        <v>120</v>
      </c>
      <c r="DI11" s="44"/>
      <c r="DJ11" s="36">
        <f>SQRT((A11-$A$77)^2+(B11-$B$77)^2+(C11-$C$77)^2+(D11-$D$77)^2+(E11-$E$77)^2+(F11-$F$77)^2+(G11-$G$77)^2+(H11-$H$77)^2+(I11-$I$77)^2+(J11-$J$77)^2+(K11-$K$77)^2+(L11-$L$77)^2+(M11-$M$77)^2+(N11-$N$77)^2+(O11-$O$77)^2+(P11-$P$77)^2+(Q11-$Q$77)^2+(R11-$R$77)^2+(S11-$S$77)^2+(T11-$T$77)^2+(U11-$U$77)^2+(V11-$V$77)^2+(W11-$W$77)^2+(X11-$X$77)^2+(Y11-$Y$77)^2+(Z11-$Z$77)^2+(AA11-$AA$77)^2+(AB11-$AB$77)^2+(AC11-$AC$77)^2+(AD11-$AD$77)^2+(AE11-$AE$77)^2+(AF11-$AF$77)^2+(AG11-$AG$77)^2)</f>
        <v>2.1328124364061853</v>
      </c>
      <c r="DK11" s="36" t="s">
        <v>322</v>
      </c>
      <c r="DL11" s="37" t="s">
        <v>120</v>
      </c>
      <c r="DN11" s="44"/>
      <c r="DO11" s="36">
        <f>SQRT((A11-$A$78)^2+(B11-$B$78)^2+(C11-$C$78)^2+(D11-$D$78)^2+(E11-$E$78)^2+(F11-$F$78)^2+(G11-$G$78)^2+(H11-$H$78)^2+(I11-$I$78)^2+(J11-$J$78)^2+(K11-$K$78)^2+(L11-$L$78)^2+(M11-$M$78)^2+(N11-$N$78)^2+(O11-$O$78)^2+(P11-$P$78)^2+(Q11-$Q$78)^2+(R11-$R$78)^2+(S11-$S$78)^2+(T11-$T$78)^2+(U11-$U$78)^2+(V11-$V$78)^2+(W11-$W$78)^2+(X11-$X$78)^2+(Y11-$Y$78)^2+(Z11-$Z$78)^2+(AA11-$AA$78)^2+(AB11-$AB$78)^2+(AC11-$AC$78)^2+(AD11-$AD$78)^2+(AE11-$AE$78)^2+(AF11-$AF$78)^2+(AG11-$AG$78)^2)</f>
        <v>1.3757631400794776</v>
      </c>
      <c r="DP11" s="36" t="s">
        <v>129</v>
      </c>
      <c r="DQ11" s="37" t="s">
        <v>120</v>
      </c>
      <c r="DS11" s="44"/>
      <c r="DT11" s="36">
        <f>SQRT((A11-$A$79)^2+(B11-$B$79)^2+(C11-$C$79)^2+(D11-$D$79)^2+(E11-$E$79)^2+(F11-$F$79)^2+(G11-$G$79)^2+(H11-$H$79)^2+(I11-$I$79)^2+(J11-$J$79)^2+(K11-$K$79)^2+(L11-$L$79)^2+(M11-$M$79)^2+(N11-$N$79)^2+(O11-$O$79)^2+(P11-$P$79)^2+(Q11-$Q$79)^2+(R11-$R$79)^2+(S11-$S$79)^2+(T11-$T$79)^2+(U11-$U$79)^2+(V11-$V$79)^2+(W11-$W$79)^2+(X11-$X$79)^2+(Y11-$Y$79)^2+(Z11-$Z$79)^2+(AA11-$AA$79)^2+(AB11-$AB$79)^2+(AC11-$AC$79)^2+(AD11-$AD$79)^2+(AE11-$AE$79)^2+(AF11-$AF$79)^2+(AG11-$AG$79)^2)</f>
        <v>1.0172828598249328</v>
      </c>
      <c r="DU11" s="36" t="s">
        <v>127</v>
      </c>
      <c r="DV11" s="37" t="s">
        <v>120</v>
      </c>
      <c r="DX11" s="44"/>
      <c r="DY11" s="36">
        <f>SQRT((A11-$A$80)^2+(B11-$B$80)^2+(C11-$C$80)^2+(D11-$D$80)^2+(E11-$E$80)^2+(F11-$F$80)^2+(G11-$G$80)^2+(H11-$H$80)^2+(I11-$I$80)^2+(J11-$J$80)^2+(K11-$K$80)^2+(L11-$L$80)^2+(M11-$M$80)^2+(N11-$N$80)^2+(O11-$O$80)^2+(P11-$P$80)^2+(Q11-$Q$80)^2+(R11-$R$80)^2+(S11-$S$80)^2+(T11-$T$80)^2+(U11-$U$80)^2+(V11-$V$80)^2+(W11-$W$80)^2+(X11-$X$80)^2+(Y11-$Y$80)^2+(Z11-$Z$80)^2+(AA11-$AA$80)^2+(AB11-$AB$80)^2+(AC11-$AC$80)^2+(AD11-$AD$80)^2+(AE11-$AE$80)^2+(AF11-$AF$80)^2+(AG11-$AG$80)^2)</f>
        <v>1.6951728853161587</v>
      </c>
      <c r="DZ11" s="36" t="s">
        <v>150</v>
      </c>
      <c r="EA11" s="37" t="s">
        <v>120</v>
      </c>
      <c r="EC11" s="44"/>
      <c r="ED11" s="36">
        <f>SQRT((A11-$A$81)^2+(B11-$B$81)^2+(C11-$C$81)^2+(D11-$D$81)^2+(E11-$E$81)^2+(F11-$F$81)^2+(G11-$G$81)^2+(H11-$H$81)^2+(I11-$I$81)^2+(J11-$J$81)^2+(K11-$K$81)^2+(L11-$L$81)^2+(M11-$M$81)^2+(N11-$N$81)^2+(O11-$O$81)^2+(P11-$P$81)^2+(Q11-$Q$81)^2+(R11-$R$81)^2+(S11-$S$81)^2+(T11-$T$81)^2+(U11-$U$81)^2+(V11-$V$81)^2+(W11-$W$81)^2+(X11-$X$81)^2+(Y11-$Y$81)^2+(Z11-$Z$81)^2+(AA11-$AA$81)^2+(AB11-$AB$81)^2+(AC11-$AC$81)^2+(AD11-$AD$81)^2+(AE11-$AE$81)^2+(AF11-$AF$81)^2+(AG11-$AG$81)^2)</f>
        <v>1.6309506430300091</v>
      </c>
      <c r="EE11" s="36" t="s">
        <v>150</v>
      </c>
      <c r="EF11" s="37" t="s">
        <v>120</v>
      </c>
      <c r="EH11" s="44"/>
      <c r="EI11" s="36">
        <f>SQRT((A11-$A$82)^2+(B11-$B$82)^2+(C11-$C$82)^2+(D11-$D$82)^2+(E11-$E$82)^2+(F11-$F$82)^2+(G11-$G$82)^2+(H11-$H$82)^2+(I11-$I$82)^2+(J11-$J$82)^2+(K11-$K$82)^2+(L11-$L$82)^2+(M11-$M$82)^2+(N11-$N$82)^2+(O11-$O$82)^2+(P11-$P$82)^2+(Q11-$Q$82)^2+(R11-$R$82)^2+(S11-$S$82)^2+(T11-$T$82)^2+(U11-$U$82)^2+(V11-$V$82)^2+(W11-$W$82)^2+(X11-$X$82)^2+(Y11-$Y$82)^2+(Z11-$Z$82)^2+(AA11-$AA$82)^2+(AB11-$AB$82)^2+(AC11-$AC$82)^2+(AD11-$AD$82)^2+(AE11-$AE$82)^2+(AF11-$AF$82)^2+(AG11-$AG$82)^2)</f>
        <v>1.9158554213142289</v>
      </c>
      <c r="EJ11" s="36" t="s">
        <v>321</v>
      </c>
      <c r="EK11" s="37" t="s">
        <v>120</v>
      </c>
      <c r="EM11" s="44"/>
      <c r="EN11" s="36">
        <f>SQRT((A11-$A$83)^2+(B11-$B$83)^2+(C11-$C$83)^2+(D11-$D$83)^2+(E11-$E$83)^2+(F11-$F$83)^2+(G11-$G$83)^2+(H11-$H$83)^2+(I11-$I$83)^2+(J11-$J$83)^2+(K11-$K$83)^2+(L11-$L$83)^2+(M11-$M$83)^2+(N11-$N$83)^2+(O11-$O$83)^2+(P11-$P$83)^2+(Q11-$Q$83)^2+(R11-$R$83)^2+(S11-$S$83)^2+(T11-$T$83)^2+(U11-$U$83)^2+(V11-$V$83)^2+(W11-$W$83)^2+(X11-$X$83)^2+(Y11-$Y$83)^2+(Z11-$Z$83)^2+(AA11-$AA$83)^2+(AB11-$AB$83)^2+(AC11-$AC$83)^2+(AD11-$AD$83)^2+(AE11-$AE$83)^2+(AF11-$AF$83)^2+(AG11-$AG$83)^2)</f>
        <v>1.2646702670135053</v>
      </c>
      <c r="EO11" s="36" t="s">
        <v>331</v>
      </c>
      <c r="EP11" s="37" t="s">
        <v>120</v>
      </c>
      <c r="ER11" s="44"/>
      <c r="ES11" s="36">
        <f>SQRT((A11-$A$84)^2+(B11-$B$84)^2+(C11-$C$84)^2+(D11-$D$84)^2+(E11-$E$84)^2+(F11-$F$84)^2+(G11-$G$84)^2+(H11-$H$84)^2+(I11-$I$84)^2+(J11-$J$84)^2+(K11-$K$84)^2+(L11-$L$84)^2+(M11-$M$84)^2+(N11-$N$84)^2+(O11-$O$84)^2+(P11-$P$84)^2+(Q11-$Q$84)^2+(R11-$R$84)^2+(S11-$S$84)^2+(T11-$T$84)^2+(U11-$U$84)^2+(V11-$V$84)^2+(W11-$W$84)^2+(X11-$X$84)^2+(Y11-$Y$84)^2+(Z11-$Z$84)^2+(AA11-$AA$84)^2+(AB11-$AB$84)^2+(AC11-$AC$84)^2+(AD11-$AD$84)^2+(AE11-$AE$84)^2+(AF11-$AF$84)^2+(AG11-$AG$84)^2)</f>
        <v>1.3064266310503116</v>
      </c>
      <c r="ET11" s="36" t="s">
        <v>321</v>
      </c>
      <c r="EU11" s="37" t="s">
        <v>120</v>
      </c>
      <c r="EW11" s="44"/>
      <c r="EX11" s="36">
        <f>SQRT((A11-$A$85)^2+(B11-$B$85)^2+(C11-$C$85)^2+(D11-$D$85)^2+(E11-$E$85)^2+(F11-$F$85)^2+(G11-$G$85)^2+(H11-$H$85)^2+(I11-$I$85)^2+(J11-$J$85)^2+(K11-$K$85)^2+(L11-$L$85)^2+(M11-$M$85)^2+(N11-$N$85)^2+(O11-$O$85)^2+(P11-$P$85)^2+(Q11-$Q$85)^2+(R11-$R$85)^2+(S11-$S$85)^2+(T11-$T$85)^2+(U11-$U$85)^2+(V11-$V$85)^2+(W11-$W$85)^2+(X11-$X$85)^2+(Y11-$Y$85)^2+(Z11-$Z$85)^2+(AA11-$AA$85)^2+(AB11-$AB$85)^2+(AC11-$AC$85)^2+(AD11-$AD$85)^2+(AE11-$AE$85)^2+(AF11-$AF$85)^2+(AG11-$AG$85)^2)</f>
        <v>1.3064266310503116</v>
      </c>
      <c r="EY11" s="36" t="s">
        <v>321</v>
      </c>
      <c r="EZ11" s="37" t="s">
        <v>120</v>
      </c>
      <c r="FB11" s="44"/>
      <c r="FC11" s="36">
        <f>SQRT((A11-$A$86)^2+(B11-$B$86)^2+(C11-$C$86)^2+(D11-$D$86)^2+(E11-$E$86)^2+(F11-$F$86)^2+(G11-$G$86)^2+(H11-$H$86)^2+(I11-$I$86)^2+(J11-$J$86)^2+(K11-$K$86)^2+(L11-$L$86)^2+(M11-$M$86)^2+(N11-$N$86)^2+(O11-$O$86)^2+(P11-$P$86)^2+(Q11-$Q$86)^2+(R11-$R$86)^2+(S11-$S$86)^2+(T11-$T$86)^2+(U11-$U$86)^2+(V11-$V$86)^2+(W11-$W$86)^2+(X11-$X$86)^2+(Y11-$Y$86)^2+(Z11-$Z$86)^2+(AA11-$AA$86)^2+(AB11-$AB$86)^2+(AC11-$AC$86)^2+(AD11-$AD$86)^2+(AE11-$AE$86)^2+(AF11-$AF$86)^2+(AG11-$AG$86)^2)</f>
        <v>1.3064266310503116</v>
      </c>
      <c r="FD11" s="36" t="s">
        <v>321</v>
      </c>
      <c r="FE11" s="37" t="s">
        <v>120</v>
      </c>
      <c r="FG11" s="44"/>
      <c r="FH11" s="36">
        <f>SQRT((A11-$A$87)^2+(B11-$B$87)^2+(C11-$C$87)^2+(D11-$D$87)^2+(E11-$E$87)^2+(F11-$F$87)^2+(G11-$G$87)^2+(H11-$H$87)^2+(I11-$I$87)^2+(J11-$J$87)^2+(K11-$K$87)^2+(L11-$L$87)^2+(M11-$M$87)^2+(N11-$N$87)^2+(O11-$O$87)^2+(P11-$P$87)^2+(Q11-$Q$87)^2+(R11-$R$87)^2+(S11-$S$87)^2+(T11-$T$87)^2+(U11-$U$87)^2+(V11-$V$87)^2+(W11-$W$87)^2+(X11-$X$87)^2+(Y11-$Y$87)^2+(Z11-$Z$87)^2+(AA11-$AA$87)^2+(AB11-$AB$87)^2+(AC11-$AC$87)^2+(AD11-$AD$87)^2+(AE11-$AE$87)^2+(AF11-$AF$87)^2+(AG11-$AG$87)^2)</f>
        <v>1.5567951410224503</v>
      </c>
      <c r="FI11" s="36" t="s">
        <v>133</v>
      </c>
      <c r="FJ11" s="37" t="s">
        <v>120</v>
      </c>
      <c r="FL11" s="44"/>
      <c r="FM11" s="36">
        <f>SQRT((A11-$A$88)^2+(B11-$B$88)^2+(C11-$C$88)^2+(D11-$D$88)^2+(E11-$E$88)^2+(F11-$F$88)^2+(G11-$G$88)^2+(H11-$H$88)^2+(I11-$I$88)^2+(J11-$J$88)^2+(K11-$K$88)^2+(L11-$L$88)^2+(M11-$M$88)^2+(N11-$N$88)^2+(O11-$O$88)^2+(P11-$P$88)^2+(Q11-$Q$88)^2+(R11-$R$88)^2+(S11-$S$88)^2+(T11-$T$88)^2+(U11-$U$88)^2+(V11-$V$88)^2+(W11-$W$88)^2+(X11-$X$88)^2+(Y11-$Y$88)^2+(Z11-$Z$88)^2+(AA11-$AA$88)^2+(AB11-$AB$88)^2+(AC11-$AC$88)^2+(AD11-$AD$88)^2+(AE11-$AE$88)^2+(AF11-$AF$88)^2+(AG11-$AG$88)^2)</f>
        <v>1.0333913909585017</v>
      </c>
      <c r="FN11" s="36" t="s">
        <v>129</v>
      </c>
      <c r="FO11" s="37" t="s">
        <v>120</v>
      </c>
      <c r="FQ11" s="44"/>
      <c r="FR11" s="36">
        <f>SQRT((A11-$A$89)^2+(B11-$B$89)^2+(C11-$C$89)^2+(D11-$D$89)^2+(E11-$E$89)^2+(F11-$F$89)^2+(G11-$G$89)^2+(H11-$H$89)^2+(I11-$I$89)^2+(J11-$J$89)^2+(K11-$K$89)^2+(L11-$L$89)^2+(M11-$M$89)^2+(N11-$N$89)^2+(O11-$O$89)^2+(P11-$P$89)^2+(Q11-$Q$89)^2+(R11-$R$89)^2+(S11-$S$89)^2+(T11-$T$89)^2+(U11-$U$89)^2+(V11-$V$89)^2+(W11-$W$89)^2+(X11-$X$89)^2+(Y11-$Y$89)^2+(Z11-$Z$89)^2+(AA11-$AA$89)^2+(AB11-$AB$89)^2+(AC11-$AC$89)^2+(AD11-$AD$89)^2+(AE11-$AE$89)^2+(AF11-$AF$89)^2+(AG11-$AG$89)^2)</f>
        <v>1.6073615371505909</v>
      </c>
      <c r="FS11" s="36" t="s">
        <v>141</v>
      </c>
      <c r="FT11" s="37" t="s">
        <v>120</v>
      </c>
      <c r="FV11" s="44"/>
      <c r="FW11" s="36">
        <f>SQRT((A11-$A$90)^2+(B11-$B$90)^2+(C11-$C$90)^2+(D11-$D$90)^2+(E11-$E$90)^2+(F11-$F$90)^2+(G11-$G$90)^2+(H11-$H$90)^2+(I11-$I$90)^2+(J11-$J$90)^2+(K11-$K$90)^2+(L11-$L$90)^2+(M11-$M$90)^2+(N11-$N$90)^2+(O11-$O$90)^2+(P11-$P$90)^2+(Q11-$Q$90)^2+(R11-$R$90)^2+(S11-$S$90)^2+(T11-$T$90)^2+(U11-$U$90)^2+(V11-$V$90)^2+(W11-$W$90)^2+(X11-$X$90)^2+(Y11-$Y$90)^2+(Z11-$Z$90)^2+(AA11-$AA$90)^2+(AB11-$AB$90)^2+(AC11-$AC$90)^2+(AD11-$AD$90)^2+(AE11-$AE$90)^2+(AF11-$AF$90)^2+(AG11-$AG$90)^2)</f>
        <v>1.8309833423600552</v>
      </c>
      <c r="FX11" s="36" t="s">
        <v>318</v>
      </c>
      <c r="FY11" s="37" t="s">
        <v>120</v>
      </c>
      <c r="GA11" s="44"/>
      <c r="GB11" s="36">
        <f>SQRT((A11-$A$91)^2+(B11-$B$91)^2+(C11-$C$91)^2+(D11-$D$91)^2+(E11-$E$91)^2+(F11-$F$91)^2+(G11-$G$91)^2+(H11-$H$91)^2+(I11-$I$91)^2+(J11-$J$91)^2+(K11-$K$91)^2+(L11-$L$91)^2+(M11-$M$91)^2+(N11-$N$91)^2+(O11-$O$91)^2+(P11-$P$91)^2+(Q11-$Q$91)^2+(R11-$R$91)^2+(S11-$S$91)^2+(T11-$T$91)^2+(U11-$U$91)^2+(V11-$V$91)^2+(W11-$W$91)^2+(X11-$X$91)^2+(Y11-$Y$91)^2+(Z11-$Z$91)^2+(AA11-$AA$91)^2+(AB11-$AB$91)^2+(AC11-$AC$91)^2+(AD11-$AD$91)^2+(AE11-$AE$91)^2+(AF11-$AF$91)^2+(AG11-$AG$91)^2)</f>
        <v>2.0615528128088298</v>
      </c>
      <c r="GC11" s="36" t="s">
        <v>320</v>
      </c>
      <c r="GD11" s="37" t="s">
        <v>120</v>
      </c>
      <c r="GF11" s="44"/>
      <c r="GG11" s="36">
        <f>SQRT((A11-$A$92)^2+(B11-$B$92)^2+(C11-$C$92)^2+(D11-$D$92)^2+(E11-$E$92)^2+(F11-$F$92)^2+(G11-$G$92)^2+(H11-$H$92)^2+(I11-$I$92)^2+(J11-$J$92)^2+(K11-$K$92)^2+(L11-$L$92)^2+(M11-$M$92)^2+(N11-$N$92)^2+(O11-$O$92)^2+(P11-$P$92)^2+(Q11-$Q$92)^2+(R11-$R$92)^2+(S11-$S$92)^2+(T11-$T$92)^2+(U11-$U$92)^2+(V11-$V$92)^2+(W11-$W$92)^2+(X11-$X$92)^2+(Y11-$Y$92)^2+(Z11-$Z$92)^2+(AA11-$AA$92)^2+(AB11-$AB$92)^2+(AC11-$AC$92)^2+(AD11-$AD$92)^2+(AE11-$AE$92)^2+(AF11-$AF$92)^2+(AG11-$AG$92)^2)</f>
        <v>1.6111100349401726</v>
      </c>
      <c r="GH11" s="36" t="s">
        <v>124</v>
      </c>
      <c r="GI11" s="37" t="s">
        <v>120</v>
      </c>
      <c r="GK11" s="44"/>
      <c r="GL11" s="36">
        <f>SQRT((A11-$A$93)^2+(B11-$B$93)^2+(C11-$C$93)^2+(D11-$D$93)^2+(E11-$E$93)^2+(F11-$F$93)^2+(G11-$G$93)^2+(H11-$H$93)^2+(I11-$I$93)^2+(J11-$J$93)^2+(K11-$K$93)^2+(L11-$L$93)^2+(M11-$M$93)^2+(N11-$N$93)^2+(O11-$O$93)^2+(P11-$P$93)^2+(Q11-$Q$93)^2+(R11-$R$93)^2+(S11-$S$93)^2+(T11-$T$93)^2+(U11-$U$93)^2+(V11-$V$93)^2+(W11-$W$93)^2+(X11-$X$93)^2+(Y11-$Y$93)^2+(Z11-$Z$93)^2+(AA11-$AA$93)^2+(AB11-$AB$93)^2+(AC11-$AC$93)^2+(AD11-$AD$93)^2+(AE11-$AE$93)^2+(AF11-$AF$93)^2+(AG11-$AG$93)^2)</f>
        <v>2.1758778560490115</v>
      </c>
      <c r="GM11" s="36" t="s">
        <v>122</v>
      </c>
      <c r="GN11" s="37" t="s">
        <v>120</v>
      </c>
      <c r="GP11" s="44"/>
      <c r="GQ11" s="36">
        <f>SQRT((A11-$A$94)^2+(B11-$B$94)^2+(C11-$C$94)^2+(D11-$D$94)^2+(E11-$E$94)^2+(F11-$F$94)^2+(G11-$G$94)^2+(H11-$H$94)^2+(I11-$I$94)^2+(J11-$J$94)^2+(K11-$K$94)^2+(L11-$L$94)^2+(M11-$M$94)^2+(N11-$N$94)^2+(O11-$O$94)^2+(P11-$P$94)^2+(Q11-$Q$94)^2+(R11-$R$94)^2+(S11-$S$94)^2+(T11-$T$94)^2+(U11-$U$94)^2+(V11-$V$94)^2+(W11-$W$94)^2+(X11-$X$94)^2+(Y11-$Y$94)^2+(Z11-$Z$94)^2+(AA11-$AA$94)^2+(AB11-$AB$94)^2+(AC11-$AC$94)^2+(AD11-$AD$94)^2+(AE11-$AE$94)^2+(AF11-$AF$94)^2+(AG11-$AG$94)^2)</f>
        <v>1.8267919044176291</v>
      </c>
      <c r="GR11" s="36" t="s">
        <v>152</v>
      </c>
      <c r="GS11" s="37" t="s">
        <v>120</v>
      </c>
      <c r="GU11" s="44"/>
      <c r="GV11" s="36">
        <f>SQRT((A11-$A$95)^2+(B11-$B$95)^2+(C11-$C$95)^2+(D11-$D$95)^2+(E11-$E$95)^2+(F11-$F$95)^2+(G11-$G$95)^2+(H11-$H$95)^2+(I11-$I$95)^2+(J11-$J$95)^2+(K11-$K$95)^2+(L11-$L$95)^2+(M11-$M$95)^2+(N11-$N$95)^2+(O11-$O$95)^2+(P11-$P$95)^2+(Q11-$Q$95)^2+(R11-$R$95)^2+(S11-$S$95)^2+(T11-$T$95)^2+(U11-$U$95)^2+(V11-$V$95)^2+(W11-$W$95)^2+(X11-$X$95)^2+(Y11-$Y$95)^2+(Z11-$Z$95)^2+(AA11-$AA$95)^2+(AB11-$AB$95)^2+(AC11-$AC$95)^2+(AD11-$AD$95)^2+(AE11-$AE$95)^2+(AF11-$AF$95)^2+(AG11-$AG$95)^2)</f>
        <v>2.1147629234082532</v>
      </c>
      <c r="GW11" s="36" t="s">
        <v>127</v>
      </c>
      <c r="GX11" s="37" t="s">
        <v>120</v>
      </c>
      <c r="GZ11" s="44"/>
      <c r="HA11" s="36">
        <f>SQRT((A11-$A$96)^2+(B11-$B$96)^2+(C11-$C$96)^2+(D11-$D$96)^2+(E11-$E$96)^2+(F11-$F$96)^2+(G11-$G$96)^2+(H11-$H$96)^2+(I11-$I$96)^2+(J11-$J$96)^2+(K11-$K$96)^2+(L11-$L$96)^2+(M11-$M$96)^2+(N11-$N$96)^2+(O11-$O$96)^2+(P11-$P$96)^2+(Q11-$Q$96)^2+(R11-$R$96)^2+(S11-$S$96)^2+(T11-$T$96)^2+(U11-$U$96)^2+(V11-$V$96)^2+(W11-$W$96)^2+(X11-$X$96)^2+(Y11-$Y$96)^2+(Z11-$Z$96)^2+(AA11-$AA$96)^2+(AB11-$AB$96)^2+(AC11-$AC$96)^2+(AD11-$AD$96)^2+(AE11-$AE$96)^2+(AF11-$AF$96)^2+(AG11-$AG$96)^2)</f>
        <v>2.2012622641465405</v>
      </c>
      <c r="HB11" s="36" t="s">
        <v>318</v>
      </c>
      <c r="HC11" s="37" t="s">
        <v>120</v>
      </c>
      <c r="HE11" s="44"/>
      <c r="HF11" s="36">
        <f>SQRT((A11-$A$97)^2+(B11-$B$97)^2+(C11-$C$97)^2+(D11-$D$97)^2+(E11-$E$97)^2+(F11-$F$97)^2+(G11-$G$97)^2+(H11-$H$97)^2+(I11-$I$97)^2+(J11-$J$97)^2+(K11-$K$97)^2+(L11-$L$97)^2+(M11-$M$97)^2+(N11-$N$97)^2+(O11-$O$97)^2+(P11-$P$97)^2+(Q11-$Q$97)^2+(R11-$R$97)^2+(S11-$S$97)^2+(T11-$T$97)^2+(U11-$U$97)^2+(V11-$V$97)^2+(W11-$W$97)^2+(X11-$X$97)^2+(Y11-$Y$97)^2+(Z11-$Z$97)^2+(AA11-$AA$97)^2+(AB11-$AB$97)^2+(AC11-$AC$97)^2+(AD11-$AD$97)^2+(AE11-$AE$97)^2+(AF11-$AF$97)^2+(AG11-$AG$97)^2)</f>
        <v>1.3064266310503116</v>
      </c>
      <c r="HG11" s="36" t="s">
        <v>321</v>
      </c>
      <c r="HH11" s="37" t="s">
        <v>120</v>
      </c>
      <c r="HJ11" s="44"/>
      <c r="HK11" s="36">
        <f>SQRT((A11-$A$98)^2+(B11-$B$98)^2+(C11-$C$98)^2+(D11-$D$98)^2+(E11-$E$98)^2+(F11-$F$98)^2+(G11-$G$98)^2+(H11-$H$98)^2+(I11-$I$98)^2+(J11-$J$98)^2+(K11-$K$98)^2+(L11-$L$98)^2+(M11-$M$98)^2+(N11-$N$98)^2+(O11-$O$98)^2+(P11-$P$98)^2+(Q11-$Q$98)^2+(R11-$R$98)^2+(S11-$S$98)^2+(T11-$T$98)^2+(U11-$U$98)^2+(V11-$V$98)^2+(W11-$W$98)^2+(X11-$X$98)^2+(Y11-$Y$98)^2+(Z11-$Z$98)^2+(AA11-$AA$98)^2+(AB11-$AB$98)^2+(AC11-$AC$98)^2+(AD11-$AD$98)^2+(AE11-$AE$98)^2+(AF11-$AF$98)^2+(AG11-$AG$98)^2)</f>
        <v>1.3064266310503116</v>
      </c>
      <c r="HL11" s="36" t="s">
        <v>321</v>
      </c>
      <c r="HM11" s="37" t="s">
        <v>120</v>
      </c>
      <c r="HO11" s="44"/>
      <c r="HP11" s="36">
        <f>SQRT((A11-$A$99)^2+(B11-$B$99)^2+(C11-$C$99)^2+(D11-$D$99)^2+(E11-$E$99)^2+(F11-$F$99)^2+(G11-$G$99)^2+(H11-$H$99)^2+(I11-$I$99)^2+(J11-$J$99)^2+(K11-$K$99)^2+(L11-$L$99)^2+(M11-$M$99)^2+(N11-$N$99)^2+(O11-$O$99)^2+(P11-$P$99)^2+(Q11-$Q$99)^2+(R11-$R$99)^2+(S11-$S$99)^2+(T11-$T$99)^2+(U11-$U$99)^2+(V11-$V$99)^2+(W11-$W$99)^2+(X11-$X$99)^2+(Y11-$Y$99)^2+(Z11-$Z$99)^2+(AA11-$AA$99)^2+(AB11-$AB$99)^2+(AC11-$AC$99)^2+(AD11-$AD$99)^2+(AE11-$AE$99)^2+(AF11-$AF$99)^2+(AG11-$AG$99)^2)</f>
        <v>1.3064266310503116</v>
      </c>
      <c r="HQ11" s="36" t="s">
        <v>321</v>
      </c>
      <c r="HR11" s="37" t="s">
        <v>120</v>
      </c>
      <c r="HT11" s="44"/>
      <c r="HU11" s="36">
        <f>SQRT((A11-$A$100)^2+(B11-$B$100)^2+(C11-$C$100)^2+(D11-$D$100)^2+(E11-$E$100)^2+(F11-$F$100)^2+(G11-$G$100)^2+(H11-$H$100)^2+(I11-$I$100)^2+(J11-$J$100)^2+(K11-$K$100)^2+(L11-$L$100)^2+(M11-$M$100)^2+(N11-$N$100)^2+(O11-$O$100)^2+(P11-$P$100)^2+(Q11-$Q$100)^2+(R11-$R$100)^2+(S11-$S$100)^2+(T11-$T$100)^2+(U11-$U$100)^2+(V11-$V$100)^2+(W11-$W$100)^2+(X11-$X$100)^2+(Y11-$Y$100)^2+(Z11-$Z$100)^2+(AA11-$AA$100)^2+(AB11-$AB$100)^2+(AC11-$AC$100)^2+(AD11-$AD$100)^2+(AE11-$AE$100)^2+(AF11-$AF$100)^2+(AG11-$AG$100)^2)</f>
        <v>1.3064266310503116</v>
      </c>
      <c r="HV11" s="36" t="s">
        <v>321</v>
      </c>
      <c r="HW11" s="37" t="s">
        <v>120</v>
      </c>
      <c r="HY11" s="44"/>
      <c r="HZ11" s="36">
        <f>SQRT((A11-$A$101)^2+(B11-$B$101)^2+(C11-$C$101)^2+(D11-$D$101)^2+(E11-$E$101)^2+(F11-$F$101)^2+(G11-$G$101)^2+(H11-$H$101)^2+(I11-$I$101)^2+(J11-$J$101)^2+(K11-$K$101)^2+(L11-$L$101)^2+(M11-$M$101)^2+(N11-$N$101)^2+(O11-$O$101)^2+(P11-$P$101)^2+(Q11-$Q$101)^2+(R11-$R$101)^2+(S11-$S$101)^2+(T11-$T$101)^2+(U11-$U$101)^2+(V11-$V$101)^2+(W11-$W$101)^2+(X11-$X$101)^2+(Y11-$Y$101)^2+(Z11-$Z$101)^2+(AA11-$AA$101)^2+(AB11-$AB$101)^2+(AC11-$AC$101)^2+(AD11-$AD$101)^2+(AE11-$AE$101)^2+(AF11-$AF$101)^2+(AG11-$AG$101)^2)</f>
        <v>1.6003471845543737</v>
      </c>
      <c r="IA11" s="36" t="s">
        <v>150</v>
      </c>
      <c r="IB11" s="37" t="s">
        <v>120</v>
      </c>
    </row>
    <row r="12" spans="1:236" x14ac:dyDescent="0.35">
      <c r="A12" s="2">
        <v>0.66666666666666596</v>
      </c>
      <c r="B12" s="2">
        <v>0.25</v>
      </c>
      <c r="C12" s="2">
        <v>0.23899371069182301</v>
      </c>
      <c r="D12" s="2">
        <v>0.66666666666666596</v>
      </c>
      <c r="E12" s="2">
        <v>0</v>
      </c>
      <c r="F12" s="2">
        <v>1</v>
      </c>
      <c r="G12" s="2">
        <v>0.55555555555555503</v>
      </c>
      <c r="H12" s="2">
        <v>1</v>
      </c>
      <c r="I12" s="2">
        <v>0.5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0.4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0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0.19565217391304299</v>
      </c>
      <c r="AH12" s="2" t="s">
        <v>120</v>
      </c>
      <c r="AI12" s="42"/>
      <c r="AJ12" s="42"/>
      <c r="AL12" s="44"/>
      <c r="AM12" s="36">
        <f>SQRT((A12-$A$62)^2+(B12-$B$62)^2+(C12-$C$62)^2+(D12-$D$62)^2+(E12-$E$62)^2+(F12-$F$62)^2+(G12-$G$62)^2+(H12-$H$62)^2+(I12-$I$62)^2+(J12-$J$62)^2+(K12-$K$62)^2+(L12-$L$62)^2+(M12-$M$62)^2+(N12-$N$62)^2+(O12-$O$62)^2+(P12-$P$62)^2+(Q12-$Q$62)^2+(R12-$R$62)^2+(S12-$S$62)^2+(T12-$T$62)^2+(U12-$U$62)^2+(V12-$V$62)^2+(W12-$W$62)^2+(X12-$X$62)^2+(Y12-$Y$62)^2+(Z12-$Z$62)^2+(AA12-$AA$62)^2+(AB12-$AB$62)^2+(AC12-$AC$62)^2+(AD12-$AD$62)^2+(AE12-$AE$62)^2+(AF12-$AF$62)^2+(AG12-$AG$62)^2)</f>
        <v>1.9285751112620071</v>
      </c>
      <c r="AN12" s="36" t="s">
        <v>328</v>
      </c>
      <c r="AO12" s="37" t="s">
        <v>120</v>
      </c>
      <c r="AP12" s="30"/>
      <c r="AQ12" s="44"/>
      <c r="AR12" s="36">
        <f>SQRT((A12-$A$63)^2+(B12-$B$63)^2+(C12-$C$63)^2+(D12-$D$63)^2+(E12-$E$63)^2+(F12-$F$63)^2+(G12-$G$63)^2+(H12-$H$63)^2+(I12-$I$63)^2+(J12-$J$63)^2+(K12-$K$63)^2+(L12-$L$63)^2+(M12-$M$63)^2+(N12-$N$63)^2+(O12-$O$63)^2+(P12-$P$63)^2+(Q12-$Q$63)^2+(R12-$R$63)^2+(S12-$S$63)^2+(T12-$T$63)^2+(U12-$U$63)^2+(V12-$V$63)^2+(W12-$W$63)^2+(X12-$X$63)^2+(Y12-$Y$63)^2+(Z12-$Z$63)^2+(AA12-$AA$63)^2+(AB12-$AB$63)^2+(AC12-$AC$63)^2+(AD12-$AD$63)^2+(AE12-$AE$63)^2+(AF12-$AF$63)^2+(AG12-$AG$63)^2)</f>
        <v>0.99916982799315168</v>
      </c>
      <c r="AS12" s="36" t="s">
        <v>325</v>
      </c>
      <c r="AT12" s="37" t="s">
        <v>120</v>
      </c>
      <c r="AU12" s="30"/>
      <c r="AV12" s="44"/>
      <c r="AW12" s="36">
        <f>SQRT((A12-$A$64)^2+(B12-$B$64)^2+(C12-$C$64)^2+(D12-$D$64)^2+(E12-$E$64)^2+(F12-$F$64)^2+(G12-$G$64)^2+(H12-$H$64)^2+(I12-$I$64)^2+(J12-$J$64)^2+(K12-$K$64)^2+(L12-$L$64)^2+(M12-$M$64)^2+(N12-$N$64)^2+(O12-$O$64)^2+(P12-$P$64)^2+(Q12-$Q$64)^2+(R12-$R$64)^2+(S12-$S$64)^2+(T12-$T$64)^2+(U12-$U$64)^2+(V12-$V$64)^2+(W12-$W$64)^2+(X12-$X$64)^2+(Y12-$Y$64)^2+(Z12-$Z$64)^2+(AA12-$AA$64)^2+(AB12-$AB$64)^2+(AC12-$AC$64)^2+(AD12-$AD$64)^2+(AE12-$AE$64)^2+(AF12-$AF$64)^2+(AG12-$AG$64)^2)</f>
        <v>0.99916982799315168</v>
      </c>
      <c r="AX12" s="36" t="s">
        <v>325</v>
      </c>
      <c r="AY12" s="37" t="s">
        <v>120</v>
      </c>
      <c r="AZ12" s="30"/>
      <c r="BA12" s="44"/>
      <c r="BB12" s="36">
        <f>SQRT((A12-$A$65)^2+(B12-$B$65)^2+(C12-$C$65)^2+(D12-$D$65)^2+(E12-$E$65)^2+(F12-$F$65)^2+(G12-$G$65)^2+(H12-$H$65)^2+(I12-$I$65)^2+(J12-$J$65)^2+(K12-$K$65)^2+(L12-$L$65)^2+(M12-$M$65)^2+(N12-$N$65)^2+(O12-$O$65)^2+(P12-$P$65)^2+(Q12-$Q$65)^2+(R12-$R$65)^2+(S12-$S$65)^2+(T12-$T$65)^2+(U12-$U$65)^2+(V12-$V$65)^2+(W12-$W$65)^2+(X12-$X$65)^2+(Y12-$Y$65)^2+(Z12-$Z$65)^2+(AA12-$AA$65)^2+(AB12-$AB$65)^2+(AC12-$AC$65)^2+(AD12-$AD$65)^2+(AE12-$AE$65)^2+(AF12-$AF$65)^2+(AG12-$AG$65)^2)</f>
        <v>0.99916982799315168</v>
      </c>
      <c r="BC12" s="36" t="s">
        <v>325</v>
      </c>
      <c r="BD12" s="37" t="s">
        <v>120</v>
      </c>
      <c r="BE12" s="30"/>
      <c r="BF12" s="44"/>
      <c r="BG12" s="36">
        <f>SQRT((A12-$A$66)^2+(B12-$B$66)^2+(C12-$C$66)^2+(D12-$D$66)^2+(E12-$E$66)^2+(F12-$F$66)^2+(G12-$G$66)^2+(H12-$H$66)^2+(I12-$I$66)^2+(J12-$J$66)^2+(K12-$K$66)^2+(L12-$L$66)^2+(M12-$M$66)^2+(N12-$N$66)^2+(O12-$O$66)^2+(P12-$P$66)^2+(Q12-$Q$66)^2+(R12-$R$66)^2+(S12-$S$66)^2+(T12-$T$66)^2+(U12-$U$66)^2+(V12-$V$66)^2+(W12-$W$66)^2+(X12-$X$66)^2+(Y12-$Y$66)^2+(Z12-$Z$66)^2+(AA12-$AA$66)^2+(AB12-$AB$66)^2+(AC12-$AC$66)^2+(AD12-$AD$66)^2+(AE12-$AE$66)^2+(AF12-$AF$66)^2+(AG12-$AG$66)^2)</f>
        <v>0.99916982799315168</v>
      </c>
      <c r="BH12" s="36" t="s">
        <v>325</v>
      </c>
      <c r="BI12" s="37" t="s">
        <v>120</v>
      </c>
      <c r="BJ12" s="30"/>
      <c r="BK12" s="44"/>
      <c r="BL12" s="36">
        <f>SQRT((A12-$A$67)^2+(B12-$B$67)^2+(C12-$C$67)^2+(D12-$D$67)^2+(E12-$E$67)^2+(F12-$F$67)^2+(G12-$G$67)^2+(H12-$H$67)^2+(I12-$I$67)^2+(J12-$J$67)^2+(K12-$K$67)^2+(L12-$L$67)^2+(M12-$M$67)^2+(N12-$N$67)^2+(O12-$O$67)^2+(P12-$P$67)^2+(Q12-$Q$67)^2+(R12-$R$67)^2+(S12-$S$67)^2+(T12-$T$67)^2+(U12-$U$67)^2+(V12-$V$67)^2+(W12-$W$67)^2+(X12-$X$67)^2+(Y12-$Y$67)^2+(Z12-$Z$67)^2+(AA12-$AA$67)^2+(AB12-$AB$67)^2+(AC12-$AC$67)^2+(AD12-$AD$67)^2+(AE12-$AE$67)^2+(AF12-$AF$67)^2+(AG12-$AG$67)^2)</f>
        <v>0.99916982799315168</v>
      </c>
      <c r="BM12" s="36" t="s">
        <v>325</v>
      </c>
      <c r="BN12" s="37" t="s">
        <v>120</v>
      </c>
      <c r="BO12" s="30"/>
      <c r="BP12" s="44"/>
      <c r="BQ12" s="36">
        <f>SQRT((A12-$A$68)^2+(B12-$B$68)^2+(C12-$C$68)^2+(D12-$D$68)^2+(E12-$E$68)^2+(F12-$F$68)^2+(G12-$G$68)^2+(H12-$H$68)^2+(I12-$I$68)^2+(J12-$J$68)^2+(K12-$K$68)^2+(L12-$L$68)^2+(M12-$M$68)^2+(N12-$N$68)^2+(O12-$O$68)^2+(P12-$P$68)^2+(Q12-$Q$68)^2+(R12-$R$68)^2+(S12-$S$68)^2+(T12-$T$68)^2+(U12-$U$68)^2+(V12-$V$68)^2+(W12-$W$68)^2+(X12-$X$68)^2+(Y12-$Y$68)^2+(Z12-$Z$68)^2+(AA12-$AA$68)^2+(AB12-$AB$68)^2+(AC12-$AC$68)^2+(AD12-$AD$68)^2+(AE12-$AE$68)^2+(AF12-$AF$68)^2+(AG12-$AG$68)^2)</f>
        <v>0.99916982799315168</v>
      </c>
      <c r="BR12" s="36" t="s">
        <v>325</v>
      </c>
      <c r="BS12" s="37" t="s">
        <v>120</v>
      </c>
      <c r="BT12" s="30"/>
      <c r="BU12" s="44"/>
      <c r="BV12" s="36">
        <f>SQRT((A12-$A$69)^2+(B12-$B$69)^2+(C12-$C$69)^2+(D12-$D$69)^2+(E12-$E$69)^2+(F12-$F$69)^2+(G12-$G$69)^2+(H12-$H$69)^2+(I12-$I$69)^2+(J12-$J$69)^2+(K12-$K$69)^2+(L12-$L$69)^2+(M12-$M$69)^2+(N12-$N$69)^2+(O12-$O$69)^2+(P12-$P$69)^2+(Q12-$Q$69)^2+(R12-$R$69)^2+(S12-$S$69)^2+(T12-$T$69)^2+(U12-$U$69)^2+(V12-$V$69)^2+(W12-$W$69)^2+(X12-$X$69)^2+(Y12-$Y$69)^2+(Z12-$Z$69)^2+(AA12-$AA$69)^2+(AB12-$AB$69)^2+(AC12-$AC$69)^2+(AD12-$AD$69)^2+(AE12-$AE$69)^2+(AF12-$AF$69)^2+(AG12-$AG$69)^2)</f>
        <v>2.2171151319880806</v>
      </c>
      <c r="BW12" s="36" t="s">
        <v>122</v>
      </c>
      <c r="BX12" s="37" t="s">
        <v>120</v>
      </c>
      <c r="BZ12" s="44"/>
      <c r="CA12" s="36">
        <f>SQRT((A12-$A$70)^2+(B12-$B$70)^2+(C12-$C$70)^2+(D12-$D$70)^2+(E12-$E$70)^2+(F12-$F$70)^2+(G12-$G$70)^2+(H12-$H$70)^2+(I12-$I$70)^2+(J12-$J$70)^2+(K12-$K$70)^2+(L12-$L$70)^2+(M12-$M$70)^2+(N12-$N$70)^2+(O12-$O$70)^2+(P12-$P$70)^2+(Q12-$Q$70)^2+(R12-$R$70)^2+(S12-$S$70)^2+(T12-$T$70)^2+(U12-$U$70)^2+(V12-$V$70)^2+(W12-$W$70)^2+(X12-$X$70)^2+(Y12-$Y$70)^2+(Z12-$Z$70)^2+(AA12-$AA$70)^2+(AB12-$AB$70)^2+(AC12-$AC$70)^2+(AD12-$AD$70)^2+(AE12-$AE$70)^2+(AF12-$AF$70)^2+(AG12-$AG$70)^2)</f>
        <v>0.53851648071345048</v>
      </c>
      <c r="CB12" s="36" t="s">
        <v>133</v>
      </c>
      <c r="CC12" s="37" t="s">
        <v>120</v>
      </c>
      <c r="CE12" s="44"/>
      <c r="CF12" s="36">
        <f>SQRT((A12-$A$71)^2+(B12-$B$71)^2+(C12-$C$71)^2+(D12-$D$71)^2+(E12-$E$71)^2+(F12-$F$71)^2+(G12-$G$71)^2+(H12-$H$71)^2+(I12-$I$71)^2+(J12-$J$71)^2+(K12-$K$71)^2+(L12-$L$71)^2+(M12-$M$71)^2+(N12-$N$71)^2+(O12-$O$71)^2+(P12-$P$71)^2+(Q12-$Q$71)^2+(R12-$R$71)^2+(S12-$S$71)^2+(T12-$T$71)^2+(U12-$U$71)^2+(V12-$V$71)^2+(W12-$W$71)^2+(X12-$X$71)^2+(Y12-$Y$71)^2+(Z12-$Z$71)^2+(AA12-$AA$71)^2+(AB12-$AB$71)^2+(AC12-$AC$71)^2+(AD12-$AD$71)^2+(AE12-$AE$71)^2+(AF12-$AF$71)^2+(AG12-$AG$71)^2)</f>
        <v>1.1748522365718073</v>
      </c>
      <c r="CG12" s="36" t="s">
        <v>129</v>
      </c>
      <c r="CH12" s="37" t="s">
        <v>120</v>
      </c>
      <c r="CJ12" s="44"/>
      <c r="CK12" s="36">
        <f>SQRT((A12-$A$72)^2+(B12-$B$72)^2+(C12-$C$72)^2+(D12-$D$72)^2+(E12-$E$72)^2+(F12-$F$72)^2+(G12-$G$72)^2+(H12-$H$72)^2+(I12-$I$72)^2+(J12-$J$72)^2+(K12-$K$72)^2+(L12-$L$72)^2+(M12-$M$72)^2+(N12-$N$72)^2+(O12-$O$72)^2+(P12-$P$72)^2+(Q12-$Q$72)^2+(R12-$R$72)^2+(S12-$S$72)^2+(T12-$T$72)^2+(U12-$U$72)^2+(V12-$V$72)^2+(W12-$W$72)^2+(X12-$X$72)^2+(Y12-$Y$72)^2+(Z12-$Z$72)^2+(AA12-$AA$72)^2+(AB12-$AB$72)^2+(AC12-$AC$72)^2+(AD12-$AD$72)^2+(AE12-$AE$72)^2+(AF12-$AF$72)^2+(AG12-$AG$72)^2)</f>
        <v>1.3216618793991106</v>
      </c>
      <c r="CL12" s="36" t="s">
        <v>129</v>
      </c>
      <c r="CM12" s="37" t="s">
        <v>120</v>
      </c>
      <c r="CO12" s="44"/>
      <c r="CP12" s="36">
        <f>SQRT((A12-$A$73)^2+(B12-$B$73)^2+(C12-$C$73)^2+(D12-$D$73)^2+(E12-$E$73)^2+(F12-$F$73)^2+(G12-$G$73)^2+(H12-$H$73)^2+(I12-$I$73)^2+(J12-$J$73)^2+(K12-$K$73)^2+(L12-$L$73)^2+(M12-$M$73)^2+(N12-$N$73)^2+(O12-$O$73)^2+(P12-$P$73)^2+(Q12-$Q$73)^2+(R12-$R$73)^2+(S12-$S$73)^2+(T12-$T$73)^2+(U12-$U$73)^2+(V12-$V$73)^2+(W12-$W$73)^2+(X12-$X$73)^2+(Y12-$Y$73)^2+(Z12-$Z$73)^2+(AA12-$AA$73)^2+(AB12-$AB$73)^2+(AC12-$AC$73)^2+(AD12-$AD$73)^2+(AE12-$AE$73)^2+(AF12-$AF$73)^2+(AG12-$AG$73)^2)</f>
        <v>1.094664719751282</v>
      </c>
      <c r="CQ12" s="36" t="s">
        <v>126</v>
      </c>
      <c r="CR12" s="37" t="s">
        <v>120</v>
      </c>
      <c r="CT12" s="44"/>
      <c r="CU12" s="36">
        <f>SQRT((A12-$A$74)^2+(B12-$B$74)^2+(C12-$C$74)^2+(D12-$D$74)^2+(E12-$E$74)^2+(F12-$F$74)^2+(G12-$G$74)^2+(H12-$H$74)^2+(I12-$I$74)^2+(J12-$J$74)^2+(K12-$K$74)^2+(L12-$L$74)^2+(M12-$M$74)^2+(N12-$N$74)^2+(O12-$O$74)^2+(P12-$P$74)^2+(Q12-$Q$74)^2+(R12-$R$74)^2+(S12-$S$74)^2+(T12-$T$74)^2+(U12-$U$74)^2+(V12-$V$74)^2+(W12-$W$74)^2+(X12-$X$74)^2+(Y12-$Y$74)^2+(Z12-$Z$74)^2+(AA12-$AA$74)^2+(AB12-$AB$74)^2+(AC12-$AC$74)^2+(AD12-$AD$74)^2+(AE12-$AE$74)^2+(AF12-$AF$74)^2+(AG12-$AG$74)^2)</f>
        <v>1.4404712823707453</v>
      </c>
      <c r="CV12" s="36" t="s">
        <v>153</v>
      </c>
      <c r="CW12" s="37" t="s">
        <v>120</v>
      </c>
      <c r="CY12" s="44"/>
      <c r="CZ12" s="36">
        <f>SQRT((A12-$A$75)^2+(B12-$B$75)^2+(C12-$C$75)^2+(D12-$D$75)^2+(E12-$E$75)^2+(F12-$F$75)^2+(G12-$G$75)^2+(H12-$H$75)^2+(I12-$I$75)^2+(J12-$J$75)^2+(K12-$K$75)^2+(L12-$L$75)^2+(M12-$M$75)^2+(N12-$N$75)^2+(O12-$O$75)^2+(P12-$P$75)^2+(Q12-$Q$75)^2+(R12-$R$75)^2+(S12-$S$75)^2+(T12-$T$75)^2+(U12-$U$75)^2+(V12-$V$75)^2+(W12-$W$75)^2+(X12-$X$75)^2+(Y12-$Y$75)^2+(Z12-$Z$75)^2+(AA12-$AA$75)^2+(AB12-$AB$75)^2+(AC12-$AC$75)^2+(AD12-$AD$75)^2+(AE12-$AE$75)^2+(AF12-$AF$75)^2+(AG12-$AG$75)^2)</f>
        <v>1.5287837445358456</v>
      </c>
      <c r="DA12" s="36" t="s">
        <v>314</v>
      </c>
      <c r="DB12" s="37" t="s">
        <v>120</v>
      </c>
      <c r="DD12" s="44"/>
      <c r="DE12" s="36">
        <f>SQRT((A12-$A$76)^2+(B12-$B$76)^2+(C12-$C$76)^2+(D12-$D$76)^2+(E12-$E$76)^2+(F12-$F$76)^2+(G12-$G$76)^2+(H12-$H$76)^2+(I12-$I$76)^2+(J12-$J$76)^2+(K12-$K$76)^2+(L12-$L$76)^2+(M12-$M$76)^2+(N12-$N$76)^2+(O12-$O$76)^2+(P12-$P$76)^2+(Q12-$Q$76)^2+(R12-$R$76)^2+(S12-$S$76)^2+(T12-$T$76)^2+(U12-$U$76)^2+(V12-$V$76)^2+(W12-$W$76)^2+(X12-$X$76)^2+(Y12-$Y$76)^2+(Z12-$Z$76)^2+(AA12-$AA$76)^2+(AB12-$AB$76)^2+(AC12-$AC$76)^2+(AD12-$AD$76)^2+(AE12-$AE$76)^2+(AF12-$AF$76)^2+(AG12-$AG$76)^2)</f>
        <v>1.4187090234126929</v>
      </c>
      <c r="DF12" s="36" t="s">
        <v>335</v>
      </c>
      <c r="DG12" s="37" t="s">
        <v>120</v>
      </c>
      <c r="DI12" s="44"/>
      <c r="DJ12" s="36">
        <f>SQRT((A12-$A$77)^2+(B12-$B$77)^2+(C12-$C$77)^2+(D12-$D$77)^2+(E12-$E$77)^2+(F12-$F$77)^2+(G12-$G$77)^2+(H12-$H$77)^2+(I12-$I$77)^2+(J12-$J$77)^2+(K12-$K$77)^2+(L12-$L$77)^2+(M12-$M$77)^2+(N12-$N$77)^2+(O12-$O$77)^2+(P12-$P$77)^2+(Q12-$Q$77)^2+(R12-$R$77)^2+(S12-$S$77)^2+(T12-$T$77)^2+(U12-$U$77)^2+(V12-$V$77)^2+(W12-$W$77)^2+(X12-$X$77)^2+(Y12-$Y$77)^2+(Z12-$Z$77)^2+(AA12-$AA$77)^2+(AB12-$AB$77)^2+(AC12-$AC$77)^2+(AD12-$AD$77)^2+(AE12-$AE$77)^2+(AF12-$AF$77)^2+(AG12-$AG$77)^2)</f>
        <v>2.101036598912057</v>
      </c>
      <c r="DK12" s="36" t="s">
        <v>336</v>
      </c>
      <c r="DL12" s="37" t="s">
        <v>120</v>
      </c>
      <c r="DN12" s="44"/>
      <c r="DO12" s="36">
        <f>SQRT((A12-$A$78)^2+(B12-$B$78)^2+(C12-$C$78)^2+(D12-$D$78)^2+(E12-$E$78)^2+(F12-$F$78)^2+(G12-$G$78)^2+(H12-$H$78)^2+(I12-$I$78)^2+(J12-$J$78)^2+(K12-$K$78)^2+(L12-$L$78)^2+(M12-$M$78)^2+(N12-$N$78)^2+(O12-$O$78)^2+(P12-$P$78)^2+(Q12-$Q$78)^2+(R12-$R$78)^2+(S12-$S$78)^2+(T12-$T$78)^2+(U12-$U$78)^2+(V12-$V$78)^2+(W12-$W$78)^2+(X12-$X$78)^2+(Y12-$Y$78)^2+(Z12-$Z$78)^2+(AA12-$AA$78)^2+(AB12-$AB$78)^2+(AC12-$AC$78)^2+(AD12-$AD$78)^2+(AE12-$AE$78)^2+(AF12-$AF$78)^2+(AG12-$AG$78)^2)</f>
        <v>0.64001405746299567</v>
      </c>
      <c r="DP12" s="36" t="s">
        <v>318</v>
      </c>
      <c r="DQ12" s="37" t="s">
        <v>120</v>
      </c>
      <c r="DS12" s="44"/>
      <c r="DT12" s="36">
        <f>SQRT((A12-$A$79)^2+(B12-$B$79)^2+(C12-$C$79)^2+(D12-$D$79)^2+(E12-$E$79)^2+(F12-$F$79)^2+(G12-$G$79)^2+(H12-$H$79)^2+(I12-$I$79)^2+(J12-$J$79)^2+(K12-$K$79)^2+(L12-$L$79)^2+(M12-$M$79)^2+(N12-$N$79)^2+(O12-$O$79)^2+(P12-$P$79)^2+(Q12-$Q$79)^2+(R12-$R$79)^2+(S12-$S$79)^2+(T12-$T$79)^2+(U12-$U$79)^2+(V12-$V$79)^2+(W12-$W$79)^2+(X12-$X$79)^2+(Y12-$Y$79)^2+(Z12-$Z$79)^2+(AA12-$AA$79)^2+(AB12-$AB$79)^2+(AC12-$AC$79)^2+(AD12-$AD$79)^2+(AE12-$AE$79)^2+(AF12-$AF$79)^2+(AG12-$AG$79)^2)</f>
        <v>1.1566116530816581</v>
      </c>
      <c r="DU12" s="36" t="s">
        <v>129</v>
      </c>
      <c r="DV12" s="37" t="s">
        <v>120</v>
      </c>
      <c r="DX12" s="44"/>
      <c r="DY12" s="36">
        <f>SQRT((A12-$A$80)^2+(B12-$B$80)^2+(C12-$C$80)^2+(D12-$D$80)^2+(E12-$E$80)^2+(F12-$F$80)^2+(G12-$G$80)^2+(H12-$H$80)^2+(I12-$I$80)^2+(J12-$J$80)^2+(K12-$K$80)^2+(L12-$L$80)^2+(M12-$M$80)^2+(N12-$N$80)^2+(O12-$O$80)^2+(P12-$P$80)^2+(Q12-$Q$80)^2+(R12-$R$80)^2+(S12-$S$80)^2+(T12-$T$80)^2+(U12-$U$80)^2+(V12-$V$80)^2+(W12-$W$80)^2+(X12-$X$80)^2+(Y12-$Y$80)^2+(Z12-$Z$80)^2+(AA12-$AA$80)^2+(AB12-$AB$80)^2+(AC12-$AC$80)^2+(AD12-$AD$80)^2+(AE12-$AE$80)^2+(AF12-$AF$80)^2+(AG12-$AG$80)^2)</f>
        <v>1.7771580820704029</v>
      </c>
      <c r="DZ12" s="36" t="s">
        <v>122</v>
      </c>
      <c r="EA12" s="37" t="s">
        <v>120</v>
      </c>
      <c r="EC12" s="44"/>
      <c r="ED12" s="36">
        <f>SQRT((A12-$A$81)^2+(B12-$B$81)^2+(C12-$C$81)^2+(D12-$D$81)^2+(E12-$E$81)^2+(F12-$F$81)^2+(G12-$G$81)^2+(H12-$H$81)^2+(I12-$I$81)^2+(J12-$J$81)^2+(K12-$K$81)^2+(L12-$L$81)^2+(M12-$M$81)^2+(N12-$N$81)^2+(O12-$O$81)^2+(P12-$P$81)^2+(Q12-$Q$81)^2+(R12-$R$81)^2+(S12-$S$81)^2+(T12-$T$81)^2+(U12-$U$81)^2+(V12-$V$81)^2+(W12-$W$81)^2+(X12-$X$81)^2+(Y12-$Y$81)^2+(Z12-$Z$81)^2+(AA12-$AA$81)^2+(AB12-$AB$81)^2+(AC12-$AC$81)^2+(AD12-$AD$81)^2+(AE12-$AE$81)^2+(AF12-$AF$81)^2+(AG12-$AG$81)^2)</f>
        <v>1.8190681345178517</v>
      </c>
      <c r="EE12" s="36" t="s">
        <v>122</v>
      </c>
      <c r="EF12" s="37" t="s">
        <v>120</v>
      </c>
      <c r="EH12" s="44"/>
      <c r="EI12" s="36">
        <f>SQRT((A12-$A$82)^2+(B12-$B$82)^2+(C12-$C$82)^2+(D12-$D$82)^2+(E12-$E$82)^2+(F12-$F$82)^2+(G12-$G$82)^2+(H12-$H$82)^2+(I12-$I$82)^2+(J12-$J$82)^2+(K12-$K$82)^2+(L12-$L$82)^2+(M12-$M$82)^2+(N12-$N$82)^2+(O12-$O$82)^2+(P12-$P$82)^2+(Q12-$Q$82)^2+(R12-$R$82)^2+(S12-$S$82)^2+(T12-$T$82)^2+(U12-$U$82)^2+(V12-$V$82)^2+(W12-$W$82)^2+(X12-$X$82)^2+(Y12-$Y$82)^2+(Z12-$Z$82)^2+(AA12-$AA$82)^2+(AB12-$AB$82)^2+(AC12-$AC$82)^2+(AD12-$AD$82)^2+(AE12-$AE$82)^2+(AF12-$AF$82)^2+(AG12-$AG$82)^2)</f>
        <v>1.2584205126357264</v>
      </c>
      <c r="EJ12" s="36" t="s">
        <v>335</v>
      </c>
      <c r="EK12" s="37" t="s">
        <v>120</v>
      </c>
      <c r="EM12" s="44"/>
      <c r="EN12" s="36">
        <f>SQRT((A12-$A$83)^2+(B12-$B$83)^2+(C12-$C$83)^2+(D12-$D$83)^2+(E12-$E$83)^2+(F12-$F$83)^2+(G12-$G$83)^2+(H12-$H$83)^2+(I12-$I$83)^2+(J12-$J$83)^2+(K12-$K$83)^2+(L12-$L$83)^2+(M12-$M$83)^2+(N12-$N$83)^2+(O12-$O$83)^2+(P12-$P$83)^2+(Q12-$Q$83)^2+(R12-$R$83)^2+(S12-$S$83)^2+(T12-$T$83)^2+(U12-$U$83)^2+(V12-$V$83)^2+(W12-$W$83)^2+(X12-$X$83)^2+(Y12-$Y$83)^2+(Z12-$Z$83)^2+(AA12-$AA$83)^2+(AB12-$AB$83)^2+(AC12-$AC$83)^2+(AD12-$AD$83)^2+(AE12-$AE$83)^2+(AF12-$AF$83)^2+(AG12-$AG$83)^2)</f>
        <v>0.38392156950088691</v>
      </c>
      <c r="EO12" s="36" t="s">
        <v>325</v>
      </c>
      <c r="EP12" s="37" t="s">
        <v>120</v>
      </c>
      <c r="ER12" s="44"/>
      <c r="ES12" s="36">
        <f>SQRT((A12-$A$84)^2+(B12-$B$84)^2+(C12-$C$84)^2+(D12-$D$84)^2+(E12-$E$84)^2+(F12-$F$84)^2+(G12-$G$84)^2+(H12-$H$84)^2+(I12-$I$84)^2+(J12-$J$84)^2+(K12-$K$84)^2+(L12-$L$84)^2+(M12-$M$84)^2+(N12-$N$84)^2+(O12-$O$84)^2+(P12-$P$84)^2+(Q12-$Q$84)^2+(R12-$R$84)^2+(S12-$S$84)^2+(T12-$T$84)^2+(U12-$U$84)^2+(V12-$V$84)^2+(W12-$W$84)^2+(X12-$X$84)^2+(Y12-$Y$84)^2+(Z12-$Z$84)^2+(AA12-$AA$84)^2+(AB12-$AB$84)^2+(AC12-$AC$84)^2+(AD12-$AD$84)^2+(AE12-$AE$84)^2+(AF12-$AF$84)^2+(AG12-$AG$84)^2)</f>
        <v>0.99916982799315168</v>
      </c>
      <c r="ET12" s="36" t="s">
        <v>325</v>
      </c>
      <c r="EU12" s="37" t="s">
        <v>120</v>
      </c>
      <c r="EW12" s="44"/>
      <c r="EX12" s="36">
        <f>SQRT((A12-$A$85)^2+(B12-$B$85)^2+(C12-$C$85)^2+(D12-$D$85)^2+(E12-$E$85)^2+(F12-$F$85)^2+(G12-$G$85)^2+(H12-$H$85)^2+(I12-$I$85)^2+(J12-$J$85)^2+(K12-$K$85)^2+(L12-$L$85)^2+(M12-$M$85)^2+(N12-$N$85)^2+(O12-$O$85)^2+(P12-$P$85)^2+(Q12-$Q$85)^2+(R12-$R$85)^2+(S12-$S$85)^2+(T12-$T$85)^2+(U12-$U$85)^2+(V12-$V$85)^2+(W12-$W$85)^2+(X12-$X$85)^2+(Y12-$Y$85)^2+(Z12-$Z$85)^2+(AA12-$AA$85)^2+(AB12-$AB$85)^2+(AC12-$AC$85)^2+(AD12-$AD$85)^2+(AE12-$AE$85)^2+(AF12-$AF$85)^2+(AG12-$AG$85)^2)</f>
        <v>0.99916982799315168</v>
      </c>
      <c r="EY12" s="36" t="s">
        <v>325</v>
      </c>
      <c r="EZ12" s="37" t="s">
        <v>120</v>
      </c>
      <c r="FB12" s="44"/>
      <c r="FC12" s="36">
        <f>SQRT((A12-$A$86)^2+(B12-$B$86)^2+(C12-$C$86)^2+(D12-$D$86)^2+(E12-$E$86)^2+(F12-$F$86)^2+(G12-$G$86)^2+(H12-$H$86)^2+(I12-$I$86)^2+(J12-$J$86)^2+(K12-$K$86)^2+(L12-$L$86)^2+(M12-$M$86)^2+(N12-$N$86)^2+(O12-$O$86)^2+(P12-$P$86)^2+(Q12-$Q$86)^2+(R12-$R$86)^2+(S12-$S$86)^2+(T12-$T$86)^2+(U12-$U$86)^2+(V12-$V$86)^2+(W12-$W$86)^2+(X12-$X$86)^2+(Y12-$Y$86)^2+(Z12-$Z$86)^2+(AA12-$AA$86)^2+(AB12-$AB$86)^2+(AC12-$AC$86)^2+(AD12-$AD$86)^2+(AE12-$AE$86)^2+(AF12-$AF$86)^2+(AG12-$AG$86)^2)</f>
        <v>0.99916982799315168</v>
      </c>
      <c r="FD12" s="36" t="s">
        <v>325</v>
      </c>
      <c r="FE12" s="37" t="s">
        <v>120</v>
      </c>
      <c r="FG12" s="44"/>
      <c r="FH12" s="36">
        <f>SQRT((A12-$A$87)^2+(B12-$B$87)^2+(C12-$C$87)^2+(D12-$D$87)^2+(E12-$E$87)^2+(F12-$F$87)^2+(G12-$G$87)^2+(H12-$H$87)^2+(I12-$I$87)^2+(J12-$J$87)^2+(K12-$K$87)^2+(L12-$L$87)^2+(M12-$M$87)^2+(N12-$N$87)^2+(O12-$O$87)^2+(P12-$P$87)^2+(Q12-$Q$87)^2+(R12-$R$87)^2+(S12-$S$87)^2+(T12-$T$87)^2+(U12-$U$87)^2+(V12-$V$87)^2+(W12-$W$87)^2+(X12-$X$87)^2+(Y12-$Y$87)^2+(Z12-$Z$87)^2+(AA12-$AA$87)^2+(AB12-$AB$87)^2+(AC12-$AC$87)^2+(AD12-$AD$87)^2+(AE12-$AE$87)^2+(AF12-$AF$87)^2+(AG12-$AG$87)^2)</f>
        <v>0.779930028059026</v>
      </c>
      <c r="FI12" s="36" t="s">
        <v>122</v>
      </c>
      <c r="FJ12" s="37" t="s">
        <v>120</v>
      </c>
      <c r="FL12" s="44"/>
      <c r="FM12" s="36">
        <f>SQRT((A12-$A$88)^2+(B12-$B$88)^2+(C12-$C$88)^2+(D12-$D$88)^2+(E12-$E$88)^2+(F12-$F$88)^2+(G12-$G$88)^2+(H12-$H$88)^2+(I12-$I$88)^2+(J12-$J$88)^2+(K12-$K$88)^2+(L12-$L$88)^2+(M12-$M$88)^2+(N12-$N$88)^2+(O12-$O$88)^2+(P12-$P$88)^2+(Q12-$Q$88)^2+(R12-$R$88)^2+(S12-$S$88)^2+(T12-$T$88)^2+(U12-$U$88)^2+(V12-$V$88)^2+(W12-$W$88)^2+(X12-$X$88)^2+(Y12-$Y$88)^2+(Z12-$Z$88)^2+(AA12-$AA$88)^2+(AB12-$AB$88)^2+(AC12-$AC$88)^2+(AD12-$AD$88)^2+(AE12-$AE$88)^2+(AF12-$AF$88)^2+(AG12-$AG$88)^2)</f>
        <v>1.2297244497131146</v>
      </c>
      <c r="FN12" s="36" t="s">
        <v>318</v>
      </c>
      <c r="FO12" s="37" t="s">
        <v>120</v>
      </c>
      <c r="FQ12" s="44"/>
      <c r="FR12" s="36">
        <f>SQRT((A12-$A$89)^2+(B12-$B$89)^2+(C12-$C$89)^2+(D12-$D$89)^2+(E12-$E$89)^2+(F12-$F$89)^2+(G12-$G$89)^2+(H12-$H$89)^2+(I12-$I$89)^2+(J12-$J$89)^2+(K12-$K$89)^2+(L12-$L$89)^2+(M12-$M$89)^2+(N12-$N$89)^2+(O12-$O$89)^2+(P12-$P$89)^2+(Q12-$Q$89)^2+(R12-$R$89)^2+(S12-$S$89)^2+(T12-$T$89)^2+(U12-$U$89)^2+(V12-$V$89)^2+(W12-$W$89)^2+(X12-$X$89)^2+(Y12-$Y$89)^2+(Z12-$Z$89)^2+(AA12-$AA$89)^2+(AB12-$AB$89)^2+(AC12-$AC$89)^2+(AD12-$AD$89)^2+(AE12-$AE$89)^2+(AF12-$AF$89)^2+(AG12-$AG$89)^2)</f>
        <v>1.7649242236806713</v>
      </c>
      <c r="FS12" s="36" t="s">
        <v>327</v>
      </c>
      <c r="FT12" s="37" t="s">
        <v>120</v>
      </c>
      <c r="FV12" s="44"/>
      <c r="FW12" s="36">
        <f>SQRT((A12-$A$90)^2+(B12-$B$90)^2+(C12-$C$90)^2+(D12-$D$90)^2+(E12-$E$90)^2+(F12-$F$90)^2+(G12-$G$90)^2+(H12-$H$90)^2+(I12-$I$90)^2+(J12-$J$90)^2+(K12-$K$90)^2+(L12-$L$90)^2+(M12-$M$90)^2+(N12-$N$90)^2+(O12-$O$90)^2+(P12-$P$90)^2+(Q12-$Q$90)^2+(R12-$R$90)^2+(S12-$S$90)^2+(T12-$T$90)^2+(U12-$U$90)^2+(V12-$V$90)^2+(W12-$W$90)^2+(X12-$X$90)^2+(Y12-$Y$90)^2+(Z12-$Z$90)^2+(AA12-$AA$90)^2+(AB12-$AB$90)^2+(AC12-$AC$90)^2+(AD12-$AD$90)^2+(AE12-$AE$90)^2+(AF12-$AF$90)^2+(AG12-$AG$90)^2)</f>
        <v>1.7824103065349648</v>
      </c>
      <c r="FX12" s="36" t="s">
        <v>336</v>
      </c>
      <c r="FY12" s="37" t="s">
        <v>120</v>
      </c>
      <c r="GA12" s="44"/>
      <c r="GB12" s="36">
        <f>SQRT((A12-$A$91)^2+(B12-$B$91)^2+(C12-$C$91)^2+(D12-$D$91)^2+(E12-$E$91)^2+(F12-$F$91)^2+(G12-$G$91)^2+(H12-$H$91)^2+(I12-$I$91)^2+(J12-$J$91)^2+(K12-$K$91)^2+(L12-$L$91)^2+(M12-$M$91)^2+(N12-$N$91)^2+(O12-$O$91)^2+(P12-$P$91)^2+(Q12-$Q$91)^2+(R12-$R$91)^2+(S12-$S$91)^2+(T12-$T$91)^2+(U12-$U$91)^2+(V12-$V$91)^2+(W12-$W$91)^2+(X12-$X$91)^2+(Y12-$Y$91)^2+(Z12-$Z$91)^2+(AA12-$AA$91)^2+(AB12-$AB$91)^2+(AC12-$AC$91)^2+(AD12-$AD$91)^2+(AE12-$AE$91)^2+(AF12-$AF$91)^2+(AG12-$AG$91)^2)</f>
        <v>1.8622033048380238</v>
      </c>
      <c r="GC12" s="36" t="s">
        <v>331</v>
      </c>
      <c r="GD12" s="37" t="s">
        <v>120</v>
      </c>
      <c r="GF12" s="44"/>
      <c r="GG12" s="36">
        <f>SQRT((A12-$A$92)^2+(B12-$B$92)^2+(C12-$C$92)^2+(D12-$D$92)^2+(E12-$E$92)^2+(F12-$F$92)^2+(G12-$G$92)^2+(H12-$H$92)^2+(I12-$I$92)^2+(J12-$J$92)^2+(K12-$K$92)^2+(L12-$L$92)^2+(M12-$M$92)^2+(N12-$N$92)^2+(O12-$O$92)^2+(P12-$P$92)^2+(Q12-$Q$92)^2+(R12-$R$92)^2+(S12-$S$92)^2+(T12-$T$92)^2+(U12-$U$92)^2+(V12-$V$92)^2+(W12-$W$92)^2+(X12-$X$92)^2+(Y12-$Y$92)^2+(Z12-$Z$92)^2+(AA12-$AA$92)^2+(AB12-$AB$92)^2+(AC12-$AC$92)^2+(AD12-$AD$92)^2+(AE12-$AE$92)^2+(AF12-$AF$92)^2+(AG12-$AG$92)^2)</f>
        <v>1.072898462628739</v>
      </c>
      <c r="GH12" s="36" t="s">
        <v>331</v>
      </c>
      <c r="GI12" s="37" t="s">
        <v>120</v>
      </c>
      <c r="GK12" s="44"/>
      <c r="GL12" s="36">
        <f>SQRT((A12-$A$93)^2+(B12-$B$93)^2+(C12-$C$93)^2+(D12-$D$93)^2+(E12-$E$93)^2+(F12-$F$93)^2+(G12-$G$93)^2+(H12-$H$93)^2+(I12-$I$93)^2+(J12-$J$93)^2+(K12-$K$93)^2+(L12-$L$93)^2+(M12-$M$93)^2+(N12-$N$93)^2+(O12-$O$93)^2+(P12-$P$93)^2+(Q12-$Q$93)^2+(R12-$R$93)^2+(S12-$S$93)^2+(T12-$T$93)^2+(U12-$U$93)^2+(V12-$V$93)^2+(W12-$W$93)^2+(X12-$X$93)^2+(Y12-$Y$93)^2+(Z12-$Z$93)^2+(AA12-$AA$93)^2+(AB12-$AB$93)^2+(AC12-$AC$93)^2+(AD12-$AD$93)^2+(AE12-$AE$93)^2+(AF12-$AF$93)^2+(AG12-$AG$93)^2)</f>
        <v>1.9029024839769124</v>
      </c>
      <c r="GM12" s="36" t="s">
        <v>320</v>
      </c>
      <c r="GN12" s="37" t="s">
        <v>120</v>
      </c>
      <c r="GP12" s="44"/>
      <c r="GQ12" s="36">
        <f>SQRT((A12-$A$94)^2+(B12-$B$94)^2+(C12-$C$94)^2+(D12-$D$94)^2+(E12-$E$94)^2+(F12-$F$94)^2+(G12-$G$94)^2+(H12-$H$94)^2+(I12-$I$94)^2+(J12-$J$94)^2+(K12-$K$94)^2+(L12-$L$94)^2+(M12-$M$94)^2+(N12-$N$94)^2+(O12-$O$94)^2+(P12-$P$94)^2+(Q12-$Q$94)^2+(R12-$R$94)^2+(S12-$S$94)^2+(T12-$T$94)^2+(U12-$U$94)^2+(V12-$V$94)^2+(W12-$W$94)^2+(X12-$X$94)^2+(Y12-$Y$94)^2+(Z12-$Z$94)^2+(AA12-$AA$94)^2+(AB12-$AB$94)^2+(AC12-$AC$94)^2+(AD12-$AD$94)^2+(AE12-$AE$94)^2+(AF12-$AF$94)^2+(AG12-$AG$94)^2)</f>
        <v>1.0673226982398152</v>
      </c>
      <c r="GR12" s="36" t="s">
        <v>132</v>
      </c>
      <c r="GS12" s="37" t="s">
        <v>120</v>
      </c>
      <c r="GU12" s="44"/>
      <c r="GV12" s="36">
        <f>SQRT((A12-$A$95)^2+(B12-$B$95)^2+(C12-$C$95)^2+(D12-$D$95)^2+(E12-$E$95)^2+(F12-$F$95)^2+(G12-$G$95)^2+(H12-$H$95)^2+(I12-$I$95)^2+(J12-$J$95)^2+(K12-$K$95)^2+(L12-$L$95)^2+(M12-$M$95)^2+(N12-$N$95)^2+(O12-$O$95)^2+(P12-$P$95)^2+(Q12-$Q$95)^2+(R12-$R$95)^2+(S12-$S$95)^2+(T12-$T$95)^2+(U12-$U$95)^2+(V12-$V$95)^2+(W12-$W$95)^2+(X12-$X$95)^2+(Y12-$Y$95)^2+(Z12-$Z$95)^2+(AA12-$AA$95)^2+(AB12-$AB$95)^2+(AC12-$AC$95)^2+(AD12-$AD$95)^2+(AE12-$AE$95)^2+(AF12-$AF$95)^2+(AG12-$AG$95)^2)</f>
        <v>2.4601508513405412</v>
      </c>
      <c r="GW12" s="36" t="s">
        <v>129</v>
      </c>
      <c r="GX12" s="37" t="s">
        <v>120</v>
      </c>
      <c r="GZ12" s="44"/>
      <c r="HA12" s="36">
        <f>SQRT((A12-$A$96)^2+(B12-$B$96)^2+(C12-$C$96)^2+(D12-$D$96)^2+(E12-$E$96)^2+(F12-$F$96)^2+(G12-$G$96)^2+(H12-$H$96)^2+(I12-$I$96)^2+(J12-$J$96)^2+(K12-$K$96)^2+(L12-$L$96)^2+(M12-$M$96)^2+(N12-$N$96)^2+(O12-$O$96)^2+(P12-$P$96)^2+(Q12-$Q$96)^2+(R12-$R$96)^2+(S12-$S$96)^2+(T12-$T$96)^2+(U12-$U$96)^2+(V12-$V$96)^2+(W12-$W$96)^2+(X12-$X$96)^2+(Y12-$Y$96)^2+(Z12-$Z$96)^2+(AA12-$AA$96)^2+(AB12-$AB$96)^2+(AC12-$AC$96)^2+(AD12-$AD$96)^2+(AE12-$AE$96)^2+(AF12-$AF$96)^2+(AG12-$AG$96)^2)</f>
        <v>2.4062668158642273</v>
      </c>
      <c r="HB12" s="36" t="s">
        <v>328</v>
      </c>
      <c r="HC12" s="37" t="s">
        <v>120</v>
      </c>
      <c r="HE12" s="44"/>
      <c r="HF12" s="36">
        <f>SQRT((A12-$A$97)^2+(B12-$B$97)^2+(C12-$C$97)^2+(D12-$D$97)^2+(E12-$E$97)^2+(F12-$F$97)^2+(G12-$G$97)^2+(H12-$H$97)^2+(I12-$I$97)^2+(J12-$J$97)^2+(K12-$K$97)^2+(L12-$L$97)^2+(M12-$M$97)^2+(N12-$N$97)^2+(O12-$O$97)^2+(P12-$P$97)^2+(Q12-$Q$97)^2+(R12-$R$97)^2+(S12-$S$97)^2+(T12-$T$97)^2+(U12-$U$97)^2+(V12-$V$97)^2+(W12-$W$97)^2+(X12-$X$97)^2+(Y12-$Y$97)^2+(Z12-$Z$97)^2+(AA12-$AA$97)^2+(AB12-$AB$97)^2+(AC12-$AC$97)^2+(AD12-$AD$97)^2+(AE12-$AE$97)^2+(AF12-$AF$97)^2+(AG12-$AG$97)^2)</f>
        <v>0.99916982799315168</v>
      </c>
      <c r="HG12" s="36" t="s">
        <v>325</v>
      </c>
      <c r="HH12" s="37" t="s">
        <v>120</v>
      </c>
      <c r="HJ12" s="44"/>
      <c r="HK12" s="36">
        <f>SQRT((A12-$A$98)^2+(B12-$B$98)^2+(C12-$C$98)^2+(D12-$D$98)^2+(E12-$E$98)^2+(F12-$F$98)^2+(G12-$G$98)^2+(H12-$H$98)^2+(I12-$I$98)^2+(J12-$J$98)^2+(K12-$K$98)^2+(L12-$L$98)^2+(M12-$M$98)^2+(N12-$N$98)^2+(O12-$O$98)^2+(P12-$P$98)^2+(Q12-$Q$98)^2+(R12-$R$98)^2+(S12-$S$98)^2+(T12-$T$98)^2+(U12-$U$98)^2+(V12-$V$98)^2+(W12-$W$98)^2+(X12-$X$98)^2+(Y12-$Y$98)^2+(Z12-$Z$98)^2+(AA12-$AA$98)^2+(AB12-$AB$98)^2+(AC12-$AC$98)^2+(AD12-$AD$98)^2+(AE12-$AE$98)^2+(AF12-$AF$98)^2+(AG12-$AG$98)^2)</f>
        <v>0.99916982799315168</v>
      </c>
      <c r="HL12" s="36" t="s">
        <v>325</v>
      </c>
      <c r="HM12" s="37" t="s">
        <v>120</v>
      </c>
      <c r="HO12" s="44"/>
      <c r="HP12" s="36">
        <f>SQRT((A12-$A$99)^2+(B12-$B$99)^2+(C12-$C$99)^2+(D12-$D$99)^2+(E12-$E$99)^2+(F12-$F$99)^2+(G12-$G$99)^2+(H12-$H$99)^2+(I12-$I$99)^2+(J12-$J$99)^2+(K12-$K$99)^2+(L12-$L$99)^2+(M12-$M$99)^2+(N12-$N$99)^2+(O12-$O$99)^2+(P12-$P$99)^2+(Q12-$Q$99)^2+(R12-$R$99)^2+(S12-$S$99)^2+(T12-$T$99)^2+(U12-$U$99)^2+(V12-$V$99)^2+(W12-$W$99)^2+(X12-$X$99)^2+(Y12-$Y$99)^2+(Z12-$Z$99)^2+(AA12-$AA$99)^2+(AB12-$AB$99)^2+(AC12-$AC$99)^2+(AD12-$AD$99)^2+(AE12-$AE$99)^2+(AF12-$AF$99)^2+(AG12-$AG$99)^2)</f>
        <v>0.99916982799315168</v>
      </c>
      <c r="HQ12" s="36" t="s">
        <v>325</v>
      </c>
      <c r="HR12" s="37" t="s">
        <v>120</v>
      </c>
      <c r="HT12" s="44"/>
      <c r="HU12" s="36">
        <f>SQRT((A12-$A$100)^2+(B12-$B$100)^2+(C12-$C$100)^2+(D12-$D$100)^2+(E12-$E$100)^2+(F12-$F$100)^2+(G12-$G$100)^2+(H12-$H$100)^2+(I12-$I$100)^2+(J12-$J$100)^2+(K12-$K$100)^2+(L12-$L$100)^2+(M12-$M$100)^2+(N12-$N$100)^2+(O12-$O$100)^2+(P12-$P$100)^2+(Q12-$Q$100)^2+(R12-$R$100)^2+(S12-$S$100)^2+(T12-$T$100)^2+(U12-$U$100)^2+(V12-$V$100)^2+(W12-$W$100)^2+(X12-$X$100)^2+(Y12-$Y$100)^2+(Z12-$Z$100)^2+(AA12-$AA$100)^2+(AB12-$AB$100)^2+(AC12-$AC$100)^2+(AD12-$AD$100)^2+(AE12-$AE$100)^2+(AF12-$AF$100)^2+(AG12-$AG$100)^2)</f>
        <v>0.99916982799315168</v>
      </c>
      <c r="HV12" s="36" t="s">
        <v>325</v>
      </c>
      <c r="HW12" s="37" t="s">
        <v>120</v>
      </c>
      <c r="HY12" s="44"/>
      <c r="HZ12" s="36">
        <f>SQRT((A12-$A$101)^2+(B12-$B$101)^2+(C12-$C$101)^2+(D12-$D$101)^2+(E12-$E$101)^2+(F12-$F$101)^2+(G12-$G$101)^2+(H12-$H$101)^2+(I12-$I$101)^2+(J12-$J$101)^2+(K12-$K$101)^2+(L12-$L$101)^2+(M12-$M$101)^2+(N12-$N$101)^2+(O12-$O$101)^2+(P12-$P$101)^2+(Q12-$Q$101)^2+(R12-$R$101)^2+(S12-$S$101)^2+(T12-$T$101)^2+(U12-$U$101)^2+(V12-$V$101)^2+(W12-$W$101)^2+(X12-$X$101)^2+(Y12-$Y$101)^2+(Z12-$Z$101)^2+(AA12-$AA$101)^2+(AB12-$AB$101)^2+(AC12-$AC$101)^2+(AD12-$AD$101)^2+(AE12-$AE$101)^2+(AF12-$AF$101)^2+(AG12-$AG$101)^2)</f>
        <v>1.7848460843122926</v>
      </c>
      <c r="IA12" s="36" t="s">
        <v>122</v>
      </c>
      <c r="IB12" s="37" t="s">
        <v>120</v>
      </c>
    </row>
    <row r="13" spans="1:236" x14ac:dyDescent="0.35">
      <c r="A13" s="2">
        <v>0.16666666666666599</v>
      </c>
      <c r="B13" s="2">
        <v>0.5</v>
      </c>
      <c r="C13" s="2">
        <v>0.23899371069182301</v>
      </c>
      <c r="D13" s="2">
        <v>0</v>
      </c>
      <c r="E13" s="2">
        <v>0</v>
      </c>
      <c r="F13" s="2">
        <v>1</v>
      </c>
      <c r="G13" s="2">
        <v>0.55555555555555503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0.4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0.19565217391304299</v>
      </c>
      <c r="AH13" s="2" t="s">
        <v>120</v>
      </c>
      <c r="AI13" s="42"/>
      <c r="AJ13" s="42"/>
      <c r="AL13" s="44"/>
      <c r="AM13" s="36">
        <f>SQRT((A13-$A$62)^2+(B13-$B$62)^2+(C13-$C$62)^2+(D13-$D$62)^2+(E13-$E$62)^2+(F13-$F$62)^2+(G13-$G$62)^2+(H13-$H$62)^2+(I13-$I$62)^2+(J13-$J$62)^2+(K13-$K$62)^2+(L13-$L$62)^2+(M13-$M$62)^2+(N13-$N$62)^2+(O13-$O$62)^2+(P13-$P$62)^2+(Q13-$Q$62)^2+(R13-$R$62)^2+(S13-$S$62)^2+(T13-$T$62)^2+(U13-$U$62)^2+(V13-$V$62)^2+(W13-$W$62)^2+(X13-$X$62)^2+(Y13-$Y$62)^2+(Z13-$Z$62)^2+(AA13-$AA$62)^2+(AB13-$AB$62)^2+(AC13-$AC$62)^2+(AD13-$AD$62)^2+(AE13-$AE$62)^2+(AF13-$AF$62)^2+(AG13-$AG$62)^2)</f>
        <v>1.9159308047704002</v>
      </c>
      <c r="AN13" s="36" t="s">
        <v>336</v>
      </c>
      <c r="AO13" s="37" t="s">
        <v>120</v>
      </c>
      <c r="AP13" s="30"/>
      <c r="AQ13" s="44"/>
      <c r="AR13" s="36">
        <f>SQRT((A13-$A$63)^2+(B13-$B$63)^2+(C13-$C$63)^2+(D13-$D$63)^2+(E13-$E$63)^2+(F13-$F$63)^2+(G13-$G$63)^2+(H13-$H$63)^2+(I13-$I$63)^2+(J13-$J$63)^2+(K13-$K$63)^2+(L13-$L$63)^2+(M13-$M$63)^2+(N13-$N$63)^2+(O13-$O$63)^2+(P13-$P$63)^2+(Q13-$Q$63)^2+(R13-$R$63)^2+(S13-$S$63)^2+(T13-$T$63)^2+(U13-$U$63)^2+(V13-$V$63)^2+(W13-$W$63)^2+(X13-$X$63)^2+(Y13-$Y$63)^2+(Z13-$Z$63)^2+(AA13-$AA$63)^2+(AB13-$AB$63)^2+(AC13-$AC$63)^2+(AD13-$AD$63)^2+(AE13-$AE$63)^2+(AF13-$AF$63)^2+(AG13-$AG$63)^2)</f>
        <v>1.0389219718970155</v>
      </c>
      <c r="AS13" s="36" t="s">
        <v>152</v>
      </c>
      <c r="AT13" s="37" t="s">
        <v>120</v>
      </c>
      <c r="AU13" s="30"/>
      <c r="AV13" s="44"/>
      <c r="AW13" s="36">
        <f>SQRT((A13-$A$64)^2+(B13-$B$64)^2+(C13-$C$64)^2+(D13-$D$64)^2+(E13-$E$64)^2+(F13-$F$64)^2+(G13-$G$64)^2+(H13-$H$64)^2+(I13-$I$64)^2+(J13-$J$64)^2+(K13-$K$64)^2+(L13-$L$64)^2+(M13-$M$64)^2+(N13-$N$64)^2+(O13-$O$64)^2+(P13-$P$64)^2+(Q13-$Q$64)^2+(R13-$R$64)^2+(S13-$S$64)^2+(T13-$T$64)^2+(U13-$U$64)^2+(V13-$V$64)^2+(W13-$W$64)^2+(X13-$X$64)^2+(Y13-$Y$64)^2+(Z13-$Z$64)^2+(AA13-$AA$64)^2+(AB13-$AB$64)^2+(AC13-$AC$64)^2+(AD13-$AD$64)^2+(AE13-$AE$64)^2+(AF13-$AF$64)^2+(AG13-$AG$64)^2)</f>
        <v>1.0389219718970155</v>
      </c>
      <c r="AX13" s="36" t="s">
        <v>152</v>
      </c>
      <c r="AY13" s="37" t="s">
        <v>120</v>
      </c>
      <c r="AZ13" s="30"/>
      <c r="BA13" s="44"/>
      <c r="BB13" s="36">
        <f>SQRT((A13-$A$65)^2+(B13-$B$65)^2+(C13-$C$65)^2+(D13-$D$65)^2+(E13-$E$65)^2+(F13-$F$65)^2+(G13-$G$65)^2+(H13-$H$65)^2+(I13-$I$65)^2+(J13-$J$65)^2+(K13-$K$65)^2+(L13-$L$65)^2+(M13-$M$65)^2+(N13-$N$65)^2+(O13-$O$65)^2+(P13-$P$65)^2+(Q13-$Q$65)^2+(R13-$R$65)^2+(S13-$S$65)^2+(T13-$T$65)^2+(U13-$U$65)^2+(V13-$V$65)^2+(W13-$W$65)^2+(X13-$X$65)^2+(Y13-$Y$65)^2+(Z13-$Z$65)^2+(AA13-$AA$65)^2+(AB13-$AB$65)^2+(AC13-$AC$65)^2+(AD13-$AD$65)^2+(AE13-$AE$65)^2+(AF13-$AF$65)^2+(AG13-$AG$65)^2)</f>
        <v>1.0389219718970155</v>
      </c>
      <c r="BC13" s="36" t="s">
        <v>152</v>
      </c>
      <c r="BD13" s="37" t="s">
        <v>120</v>
      </c>
      <c r="BE13" s="30"/>
      <c r="BF13" s="44"/>
      <c r="BG13" s="36">
        <f>SQRT((A13-$A$66)^2+(B13-$B$66)^2+(C13-$C$66)^2+(D13-$D$66)^2+(E13-$E$66)^2+(F13-$F$66)^2+(G13-$G$66)^2+(H13-$H$66)^2+(I13-$I$66)^2+(J13-$J$66)^2+(K13-$K$66)^2+(L13-$L$66)^2+(M13-$M$66)^2+(N13-$N$66)^2+(O13-$O$66)^2+(P13-$P$66)^2+(Q13-$Q$66)^2+(R13-$R$66)^2+(S13-$S$66)^2+(T13-$T$66)^2+(U13-$U$66)^2+(V13-$V$66)^2+(W13-$W$66)^2+(X13-$X$66)^2+(Y13-$Y$66)^2+(Z13-$Z$66)^2+(AA13-$AA$66)^2+(AB13-$AB$66)^2+(AC13-$AC$66)^2+(AD13-$AD$66)^2+(AE13-$AE$66)^2+(AF13-$AF$66)^2+(AG13-$AG$66)^2)</f>
        <v>1.0389219718970155</v>
      </c>
      <c r="BH13" s="36" t="s">
        <v>152</v>
      </c>
      <c r="BI13" s="37" t="s">
        <v>120</v>
      </c>
      <c r="BJ13" s="30"/>
      <c r="BK13" s="44"/>
      <c r="BL13" s="36">
        <f>SQRT((A13-$A$67)^2+(B13-$B$67)^2+(C13-$C$67)^2+(D13-$D$67)^2+(E13-$E$67)^2+(F13-$F$67)^2+(G13-$G$67)^2+(H13-$H$67)^2+(I13-$I$67)^2+(J13-$J$67)^2+(K13-$K$67)^2+(L13-$L$67)^2+(M13-$M$67)^2+(N13-$N$67)^2+(O13-$O$67)^2+(P13-$P$67)^2+(Q13-$Q$67)^2+(R13-$R$67)^2+(S13-$S$67)^2+(T13-$T$67)^2+(U13-$U$67)^2+(V13-$V$67)^2+(W13-$W$67)^2+(X13-$X$67)^2+(Y13-$Y$67)^2+(Z13-$Z$67)^2+(AA13-$AA$67)^2+(AB13-$AB$67)^2+(AC13-$AC$67)^2+(AD13-$AD$67)^2+(AE13-$AE$67)^2+(AF13-$AF$67)^2+(AG13-$AG$67)^2)</f>
        <v>1.0389219718970155</v>
      </c>
      <c r="BM13" s="36" t="s">
        <v>152</v>
      </c>
      <c r="BN13" s="37" t="s">
        <v>120</v>
      </c>
      <c r="BO13" s="30"/>
      <c r="BP13" s="44"/>
      <c r="BQ13" s="36">
        <f>SQRT((A13-$A$68)^2+(B13-$B$68)^2+(C13-$C$68)^2+(D13-$D$68)^2+(E13-$E$68)^2+(F13-$F$68)^2+(G13-$G$68)^2+(H13-$H$68)^2+(I13-$I$68)^2+(J13-$J$68)^2+(K13-$K$68)^2+(L13-$L$68)^2+(M13-$M$68)^2+(N13-$N$68)^2+(O13-$O$68)^2+(P13-$P$68)^2+(Q13-$Q$68)^2+(R13-$R$68)^2+(S13-$S$68)^2+(T13-$T$68)^2+(U13-$U$68)^2+(V13-$V$68)^2+(W13-$W$68)^2+(X13-$X$68)^2+(Y13-$Y$68)^2+(Z13-$Z$68)^2+(AA13-$AA$68)^2+(AB13-$AB$68)^2+(AC13-$AC$68)^2+(AD13-$AD$68)^2+(AE13-$AE$68)^2+(AF13-$AF$68)^2+(AG13-$AG$68)^2)</f>
        <v>1.0389219718970155</v>
      </c>
      <c r="BR13" s="36" t="s">
        <v>152</v>
      </c>
      <c r="BS13" s="37" t="s">
        <v>120</v>
      </c>
      <c r="BT13" s="30"/>
      <c r="BU13" s="44"/>
      <c r="BV13" s="36">
        <f>SQRT((A13-$A$69)^2+(B13-$B$69)^2+(C13-$C$69)^2+(D13-$D$69)^2+(E13-$E$69)^2+(F13-$F$69)^2+(G13-$G$69)^2+(H13-$H$69)^2+(I13-$I$69)^2+(J13-$J$69)^2+(K13-$K$69)^2+(L13-$L$69)^2+(M13-$M$69)^2+(N13-$N$69)^2+(O13-$O$69)^2+(P13-$P$69)^2+(Q13-$Q$69)^2+(R13-$R$69)^2+(S13-$S$69)^2+(T13-$T$69)^2+(U13-$U$69)^2+(V13-$V$69)^2+(W13-$W$69)^2+(X13-$X$69)^2+(Y13-$Y$69)^2+(Z13-$Z$69)^2+(AA13-$AA$69)^2+(AB13-$AB$69)^2+(AC13-$AC$69)^2+(AD13-$AD$69)^2+(AE13-$AE$69)^2+(AF13-$AF$69)^2+(AG13-$AG$69)^2)</f>
        <v>2.292570017746089</v>
      </c>
      <c r="BW13" s="36" t="s">
        <v>320</v>
      </c>
      <c r="BX13" s="37" t="s">
        <v>120</v>
      </c>
      <c r="BZ13" s="44"/>
      <c r="CA13" s="36">
        <f>SQRT((A13-$A$70)^2+(B13-$B$70)^2+(C13-$C$70)^2+(D13-$D$70)^2+(E13-$E$70)^2+(F13-$F$70)^2+(G13-$G$70)^2+(H13-$H$70)^2+(I13-$I$70)^2+(J13-$J$70)^2+(K13-$K$70)^2+(L13-$L$70)^2+(M13-$M$70)^2+(N13-$N$70)^2+(O13-$O$70)^2+(P13-$P$70)^2+(Q13-$Q$70)^2+(R13-$R$70)^2+(S13-$S$70)^2+(T13-$T$70)^2+(U13-$U$70)^2+(V13-$V$70)^2+(W13-$W$70)^2+(X13-$X$70)^2+(Y13-$Y$70)^2+(Z13-$Z$70)^2+(AA13-$AA$70)^2+(AB13-$AB$70)^2+(AC13-$AC$70)^2+(AD13-$AD$70)^2+(AE13-$AE$70)^2+(AF13-$AF$70)^2+(AG13-$AG$70)^2)</f>
        <v>0.89271744938947151</v>
      </c>
      <c r="CB13" s="36" t="s">
        <v>122</v>
      </c>
      <c r="CC13" s="37" t="s">
        <v>120</v>
      </c>
      <c r="CE13" s="44"/>
      <c r="CF13" s="36">
        <f>SQRT((A13-$A$71)^2+(B13-$B$71)^2+(C13-$C$71)^2+(D13-$D$71)^2+(E13-$E$71)^2+(F13-$F$71)^2+(G13-$G$71)^2+(H13-$H$71)^2+(I13-$I$71)^2+(J13-$J$71)^2+(K13-$K$71)^2+(L13-$L$71)^2+(M13-$M$71)^2+(N13-$N$71)^2+(O13-$O$71)^2+(P13-$P$71)^2+(Q13-$Q$71)^2+(R13-$R$71)^2+(S13-$S$71)^2+(T13-$T$71)^2+(U13-$U$71)^2+(V13-$V$71)^2+(W13-$W$71)^2+(X13-$X$71)^2+(Y13-$Y$71)^2+(Z13-$Z$71)^2+(AA13-$AA$71)^2+(AB13-$AB$71)^2+(AC13-$AC$71)^2+(AD13-$AD$71)^2+(AE13-$AE$71)^2+(AF13-$AF$71)^2+(AG13-$AG$71)^2)</f>
        <v>1.2631530214330944</v>
      </c>
      <c r="CG13" s="36" t="s">
        <v>318</v>
      </c>
      <c r="CH13" s="37" t="s">
        <v>120</v>
      </c>
      <c r="CJ13" s="44"/>
      <c r="CK13" s="36">
        <f>SQRT((A13-$A$72)^2+(B13-$B$72)^2+(C13-$C$72)^2+(D13-$D$72)^2+(E13-$E$72)^2+(F13-$F$72)^2+(G13-$G$72)^2+(H13-$H$72)^2+(I13-$I$72)^2+(J13-$J$72)^2+(K13-$K$72)^2+(L13-$L$72)^2+(M13-$M$72)^2+(N13-$N$72)^2+(O13-$O$72)^2+(P13-$P$72)^2+(Q13-$Q$72)^2+(R13-$R$72)^2+(S13-$S$72)^2+(T13-$T$72)^2+(U13-$U$72)^2+(V13-$V$72)^2+(W13-$W$72)^2+(X13-$X$72)^2+(Y13-$Y$72)^2+(Z13-$Z$72)^2+(AA13-$AA$72)^2+(AB13-$AB$72)^2+(AC13-$AC$72)^2+(AD13-$AD$72)^2+(AE13-$AE$72)^2+(AF13-$AF$72)^2+(AG13-$AG$72)^2)</f>
        <v>1.5378054750235304</v>
      </c>
      <c r="CL13" s="36" t="s">
        <v>318</v>
      </c>
      <c r="CM13" s="37" t="s">
        <v>120</v>
      </c>
      <c r="CO13" s="44"/>
      <c r="CP13" s="36">
        <f>SQRT((A13-$A$73)^2+(B13-$B$73)^2+(C13-$C$73)^2+(D13-$D$73)^2+(E13-$E$73)^2+(F13-$F$73)^2+(G13-$G$73)^2+(H13-$H$73)^2+(I13-$I$73)^2+(J13-$J$73)^2+(K13-$K$73)^2+(L13-$L$73)^2+(M13-$M$73)^2+(N13-$N$73)^2+(O13-$O$73)^2+(P13-$P$73)^2+(Q13-$Q$73)^2+(R13-$R$73)^2+(S13-$S$73)^2+(T13-$T$73)^2+(U13-$U$73)^2+(V13-$V$73)^2+(W13-$W$73)^2+(X13-$X$73)^2+(Y13-$Y$73)^2+(Z13-$Z$73)^2+(AA13-$AA$73)^2+(AB13-$AB$73)^2+(AC13-$AC$73)^2+(AD13-$AD$73)^2+(AE13-$AE$73)^2+(AF13-$AF$73)^2+(AG13-$AG$73)^2)</f>
        <v>1.3681746817491045</v>
      </c>
      <c r="CQ13" s="36" t="s">
        <v>127</v>
      </c>
      <c r="CR13" s="37" t="s">
        <v>120</v>
      </c>
      <c r="CT13" s="44"/>
      <c r="CU13" s="36">
        <f>SQRT((A13-$A$74)^2+(B13-$B$74)^2+(C13-$C$74)^2+(D13-$D$74)^2+(E13-$E$74)^2+(F13-$F$74)^2+(G13-$G$74)^2+(H13-$H$74)^2+(I13-$I$74)^2+(J13-$J$74)^2+(K13-$K$74)^2+(L13-$L$74)^2+(M13-$M$74)^2+(N13-$N$74)^2+(O13-$O$74)^2+(P13-$P$74)^2+(Q13-$Q$74)^2+(R13-$R$74)^2+(S13-$S$74)^2+(T13-$T$74)^2+(U13-$U$74)^2+(V13-$V$74)^2+(W13-$W$74)^2+(X13-$X$74)^2+(Y13-$Y$74)^2+(Z13-$Z$74)^2+(AA13-$AA$74)^2+(AB13-$AB$74)^2+(AC13-$AC$74)^2+(AD13-$AD$74)^2+(AE13-$AE$74)^2+(AF13-$AF$74)^2+(AG13-$AG$74)^2)</f>
        <v>1.7074060129660424</v>
      </c>
      <c r="CV13" s="36" t="s">
        <v>128</v>
      </c>
      <c r="CW13" s="37" t="s">
        <v>120</v>
      </c>
      <c r="CY13" s="44"/>
      <c r="CZ13" s="36">
        <f>SQRT((A13-$A$75)^2+(B13-$B$75)^2+(C13-$C$75)^2+(D13-$D$75)^2+(E13-$E$75)^2+(F13-$F$75)^2+(G13-$G$75)^2+(H13-$H$75)^2+(I13-$I$75)^2+(J13-$J$75)^2+(K13-$K$75)^2+(L13-$L$75)^2+(M13-$M$75)^2+(N13-$N$75)^2+(O13-$O$75)^2+(P13-$P$75)^2+(Q13-$Q$75)^2+(R13-$R$75)^2+(S13-$S$75)^2+(T13-$T$75)^2+(U13-$U$75)^2+(V13-$V$75)^2+(W13-$W$75)^2+(X13-$X$75)^2+(Y13-$Y$75)^2+(Z13-$Z$75)^2+(AA13-$AA$75)^2+(AB13-$AB$75)^2+(AC13-$AC$75)^2+(AD13-$AD$75)^2+(AE13-$AE$75)^2+(AF13-$AF$75)^2+(AG13-$AG$75)^2)</f>
        <v>1.6864531366158639</v>
      </c>
      <c r="DA13" s="36" t="s">
        <v>319</v>
      </c>
      <c r="DB13" s="37" t="s">
        <v>120</v>
      </c>
      <c r="DD13" s="44"/>
      <c r="DE13" s="36">
        <f>SQRT((A13-$A$76)^2+(B13-$B$76)^2+(C13-$C$76)^2+(D13-$D$76)^2+(E13-$E$76)^2+(F13-$F$76)^2+(G13-$G$76)^2+(H13-$H$76)^2+(I13-$I$76)^2+(J13-$J$76)^2+(K13-$K$76)^2+(L13-$L$76)^2+(M13-$M$76)^2+(N13-$N$76)^2+(O13-$O$76)^2+(P13-$P$76)^2+(Q13-$Q$76)^2+(R13-$R$76)^2+(S13-$S$76)^2+(T13-$T$76)^2+(U13-$U$76)^2+(V13-$V$76)^2+(W13-$W$76)^2+(X13-$X$76)^2+(Y13-$Y$76)^2+(Z13-$Z$76)^2+(AA13-$AA$76)^2+(AB13-$AB$76)^2+(AC13-$AC$76)^2+(AD13-$AD$76)^2+(AE13-$AE$76)^2+(AF13-$AF$76)^2+(AG13-$AG$76)^2)</f>
        <v>1.1390599261385768</v>
      </c>
      <c r="DF13" s="36" t="s">
        <v>153</v>
      </c>
      <c r="DG13" s="37" t="s">
        <v>120</v>
      </c>
      <c r="DI13" s="44"/>
      <c r="DJ13" s="36">
        <f>SQRT((A13-$A$77)^2+(B13-$B$77)^2+(C13-$C$77)^2+(D13-$D$77)^2+(E13-$E$77)^2+(F13-$F$77)^2+(G13-$G$77)^2+(H13-$H$77)^2+(I13-$I$77)^2+(J13-$J$77)^2+(K13-$K$77)^2+(L13-$L$77)^2+(M13-$M$77)^2+(N13-$N$77)^2+(O13-$O$77)^2+(P13-$P$77)^2+(Q13-$Q$77)^2+(R13-$R$77)^2+(S13-$S$77)^2+(T13-$T$77)^2+(U13-$U$77)^2+(V13-$V$77)^2+(W13-$W$77)^2+(X13-$X$77)^2+(Y13-$Y$77)^2+(Z13-$Z$77)^2+(AA13-$AA$77)^2+(AB13-$AB$77)^2+(AC13-$AC$77)^2+(AD13-$AD$77)^2+(AE13-$AE$77)^2+(AF13-$AF$77)^2+(AG13-$AG$77)^2)</f>
        <v>1.9767170625872335</v>
      </c>
      <c r="DK13" s="36" t="s">
        <v>146</v>
      </c>
      <c r="DL13" s="37" t="s">
        <v>120</v>
      </c>
      <c r="DN13" s="44"/>
      <c r="DO13" s="36">
        <f>SQRT((A13-$A$78)^2+(B13-$B$78)^2+(C13-$C$78)^2+(D13-$D$78)^2+(E13-$E$78)^2+(F13-$F$78)^2+(G13-$G$78)^2+(H13-$H$78)^2+(I13-$I$78)^2+(J13-$J$78)^2+(K13-$K$78)^2+(L13-$L$78)^2+(M13-$M$78)^2+(N13-$N$78)^2+(O13-$O$78)^2+(P13-$P$78)^2+(Q13-$Q$78)^2+(R13-$R$78)^2+(S13-$S$78)^2+(T13-$T$78)^2+(U13-$U$78)^2+(V13-$V$78)^2+(W13-$W$78)^2+(X13-$X$78)^2+(Y13-$Y$78)^2+(Z13-$Z$78)^2+(AA13-$AA$78)^2+(AB13-$AB$78)^2+(AC13-$AC$78)^2+(AD13-$AD$78)^2+(AE13-$AE$78)^2+(AF13-$AF$78)^2+(AG13-$AG$78)^2)</f>
        <v>1.0205696635677011</v>
      </c>
      <c r="DP13" s="36" t="s">
        <v>122</v>
      </c>
      <c r="DQ13" s="37" t="s">
        <v>120</v>
      </c>
      <c r="DS13" s="44"/>
      <c r="DT13" s="36">
        <f>SQRT((A13-$A$79)^2+(B13-$B$79)^2+(C13-$C$79)^2+(D13-$D$79)^2+(E13-$E$79)^2+(F13-$F$79)^2+(G13-$G$79)^2+(H13-$H$79)^2+(I13-$I$79)^2+(J13-$J$79)^2+(K13-$K$79)^2+(L13-$L$79)^2+(M13-$M$79)^2+(N13-$N$79)^2+(O13-$O$79)^2+(P13-$P$79)^2+(Q13-$Q$79)^2+(R13-$R$79)^2+(S13-$S$79)^2+(T13-$T$79)^2+(U13-$U$79)^2+(V13-$V$79)^2+(W13-$W$79)^2+(X13-$X$79)^2+(Y13-$Y$79)^2+(Z13-$Z$79)^2+(AA13-$AA$79)^2+(AB13-$AB$79)^2+(AC13-$AC$79)^2+(AD13-$AD$79)^2+(AE13-$AE$79)^2+(AF13-$AF$79)^2+(AG13-$AG$79)^2)</f>
        <v>1.4898640745010028</v>
      </c>
      <c r="DU13" s="36" t="s">
        <v>318</v>
      </c>
      <c r="DV13" s="37" t="s">
        <v>120</v>
      </c>
      <c r="DX13" s="44"/>
      <c r="DY13" s="36">
        <f>SQRT((A13-$A$80)^2+(B13-$B$80)^2+(C13-$C$80)^2+(D13-$D$80)^2+(E13-$E$80)^2+(F13-$F$80)^2+(G13-$G$80)^2+(H13-$H$80)^2+(I13-$I$80)^2+(J13-$J$80)^2+(K13-$K$80)^2+(L13-$L$80)^2+(M13-$M$80)^2+(N13-$N$80)^2+(O13-$O$80)^2+(P13-$P$80)^2+(Q13-$Q$80)^2+(R13-$R$80)^2+(S13-$S$80)^2+(T13-$T$80)^2+(U13-$U$80)^2+(V13-$V$80)^2+(W13-$W$80)^2+(X13-$X$80)^2+(Y13-$Y$80)^2+(Z13-$Z$80)^2+(AA13-$AA$80)^2+(AB13-$AB$80)^2+(AC13-$AC$80)^2+(AD13-$AD$80)^2+(AE13-$AE$80)^2+(AF13-$AF$80)^2+(AG13-$AG$80)^2)</f>
        <v>1.9575244467896853</v>
      </c>
      <c r="DZ13" s="36" t="s">
        <v>320</v>
      </c>
      <c r="EA13" s="37" t="s">
        <v>120</v>
      </c>
      <c r="EC13" s="44"/>
      <c r="ED13" s="36">
        <f>SQRT((A13-$A$81)^2+(B13-$B$81)^2+(C13-$C$81)^2+(D13-$D$81)^2+(E13-$E$81)^2+(F13-$F$81)^2+(G13-$G$81)^2+(H13-$H$81)^2+(I13-$I$81)^2+(J13-$J$81)^2+(K13-$K$81)^2+(L13-$L$81)^2+(M13-$M$81)^2+(N13-$N$81)^2+(O13-$O$81)^2+(P13-$P$81)^2+(Q13-$Q$81)^2+(R13-$R$81)^2+(S13-$S$81)^2+(T13-$T$81)^2+(U13-$U$81)^2+(V13-$V$81)^2+(W13-$W$81)^2+(X13-$X$81)^2+(Y13-$Y$81)^2+(Z13-$Z$81)^2+(AA13-$AA$81)^2+(AB13-$AB$81)^2+(AC13-$AC$81)^2+(AD13-$AD$81)^2+(AE13-$AE$81)^2+(AF13-$AF$81)^2+(AG13-$AG$81)^2)</f>
        <v>2.0267264218757717</v>
      </c>
      <c r="EE13" s="36" t="s">
        <v>320</v>
      </c>
      <c r="EF13" s="37" t="s">
        <v>120</v>
      </c>
      <c r="EH13" s="44"/>
      <c r="EI13" s="36">
        <f>SQRT((A13-$A$82)^2+(B13-$B$82)^2+(C13-$C$82)^2+(D13-$D$82)^2+(E13-$E$82)^2+(F13-$F$82)^2+(G13-$G$82)^2+(H13-$H$82)^2+(I13-$I$82)^2+(J13-$J$82)^2+(K13-$K$82)^2+(L13-$L$82)^2+(M13-$M$82)^2+(N13-$N$82)^2+(O13-$O$82)^2+(P13-$P$82)^2+(Q13-$Q$82)^2+(R13-$R$82)^2+(S13-$S$82)^2+(T13-$T$82)^2+(U13-$U$82)^2+(V13-$V$82)^2+(W13-$W$82)^2+(X13-$X$82)^2+(Y13-$Y$82)^2+(Z13-$Z$82)^2+(AA13-$AA$82)^2+(AB13-$AB$82)^2+(AC13-$AC$82)^2+(AD13-$AD$82)^2+(AE13-$AE$82)^2+(AF13-$AF$82)^2+(AG13-$AG$82)^2)</f>
        <v>1.3719450782496634</v>
      </c>
      <c r="EJ13" s="36" t="s">
        <v>126</v>
      </c>
      <c r="EK13" s="37" t="s">
        <v>120</v>
      </c>
      <c r="EM13" s="44"/>
      <c r="EN13" s="36">
        <f>SQRT((A13-$A$83)^2+(B13-$B$83)^2+(C13-$C$83)^2+(D13-$D$83)^2+(E13-$E$83)^2+(F13-$F$83)^2+(G13-$G$83)^2+(H13-$H$83)^2+(I13-$I$83)^2+(J13-$J$83)^2+(K13-$K$83)^2+(L13-$L$83)^2+(M13-$M$83)^2+(N13-$N$83)^2+(O13-$O$83)^2+(P13-$P$83)^2+(Q13-$Q$83)^2+(R13-$R$83)^2+(S13-$S$83)^2+(T13-$T$83)^2+(U13-$U$83)^2+(V13-$V$83)^2+(W13-$W$83)^2+(X13-$X$83)^2+(Y13-$Y$83)^2+(Z13-$Z$83)^2+(AA13-$AA$83)^2+(AB13-$AB$83)^2+(AC13-$AC$83)^2+(AD13-$AD$83)^2+(AE13-$AE$83)^2+(AF13-$AF$83)^2+(AG13-$AG$83)^2)</f>
        <v>1.0548334225392186</v>
      </c>
      <c r="EO13" s="36" t="s">
        <v>126</v>
      </c>
      <c r="EP13" s="37" t="s">
        <v>120</v>
      </c>
      <c r="ER13" s="44"/>
      <c r="ES13" s="36">
        <f>SQRT((A13-$A$84)^2+(B13-$B$84)^2+(C13-$C$84)^2+(D13-$D$84)^2+(E13-$E$84)^2+(F13-$F$84)^2+(G13-$G$84)^2+(H13-$H$84)^2+(I13-$I$84)^2+(J13-$J$84)^2+(K13-$K$84)^2+(L13-$L$84)^2+(M13-$M$84)^2+(N13-$N$84)^2+(O13-$O$84)^2+(P13-$P$84)^2+(Q13-$Q$84)^2+(R13-$R$84)^2+(S13-$S$84)^2+(T13-$T$84)^2+(U13-$U$84)^2+(V13-$V$84)^2+(W13-$W$84)^2+(X13-$X$84)^2+(Y13-$Y$84)^2+(Z13-$Z$84)^2+(AA13-$AA$84)^2+(AB13-$AB$84)^2+(AC13-$AC$84)^2+(AD13-$AD$84)^2+(AE13-$AE$84)^2+(AF13-$AF$84)^2+(AG13-$AG$84)^2)</f>
        <v>1.0389219718970155</v>
      </c>
      <c r="ET13" s="36" t="s">
        <v>152</v>
      </c>
      <c r="EU13" s="37" t="s">
        <v>120</v>
      </c>
      <c r="EW13" s="44"/>
      <c r="EX13" s="36">
        <f>SQRT((A13-$A$85)^2+(B13-$B$85)^2+(C13-$C$85)^2+(D13-$D$85)^2+(E13-$E$85)^2+(F13-$F$85)^2+(G13-$G$85)^2+(H13-$H$85)^2+(I13-$I$85)^2+(J13-$J$85)^2+(K13-$K$85)^2+(L13-$L$85)^2+(M13-$M$85)^2+(N13-$N$85)^2+(O13-$O$85)^2+(P13-$P$85)^2+(Q13-$Q$85)^2+(R13-$R$85)^2+(S13-$S$85)^2+(T13-$T$85)^2+(U13-$U$85)^2+(V13-$V$85)^2+(W13-$W$85)^2+(X13-$X$85)^2+(Y13-$Y$85)^2+(Z13-$Z$85)^2+(AA13-$AA$85)^2+(AB13-$AB$85)^2+(AC13-$AC$85)^2+(AD13-$AD$85)^2+(AE13-$AE$85)^2+(AF13-$AF$85)^2+(AG13-$AG$85)^2)</f>
        <v>1.0389219718970155</v>
      </c>
      <c r="EY13" s="36" t="s">
        <v>152</v>
      </c>
      <c r="EZ13" s="37" t="s">
        <v>120</v>
      </c>
      <c r="FB13" s="44"/>
      <c r="FC13" s="36">
        <f>SQRT((A13-$A$86)^2+(B13-$B$86)^2+(C13-$C$86)^2+(D13-$D$86)^2+(E13-$E$86)^2+(F13-$F$86)^2+(G13-$G$86)^2+(H13-$H$86)^2+(I13-$I$86)^2+(J13-$J$86)^2+(K13-$K$86)^2+(L13-$L$86)^2+(M13-$M$86)^2+(N13-$N$86)^2+(O13-$O$86)^2+(P13-$P$86)^2+(Q13-$Q$86)^2+(R13-$R$86)^2+(S13-$S$86)^2+(T13-$T$86)^2+(U13-$U$86)^2+(V13-$V$86)^2+(W13-$W$86)^2+(X13-$X$86)^2+(Y13-$Y$86)^2+(Z13-$Z$86)^2+(AA13-$AA$86)^2+(AB13-$AB$86)^2+(AC13-$AC$86)^2+(AD13-$AD$86)^2+(AE13-$AE$86)^2+(AF13-$AF$86)^2+(AG13-$AG$86)^2)</f>
        <v>1.0389219718970155</v>
      </c>
      <c r="FD13" s="36" t="s">
        <v>152</v>
      </c>
      <c r="FE13" s="37" t="s">
        <v>120</v>
      </c>
      <c r="FG13" s="44"/>
      <c r="FH13" s="36">
        <f>SQRT((A13-$A$87)^2+(B13-$B$87)^2+(C13-$C$87)^2+(D13-$D$87)^2+(E13-$E$87)^2+(F13-$F$87)^2+(G13-$G$87)^2+(H13-$H$87)^2+(I13-$I$87)^2+(J13-$J$87)^2+(K13-$K$87)^2+(L13-$L$87)^2+(M13-$M$87)^2+(N13-$N$87)^2+(O13-$O$87)^2+(P13-$P$87)^2+(Q13-$Q$87)^2+(R13-$R$87)^2+(S13-$S$87)^2+(T13-$T$87)^2+(U13-$U$87)^2+(V13-$V$87)^2+(W13-$W$87)^2+(X13-$X$87)^2+(Y13-$Y$87)^2+(Z13-$Z$87)^2+(AA13-$AA$87)^2+(AB13-$AB$87)^2+(AC13-$AC$87)^2+(AD13-$AD$87)^2+(AE13-$AE$87)^2+(AF13-$AF$87)^2+(AG13-$AG$87)^2)</f>
        <v>0.88425220371750479</v>
      </c>
      <c r="FI13" s="36" t="s">
        <v>320</v>
      </c>
      <c r="FJ13" s="37" t="s">
        <v>120</v>
      </c>
      <c r="FL13" s="44"/>
      <c r="FM13" s="36">
        <f>SQRT((A13-$A$88)^2+(B13-$B$88)^2+(C13-$C$88)^2+(D13-$D$88)^2+(E13-$E$88)^2+(F13-$F$88)^2+(G13-$G$88)^2+(H13-$H$88)^2+(I13-$I$88)^2+(J13-$J$88)^2+(K13-$K$88)^2+(L13-$L$88)^2+(M13-$M$88)^2+(N13-$N$88)^2+(O13-$O$88)^2+(P13-$P$88)^2+(Q13-$Q$88)^2+(R13-$R$88)^2+(S13-$S$88)^2+(T13-$T$88)^2+(U13-$U$88)^2+(V13-$V$88)^2+(W13-$W$88)^2+(X13-$X$88)^2+(Y13-$Y$88)^2+(Z13-$Z$88)^2+(AA13-$AA$88)^2+(AB13-$AB$88)^2+(AC13-$AC$88)^2+(AD13-$AD$88)^2+(AE13-$AE$88)^2+(AF13-$AF$88)^2+(AG13-$AG$88)^2)</f>
        <v>1.7215141913766236</v>
      </c>
      <c r="FN13" s="36" t="s">
        <v>154</v>
      </c>
      <c r="FO13" s="37" t="s">
        <v>120</v>
      </c>
      <c r="FQ13" s="44"/>
      <c r="FR13" s="36">
        <f>SQRT((A13-$A$89)^2+(B13-$B$89)^2+(C13-$C$89)^2+(D13-$D$89)^2+(E13-$E$89)^2+(F13-$F$89)^2+(G13-$G$89)^2+(H13-$H$89)^2+(I13-$I$89)^2+(J13-$J$89)^2+(K13-$K$89)^2+(L13-$L$89)^2+(M13-$M$89)^2+(N13-$N$89)^2+(O13-$O$89)^2+(P13-$P$89)^2+(Q13-$Q$89)^2+(R13-$R$89)^2+(S13-$S$89)^2+(T13-$T$89)^2+(U13-$U$89)^2+(V13-$V$89)^2+(W13-$W$89)^2+(X13-$X$89)^2+(Y13-$Y$89)^2+(Z13-$Z$89)^2+(AA13-$AA$89)^2+(AB13-$AB$89)^2+(AC13-$AC$89)^2+(AD13-$AD$89)^2+(AE13-$AE$89)^2+(AF13-$AF$89)^2+(AG13-$AG$89)^2)</f>
        <v>2.0708859520615639</v>
      </c>
      <c r="FS13" s="36" t="s">
        <v>122</v>
      </c>
      <c r="FT13" s="37" t="s">
        <v>120</v>
      </c>
      <c r="FV13" s="44"/>
      <c r="FW13" s="36">
        <f>SQRT((A13-$A$90)^2+(B13-$B$90)^2+(C13-$C$90)^2+(D13-$D$90)^2+(E13-$E$90)^2+(F13-$F$90)^2+(G13-$G$90)^2+(H13-$H$90)^2+(I13-$I$90)^2+(J13-$J$90)^2+(K13-$K$90)^2+(L13-$L$90)^2+(M13-$M$90)^2+(N13-$N$90)^2+(O13-$O$90)^2+(P13-$P$90)^2+(Q13-$Q$90)^2+(R13-$R$90)^2+(S13-$S$90)^2+(T13-$T$90)^2+(U13-$U$90)^2+(V13-$V$90)^2+(W13-$W$90)^2+(X13-$X$90)^2+(Y13-$Y$90)^2+(Z13-$Z$90)^2+(AA13-$AA$90)^2+(AB13-$AB$90)^2+(AC13-$AC$90)^2+(AD13-$AD$90)^2+(AE13-$AE$90)^2+(AF13-$AF$90)^2+(AG13-$AG$90)^2)</f>
        <v>1.9193569093023086</v>
      </c>
      <c r="FX13" s="36" t="s">
        <v>146</v>
      </c>
      <c r="FY13" s="37" t="s">
        <v>120</v>
      </c>
      <c r="GA13" s="44"/>
      <c r="GB13" s="36">
        <f>SQRT((A13-$A$91)^2+(B13-$B$91)^2+(C13-$C$91)^2+(D13-$D$91)^2+(E13-$E$91)^2+(F13-$F$91)^2+(G13-$G$91)^2+(H13-$H$91)^2+(I13-$I$91)^2+(J13-$J$91)^2+(K13-$K$91)^2+(L13-$L$91)^2+(M13-$M$91)^2+(N13-$N$91)^2+(O13-$O$91)^2+(P13-$P$91)^2+(Q13-$Q$91)^2+(R13-$R$91)^2+(S13-$S$91)^2+(T13-$T$91)^2+(U13-$U$91)^2+(V13-$V$91)^2+(W13-$W$91)^2+(X13-$X$91)^2+(Y13-$Y$91)^2+(Z13-$Z$91)^2+(AA13-$AA$91)^2+(AB13-$AB$91)^2+(AC13-$AC$91)^2+(AD13-$AD$91)^2+(AE13-$AE$91)^2+(AF13-$AF$91)^2+(AG13-$AG$91)^2)</f>
        <v>1.9263584048938593</v>
      </c>
      <c r="GC13" s="36" t="s">
        <v>334</v>
      </c>
      <c r="GD13" s="37" t="s">
        <v>120</v>
      </c>
      <c r="GF13" s="44"/>
      <c r="GG13" s="36">
        <f>SQRT((A13-$A$92)^2+(B13-$B$92)^2+(C13-$C$92)^2+(D13-$D$92)^2+(E13-$E$92)^2+(F13-$F$92)^2+(G13-$G$92)^2+(H13-$H$92)^2+(I13-$I$92)^2+(J13-$J$92)^2+(K13-$K$92)^2+(L13-$L$92)^2+(M13-$M$92)^2+(N13-$N$92)^2+(O13-$O$92)^2+(P13-$P$92)^2+(Q13-$Q$92)^2+(R13-$R$92)^2+(S13-$S$92)^2+(T13-$T$92)^2+(U13-$U$92)^2+(V13-$V$92)^2+(W13-$W$92)^2+(X13-$X$92)^2+(Y13-$Y$92)^2+(Z13-$Z$92)^2+(AA13-$AA$92)^2+(AB13-$AB$92)^2+(AC13-$AC$92)^2+(AD13-$AD$92)^2+(AE13-$AE$92)^2+(AF13-$AF$92)^2+(AG13-$AG$92)^2)</f>
        <v>1.5784134087395765</v>
      </c>
      <c r="GH13" s="36" t="s">
        <v>122</v>
      </c>
      <c r="GI13" s="37" t="s">
        <v>120</v>
      </c>
      <c r="GK13" s="44"/>
      <c r="GL13" s="36">
        <f>SQRT((A13-$A$93)^2+(B13-$B$93)^2+(C13-$C$93)^2+(D13-$D$93)^2+(E13-$E$93)^2+(F13-$F$93)^2+(G13-$G$93)^2+(H13-$H$93)^2+(I13-$I$93)^2+(J13-$J$93)^2+(K13-$K$93)^2+(L13-$L$93)^2+(M13-$M$93)^2+(N13-$N$93)^2+(O13-$O$93)^2+(P13-$P$93)^2+(Q13-$Q$93)^2+(R13-$R$93)^2+(S13-$S$93)^2+(T13-$T$93)^2+(U13-$U$93)^2+(V13-$V$93)^2+(W13-$W$93)^2+(X13-$X$93)^2+(Y13-$Y$93)^2+(Z13-$Z$93)^2+(AA13-$AA$93)^2+(AB13-$AB$93)^2+(AC13-$AC$93)^2+(AD13-$AD$93)^2+(AE13-$AE$93)^2+(AF13-$AF$93)^2+(AG13-$AG$93)^2)</f>
        <v>2.1415685002593965</v>
      </c>
      <c r="GM13" s="36" t="s">
        <v>334</v>
      </c>
      <c r="GN13" s="37" t="s">
        <v>120</v>
      </c>
      <c r="GP13" s="44"/>
      <c r="GQ13" s="36">
        <f>SQRT((A13-$A$94)^2+(B13-$B$94)^2+(C13-$C$94)^2+(D13-$D$94)^2+(E13-$E$94)^2+(F13-$F$94)^2+(G13-$G$94)^2+(H13-$H$94)^2+(I13-$I$94)^2+(J13-$J$94)^2+(K13-$K$94)^2+(L13-$L$94)^2+(M13-$M$94)^2+(N13-$N$94)^2+(O13-$O$94)^2+(P13-$P$94)^2+(Q13-$Q$94)^2+(R13-$R$94)^2+(S13-$S$94)^2+(T13-$T$94)^2+(U13-$U$94)^2+(V13-$V$94)^2+(W13-$W$94)^2+(X13-$X$94)^2+(Y13-$Y$94)^2+(Z13-$Z$94)^2+(AA13-$AA$94)^2+(AB13-$AB$94)^2+(AC13-$AC$94)^2+(AD13-$AD$94)^2+(AE13-$AE$94)^2+(AF13-$AF$94)^2+(AG13-$AG$94)^2)</f>
        <v>1.2445480964591693</v>
      </c>
      <c r="GR13" s="36" t="s">
        <v>122</v>
      </c>
      <c r="GS13" s="37" t="s">
        <v>120</v>
      </c>
      <c r="GU13" s="44"/>
      <c r="GV13" s="36">
        <f>SQRT((A13-$A$95)^2+(B13-$B$95)^2+(C13-$C$95)^2+(D13-$D$95)^2+(E13-$E$95)^2+(F13-$F$95)^2+(G13-$G$95)^2+(H13-$H$95)^2+(I13-$I$95)^2+(J13-$J$95)^2+(K13-$K$95)^2+(L13-$L$95)^2+(M13-$M$95)^2+(N13-$N$95)^2+(O13-$O$95)^2+(P13-$P$95)^2+(Q13-$Q$95)^2+(R13-$R$95)^2+(S13-$S$95)^2+(T13-$T$95)^2+(U13-$U$95)^2+(V13-$V$95)^2+(W13-$W$95)^2+(X13-$X$95)^2+(Y13-$Y$95)^2+(Z13-$Z$95)^2+(AA13-$AA$95)^2+(AB13-$AB$95)^2+(AC13-$AC$95)^2+(AD13-$AD$95)^2+(AE13-$AE$95)^2+(AF13-$AF$95)^2+(AG13-$AG$95)^2)</f>
        <v>2.6067983748090584</v>
      </c>
      <c r="GW13" s="36" t="s">
        <v>318</v>
      </c>
      <c r="GX13" s="37" t="s">
        <v>120</v>
      </c>
      <c r="GZ13" s="44"/>
      <c r="HA13" s="36">
        <f>SQRT((A13-$A$96)^2+(B13-$B$96)^2+(C13-$C$96)^2+(D13-$D$96)^2+(E13-$E$96)^2+(F13-$F$96)^2+(G13-$G$96)^2+(H13-$H$96)^2+(I13-$I$96)^2+(J13-$J$96)^2+(K13-$K$96)^2+(L13-$L$96)^2+(M13-$M$96)^2+(N13-$N$96)^2+(O13-$O$96)^2+(P13-$P$96)^2+(Q13-$Q$96)^2+(R13-$R$96)^2+(S13-$S$96)^2+(T13-$T$96)^2+(U13-$U$96)^2+(V13-$V$96)^2+(W13-$W$96)^2+(X13-$X$96)^2+(Y13-$Y$96)^2+(Z13-$Z$96)^2+(AA13-$AA$96)^2+(AB13-$AB$96)^2+(AC13-$AC$96)^2+(AD13-$AD$96)^2+(AE13-$AE$96)^2+(AF13-$AF$96)^2+(AG13-$AG$96)^2)</f>
        <v>2.4220877106368914</v>
      </c>
      <c r="HB13" s="36" t="s">
        <v>329</v>
      </c>
      <c r="HC13" s="37" t="s">
        <v>120</v>
      </c>
      <c r="HE13" s="44"/>
      <c r="HF13" s="36">
        <f>SQRT((A13-$A$97)^2+(B13-$B$97)^2+(C13-$C$97)^2+(D13-$D$97)^2+(E13-$E$97)^2+(F13-$F$97)^2+(G13-$G$97)^2+(H13-$H$97)^2+(I13-$I$97)^2+(J13-$J$97)^2+(K13-$K$97)^2+(L13-$L$97)^2+(M13-$M$97)^2+(N13-$N$97)^2+(O13-$O$97)^2+(P13-$P$97)^2+(Q13-$Q$97)^2+(R13-$R$97)^2+(S13-$S$97)^2+(T13-$T$97)^2+(U13-$U$97)^2+(V13-$V$97)^2+(W13-$W$97)^2+(X13-$X$97)^2+(Y13-$Y$97)^2+(Z13-$Z$97)^2+(AA13-$AA$97)^2+(AB13-$AB$97)^2+(AC13-$AC$97)^2+(AD13-$AD$97)^2+(AE13-$AE$97)^2+(AF13-$AF$97)^2+(AG13-$AG$97)^2)</f>
        <v>1.0389219718970155</v>
      </c>
      <c r="HG13" s="36" t="s">
        <v>152</v>
      </c>
      <c r="HH13" s="37" t="s">
        <v>120</v>
      </c>
      <c r="HJ13" s="44"/>
      <c r="HK13" s="36">
        <f>SQRT((A13-$A$98)^2+(B13-$B$98)^2+(C13-$C$98)^2+(D13-$D$98)^2+(E13-$E$98)^2+(F13-$F$98)^2+(G13-$G$98)^2+(H13-$H$98)^2+(I13-$I$98)^2+(J13-$J$98)^2+(K13-$K$98)^2+(L13-$L$98)^2+(M13-$M$98)^2+(N13-$N$98)^2+(O13-$O$98)^2+(P13-$P$98)^2+(Q13-$Q$98)^2+(R13-$R$98)^2+(S13-$S$98)^2+(T13-$T$98)^2+(U13-$U$98)^2+(V13-$V$98)^2+(W13-$W$98)^2+(X13-$X$98)^2+(Y13-$Y$98)^2+(Z13-$Z$98)^2+(AA13-$AA$98)^2+(AB13-$AB$98)^2+(AC13-$AC$98)^2+(AD13-$AD$98)^2+(AE13-$AE$98)^2+(AF13-$AF$98)^2+(AG13-$AG$98)^2)</f>
        <v>1.0389219718970155</v>
      </c>
      <c r="HL13" s="36" t="s">
        <v>152</v>
      </c>
      <c r="HM13" s="37" t="s">
        <v>120</v>
      </c>
      <c r="HO13" s="44"/>
      <c r="HP13" s="36">
        <f>SQRT((A13-$A$99)^2+(B13-$B$99)^2+(C13-$C$99)^2+(D13-$D$99)^2+(E13-$E$99)^2+(F13-$F$99)^2+(G13-$G$99)^2+(H13-$H$99)^2+(I13-$I$99)^2+(J13-$J$99)^2+(K13-$K$99)^2+(L13-$L$99)^2+(M13-$M$99)^2+(N13-$N$99)^2+(O13-$O$99)^2+(P13-$P$99)^2+(Q13-$Q$99)^2+(R13-$R$99)^2+(S13-$S$99)^2+(T13-$T$99)^2+(U13-$U$99)^2+(V13-$V$99)^2+(W13-$W$99)^2+(X13-$X$99)^2+(Y13-$Y$99)^2+(Z13-$Z$99)^2+(AA13-$AA$99)^2+(AB13-$AB$99)^2+(AC13-$AC$99)^2+(AD13-$AD$99)^2+(AE13-$AE$99)^2+(AF13-$AF$99)^2+(AG13-$AG$99)^2)</f>
        <v>1.0389219718970155</v>
      </c>
      <c r="HQ13" s="36" t="s">
        <v>152</v>
      </c>
      <c r="HR13" s="37" t="s">
        <v>120</v>
      </c>
      <c r="HT13" s="44"/>
      <c r="HU13" s="36">
        <f>SQRT((A13-$A$100)^2+(B13-$B$100)^2+(C13-$C$100)^2+(D13-$D$100)^2+(E13-$E$100)^2+(F13-$F$100)^2+(G13-$G$100)^2+(H13-$H$100)^2+(I13-$I$100)^2+(J13-$J$100)^2+(K13-$K$100)^2+(L13-$L$100)^2+(M13-$M$100)^2+(N13-$N$100)^2+(O13-$O$100)^2+(P13-$P$100)^2+(Q13-$Q$100)^2+(R13-$R$100)^2+(S13-$S$100)^2+(T13-$T$100)^2+(U13-$U$100)^2+(V13-$V$100)^2+(W13-$W$100)^2+(X13-$X$100)^2+(Y13-$Y$100)^2+(Z13-$Z$100)^2+(AA13-$AA$100)^2+(AB13-$AB$100)^2+(AC13-$AC$100)^2+(AD13-$AD$100)^2+(AE13-$AE$100)^2+(AF13-$AF$100)^2+(AG13-$AG$100)^2)</f>
        <v>1.0389219718970155</v>
      </c>
      <c r="HV13" s="36" t="s">
        <v>152</v>
      </c>
      <c r="HW13" s="37" t="s">
        <v>120</v>
      </c>
      <c r="HY13" s="44"/>
      <c r="HZ13" s="36">
        <f>SQRT((A13-$A$101)^2+(B13-$B$101)^2+(C13-$C$101)^2+(D13-$D$101)^2+(E13-$E$101)^2+(F13-$F$101)^2+(G13-$G$101)^2+(H13-$H$101)^2+(I13-$I$101)^2+(J13-$J$101)^2+(K13-$K$101)^2+(L13-$L$101)^2+(M13-$M$101)^2+(N13-$N$101)^2+(O13-$O$101)^2+(P13-$P$101)^2+(Q13-$Q$101)^2+(R13-$R$101)^2+(S13-$S$101)^2+(T13-$T$101)^2+(U13-$U$101)^2+(V13-$V$101)^2+(W13-$W$101)^2+(X13-$X$101)^2+(Y13-$Y$101)^2+(Z13-$Z$101)^2+(AA13-$AA$101)^2+(AB13-$AB$101)^2+(AC13-$AC$101)^2+(AD13-$AD$101)^2+(AE13-$AE$101)^2+(AF13-$AF$101)^2+(AG13-$AG$101)^2)</f>
        <v>2.0373888491063017</v>
      </c>
      <c r="IA13" s="36" t="s">
        <v>320</v>
      </c>
      <c r="IB13" s="37" t="s">
        <v>120</v>
      </c>
    </row>
    <row r="14" spans="1:236" x14ac:dyDescent="0.35">
      <c r="A14" s="2">
        <v>0</v>
      </c>
      <c r="B14" s="2">
        <v>0.25</v>
      </c>
      <c r="C14" s="2">
        <v>0.23899371069182301</v>
      </c>
      <c r="D14" s="2">
        <v>0.66666666666666596</v>
      </c>
      <c r="E14" s="2">
        <v>0</v>
      </c>
      <c r="F14" s="2">
        <v>1</v>
      </c>
      <c r="G14" s="2">
        <v>0.55555555555555503</v>
      </c>
      <c r="H14" s="2">
        <v>1</v>
      </c>
      <c r="I14" s="2">
        <v>0</v>
      </c>
      <c r="J14" s="2">
        <v>0</v>
      </c>
      <c r="K14" s="2">
        <v>0</v>
      </c>
      <c r="L14" s="2">
        <v>0.2</v>
      </c>
      <c r="M14" s="2">
        <v>1</v>
      </c>
      <c r="N14" s="2">
        <v>0</v>
      </c>
      <c r="O14" s="2">
        <v>0</v>
      </c>
      <c r="P14" s="2">
        <v>0.4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0.19565217391304299</v>
      </c>
      <c r="AH14" s="2" t="s">
        <v>120</v>
      </c>
      <c r="AI14" s="42"/>
      <c r="AJ14" s="42"/>
      <c r="AL14" s="44"/>
      <c r="AM14" s="36">
        <f>SQRT((A14-$A$62)^2+(B14-$B$62)^2+(C14-$C$62)^2+(D14-$D$62)^2+(E14-$E$62)^2+(F14-$F$62)^2+(G14-$G$62)^2+(H14-$H$62)^2+(I14-$I$62)^2+(J14-$J$62)^2+(K14-$K$62)^2+(L14-$L$62)^2+(M14-$M$62)^2+(N14-$N$62)^2+(O14-$O$62)^2+(P14-$P$62)^2+(Q14-$Q$62)^2+(R14-$R$62)^2+(S14-$S$62)^2+(T14-$T$62)^2+(U14-$U$62)^2+(V14-$V$62)^2+(W14-$W$62)^2+(X14-$X$62)^2+(Y14-$Y$62)^2+(Z14-$Z$62)^2+(AA14-$AA$62)^2+(AB14-$AB$62)^2+(AC14-$AC$62)^2+(AD14-$AD$62)^2+(AE14-$AE$62)^2+(AF14-$AF$62)^2+(AG14-$AG$62)^2)</f>
        <v>2.2697189654231393</v>
      </c>
      <c r="AN14" s="36" t="s">
        <v>151</v>
      </c>
      <c r="AO14" s="37" t="s">
        <v>120</v>
      </c>
      <c r="AP14" s="30"/>
      <c r="AQ14" s="44"/>
      <c r="AR14" s="36">
        <f>SQRT((A14-$A$63)^2+(B14-$B$63)^2+(C14-$C$63)^2+(D14-$D$63)^2+(E14-$E$63)^2+(F14-$F$63)^2+(G14-$G$63)^2+(H14-$H$63)^2+(I14-$I$63)^2+(J14-$J$63)^2+(K14-$K$63)^2+(L14-$L$63)^2+(M14-$M$63)^2+(N14-$N$63)^2+(O14-$O$63)^2+(P14-$P$63)^2+(Q14-$Q$63)^2+(R14-$R$63)^2+(S14-$S$63)^2+(T14-$T$63)^2+(U14-$U$63)^2+(V14-$V$63)^2+(W14-$W$63)^2+(X14-$X$63)^2+(Y14-$Y$63)^2+(Z14-$Z$63)^2+(AA14-$AA$63)^2+(AB14-$AB$63)^2+(AC14-$AC$63)^2+(AD14-$AD$63)^2+(AE14-$AE$63)^2+(AF14-$AF$63)^2+(AG14-$AG$63)^2)</f>
        <v>1.2105864042178027</v>
      </c>
      <c r="AS14" s="36" t="s">
        <v>335</v>
      </c>
      <c r="AT14" s="37" t="s">
        <v>120</v>
      </c>
      <c r="AU14" s="30"/>
      <c r="AV14" s="44"/>
      <c r="AW14" s="36">
        <f>SQRT((A14-$A$64)^2+(B14-$B$64)^2+(C14-$C$64)^2+(D14-$D$64)^2+(E14-$E$64)^2+(F14-$F$64)^2+(G14-$G$64)^2+(H14-$H$64)^2+(I14-$I$64)^2+(J14-$J$64)^2+(K14-$K$64)^2+(L14-$L$64)^2+(M14-$M$64)^2+(N14-$N$64)^2+(O14-$O$64)^2+(P14-$P$64)^2+(Q14-$Q$64)^2+(R14-$R$64)^2+(S14-$S$64)^2+(T14-$T$64)^2+(U14-$U$64)^2+(V14-$V$64)^2+(W14-$W$64)^2+(X14-$X$64)^2+(Y14-$Y$64)^2+(Z14-$Z$64)^2+(AA14-$AA$64)^2+(AB14-$AB$64)^2+(AC14-$AC$64)^2+(AD14-$AD$64)^2+(AE14-$AE$64)^2+(AF14-$AF$64)^2+(AG14-$AG$64)^2)</f>
        <v>1.2105864042178027</v>
      </c>
      <c r="AX14" s="36" t="s">
        <v>335</v>
      </c>
      <c r="AY14" s="37" t="s">
        <v>120</v>
      </c>
      <c r="AZ14" s="30"/>
      <c r="BA14" s="44"/>
      <c r="BB14" s="36">
        <f>SQRT((A14-$A$65)^2+(B14-$B$65)^2+(C14-$C$65)^2+(D14-$D$65)^2+(E14-$E$65)^2+(F14-$F$65)^2+(G14-$G$65)^2+(H14-$H$65)^2+(I14-$I$65)^2+(J14-$J$65)^2+(K14-$K$65)^2+(L14-$L$65)^2+(M14-$M$65)^2+(N14-$N$65)^2+(O14-$O$65)^2+(P14-$P$65)^2+(Q14-$Q$65)^2+(R14-$R$65)^2+(S14-$S$65)^2+(T14-$T$65)^2+(U14-$U$65)^2+(V14-$V$65)^2+(W14-$W$65)^2+(X14-$X$65)^2+(Y14-$Y$65)^2+(Z14-$Z$65)^2+(AA14-$AA$65)^2+(AB14-$AB$65)^2+(AC14-$AC$65)^2+(AD14-$AD$65)^2+(AE14-$AE$65)^2+(AF14-$AF$65)^2+(AG14-$AG$65)^2)</f>
        <v>1.2105864042178027</v>
      </c>
      <c r="BC14" s="36" t="s">
        <v>335</v>
      </c>
      <c r="BD14" s="37" t="s">
        <v>120</v>
      </c>
      <c r="BE14" s="30"/>
      <c r="BF14" s="44"/>
      <c r="BG14" s="36">
        <f>SQRT((A14-$A$66)^2+(B14-$B$66)^2+(C14-$C$66)^2+(D14-$D$66)^2+(E14-$E$66)^2+(F14-$F$66)^2+(G14-$G$66)^2+(H14-$H$66)^2+(I14-$I$66)^2+(J14-$J$66)^2+(K14-$K$66)^2+(L14-$L$66)^2+(M14-$M$66)^2+(N14-$N$66)^2+(O14-$O$66)^2+(P14-$P$66)^2+(Q14-$Q$66)^2+(R14-$R$66)^2+(S14-$S$66)^2+(T14-$T$66)^2+(U14-$U$66)^2+(V14-$V$66)^2+(W14-$W$66)^2+(X14-$X$66)^2+(Y14-$Y$66)^2+(Z14-$Z$66)^2+(AA14-$AA$66)^2+(AB14-$AB$66)^2+(AC14-$AC$66)^2+(AD14-$AD$66)^2+(AE14-$AE$66)^2+(AF14-$AF$66)^2+(AG14-$AG$66)^2)</f>
        <v>1.2105864042178027</v>
      </c>
      <c r="BH14" s="36" t="s">
        <v>335</v>
      </c>
      <c r="BI14" s="37" t="s">
        <v>120</v>
      </c>
      <c r="BJ14" s="30"/>
      <c r="BK14" s="44"/>
      <c r="BL14" s="36">
        <f>SQRT((A14-$A$67)^2+(B14-$B$67)^2+(C14-$C$67)^2+(D14-$D$67)^2+(E14-$E$67)^2+(F14-$F$67)^2+(G14-$G$67)^2+(H14-$H$67)^2+(I14-$I$67)^2+(J14-$J$67)^2+(K14-$K$67)^2+(L14-$L$67)^2+(M14-$M$67)^2+(N14-$N$67)^2+(O14-$O$67)^2+(P14-$P$67)^2+(Q14-$Q$67)^2+(R14-$R$67)^2+(S14-$S$67)^2+(T14-$T$67)^2+(U14-$U$67)^2+(V14-$V$67)^2+(W14-$W$67)^2+(X14-$X$67)^2+(Y14-$Y$67)^2+(Z14-$Z$67)^2+(AA14-$AA$67)^2+(AB14-$AB$67)^2+(AC14-$AC$67)^2+(AD14-$AD$67)^2+(AE14-$AE$67)^2+(AF14-$AF$67)^2+(AG14-$AG$67)^2)</f>
        <v>1.2105864042178027</v>
      </c>
      <c r="BM14" s="36" t="s">
        <v>335</v>
      </c>
      <c r="BN14" s="37" t="s">
        <v>120</v>
      </c>
      <c r="BO14" s="30"/>
      <c r="BP14" s="44"/>
      <c r="BQ14" s="36">
        <f>SQRT((A14-$A$68)^2+(B14-$B$68)^2+(C14-$C$68)^2+(D14-$D$68)^2+(E14-$E$68)^2+(F14-$F$68)^2+(G14-$G$68)^2+(H14-$H$68)^2+(I14-$I$68)^2+(J14-$J$68)^2+(K14-$K$68)^2+(L14-$L$68)^2+(M14-$M$68)^2+(N14-$N$68)^2+(O14-$O$68)^2+(P14-$P$68)^2+(Q14-$Q$68)^2+(R14-$R$68)^2+(S14-$S$68)^2+(T14-$T$68)^2+(U14-$U$68)^2+(V14-$V$68)^2+(W14-$W$68)^2+(X14-$X$68)^2+(Y14-$Y$68)^2+(Z14-$Z$68)^2+(AA14-$AA$68)^2+(AB14-$AB$68)^2+(AC14-$AC$68)^2+(AD14-$AD$68)^2+(AE14-$AE$68)^2+(AF14-$AF$68)^2+(AG14-$AG$68)^2)</f>
        <v>1.2105864042178027</v>
      </c>
      <c r="BR14" s="36" t="s">
        <v>335</v>
      </c>
      <c r="BS14" s="37" t="s">
        <v>120</v>
      </c>
      <c r="BT14" s="30"/>
      <c r="BU14" s="44"/>
      <c r="BV14" s="36">
        <f>SQRT((A14-$A$69)^2+(B14-$B$69)^2+(C14-$C$69)^2+(D14-$D$69)^2+(E14-$E$69)^2+(F14-$F$69)^2+(G14-$G$69)^2+(H14-$H$69)^2+(I14-$I$69)^2+(J14-$J$69)^2+(K14-$K$69)^2+(L14-$L$69)^2+(M14-$M$69)^2+(N14-$N$69)^2+(O14-$O$69)^2+(P14-$P$69)^2+(Q14-$Q$69)^2+(R14-$R$69)^2+(S14-$S$69)^2+(T14-$T$69)^2+(U14-$U$69)^2+(V14-$V$69)^2+(W14-$W$69)^2+(X14-$X$69)^2+(Y14-$Y$69)^2+(Z14-$Z$69)^2+(AA14-$AA$69)^2+(AB14-$AB$69)^2+(AC14-$AC$69)^2+(AD14-$AD$69)^2+(AE14-$AE$69)^2+(AF14-$AF$69)^2+(AG14-$AG$69)^2)</f>
        <v>1.9229127437849241</v>
      </c>
      <c r="BW14" s="36" t="s">
        <v>137</v>
      </c>
      <c r="BX14" s="37" t="s">
        <v>120</v>
      </c>
      <c r="BZ14" s="44"/>
      <c r="CA14" s="36">
        <f>SQRT((A14-$A$70)^2+(B14-$B$70)^2+(C14-$C$70)^2+(D14-$D$70)^2+(E14-$E$70)^2+(F14-$F$70)^2+(G14-$G$70)^2+(H14-$H$70)^2+(I14-$I$70)^2+(J14-$J$70)^2+(K14-$K$70)^2+(L14-$L$70)^2+(M14-$M$70)^2+(N14-$N$70)^2+(O14-$O$70)^2+(P14-$P$70)^2+(Q14-$Q$70)^2+(R14-$R$70)^2+(S14-$S$70)^2+(T14-$T$70)^2+(U14-$U$70)^2+(V14-$V$70)^2+(W14-$W$70)^2+(X14-$X$70)^2+(Y14-$Y$70)^2+(Z14-$Z$70)^2+(AA14-$AA$70)^2+(AB14-$AB$70)^2+(AC14-$AC$70)^2+(AD14-$AD$70)^2+(AE14-$AE$70)^2+(AF14-$AF$70)^2+(AG14-$AG$70)^2)</f>
        <v>1.2018504251546627</v>
      </c>
      <c r="CB14" s="36" t="s">
        <v>320</v>
      </c>
      <c r="CC14" s="37" t="s">
        <v>120</v>
      </c>
      <c r="CE14" s="44"/>
      <c r="CF14" s="36">
        <f>SQRT((A14-$A$71)^2+(B14-$B$71)^2+(C14-$C$71)^2+(D14-$D$71)^2+(E14-$E$71)^2+(F14-$F$71)^2+(G14-$G$71)^2+(H14-$H$71)^2+(I14-$I$71)^2+(J14-$J$71)^2+(K14-$K$71)^2+(L14-$L$71)^2+(M14-$M$71)^2+(N14-$N$71)^2+(O14-$O$71)^2+(P14-$P$71)^2+(Q14-$Q$71)^2+(R14-$R$71)^2+(S14-$S$71)^2+(T14-$T$71)^2+(U14-$U$71)^2+(V14-$V$71)^2+(W14-$W$71)^2+(X14-$X$71)^2+(Y14-$Y$71)^2+(Z14-$Z$71)^2+(AA14-$AA$71)^2+(AB14-$AB$71)^2+(AC14-$AC$71)^2+(AD14-$AD$71)^2+(AE14-$AE$71)^2+(AF14-$AF$71)^2+(AG14-$AG$71)^2)</f>
        <v>1.5206906325745548</v>
      </c>
      <c r="CG14" s="36" t="s">
        <v>150</v>
      </c>
      <c r="CH14" s="37" t="s">
        <v>120</v>
      </c>
      <c r="CJ14" s="44"/>
      <c r="CK14" s="36">
        <f>SQRT((A14-$A$72)^2+(B14-$B$72)^2+(C14-$C$72)^2+(D14-$D$72)^2+(E14-$E$72)^2+(F14-$F$72)^2+(G14-$G$72)^2+(H14-$H$72)^2+(I14-$I$72)^2+(J14-$J$72)^2+(K14-$K$72)^2+(L14-$L$72)^2+(M14-$M$72)^2+(N14-$N$72)^2+(O14-$O$72)^2+(P14-$P$72)^2+(Q14-$Q$72)^2+(R14-$R$72)^2+(S14-$S$72)^2+(T14-$T$72)^2+(U14-$U$72)^2+(V14-$V$72)^2+(W14-$W$72)^2+(X14-$X$72)^2+(Y14-$Y$72)^2+(Z14-$Z$72)^2+(AA14-$AA$72)^2+(AB14-$AB$72)^2+(AC14-$AC$72)^2+(AD14-$AD$72)^2+(AE14-$AE$72)^2+(AF14-$AF$72)^2+(AG14-$AG$72)^2)</f>
        <v>1.9751543149590194</v>
      </c>
      <c r="CL14" s="36" t="s">
        <v>152</v>
      </c>
      <c r="CM14" s="37" t="s">
        <v>120</v>
      </c>
      <c r="CO14" s="44"/>
      <c r="CP14" s="36">
        <f>SQRT((A14-$A$73)^2+(B14-$B$73)^2+(C14-$C$73)^2+(D14-$D$73)^2+(E14-$E$73)^2+(F14-$F$73)^2+(G14-$G$73)^2+(H14-$H$73)^2+(I14-$I$73)^2+(J14-$J$73)^2+(K14-$K$73)^2+(L14-$L$73)^2+(M14-$M$73)^2+(N14-$N$73)^2+(O14-$O$73)^2+(P14-$P$73)^2+(Q14-$Q$73)^2+(R14-$R$73)^2+(S14-$S$73)^2+(T14-$T$73)^2+(U14-$U$73)^2+(V14-$V$73)^2+(W14-$W$73)^2+(X14-$X$73)^2+(Y14-$Y$73)^2+(Z14-$Z$73)^2+(AA14-$AA$73)^2+(AB14-$AB$73)^2+(AC14-$AC$73)^2+(AD14-$AD$73)^2+(AE14-$AE$73)^2+(AF14-$AF$73)^2+(AG14-$AG$73)^2)</f>
        <v>1.5518668914143869</v>
      </c>
      <c r="CQ14" s="36" t="s">
        <v>129</v>
      </c>
      <c r="CR14" s="37" t="s">
        <v>120</v>
      </c>
      <c r="CT14" s="44"/>
      <c r="CU14" s="36">
        <f>SQRT((A14-$A$74)^2+(B14-$B$74)^2+(C14-$C$74)^2+(D14-$D$74)^2+(E14-$E$74)^2+(F14-$F$74)^2+(G14-$G$74)^2+(H14-$H$74)^2+(I14-$I$74)^2+(J14-$J$74)^2+(K14-$K$74)^2+(L14-$L$74)^2+(M14-$M$74)^2+(N14-$N$74)^2+(O14-$O$74)^2+(P14-$P$74)^2+(Q14-$Q$74)^2+(R14-$R$74)^2+(S14-$S$74)^2+(T14-$T$74)^2+(U14-$U$74)^2+(V14-$V$74)^2+(W14-$W$74)^2+(X14-$X$74)^2+(Y14-$Y$74)^2+(Z14-$Z$74)^2+(AA14-$AA$74)^2+(AB14-$AB$74)^2+(AC14-$AC$74)^2+(AD14-$AD$74)^2+(AE14-$AE$74)^2+(AF14-$AF$74)^2+(AG14-$AG$74)^2)</f>
        <v>1.8939851471321105</v>
      </c>
      <c r="CV14" s="36" t="s">
        <v>314</v>
      </c>
      <c r="CW14" s="37" t="s">
        <v>120</v>
      </c>
      <c r="CY14" s="44"/>
      <c r="CZ14" s="36">
        <f>SQRT((A14-$A$75)^2+(B14-$B$75)^2+(C14-$C$75)^2+(D14-$D$75)^2+(E14-$E$75)^2+(F14-$F$75)^2+(G14-$G$75)^2+(H14-$H$75)^2+(I14-$I$75)^2+(J14-$J$75)^2+(K14-$K$75)^2+(L14-$L$75)^2+(M14-$M$75)^2+(N14-$N$75)^2+(O14-$O$75)^2+(P14-$P$75)^2+(Q14-$Q$75)^2+(R14-$R$75)^2+(S14-$S$75)^2+(T14-$T$75)^2+(U14-$U$75)^2+(V14-$V$75)^2+(W14-$W$75)^2+(X14-$X$75)^2+(Y14-$Y$75)^2+(Z14-$Z$75)^2+(AA14-$AA$75)^2+(AB14-$AB$75)^2+(AC14-$AC$75)^2+(AD14-$AD$75)^2+(AE14-$AE$75)^2+(AF14-$AF$75)^2+(AG14-$AG$75)^2)</f>
        <v>1.8234466033681436</v>
      </c>
      <c r="DA14" s="36" t="s">
        <v>153</v>
      </c>
      <c r="DB14" s="37" t="s">
        <v>120</v>
      </c>
      <c r="DD14" s="44"/>
      <c r="DE14" s="36">
        <f>SQRT((A14-$A$76)^2+(B14-$B$76)^2+(C14-$C$76)^2+(D14-$D$76)^2+(E14-$E$76)^2+(F14-$F$76)^2+(G14-$G$76)^2+(H14-$H$76)^2+(I14-$I$76)^2+(J14-$J$76)^2+(K14-$K$76)^2+(L14-$L$76)^2+(M14-$M$76)^2+(N14-$N$76)^2+(O14-$O$76)^2+(P14-$P$76)^2+(Q14-$Q$76)^2+(R14-$R$76)^2+(S14-$S$76)^2+(T14-$T$76)^2+(U14-$U$76)^2+(V14-$V$76)^2+(W14-$W$76)^2+(X14-$X$76)^2+(Y14-$Y$76)^2+(Z14-$Z$76)^2+(AA14-$AA$76)^2+(AB14-$AB$76)^2+(AC14-$AC$76)^2+(AD14-$AD$76)^2+(AE14-$AE$76)^2+(AF14-$AF$76)^2+(AG14-$AG$76)^2)</f>
        <v>1.6256491912810083</v>
      </c>
      <c r="DF14" s="36" t="s">
        <v>133</v>
      </c>
      <c r="DG14" s="37" t="s">
        <v>120</v>
      </c>
      <c r="DI14" s="44"/>
      <c r="DJ14" s="36">
        <f>SQRT((A14-$A$77)^2+(B14-$B$77)^2+(C14-$C$77)^2+(D14-$D$77)^2+(E14-$E$77)^2+(F14-$F$77)^2+(G14-$G$77)^2+(H14-$H$77)^2+(I14-$I$77)^2+(J14-$J$77)^2+(K14-$K$77)^2+(L14-$L$77)^2+(M14-$M$77)^2+(N14-$N$77)^2+(O14-$O$77)^2+(P14-$P$77)^2+(Q14-$Q$77)^2+(R14-$R$77)^2+(S14-$S$77)^2+(T14-$T$77)^2+(U14-$U$77)^2+(V14-$V$77)^2+(W14-$W$77)^2+(X14-$X$77)^2+(Y14-$Y$77)^2+(Z14-$Z$77)^2+(AA14-$AA$77)^2+(AB14-$AB$77)^2+(AC14-$AC$77)^2+(AD14-$AD$77)^2+(AE14-$AE$77)^2+(AF14-$AF$77)^2+(AG14-$AG$77)^2)</f>
        <v>2.3242488179508065</v>
      </c>
      <c r="DK14" s="36" t="s">
        <v>328</v>
      </c>
      <c r="DL14" s="37" t="s">
        <v>120</v>
      </c>
      <c r="DN14" s="44"/>
      <c r="DO14" s="36">
        <f>SQRT((A14-$A$78)^2+(B14-$B$78)^2+(C14-$C$78)^2+(D14-$D$78)^2+(E14-$E$78)^2+(F14-$F$78)^2+(G14-$G$78)^2+(H14-$H$78)^2+(I14-$I$78)^2+(J14-$J$78)^2+(K14-$K$78)^2+(L14-$L$78)^2+(M14-$M$78)^2+(N14-$N$78)^2+(O14-$O$78)^2+(P14-$P$78)^2+(Q14-$Q$78)^2+(R14-$R$78)^2+(S14-$S$78)^2+(T14-$T$78)^2+(U14-$U$78)^2+(V14-$V$78)^2+(W14-$W$78)^2+(X14-$X$78)^2+(Y14-$Y$78)^2+(Z14-$Z$78)^2+(AA14-$AA$78)^2+(AB14-$AB$78)^2+(AC14-$AC$78)^2+(AD14-$AD$78)^2+(AE14-$AE$78)^2+(AF14-$AF$78)^2+(AG14-$AG$78)^2)</f>
        <v>1.182114956985159</v>
      </c>
      <c r="DP14" s="36" t="s">
        <v>320</v>
      </c>
      <c r="DQ14" s="37" t="s">
        <v>120</v>
      </c>
      <c r="DS14" s="44"/>
      <c r="DT14" s="36">
        <f>SQRT((A14-$A$79)^2+(B14-$B$79)^2+(C14-$C$79)^2+(D14-$D$79)^2+(E14-$E$79)^2+(F14-$F$79)^2+(G14-$G$79)^2+(H14-$H$79)^2+(I14-$I$79)^2+(J14-$J$79)^2+(K14-$K$79)^2+(L14-$L$79)^2+(M14-$M$79)^2+(N14-$N$79)^2+(O14-$O$79)^2+(P14-$P$79)^2+(Q14-$Q$79)^2+(R14-$R$79)^2+(S14-$S$79)^2+(T14-$T$79)^2+(U14-$U$79)^2+(V14-$V$79)^2+(W14-$W$79)^2+(X14-$X$79)^2+(Y14-$Y$79)^2+(Z14-$Z$79)^2+(AA14-$AA$79)^2+(AB14-$AB$79)^2+(AC14-$AC$79)^2+(AD14-$AD$79)^2+(AE14-$AE$79)^2+(AF14-$AF$79)^2+(AG14-$AG$79)^2)</f>
        <v>1.7345412409778884</v>
      </c>
      <c r="DU14" s="36" t="s">
        <v>321</v>
      </c>
      <c r="DV14" s="37" t="s">
        <v>120</v>
      </c>
      <c r="DX14" s="44"/>
      <c r="DY14" s="36">
        <f>SQRT((A14-$A$80)^2+(B14-$B$80)^2+(C14-$C$80)^2+(D14-$D$80)^2+(E14-$E$80)^2+(F14-$F$80)^2+(G14-$G$80)^2+(H14-$H$80)^2+(I14-$I$80)^2+(J14-$J$80)^2+(K14-$K$80)^2+(L14-$L$80)^2+(M14-$M$80)^2+(N14-$N$80)^2+(O14-$O$80)^2+(P14-$P$80)^2+(Q14-$Q$80)^2+(R14-$R$80)^2+(S14-$S$80)^2+(T14-$T$80)^2+(U14-$U$80)^2+(V14-$V$80)^2+(W14-$W$80)^2+(X14-$X$80)^2+(Y14-$Y$80)^2+(Z14-$Z$80)^2+(AA14-$AA$80)^2+(AB14-$AB$80)^2+(AC14-$AC$80)^2+(AD14-$AD$80)^2+(AE14-$AE$80)^2+(AF14-$AF$80)^2+(AG14-$AG$80)^2)</f>
        <v>2.1090971643497491</v>
      </c>
      <c r="DZ14" s="36" t="s">
        <v>126</v>
      </c>
      <c r="EA14" s="37" t="s">
        <v>120</v>
      </c>
      <c r="EC14" s="44"/>
      <c r="ED14" s="36">
        <f>SQRT((A14-$A$81)^2+(B14-$B$81)^2+(C14-$C$81)^2+(D14-$D$81)^2+(E14-$E$81)^2+(F14-$F$81)^2+(G14-$G$81)^2+(H14-$H$81)^2+(I14-$I$81)^2+(J14-$J$81)^2+(K14-$K$81)^2+(L14-$L$81)^2+(M14-$M$81)^2+(N14-$N$81)^2+(O14-$O$81)^2+(P14-$P$81)^2+(Q14-$Q$81)^2+(R14-$R$81)^2+(S14-$S$81)^2+(T14-$T$81)^2+(U14-$U$81)^2+(V14-$V$81)^2+(W14-$W$81)^2+(X14-$X$81)^2+(Y14-$Y$81)^2+(Z14-$Z$81)^2+(AA14-$AA$81)^2+(AB14-$AB$81)^2+(AC14-$AC$81)^2+(AD14-$AD$81)^2+(AE14-$AE$81)^2+(AF14-$AF$81)^2+(AG14-$AG$81)^2)</f>
        <v>2.1257960574848793</v>
      </c>
      <c r="EE14" s="36" t="s">
        <v>126</v>
      </c>
      <c r="EF14" s="37" t="s">
        <v>120</v>
      </c>
      <c r="EH14" s="44"/>
      <c r="EI14" s="36">
        <f>SQRT((A14-$A$82)^2+(B14-$B$82)^2+(C14-$C$82)^2+(D14-$D$82)^2+(E14-$E$82)^2+(F14-$F$82)^2+(G14-$G$82)^2+(H14-$H$82)^2+(I14-$I$82)^2+(J14-$J$82)^2+(K14-$K$82)^2+(L14-$L$82)^2+(M14-$M$82)^2+(N14-$N$82)^2+(O14-$O$82)^2+(P14-$P$82)^2+(Q14-$Q$82)^2+(R14-$R$82)^2+(S14-$S$82)^2+(T14-$T$82)^2+(U14-$U$82)^2+(V14-$V$82)^2+(W14-$W$82)^2+(X14-$X$82)^2+(Y14-$Y$82)^2+(Z14-$Z$82)^2+(AA14-$AA$82)^2+(AB14-$AB$82)^2+(AC14-$AC$82)^2+(AD14-$AD$82)^2+(AE14-$AE$82)^2+(AF14-$AF$82)^2+(AG14-$AG$82)^2)</f>
        <v>1.5144709263047489</v>
      </c>
      <c r="EJ14" s="36" t="s">
        <v>127</v>
      </c>
      <c r="EK14" s="37" t="s">
        <v>120</v>
      </c>
      <c r="EM14" s="44"/>
      <c r="EN14" s="36">
        <f>SQRT((A14-$A$83)^2+(B14-$B$83)^2+(C14-$C$83)^2+(D14-$D$83)^2+(E14-$E$83)^2+(F14-$F$83)^2+(G14-$G$83)^2+(H14-$H$83)^2+(I14-$I$83)^2+(J14-$J$83)^2+(K14-$K$83)^2+(L14-$L$83)^2+(M14-$M$83)^2+(N14-$N$83)^2+(O14-$O$83)^2+(P14-$P$83)^2+(Q14-$Q$83)^2+(R14-$R$83)^2+(S14-$S$83)^2+(T14-$T$83)^2+(U14-$U$83)^2+(V14-$V$83)^2+(W14-$W$83)^2+(X14-$X$83)^2+(Y14-$Y$83)^2+(Z14-$Z$83)^2+(AA14-$AA$83)^2+(AB14-$AB$83)^2+(AC14-$AC$83)^2+(AD14-$AD$83)^2+(AE14-$AE$83)^2+(AF14-$AF$83)^2+(AG14-$AG$83)^2)</f>
        <v>1.2882616169669292</v>
      </c>
      <c r="EO14" s="36" t="s">
        <v>127</v>
      </c>
      <c r="EP14" s="37" t="s">
        <v>120</v>
      </c>
      <c r="ER14" s="44"/>
      <c r="ES14" s="36">
        <f>SQRT((A14-$A$84)^2+(B14-$B$84)^2+(C14-$C$84)^2+(D14-$D$84)^2+(E14-$E$84)^2+(F14-$F$84)^2+(G14-$G$84)^2+(H14-$H$84)^2+(I14-$I$84)^2+(J14-$J$84)^2+(K14-$K$84)^2+(L14-$L$84)^2+(M14-$M$84)^2+(N14-$N$84)^2+(O14-$O$84)^2+(P14-$P$84)^2+(Q14-$Q$84)^2+(R14-$R$84)^2+(S14-$S$84)^2+(T14-$T$84)^2+(U14-$U$84)^2+(V14-$V$84)^2+(W14-$W$84)^2+(X14-$X$84)^2+(Y14-$Y$84)^2+(Z14-$Z$84)^2+(AA14-$AA$84)^2+(AB14-$AB$84)^2+(AC14-$AC$84)^2+(AD14-$AD$84)^2+(AE14-$AE$84)^2+(AF14-$AF$84)^2+(AG14-$AG$84)^2)</f>
        <v>1.2105864042178027</v>
      </c>
      <c r="ET14" s="36" t="s">
        <v>335</v>
      </c>
      <c r="EU14" s="37" t="s">
        <v>120</v>
      </c>
      <c r="EW14" s="44"/>
      <c r="EX14" s="36">
        <f>SQRT((A14-$A$85)^2+(B14-$B$85)^2+(C14-$C$85)^2+(D14-$D$85)^2+(E14-$E$85)^2+(F14-$F$85)^2+(G14-$G$85)^2+(H14-$H$85)^2+(I14-$I$85)^2+(J14-$J$85)^2+(K14-$K$85)^2+(L14-$L$85)^2+(M14-$M$85)^2+(N14-$N$85)^2+(O14-$O$85)^2+(P14-$P$85)^2+(Q14-$Q$85)^2+(R14-$R$85)^2+(S14-$S$85)^2+(T14-$T$85)^2+(U14-$U$85)^2+(V14-$V$85)^2+(W14-$W$85)^2+(X14-$X$85)^2+(Y14-$Y$85)^2+(Z14-$Z$85)^2+(AA14-$AA$85)^2+(AB14-$AB$85)^2+(AC14-$AC$85)^2+(AD14-$AD$85)^2+(AE14-$AE$85)^2+(AF14-$AF$85)^2+(AG14-$AG$85)^2)</f>
        <v>1.2105864042178027</v>
      </c>
      <c r="EY14" s="36" t="s">
        <v>335</v>
      </c>
      <c r="EZ14" s="37" t="s">
        <v>120</v>
      </c>
      <c r="FB14" s="44"/>
      <c r="FC14" s="36">
        <f>SQRT((A14-$A$86)^2+(B14-$B$86)^2+(C14-$C$86)^2+(D14-$D$86)^2+(E14-$E$86)^2+(F14-$F$86)^2+(G14-$G$86)^2+(H14-$H$86)^2+(I14-$I$86)^2+(J14-$J$86)^2+(K14-$K$86)^2+(L14-$L$86)^2+(M14-$M$86)^2+(N14-$N$86)^2+(O14-$O$86)^2+(P14-$P$86)^2+(Q14-$Q$86)^2+(R14-$R$86)^2+(S14-$S$86)^2+(T14-$T$86)^2+(U14-$U$86)^2+(V14-$V$86)^2+(W14-$W$86)^2+(X14-$X$86)^2+(Y14-$Y$86)^2+(Z14-$Z$86)^2+(AA14-$AA$86)^2+(AB14-$AB$86)^2+(AC14-$AC$86)^2+(AD14-$AD$86)^2+(AE14-$AE$86)^2+(AF14-$AF$86)^2+(AG14-$AG$86)^2)</f>
        <v>1.2105864042178027</v>
      </c>
      <c r="FD14" s="36" t="s">
        <v>335</v>
      </c>
      <c r="FE14" s="37" t="s">
        <v>120</v>
      </c>
      <c r="FG14" s="44"/>
      <c r="FH14" s="36">
        <f>SQRT((A14-$A$87)^2+(B14-$B$87)^2+(C14-$C$87)^2+(D14-$D$87)^2+(E14-$E$87)^2+(F14-$F$87)^2+(G14-$G$87)^2+(H14-$H$87)^2+(I14-$I$87)^2+(J14-$J$87)^2+(K14-$K$87)^2+(L14-$L$87)^2+(M14-$M$87)^2+(N14-$N$87)^2+(O14-$O$87)^2+(P14-$P$87)^2+(Q14-$Q$87)^2+(R14-$R$87)^2+(S14-$S$87)^2+(T14-$T$87)^2+(U14-$U$87)^2+(V14-$V$87)^2+(W14-$W$87)^2+(X14-$X$87)^2+(Y14-$Y$87)^2+(Z14-$Z$87)^2+(AA14-$AA$87)^2+(AB14-$AB$87)^2+(AC14-$AC$87)^2+(AD14-$AD$87)^2+(AE14-$AE$87)^2+(AF14-$AF$87)^2+(AG14-$AG$87)^2)</f>
        <v>1.1481684757334845</v>
      </c>
      <c r="FI14" s="36" t="s">
        <v>126</v>
      </c>
      <c r="FJ14" s="37" t="s">
        <v>120</v>
      </c>
      <c r="FL14" s="44"/>
      <c r="FM14" s="36">
        <f>SQRT((A14-$A$88)^2+(B14-$B$88)^2+(C14-$C$88)^2+(D14-$D$88)^2+(E14-$E$88)^2+(F14-$F$88)^2+(G14-$G$88)^2+(H14-$H$88)^2+(I14-$I$88)^2+(J14-$J$88)^2+(K14-$K$88)^2+(L14-$L$88)^2+(M14-$M$88)^2+(N14-$N$88)^2+(O14-$O$88)^2+(P14-$P$88)^2+(Q14-$Q$88)^2+(R14-$R$88)^2+(S14-$S$88)^2+(T14-$T$88)^2+(U14-$U$88)^2+(V14-$V$88)^2+(W14-$W$88)^2+(X14-$X$88)^2+(Y14-$Y$88)^2+(Z14-$Z$88)^2+(AA14-$AA$88)^2+(AB14-$AB$88)^2+(AC14-$AC$88)^2+(AD14-$AD$88)^2+(AE14-$AE$88)^2+(AF14-$AF$88)^2+(AG14-$AG$88)^2)</f>
        <v>1.7795130420052183</v>
      </c>
      <c r="FN14" s="36" t="s">
        <v>152</v>
      </c>
      <c r="FO14" s="37" t="s">
        <v>120</v>
      </c>
      <c r="FQ14" s="44"/>
      <c r="FR14" s="36">
        <f>SQRT((A14-$A$89)^2+(B14-$B$89)^2+(C14-$C$89)^2+(D14-$D$89)^2+(E14-$E$89)^2+(F14-$F$89)^2+(G14-$G$89)^2+(H14-$H$89)^2+(I14-$I$89)^2+(J14-$J$89)^2+(K14-$K$89)^2+(L14-$L$89)^2+(M14-$M$89)^2+(N14-$N$89)^2+(O14-$O$89)^2+(P14-$P$89)^2+(Q14-$Q$89)^2+(R14-$R$89)^2+(S14-$S$89)^2+(T14-$T$89)^2+(U14-$U$89)^2+(V14-$V$89)^2+(W14-$W$89)^2+(X14-$X$89)^2+(Y14-$Y$89)^2+(Z14-$Z$89)^2+(AA14-$AA$89)^2+(AB14-$AB$89)^2+(AC14-$AC$89)^2+(AD14-$AD$89)^2+(AE14-$AE$89)^2+(AF14-$AF$89)^2+(AG14-$AG$89)^2)</f>
        <v>2.2341943026517379</v>
      </c>
      <c r="FS14" s="36" t="s">
        <v>320</v>
      </c>
      <c r="FT14" s="37" t="s">
        <v>120</v>
      </c>
      <c r="FV14" s="44"/>
      <c r="FW14" s="36">
        <f>SQRT((A14-$A$90)^2+(B14-$B$90)^2+(C14-$C$90)^2+(D14-$D$90)^2+(E14-$E$90)^2+(F14-$F$90)^2+(G14-$G$90)^2+(H14-$H$90)^2+(I14-$I$90)^2+(J14-$J$90)^2+(K14-$K$90)^2+(L14-$L$90)^2+(M14-$M$90)^2+(N14-$N$90)^2+(O14-$O$90)^2+(P14-$P$90)^2+(Q14-$Q$90)^2+(R14-$R$90)^2+(S14-$S$90)^2+(T14-$T$90)^2+(U14-$U$90)^2+(V14-$V$90)^2+(W14-$W$90)^2+(X14-$X$90)^2+(Y14-$Y$90)^2+(Z14-$Z$90)^2+(AA14-$AA$90)^2+(AB14-$AB$90)^2+(AC14-$AC$90)^2+(AD14-$AD$90)^2+(AE14-$AE$90)^2+(AF14-$AF$90)^2+(AG14-$AG$90)^2)</f>
        <v>2.1003406736257122</v>
      </c>
      <c r="FX14" s="36" t="s">
        <v>328</v>
      </c>
      <c r="FY14" s="37" t="s">
        <v>120</v>
      </c>
      <c r="GA14" s="44"/>
      <c r="GB14" s="36">
        <f>SQRT((A14-$A$91)^2+(B14-$B$91)^2+(C14-$C$91)^2+(D14-$D$91)^2+(E14-$E$91)^2+(F14-$F$91)^2+(G14-$G$91)^2+(H14-$H$91)^2+(I14-$I$91)^2+(J14-$J$91)^2+(K14-$K$91)^2+(L14-$L$91)^2+(M14-$M$91)^2+(N14-$N$91)^2+(O14-$O$91)^2+(P14-$P$91)^2+(Q14-$Q$91)^2+(R14-$R$91)^2+(S14-$S$91)^2+(T14-$T$91)^2+(U14-$U$91)^2+(V14-$V$91)^2+(W14-$W$91)^2+(X14-$X$91)^2+(Y14-$Y$91)^2+(Z14-$Z$91)^2+(AA14-$AA$91)^2+(AB14-$AB$91)^2+(AC14-$AC$91)^2+(AD14-$AD$91)^2+(AE14-$AE$91)^2+(AF14-$AF$91)^2+(AG14-$AG$91)^2)</f>
        <v>2.2261129635145283</v>
      </c>
      <c r="GC14" s="36" t="s">
        <v>149</v>
      </c>
      <c r="GD14" s="37" t="s">
        <v>120</v>
      </c>
      <c r="GF14" s="44"/>
      <c r="GG14" s="36">
        <f>SQRT((A14-$A$92)^2+(B14-$B$92)^2+(C14-$C$92)^2+(D14-$D$92)^2+(E14-$E$92)^2+(F14-$F$92)^2+(G14-$G$92)^2+(H14-$H$92)^2+(I14-$I$92)^2+(J14-$J$92)^2+(K14-$K$92)^2+(L14-$L$92)^2+(M14-$M$92)^2+(N14-$N$92)^2+(O14-$O$92)^2+(P14-$P$92)^2+(Q14-$Q$92)^2+(R14-$R$92)^2+(S14-$S$92)^2+(T14-$T$92)^2+(U14-$U$92)^2+(V14-$V$92)^2+(W14-$W$92)^2+(X14-$X$92)^2+(Y14-$Y$92)^2+(Z14-$Z$92)^2+(AA14-$AA$92)^2+(AB14-$AB$92)^2+(AC14-$AC$92)^2+(AD14-$AD$92)^2+(AE14-$AE$92)^2+(AF14-$AF$92)^2+(AG14-$AG$92)^2)</f>
        <v>1.1180339887498949</v>
      </c>
      <c r="GH14" s="36" t="s">
        <v>320</v>
      </c>
      <c r="GI14" s="37" t="s">
        <v>120</v>
      </c>
      <c r="GK14" s="44"/>
      <c r="GL14" s="36">
        <f>SQRT((A14-$A$93)^2+(B14-$B$93)^2+(C14-$C$93)^2+(D14-$D$93)^2+(E14-$E$93)^2+(F14-$F$93)^2+(G14-$G$93)^2+(H14-$H$93)^2+(I14-$I$93)^2+(J14-$J$93)^2+(K14-$K$93)^2+(L14-$L$93)^2+(M14-$M$93)^2+(N14-$N$93)^2+(O14-$O$93)^2+(P14-$P$93)^2+(Q14-$Q$93)^2+(R14-$R$93)^2+(S14-$S$93)^2+(T14-$T$93)^2+(U14-$U$93)^2+(V14-$V$93)^2+(W14-$W$93)^2+(X14-$X$93)^2+(Y14-$Y$93)^2+(Z14-$Z$93)^2+(AA14-$AA$93)^2+(AB14-$AB$93)^2+(AC14-$AC$93)^2+(AD14-$AD$93)^2+(AE14-$AE$93)^2+(AF14-$AF$93)^2+(AG14-$AG$93)^2)</f>
        <v>2.2285855198042235</v>
      </c>
      <c r="GM14" s="36" t="s">
        <v>125</v>
      </c>
      <c r="GN14" s="37" t="s">
        <v>120</v>
      </c>
      <c r="GP14" s="44"/>
      <c r="GQ14" s="36">
        <f>SQRT((A14-$A$94)^2+(B14-$B$94)^2+(C14-$C$94)^2+(D14-$D$94)^2+(E14-$E$94)^2+(F14-$F$94)^2+(G14-$G$94)^2+(H14-$H$94)^2+(I14-$I$94)^2+(J14-$J$94)^2+(K14-$K$94)^2+(L14-$L$94)^2+(M14-$M$94)^2+(N14-$N$94)^2+(O14-$O$94)^2+(P14-$P$94)^2+(Q14-$Q$94)^2+(R14-$R$94)^2+(S14-$S$94)^2+(T14-$T$94)^2+(U14-$U$94)^2+(V14-$V$94)^2+(W14-$W$94)^2+(X14-$X$94)^2+(Y14-$Y$94)^2+(Z14-$Z$94)^2+(AA14-$AA$94)^2+(AB14-$AB$94)^2+(AC14-$AC$94)^2+(AD14-$AD$94)^2+(AE14-$AE$94)^2+(AF14-$AF$94)^2+(AG14-$AG$94)^2)</f>
        <v>1.1852144522125418</v>
      </c>
      <c r="GR14" s="36" t="s">
        <v>320</v>
      </c>
      <c r="GS14" s="37" t="s">
        <v>120</v>
      </c>
      <c r="GU14" s="44"/>
      <c r="GV14" s="36">
        <f>SQRT((A14-$A$95)^2+(B14-$B$95)^2+(C14-$C$95)^2+(D14-$D$95)^2+(E14-$E$95)^2+(F14-$F$95)^2+(G14-$G$95)^2+(H14-$H$95)^2+(I14-$I$95)^2+(J14-$J$95)^2+(K14-$K$95)^2+(L14-$L$95)^2+(M14-$M$95)^2+(N14-$N$95)^2+(O14-$O$95)^2+(P14-$P$95)^2+(Q14-$Q$95)^2+(R14-$R$95)^2+(S14-$S$95)^2+(T14-$T$95)^2+(U14-$U$95)^2+(V14-$V$95)^2+(W14-$W$95)^2+(X14-$X$95)^2+(Y14-$Y$95)^2+(Z14-$Z$95)^2+(AA14-$AA$95)^2+(AB14-$AB$95)^2+(AC14-$AC$95)^2+(AD14-$AD$95)^2+(AE14-$AE$95)^2+(AF14-$AF$95)^2+(AG14-$AG$95)^2)</f>
        <v>2.8647489690714671</v>
      </c>
      <c r="GW14" s="36" t="s">
        <v>128</v>
      </c>
      <c r="GX14" s="37" t="s">
        <v>120</v>
      </c>
      <c r="GZ14" s="44"/>
      <c r="HA14" s="36">
        <f>SQRT((A14-$A$96)^2+(B14-$B$96)^2+(C14-$C$96)^2+(D14-$D$96)^2+(E14-$E$96)^2+(F14-$F$96)^2+(G14-$G$96)^2+(H14-$H$96)^2+(I14-$I$96)^2+(J14-$J$96)^2+(K14-$K$96)^2+(L14-$L$96)^2+(M14-$M$96)^2+(N14-$N$96)^2+(O14-$O$96)^2+(P14-$P$96)^2+(Q14-$Q$96)^2+(R14-$R$96)^2+(S14-$S$96)^2+(T14-$T$96)^2+(U14-$U$96)^2+(V14-$V$96)^2+(W14-$W$96)^2+(X14-$X$96)^2+(Y14-$Y$96)^2+(Z14-$Z$96)^2+(AA14-$AA$96)^2+(AB14-$AB$96)^2+(AC14-$AC$96)^2+(AD14-$AD$96)^2+(AE14-$AE$96)^2+(AF14-$AF$96)^2+(AG14-$AG$96)^2)</f>
        <v>2.702284628115919</v>
      </c>
      <c r="HB14" s="36" t="s">
        <v>151</v>
      </c>
      <c r="HC14" s="37" t="s">
        <v>120</v>
      </c>
      <c r="HE14" s="44"/>
      <c r="HF14" s="36">
        <f>SQRT((A14-$A$97)^2+(B14-$B$97)^2+(C14-$C$97)^2+(D14-$D$97)^2+(E14-$E$97)^2+(F14-$F$97)^2+(G14-$G$97)^2+(H14-$H$97)^2+(I14-$I$97)^2+(J14-$J$97)^2+(K14-$K$97)^2+(L14-$L$97)^2+(M14-$M$97)^2+(N14-$N$97)^2+(O14-$O$97)^2+(P14-$P$97)^2+(Q14-$Q$97)^2+(R14-$R$97)^2+(S14-$S$97)^2+(T14-$T$97)^2+(U14-$U$97)^2+(V14-$V$97)^2+(W14-$W$97)^2+(X14-$X$97)^2+(Y14-$Y$97)^2+(Z14-$Z$97)^2+(AA14-$AA$97)^2+(AB14-$AB$97)^2+(AC14-$AC$97)^2+(AD14-$AD$97)^2+(AE14-$AE$97)^2+(AF14-$AF$97)^2+(AG14-$AG$97)^2)</f>
        <v>1.2105864042178027</v>
      </c>
      <c r="HG14" s="36" t="s">
        <v>335</v>
      </c>
      <c r="HH14" s="37" t="s">
        <v>120</v>
      </c>
      <c r="HJ14" s="44"/>
      <c r="HK14" s="36">
        <f>SQRT((A14-$A$98)^2+(B14-$B$98)^2+(C14-$C$98)^2+(D14-$D$98)^2+(E14-$E$98)^2+(F14-$F$98)^2+(G14-$G$98)^2+(H14-$H$98)^2+(I14-$I$98)^2+(J14-$J$98)^2+(K14-$K$98)^2+(L14-$L$98)^2+(M14-$M$98)^2+(N14-$N$98)^2+(O14-$O$98)^2+(P14-$P$98)^2+(Q14-$Q$98)^2+(R14-$R$98)^2+(S14-$S$98)^2+(T14-$T$98)^2+(U14-$U$98)^2+(V14-$V$98)^2+(W14-$W$98)^2+(X14-$X$98)^2+(Y14-$Y$98)^2+(Z14-$Z$98)^2+(AA14-$AA$98)^2+(AB14-$AB$98)^2+(AC14-$AC$98)^2+(AD14-$AD$98)^2+(AE14-$AE$98)^2+(AF14-$AF$98)^2+(AG14-$AG$98)^2)</f>
        <v>1.2105864042178027</v>
      </c>
      <c r="HL14" s="36" t="s">
        <v>335</v>
      </c>
      <c r="HM14" s="37" t="s">
        <v>120</v>
      </c>
      <c r="HO14" s="44"/>
      <c r="HP14" s="36">
        <f>SQRT((A14-$A$99)^2+(B14-$B$99)^2+(C14-$C$99)^2+(D14-$D$99)^2+(E14-$E$99)^2+(F14-$F$99)^2+(G14-$G$99)^2+(H14-$H$99)^2+(I14-$I$99)^2+(J14-$J$99)^2+(K14-$K$99)^2+(L14-$L$99)^2+(M14-$M$99)^2+(N14-$N$99)^2+(O14-$O$99)^2+(P14-$P$99)^2+(Q14-$Q$99)^2+(R14-$R$99)^2+(S14-$S$99)^2+(T14-$T$99)^2+(U14-$U$99)^2+(V14-$V$99)^2+(W14-$W$99)^2+(X14-$X$99)^2+(Y14-$Y$99)^2+(Z14-$Z$99)^2+(AA14-$AA$99)^2+(AB14-$AB$99)^2+(AC14-$AC$99)^2+(AD14-$AD$99)^2+(AE14-$AE$99)^2+(AF14-$AF$99)^2+(AG14-$AG$99)^2)</f>
        <v>1.2105864042178027</v>
      </c>
      <c r="HQ14" s="36" t="s">
        <v>335</v>
      </c>
      <c r="HR14" s="37" t="s">
        <v>120</v>
      </c>
      <c r="HT14" s="44"/>
      <c r="HU14" s="36">
        <f>SQRT((A14-$A$100)^2+(B14-$B$100)^2+(C14-$C$100)^2+(D14-$D$100)^2+(E14-$E$100)^2+(F14-$F$100)^2+(G14-$G$100)^2+(H14-$H$100)^2+(I14-$I$100)^2+(J14-$J$100)^2+(K14-$K$100)^2+(L14-$L$100)^2+(M14-$M$100)^2+(N14-$N$100)^2+(O14-$O$100)^2+(P14-$P$100)^2+(Q14-$Q$100)^2+(R14-$R$100)^2+(S14-$S$100)^2+(T14-$T$100)^2+(U14-$U$100)^2+(V14-$V$100)^2+(W14-$W$100)^2+(X14-$X$100)^2+(Y14-$Y$100)^2+(Z14-$Z$100)^2+(AA14-$AA$100)^2+(AB14-$AB$100)^2+(AC14-$AC$100)^2+(AD14-$AD$100)^2+(AE14-$AE$100)^2+(AF14-$AF$100)^2+(AG14-$AG$100)^2)</f>
        <v>1.2105864042178027</v>
      </c>
      <c r="HV14" s="36" t="s">
        <v>335</v>
      </c>
      <c r="HW14" s="37" t="s">
        <v>120</v>
      </c>
      <c r="HY14" s="44"/>
      <c r="HZ14" s="36">
        <f>SQRT((A14-$A$101)^2+(B14-$B$101)^2+(C14-$C$101)^2+(D14-$D$101)^2+(E14-$E$101)^2+(F14-$F$101)^2+(G14-$G$101)^2+(H14-$H$101)^2+(I14-$I$101)^2+(J14-$J$101)^2+(K14-$K$101)^2+(L14-$L$101)^2+(M14-$M$101)^2+(N14-$N$101)^2+(O14-$O$101)^2+(P14-$P$101)^2+(Q14-$Q$101)^2+(R14-$R$101)^2+(S14-$S$101)^2+(T14-$T$101)^2+(U14-$U$101)^2+(V14-$V$101)^2+(W14-$W$101)^2+(X14-$X$101)^2+(Y14-$Y$101)^2+(Z14-$Z$101)^2+(AA14-$AA$101)^2+(AB14-$AB$101)^2+(AC14-$AC$101)^2+(AD14-$AD$101)^2+(AE14-$AE$101)^2+(AF14-$AF$101)^2+(AG14-$AG$101)^2)</f>
        <v>2.167463440731388</v>
      </c>
      <c r="IA14" s="36" t="s">
        <v>126</v>
      </c>
      <c r="IB14" s="37" t="s">
        <v>120</v>
      </c>
    </row>
    <row r="15" spans="1:236" x14ac:dyDescent="0.35">
      <c r="A15" s="2">
        <v>0.5</v>
      </c>
      <c r="B15" s="2">
        <v>0.25</v>
      </c>
      <c r="C15" s="2">
        <v>0.33333333333333298</v>
      </c>
      <c r="D15" s="2">
        <v>0.66666666666666596</v>
      </c>
      <c r="E15" s="2">
        <v>0</v>
      </c>
      <c r="F15" s="2">
        <v>1</v>
      </c>
      <c r="G15" s="2">
        <v>0.55555555555555503</v>
      </c>
      <c r="H15" s="2">
        <v>1</v>
      </c>
      <c r="I15" s="2">
        <v>0.5</v>
      </c>
      <c r="J15" s="2">
        <v>1</v>
      </c>
      <c r="K15" s="2">
        <v>0</v>
      </c>
      <c r="L15" s="2">
        <v>0</v>
      </c>
      <c r="M15" s="2">
        <v>1</v>
      </c>
      <c r="N15" s="2">
        <v>0</v>
      </c>
      <c r="O15" s="2">
        <v>1</v>
      </c>
      <c r="P15" s="2">
        <v>0.4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0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0</v>
      </c>
      <c r="AH15" s="2" t="s">
        <v>120</v>
      </c>
      <c r="AI15" s="42"/>
      <c r="AJ15" s="42"/>
      <c r="AL15" s="44"/>
      <c r="AM15" s="36">
        <f>SQRT((A15-$A$62)^2+(B15-$B$62)^2+(C15-$C$62)^2+(D15-$D$62)^2+(E15-$E$62)^2+(F15-$F$62)^2+(G15-$G$62)^2+(H15-$H$62)^2+(I15-$I$62)^2+(J15-$J$62)^2+(K15-$K$62)^2+(L15-$L$62)^2+(M15-$M$62)^2+(N15-$N$62)^2+(O15-$O$62)^2+(P15-$P$62)^2+(Q15-$Q$62)^2+(R15-$R$62)^2+(S15-$S$62)^2+(T15-$T$62)^2+(U15-$U$62)^2+(V15-$V$62)^2+(W15-$W$62)^2+(X15-$X$62)^2+(Y15-$Y$62)^2+(Z15-$Z$62)^2+(AA15-$AA$62)^2+(AB15-$AB$62)^2+(AC15-$AC$62)^2+(AD15-$AD$62)^2+(AE15-$AE$62)^2+(AF15-$AF$62)^2+(AG15-$AG$62)^2)</f>
        <v>2.1550973166992815</v>
      </c>
      <c r="AN15" s="36" t="s">
        <v>322</v>
      </c>
      <c r="AO15" s="37" t="s">
        <v>120</v>
      </c>
      <c r="AP15" s="30"/>
      <c r="AQ15" s="44"/>
      <c r="AR15" s="36">
        <f>SQRT((A15-$A$63)^2+(B15-$B$63)^2+(C15-$C$63)^2+(D15-$D$63)^2+(E15-$E$63)^2+(F15-$F$63)^2+(G15-$G$63)^2+(H15-$H$63)^2+(I15-$I$63)^2+(J15-$J$63)^2+(K15-$K$63)^2+(L15-$L$63)^2+(M15-$M$63)^2+(N15-$N$63)^2+(O15-$O$63)^2+(P15-$P$63)^2+(Q15-$Q$63)^2+(R15-$R$63)^2+(S15-$S$63)^2+(T15-$T$63)^2+(U15-$U$63)^2+(V15-$V$63)^2+(W15-$W$63)^2+(X15-$X$63)^2+(Y15-$Y$63)^2+(Z15-$Z$63)^2+(AA15-$AA$63)^2+(AB15-$AB$63)^2+(AC15-$AC$63)^2+(AD15-$AD$63)^2+(AE15-$AE$63)^2+(AF15-$AF$63)^2+(AG15-$AG$63)^2)</f>
        <v>1.4037959010430194</v>
      </c>
      <c r="AS15" s="36" t="s">
        <v>132</v>
      </c>
      <c r="AT15" s="37" t="s">
        <v>120</v>
      </c>
      <c r="AU15" s="30"/>
      <c r="AV15" s="44"/>
      <c r="AW15" s="36">
        <f>SQRT((A15-$A$64)^2+(B15-$B$64)^2+(C15-$C$64)^2+(D15-$D$64)^2+(E15-$E$64)^2+(F15-$F$64)^2+(G15-$G$64)^2+(H15-$H$64)^2+(I15-$I$64)^2+(J15-$J$64)^2+(K15-$K$64)^2+(L15-$L$64)^2+(M15-$M$64)^2+(N15-$N$64)^2+(O15-$O$64)^2+(P15-$P$64)^2+(Q15-$Q$64)^2+(R15-$R$64)^2+(S15-$S$64)^2+(T15-$T$64)^2+(U15-$U$64)^2+(V15-$V$64)^2+(W15-$W$64)^2+(X15-$X$64)^2+(Y15-$Y$64)^2+(Z15-$Z$64)^2+(AA15-$AA$64)^2+(AB15-$AB$64)^2+(AC15-$AC$64)^2+(AD15-$AD$64)^2+(AE15-$AE$64)^2+(AF15-$AF$64)^2+(AG15-$AG$64)^2)</f>
        <v>1.4037959010430194</v>
      </c>
      <c r="AX15" s="36" t="s">
        <v>132</v>
      </c>
      <c r="AY15" s="37" t="s">
        <v>120</v>
      </c>
      <c r="AZ15" s="30"/>
      <c r="BA15" s="44"/>
      <c r="BB15" s="36">
        <f>SQRT((A15-$A$65)^2+(B15-$B$65)^2+(C15-$C$65)^2+(D15-$D$65)^2+(E15-$E$65)^2+(F15-$F$65)^2+(G15-$G$65)^2+(H15-$H$65)^2+(I15-$I$65)^2+(J15-$J$65)^2+(K15-$K$65)^2+(L15-$L$65)^2+(M15-$M$65)^2+(N15-$N$65)^2+(O15-$O$65)^2+(P15-$P$65)^2+(Q15-$Q$65)^2+(R15-$R$65)^2+(S15-$S$65)^2+(T15-$T$65)^2+(U15-$U$65)^2+(V15-$V$65)^2+(W15-$W$65)^2+(X15-$X$65)^2+(Y15-$Y$65)^2+(Z15-$Z$65)^2+(AA15-$AA$65)^2+(AB15-$AB$65)^2+(AC15-$AC$65)^2+(AD15-$AD$65)^2+(AE15-$AE$65)^2+(AF15-$AF$65)^2+(AG15-$AG$65)^2)</f>
        <v>1.4037959010430194</v>
      </c>
      <c r="BC15" s="36" t="s">
        <v>132</v>
      </c>
      <c r="BD15" s="37" t="s">
        <v>120</v>
      </c>
      <c r="BE15" s="30"/>
      <c r="BF15" s="44"/>
      <c r="BG15" s="36">
        <f>SQRT((A15-$A$66)^2+(B15-$B$66)^2+(C15-$C$66)^2+(D15-$D$66)^2+(E15-$E$66)^2+(F15-$F$66)^2+(G15-$G$66)^2+(H15-$H$66)^2+(I15-$I$66)^2+(J15-$J$66)^2+(K15-$K$66)^2+(L15-$L$66)^2+(M15-$M$66)^2+(N15-$N$66)^2+(O15-$O$66)^2+(P15-$P$66)^2+(Q15-$Q$66)^2+(R15-$R$66)^2+(S15-$S$66)^2+(T15-$T$66)^2+(U15-$U$66)^2+(V15-$V$66)^2+(W15-$W$66)^2+(X15-$X$66)^2+(Y15-$Y$66)^2+(Z15-$Z$66)^2+(AA15-$AA$66)^2+(AB15-$AB$66)^2+(AC15-$AC$66)^2+(AD15-$AD$66)^2+(AE15-$AE$66)^2+(AF15-$AF$66)^2+(AG15-$AG$66)^2)</f>
        <v>1.4037959010430194</v>
      </c>
      <c r="BH15" s="36" t="s">
        <v>132</v>
      </c>
      <c r="BI15" s="37" t="s">
        <v>120</v>
      </c>
      <c r="BJ15" s="30"/>
      <c r="BK15" s="44"/>
      <c r="BL15" s="36">
        <f>SQRT((A15-$A$67)^2+(B15-$B$67)^2+(C15-$C$67)^2+(D15-$D$67)^2+(E15-$E$67)^2+(F15-$F$67)^2+(G15-$G$67)^2+(H15-$H$67)^2+(I15-$I$67)^2+(J15-$J$67)^2+(K15-$K$67)^2+(L15-$L$67)^2+(M15-$M$67)^2+(N15-$N$67)^2+(O15-$O$67)^2+(P15-$P$67)^2+(Q15-$Q$67)^2+(R15-$R$67)^2+(S15-$S$67)^2+(T15-$T$67)^2+(U15-$U$67)^2+(V15-$V$67)^2+(W15-$W$67)^2+(X15-$X$67)^2+(Y15-$Y$67)^2+(Z15-$Z$67)^2+(AA15-$AA$67)^2+(AB15-$AB$67)^2+(AC15-$AC$67)^2+(AD15-$AD$67)^2+(AE15-$AE$67)^2+(AF15-$AF$67)^2+(AG15-$AG$67)^2)</f>
        <v>1.4037959010430194</v>
      </c>
      <c r="BM15" s="36" t="s">
        <v>132</v>
      </c>
      <c r="BN15" s="37" t="s">
        <v>120</v>
      </c>
      <c r="BO15" s="30"/>
      <c r="BP15" s="44"/>
      <c r="BQ15" s="36">
        <f>SQRT((A15-$A$68)^2+(B15-$B$68)^2+(C15-$C$68)^2+(D15-$D$68)^2+(E15-$E$68)^2+(F15-$F$68)^2+(G15-$G$68)^2+(H15-$H$68)^2+(I15-$I$68)^2+(J15-$J$68)^2+(K15-$K$68)^2+(L15-$L$68)^2+(M15-$M$68)^2+(N15-$N$68)^2+(O15-$O$68)^2+(P15-$P$68)^2+(Q15-$Q$68)^2+(R15-$R$68)^2+(S15-$S$68)^2+(T15-$T$68)^2+(U15-$U$68)^2+(V15-$V$68)^2+(W15-$W$68)^2+(X15-$X$68)^2+(Y15-$Y$68)^2+(Z15-$Z$68)^2+(AA15-$AA$68)^2+(AB15-$AB$68)^2+(AC15-$AC$68)^2+(AD15-$AD$68)^2+(AE15-$AE$68)^2+(AF15-$AF$68)^2+(AG15-$AG$68)^2)</f>
        <v>1.4037959010430194</v>
      </c>
      <c r="BR15" s="36" t="s">
        <v>132</v>
      </c>
      <c r="BS15" s="37" t="s">
        <v>120</v>
      </c>
      <c r="BT15" s="30"/>
      <c r="BU15" s="44"/>
      <c r="BV15" s="36">
        <f>SQRT((A15-$A$69)^2+(B15-$B$69)^2+(C15-$C$69)^2+(D15-$D$69)^2+(E15-$E$69)^2+(F15-$F$69)^2+(G15-$G$69)^2+(H15-$H$69)^2+(I15-$I$69)^2+(J15-$J$69)^2+(K15-$K$69)^2+(L15-$L$69)^2+(M15-$M$69)^2+(N15-$N$69)^2+(O15-$O$69)^2+(P15-$P$69)^2+(Q15-$Q$69)^2+(R15-$R$69)^2+(S15-$S$69)^2+(T15-$T$69)^2+(U15-$U$69)^2+(V15-$V$69)^2+(W15-$W$69)^2+(X15-$X$69)^2+(Y15-$Y$69)^2+(Z15-$Z$69)^2+(AA15-$AA$69)^2+(AB15-$AB$69)^2+(AC15-$AC$69)^2+(AD15-$AD$69)^2+(AE15-$AE$69)^2+(AF15-$AF$69)^2+(AG15-$AG$69)^2)</f>
        <v>2.567532211397018</v>
      </c>
      <c r="BW15" s="36" t="s">
        <v>337</v>
      </c>
      <c r="BX15" s="37" t="s">
        <v>120</v>
      </c>
      <c r="BZ15" s="44"/>
      <c r="CA15" s="36">
        <f>SQRT((A15-$A$70)^2+(B15-$B$70)^2+(C15-$C$70)^2+(D15-$D$70)^2+(E15-$E$70)^2+(F15-$F$70)^2+(G15-$G$70)^2+(H15-$H$70)^2+(I15-$I$70)^2+(J15-$J$70)^2+(K15-$K$70)^2+(L15-$L$70)^2+(M15-$M$70)^2+(N15-$N$70)^2+(O15-$O$70)^2+(P15-$P$70)^2+(Q15-$Q$70)^2+(R15-$R$70)^2+(S15-$S$70)^2+(T15-$T$70)^2+(U15-$U$70)^2+(V15-$V$70)^2+(W15-$W$70)^2+(X15-$X$70)^2+(Y15-$Y$70)^2+(Z15-$Z$70)^2+(AA15-$AA$70)^2+(AB15-$AB$70)^2+(AC15-$AC$70)^2+(AD15-$AD$70)^2+(AE15-$AE$70)^2+(AF15-$AF$70)^2+(AG15-$AG$70)^2)</f>
        <v>1.8343820527182497</v>
      </c>
      <c r="CB15" s="36" t="s">
        <v>126</v>
      </c>
      <c r="CC15" s="37" t="s">
        <v>120</v>
      </c>
      <c r="CE15" s="44"/>
      <c r="CF15" s="36">
        <f>SQRT((A15-$A$71)^2+(B15-$B$71)^2+(C15-$C$71)^2+(D15-$D$71)^2+(E15-$E$71)^2+(F15-$F$71)^2+(G15-$G$71)^2+(H15-$H$71)^2+(I15-$I$71)^2+(J15-$J$71)^2+(K15-$K$71)^2+(L15-$L$71)^2+(M15-$M$71)^2+(N15-$N$71)^2+(O15-$O$71)^2+(P15-$P$71)^2+(Q15-$Q$71)^2+(R15-$R$71)^2+(S15-$S$71)^2+(T15-$T$71)^2+(U15-$U$71)^2+(V15-$V$71)^2+(W15-$W$71)^2+(X15-$X$71)^2+(Y15-$Y$71)^2+(Z15-$Z$71)^2+(AA15-$AA$71)^2+(AB15-$AB$71)^2+(AC15-$AC$71)^2+(AD15-$AD$71)^2+(AE15-$AE$71)^2+(AF15-$AF$71)^2+(AG15-$AG$71)^2)</f>
        <v>1.5490899707754362</v>
      </c>
      <c r="CG15" s="36" t="s">
        <v>321</v>
      </c>
      <c r="CH15" s="37" t="s">
        <v>120</v>
      </c>
      <c r="CJ15" s="44"/>
      <c r="CK15" s="36">
        <f>SQRT((A15-$A$72)^2+(B15-$B$72)^2+(C15-$C$72)^2+(D15-$D$72)^2+(E15-$E$72)^2+(F15-$F$72)^2+(G15-$G$72)^2+(H15-$H$72)^2+(I15-$I$72)^2+(J15-$J$72)^2+(K15-$K$72)^2+(L15-$L$72)^2+(M15-$M$72)^2+(N15-$N$72)^2+(O15-$O$72)^2+(P15-$P$72)^2+(Q15-$Q$72)^2+(R15-$R$72)^2+(S15-$S$72)^2+(T15-$T$72)^2+(U15-$U$72)^2+(V15-$V$72)^2+(W15-$W$72)^2+(X15-$X$72)^2+(Y15-$Y$72)^2+(Z15-$Z$72)^2+(AA15-$AA$72)^2+(AB15-$AB$72)^2+(AC15-$AC$72)^2+(AD15-$AD$72)^2+(AE15-$AE$72)^2+(AF15-$AF$72)^2+(AG15-$AG$72)^2)</f>
        <v>1.6798058336580477</v>
      </c>
      <c r="CL15" s="36" t="s">
        <v>149</v>
      </c>
      <c r="CM15" s="37" t="s">
        <v>120</v>
      </c>
      <c r="CO15" s="44"/>
      <c r="CP15" s="36">
        <f>SQRT((A15-$A$73)^2+(B15-$B$73)^2+(C15-$C$73)^2+(D15-$D$73)^2+(E15-$E$73)^2+(F15-$F$73)^2+(G15-$G$73)^2+(H15-$H$73)^2+(I15-$I$73)^2+(J15-$J$73)^2+(K15-$K$73)^2+(L15-$L$73)^2+(M15-$M$73)^2+(N15-$N$73)^2+(O15-$O$73)^2+(P15-$P$73)^2+(Q15-$Q$73)^2+(R15-$R$73)^2+(S15-$S$73)^2+(T15-$T$73)^2+(U15-$U$73)^2+(V15-$V$73)^2+(W15-$W$73)^2+(X15-$X$73)^2+(Y15-$Y$73)^2+(Z15-$Z$73)^2+(AA15-$AA$73)^2+(AB15-$AB$73)^2+(AC15-$AC$73)^2+(AD15-$AD$73)^2+(AE15-$AE$73)^2+(AF15-$AF$73)^2+(AG15-$AG$73)^2)</f>
        <v>2.0168732676541126</v>
      </c>
      <c r="CQ15" s="36" t="s">
        <v>318</v>
      </c>
      <c r="CR15" s="37" t="s">
        <v>120</v>
      </c>
      <c r="CT15" s="44"/>
      <c r="CU15" s="36">
        <f>SQRT((A15-$A$74)^2+(B15-$B$74)^2+(C15-$C$74)^2+(D15-$D$74)^2+(E15-$E$74)^2+(F15-$F$74)^2+(G15-$G$74)^2+(H15-$H$74)^2+(I15-$I$74)^2+(J15-$J$74)^2+(K15-$K$74)^2+(L15-$L$74)^2+(M15-$M$74)^2+(N15-$N$74)^2+(O15-$O$74)^2+(P15-$P$74)^2+(Q15-$Q$74)^2+(R15-$R$74)^2+(S15-$S$74)^2+(T15-$T$74)^2+(U15-$U$74)^2+(V15-$V$74)^2+(W15-$W$74)^2+(X15-$X$74)^2+(Y15-$Y$74)^2+(Z15-$Z$74)^2+(AA15-$AA$74)^2+(AB15-$AB$74)^2+(AC15-$AC$74)^2+(AD15-$AD$74)^2+(AE15-$AE$74)^2+(AF15-$AF$74)^2+(AG15-$AG$74)^2)</f>
        <v>1.7320508075688772</v>
      </c>
      <c r="CV15" s="36" t="s">
        <v>319</v>
      </c>
      <c r="CW15" s="37" t="s">
        <v>120</v>
      </c>
      <c r="CY15" s="44"/>
      <c r="CZ15" s="36">
        <f>SQRT((A15-$A$75)^2+(B15-$B$75)^2+(C15-$C$75)^2+(D15-$D$75)^2+(E15-$E$75)^2+(F15-$F$75)^2+(G15-$G$75)^2+(H15-$H$75)^2+(I15-$I$75)^2+(J15-$J$75)^2+(K15-$K$75)^2+(L15-$L$75)^2+(M15-$M$75)^2+(N15-$N$75)^2+(O15-$O$75)^2+(P15-$P$75)^2+(Q15-$Q$75)^2+(R15-$R$75)^2+(S15-$S$75)^2+(T15-$T$75)^2+(U15-$U$75)^2+(V15-$V$75)^2+(W15-$W$75)^2+(X15-$X$75)^2+(Y15-$Y$75)^2+(Z15-$Z$75)^2+(AA15-$AA$75)^2+(AB15-$AB$75)^2+(AC15-$AC$75)^2+(AD15-$AD$75)^2+(AE15-$AE$75)^2+(AF15-$AF$75)^2+(AG15-$AG$75)^2)</f>
        <v>1.7751369274259132</v>
      </c>
      <c r="DA15" s="36" t="s">
        <v>128</v>
      </c>
      <c r="DB15" s="37" t="s">
        <v>120</v>
      </c>
      <c r="DD15" s="44"/>
      <c r="DE15" s="36">
        <f>SQRT((A15-$A$76)^2+(B15-$B$76)^2+(C15-$C$76)^2+(D15-$D$76)^2+(E15-$E$76)^2+(F15-$F$76)^2+(G15-$G$76)^2+(H15-$H$76)^2+(I15-$I$76)^2+(J15-$J$76)^2+(K15-$K$76)^2+(L15-$L$76)^2+(M15-$M$76)^2+(N15-$N$76)^2+(O15-$O$76)^2+(P15-$P$76)^2+(Q15-$Q$76)^2+(R15-$R$76)^2+(S15-$S$76)^2+(T15-$T$76)^2+(U15-$U$76)^2+(V15-$V$76)^2+(W15-$W$76)^2+(X15-$X$76)^2+(Y15-$Y$76)^2+(Z15-$Z$76)^2+(AA15-$AA$76)^2+(AB15-$AB$76)^2+(AC15-$AC$76)^2+(AD15-$AD$76)^2+(AE15-$AE$76)^2+(AF15-$AF$76)^2+(AG15-$AG$76)^2)</f>
        <v>1.697710877099579</v>
      </c>
      <c r="DF15" s="36" t="s">
        <v>331</v>
      </c>
      <c r="DG15" s="37" t="s">
        <v>120</v>
      </c>
      <c r="DI15" s="44"/>
      <c r="DJ15" s="36">
        <f>SQRT((A15-$A$77)^2+(B15-$B$77)^2+(C15-$C$77)^2+(D15-$D$77)^2+(E15-$E$77)^2+(F15-$F$77)^2+(G15-$G$77)^2+(H15-$H$77)^2+(I15-$I$77)^2+(J15-$J$77)^2+(K15-$K$77)^2+(L15-$L$77)^2+(M15-$M$77)^2+(N15-$N$77)^2+(O15-$O$77)^2+(P15-$P$77)^2+(Q15-$Q$77)^2+(R15-$R$77)^2+(S15-$S$77)^2+(T15-$T$77)^2+(U15-$U$77)^2+(V15-$V$77)^2+(W15-$W$77)^2+(X15-$X$77)^2+(Y15-$Y$77)^2+(Z15-$Z$77)^2+(AA15-$AA$77)^2+(AB15-$AB$77)^2+(AC15-$AC$77)^2+(AD15-$AD$77)^2+(AE15-$AE$77)^2+(AF15-$AF$77)^2+(AG15-$AG$77)^2)</f>
        <v>2.2588713996153036</v>
      </c>
      <c r="DK15" s="36" t="s">
        <v>151</v>
      </c>
      <c r="DL15" s="37" t="s">
        <v>120</v>
      </c>
      <c r="DN15" s="44"/>
      <c r="DO15" s="36">
        <f>SQRT((A15-$A$78)^2+(B15-$B$78)^2+(C15-$C$78)^2+(D15-$D$78)^2+(E15-$E$78)^2+(F15-$F$78)^2+(G15-$G$78)^2+(H15-$H$78)^2+(I15-$I$78)^2+(J15-$J$78)^2+(K15-$K$78)^2+(L15-$L$78)^2+(M15-$M$78)^2+(N15-$N$78)^2+(O15-$O$78)^2+(P15-$P$78)^2+(Q15-$Q$78)^2+(R15-$R$78)^2+(S15-$S$78)^2+(T15-$T$78)^2+(U15-$U$78)^2+(V15-$V$78)^2+(W15-$W$78)^2+(X15-$X$78)^2+(Y15-$Y$78)^2+(Z15-$Z$78)^2+(AA15-$AA$78)^2+(AB15-$AB$78)^2+(AC15-$AC$78)^2+(AD15-$AD$78)^2+(AE15-$AE$78)^2+(AF15-$AF$78)^2+(AG15-$AG$78)^2)</f>
        <v>1.8338489565335314</v>
      </c>
      <c r="DP15" s="36" t="s">
        <v>325</v>
      </c>
      <c r="DQ15" s="37" t="s">
        <v>120</v>
      </c>
      <c r="DS15" s="44"/>
      <c r="DT15" s="36">
        <f>SQRT((A15-$A$79)^2+(B15-$B$79)^2+(C15-$C$79)^2+(D15-$D$79)^2+(E15-$E$79)^2+(F15-$F$79)^2+(G15-$G$79)^2+(H15-$H$79)^2+(I15-$I$79)^2+(J15-$J$79)^2+(K15-$K$79)^2+(L15-$L$79)^2+(M15-$M$79)^2+(N15-$N$79)^2+(O15-$O$79)^2+(P15-$P$79)^2+(Q15-$Q$79)^2+(R15-$R$79)^2+(S15-$S$79)^2+(T15-$T$79)^2+(U15-$U$79)^2+(V15-$V$79)^2+(W15-$W$79)^2+(X15-$X$79)^2+(Y15-$Y$79)^2+(Z15-$Z$79)^2+(AA15-$AA$79)^2+(AB15-$AB$79)^2+(AC15-$AC$79)^2+(AD15-$AD$79)^2+(AE15-$AE$79)^2+(AF15-$AF$79)^2+(AG15-$AG$79)^2)</f>
        <v>1.5532894229277123</v>
      </c>
      <c r="DU15" s="36" t="s">
        <v>152</v>
      </c>
      <c r="DV15" s="37" t="s">
        <v>120</v>
      </c>
      <c r="DX15" s="44"/>
      <c r="DY15" s="36">
        <f>SQRT((A15-$A$80)^2+(B15-$B$80)^2+(C15-$C$80)^2+(D15-$D$80)^2+(E15-$E$80)^2+(F15-$F$80)^2+(G15-$G$80)^2+(H15-$H$80)^2+(I15-$I$80)^2+(J15-$J$80)^2+(K15-$K$80)^2+(L15-$L$80)^2+(M15-$M$80)^2+(N15-$N$80)^2+(O15-$O$80)^2+(P15-$P$80)^2+(Q15-$Q$80)^2+(R15-$R$80)^2+(S15-$S$80)^2+(T15-$T$80)^2+(U15-$U$80)^2+(V15-$V$80)^2+(W15-$W$80)^2+(X15-$X$80)^2+(Y15-$Y$80)^2+(Z15-$Z$80)^2+(AA15-$AA$80)^2+(AB15-$AB$80)^2+(AC15-$AC$80)^2+(AD15-$AD$80)^2+(AE15-$AE$80)^2+(AF15-$AF$80)^2+(AG15-$AG$80)^2)</f>
        <v>0.16666666666666702</v>
      </c>
      <c r="DZ15" s="36" t="s">
        <v>127</v>
      </c>
      <c r="EA15" s="37" t="s">
        <v>120</v>
      </c>
      <c r="EC15" s="44"/>
      <c r="ED15" s="36">
        <f>SQRT((A15-$A$81)^2+(B15-$B$81)^2+(C15-$C$81)^2+(D15-$D$81)^2+(E15-$E$81)^2+(F15-$F$81)^2+(G15-$G$81)^2+(H15-$H$81)^2+(I15-$I$81)^2+(J15-$J$81)^2+(K15-$K$81)^2+(L15-$L$81)^2+(M15-$M$81)^2+(N15-$N$81)^2+(O15-$O$81)^2+(P15-$P$81)^2+(Q15-$Q$81)^2+(R15-$R$81)^2+(S15-$S$81)^2+(T15-$T$81)^2+(U15-$U$81)^2+(V15-$V$81)^2+(W15-$W$81)^2+(X15-$X$81)^2+(Y15-$Y$81)^2+(Z15-$Z$81)^2+(AA15-$AA$81)^2+(AB15-$AB$81)^2+(AC15-$AC$81)^2+(AD15-$AD$81)^2+(AE15-$AE$81)^2+(AF15-$AF$81)^2+(AG15-$AG$81)^2)</f>
        <v>0.49131343243278908</v>
      </c>
      <c r="EE15" s="36" t="s">
        <v>127</v>
      </c>
      <c r="EF15" s="37" t="s">
        <v>120</v>
      </c>
      <c r="EH15" s="44"/>
      <c r="EI15" s="36">
        <f>SQRT((A15-$A$82)^2+(B15-$B$82)^2+(C15-$C$82)^2+(D15-$D$82)^2+(E15-$E$82)^2+(F15-$F$82)^2+(G15-$G$82)^2+(H15-$H$82)^2+(I15-$I$82)^2+(J15-$J$82)^2+(K15-$K$82)^2+(L15-$L$82)^2+(M15-$M$82)^2+(N15-$N$82)^2+(O15-$O$82)^2+(P15-$P$82)^2+(Q15-$Q$82)^2+(R15-$R$82)^2+(S15-$S$82)^2+(T15-$T$82)^2+(U15-$U$82)^2+(V15-$V$82)^2+(W15-$W$82)^2+(X15-$X$82)^2+(Y15-$Y$82)^2+(Z15-$Z$82)^2+(AA15-$AA$82)^2+(AB15-$AB$82)^2+(AC15-$AC$82)^2+(AD15-$AD$82)^2+(AE15-$AE$82)^2+(AF15-$AF$82)^2+(AG15-$AG$82)^2)</f>
        <v>2.1283018258803867</v>
      </c>
      <c r="EJ15" s="36" t="s">
        <v>129</v>
      </c>
      <c r="EK15" s="37" t="s">
        <v>120</v>
      </c>
      <c r="EM15" s="44"/>
      <c r="EN15" s="36">
        <f>SQRT((A15-$A$83)^2+(B15-$B$83)^2+(C15-$C$83)^2+(D15-$D$83)^2+(E15-$E$83)^2+(F15-$F$83)^2+(G15-$G$83)^2+(H15-$H$83)^2+(I15-$I$83)^2+(J15-$J$83)^2+(K15-$K$83)^2+(L15-$L$83)^2+(M15-$M$83)^2+(N15-$N$83)^2+(O15-$O$83)^2+(P15-$P$83)^2+(Q15-$Q$83)^2+(R15-$R$83)^2+(S15-$S$83)^2+(T15-$T$83)^2+(U15-$U$83)^2+(V15-$V$83)^2+(W15-$W$83)^2+(X15-$X$83)^2+(Y15-$Y$83)^2+(Z15-$Z$83)^2+(AA15-$AA$83)^2+(AB15-$AB$83)^2+(AC15-$AC$83)^2+(AD15-$AD$83)^2+(AE15-$AE$83)^2+(AF15-$AF$83)^2+(AG15-$AG$83)^2)</f>
        <v>1.7921749033696488</v>
      </c>
      <c r="EO15" s="36" t="s">
        <v>129</v>
      </c>
      <c r="EP15" s="37" t="s">
        <v>120</v>
      </c>
      <c r="ER15" s="44"/>
      <c r="ES15" s="36">
        <f>SQRT((A15-$A$84)^2+(B15-$B$84)^2+(C15-$C$84)^2+(D15-$D$84)^2+(E15-$E$84)^2+(F15-$F$84)^2+(G15-$G$84)^2+(H15-$H$84)^2+(I15-$I$84)^2+(J15-$J$84)^2+(K15-$K$84)^2+(L15-$L$84)^2+(M15-$M$84)^2+(N15-$N$84)^2+(O15-$O$84)^2+(P15-$P$84)^2+(Q15-$Q$84)^2+(R15-$R$84)^2+(S15-$S$84)^2+(T15-$T$84)^2+(U15-$U$84)^2+(V15-$V$84)^2+(W15-$W$84)^2+(X15-$X$84)^2+(Y15-$Y$84)^2+(Z15-$Z$84)^2+(AA15-$AA$84)^2+(AB15-$AB$84)^2+(AC15-$AC$84)^2+(AD15-$AD$84)^2+(AE15-$AE$84)^2+(AF15-$AF$84)^2+(AG15-$AG$84)^2)</f>
        <v>1.4037959010430194</v>
      </c>
      <c r="ET15" s="36" t="s">
        <v>132</v>
      </c>
      <c r="EU15" s="37" t="s">
        <v>120</v>
      </c>
      <c r="EW15" s="44"/>
      <c r="EX15" s="36">
        <f>SQRT((A15-$A$85)^2+(B15-$B$85)^2+(C15-$C$85)^2+(D15-$D$85)^2+(E15-$E$85)^2+(F15-$F$85)^2+(G15-$G$85)^2+(H15-$H$85)^2+(I15-$I$85)^2+(J15-$J$85)^2+(K15-$K$85)^2+(L15-$L$85)^2+(M15-$M$85)^2+(N15-$N$85)^2+(O15-$O$85)^2+(P15-$P$85)^2+(Q15-$Q$85)^2+(R15-$R$85)^2+(S15-$S$85)^2+(T15-$T$85)^2+(U15-$U$85)^2+(V15-$V$85)^2+(W15-$W$85)^2+(X15-$X$85)^2+(Y15-$Y$85)^2+(Z15-$Z$85)^2+(AA15-$AA$85)^2+(AB15-$AB$85)^2+(AC15-$AC$85)^2+(AD15-$AD$85)^2+(AE15-$AE$85)^2+(AF15-$AF$85)^2+(AG15-$AG$85)^2)</f>
        <v>1.4037959010430194</v>
      </c>
      <c r="EY15" s="36" t="s">
        <v>132</v>
      </c>
      <c r="EZ15" s="37" t="s">
        <v>120</v>
      </c>
      <c r="FB15" s="44"/>
      <c r="FC15" s="36">
        <f>SQRT((A15-$A$86)^2+(B15-$B$86)^2+(C15-$C$86)^2+(D15-$D$86)^2+(E15-$E$86)^2+(F15-$F$86)^2+(G15-$G$86)^2+(H15-$H$86)^2+(I15-$I$86)^2+(J15-$J$86)^2+(K15-$K$86)^2+(L15-$L$86)^2+(M15-$M$86)^2+(N15-$N$86)^2+(O15-$O$86)^2+(P15-$P$86)^2+(Q15-$Q$86)^2+(R15-$R$86)^2+(S15-$S$86)^2+(T15-$T$86)^2+(U15-$U$86)^2+(V15-$V$86)^2+(W15-$W$86)^2+(X15-$X$86)^2+(Y15-$Y$86)^2+(Z15-$Z$86)^2+(AA15-$AA$86)^2+(AB15-$AB$86)^2+(AC15-$AC$86)^2+(AD15-$AD$86)^2+(AE15-$AE$86)^2+(AF15-$AF$86)^2+(AG15-$AG$86)^2)</f>
        <v>1.4037959010430194</v>
      </c>
      <c r="FD15" s="36" t="s">
        <v>132</v>
      </c>
      <c r="FE15" s="37" t="s">
        <v>120</v>
      </c>
      <c r="FG15" s="44"/>
      <c r="FH15" s="36">
        <f>SQRT((A15-$A$87)^2+(B15-$B$87)^2+(C15-$C$87)^2+(D15-$D$87)^2+(E15-$E$87)^2+(F15-$F$87)^2+(G15-$G$87)^2+(H15-$H$87)^2+(I15-$I$87)^2+(J15-$J$87)^2+(K15-$K$87)^2+(L15-$L$87)^2+(M15-$M$87)^2+(N15-$N$87)^2+(O15-$O$87)^2+(P15-$P$87)^2+(Q15-$Q$87)^2+(R15-$R$87)^2+(S15-$S$87)^2+(T15-$T$87)^2+(U15-$U$87)^2+(V15-$V$87)^2+(W15-$W$87)^2+(X15-$X$87)^2+(Y15-$Y$87)^2+(Z15-$Z$87)^2+(AA15-$AA$87)^2+(AB15-$AB$87)^2+(AC15-$AC$87)^2+(AD15-$AD$87)^2+(AE15-$AE$87)^2+(AF15-$AF$87)^2+(AG15-$AG$87)^2)</f>
        <v>1.864880097426582</v>
      </c>
      <c r="FI15" s="36" t="s">
        <v>127</v>
      </c>
      <c r="FJ15" s="37" t="s">
        <v>120</v>
      </c>
      <c r="FL15" s="44"/>
      <c r="FM15" s="36">
        <f>SQRT((A15-$A$88)^2+(B15-$B$88)^2+(C15-$C$88)^2+(D15-$D$88)^2+(E15-$E$88)^2+(F15-$F$88)^2+(G15-$G$88)^2+(H15-$H$88)^2+(I15-$I$88)^2+(J15-$J$88)^2+(K15-$K$88)^2+(L15-$L$88)^2+(M15-$M$88)^2+(N15-$N$88)^2+(O15-$O$88)^2+(P15-$P$88)^2+(Q15-$Q$88)^2+(R15-$R$88)^2+(S15-$S$88)^2+(T15-$T$88)^2+(U15-$U$88)^2+(V15-$V$88)^2+(W15-$W$88)^2+(X15-$X$88)^2+(Y15-$Y$88)^2+(Z15-$Z$88)^2+(AA15-$AA$88)^2+(AB15-$AB$88)^2+(AC15-$AC$88)^2+(AD15-$AD$88)^2+(AE15-$AE$88)^2+(AF15-$AF$88)^2+(AG15-$AG$88)^2)</f>
        <v>1.6084712423780048</v>
      </c>
      <c r="FN15" s="36" t="s">
        <v>322</v>
      </c>
      <c r="FO15" s="37" t="s">
        <v>120</v>
      </c>
      <c r="FQ15" s="44"/>
      <c r="FR15" s="36">
        <f>SQRT((A15-$A$89)^2+(B15-$B$89)^2+(C15-$C$89)^2+(D15-$D$89)^2+(E15-$E$89)^2+(F15-$F$89)^2+(G15-$G$89)^2+(H15-$H$89)^2+(I15-$I$89)^2+(J15-$J$89)^2+(K15-$K$89)^2+(L15-$L$89)^2+(M15-$M$89)^2+(N15-$N$89)^2+(O15-$O$89)^2+(P15-$P$89)^2+(Q15-$Q$89)^2+(R15-$R$89)^2+(S15-$S$89)^2+(T15-$T$89)^2+(U15-$U$89)^2+(V15-$V$89)^2+(W15-$W$89)^2+(X15-$X$89)^2+(Y15-$Y$89)^2+(Z15-$Z$89)^2+(AA15-$AA$89)^2+(AB15-$AB$89)^2+(AC15-$AC$89)^2+(AD15-$AD$89)^2+(AE15-$AE$89)^2+(AF15-$AF$89)^2+(AG15-$AG$89)^2)</f>
        <v>0.38873012632301979</v>
      </c>
      <c r="FS15" s="36" t="s">
        <v>153</v>
      </c>
      <c r="FT15" s="37" t="s">
        <v>120</v>
      </c>
      <c r="FV15" s="44"/>
      <c r="FW15" s="36">
        <f>SQRT((A15-$A$90)^2+(B15-$B$90)^2+(C15-$C$90)^2+(D15-$D$90)^2+(E15-$E$90)^2+(F15-$F$90)^2+(G15-$G$90)^2+(H15-$H$90)^2+(I15-$I$90)^2+(J15-$J$90)^2+(K15-$K$90)^2+(L15-$L$90)^2+(M15-$M$90)^2+(N15-$N$90)^2+(O15-$O$90)^2+(P15-$P$90)^2+(Q15-$Q$90)^2+(R15-$R$90)^2+(S15-$S$90)^2+(T15-$T$90)^2+(U15-$U$90)^2+(V15-$V$90)^2+(W15-$W$90)^2+(X15-$X$90)^2+(Y15-$Y$90)^2+(Z15-$Z$90)^2+(AA15-$AA$90)^2+(AB15-$AB$90)^2+(AC15-$AC$90)^2+(AD15-$AD$90)^2+(AE15-$AE$90)^2+(AF15-$AF$90)^2+(AG15-$AG$90)^2)</f>
        <v>2.1328124364061853</v>
      </c>
      <c r="FX15" s="36" t="s">
        <v>153</v>
      </c>
      <c r="FY15" s="37" t="s">
        <v>120</v>
      </c>
      <c r="GA15" s="44"/>
      <c r="GB15" s="36">
        <f>SQRT((A15-$A$91)^2+(B15-$B$91)^2+(C15-$C$91)^2+(D15-$D$91)^2+(E15-$E$91)^2+(F15-$F$91)^2+(G15-$G$91)^2+(H15-$H$91)^2+(I15-$I$91)^2+(J15-$J$91)^2+(K15-$K$91)^2+(L15-$L$91)^2+(M15-$M$91)^2+(N15-$N$91)^2+(O15-$O$91)^2+(P15-$P$91)^2+(Q15-$Q$91)^2+(R15-$R$91)^2+(S15-$S$91)^2+(T15-$T$91)^2+(U15-$U$91)^2+(V15-$V$91)^2+(W15-$W$91)^2+(X15-$X$91)^2+(Y15-$Y$91)^2+(Z15-$Z$91)^2+(AA15-$AA$91)^2+(AB15-$AB$91)^2+(AC15-$AC$91)^2+(AD15-$AD$91)^2+(AE15-$AE$91)^2+(AF15-$AF$91)^2+(AG15-$AG$91)^2)</f>
        <v>2.4235534058714512</v>
      </c>
      <c r="GC15" s="36" t="s">
        <v>144</v>
      </c>
      <c r="GD15" s="37" t="s">
        <v>120</v>
      </c>
      <c r="GF15" s="44"/>
      <c r="GG15" s="36">
        <f>SQRT((A15-$A$92)^2+(B15-$B$92)^2+(C15-$C$92)^2+(D15-$D$92)^2+(E15-$E$92)^2+(F15-$F$92)^2+(G15-$G$92)^2+(H15-$H$92)^2+(I15-$I$92)^2+(J15-$J$92)^2+(K15-$K$92)^2+(L15-$L$92)^2+(M15-$M$92)^2+(N15-$N$92)^2+(O15-$O$92)^2+(P15-$P$92)^2+(Q15-$Q$92)^2+(R15-$R$92)^2+(S15-$S$92)^2+(T15-$T$92)^2+(U15-$U$92)^2+(V15-$V$92)^2+(W15-$W$92)^2+(X15-$X$92)^2+(Y15-$Y$92)^2+(Z15-$Z$92)^2+(AA15-$AA$92)^2+(AB15-$AB$92)^2+(AC15-$AC$92)^2+(AD15-$AD$92)^2+(AE15-$AE$92)^2+(AF15-$AF$92)^2+(AG15-$AG$92)^2)</f>
        <v>2.08258967095226</v>
      </c>
      <c r="GH15" s="36" t="s">
        <v>125</v>
      </c>
      <c r="GI15" s="37" t="s">
        <v>120</v>
      </c>
      <c r="GK15" s="44"/>
      <c r="GL15" s="36">
        <f>SQRT((A15-$A$93)^2+(B15-$B$93)^2+(C15-$C$93)^2+(D15-$D$93)^2+(E15-$E$93)^2+(F15-$F$93)^2+(G15-$G$93)^2+(H15-$H$93)^2+(I15-$I$93)^2+(J15-$J$93)^2+(K15-$K$93)^2+(L15-$L$93)^2+(M15-$M$93)^2+(N15-$N$93)^2+(O15-$O$93)^2+(P15-$P$93)^2+(Q15-$Q$93)^2+(R15-$R$93)^2+(S15-$S$93)^2+(T15-$T$93)^2+(U15-$U$93)^2+(V15-$V$93)^2+(W15-$W$93)^2+(X15-$X$93)^2+(Y15-$Y$93)^2+(Z15-$Z$93)^2+(AA15-$AA$93)^2+(AB15-$AB$93)^2+(AC15-$AC$93)^2+(AD15-$AD$93)^2+(AE15-$AE$93)^2+(AF15-$AF$93)^2+(AG15-$AG$93)^2)</f>
        <v>2.6141176544125</v>
      </c>
      <c r="GM15" s="36" t="s">
        <v>149</v>
      </c>
      <c r="GN15" s="37" t="s">
        <v>120</v>
      </c>
      <c r="GP15" s="44"/>
      <c r="GQ15" s="36">
        <f>SQRT((A15-$A$94)^2+(B15-$B$94)^2+(C15-$C$94)^2+(D15-$D$94)^2+(E15-$E$94)^2+(F15-$F$94)^2+(G15-$G$94)^2+(H15-$H$94)^2+(I15-$I$94)^2+(J15-$J$94)^2+(K15-$K$94)^2+(L15-$L$94)^2+(M15-$M$94)^2+(N15-$N$94)^2+(O15-$O$94)^2+(P15-$P$94)^2+(Q15-$Q$94)^2+(R15-$R$94)^2+(S15-$S$94)^2+(T15-$T$94)^2+(U15-$U$94)^2+(V15-$V$94)^2+(W15-$W$94)^2+(X15-$X$94)^2+(Y15-$Y$94)^2+(Z15-$Z$94)^2+(AA15-$AA$94)^2+(AB15-$AB$94)^2+(AC15-$AC$94)^2+(AD15-$AD$94)^2+(AE15-$AE$94)^2+(AF15-$AF$94)^2+(AG15-$AG$94)^2)</f>
        <v>1.9935177718019554</v>
      </c>
      <c r="GR15" s="36" t="s">
        <v>337</v>
      </c>
      <c r="GS15" s="37" t="s">
        <v>120</v>
      </c>
      <c r="GU15" s="44"/>
      <c r="GV15" s="36">
        <f>SQRT((A15-$A$95)^2+(B15-$B$95)^2+(C15-$C$95)^2+(D15-$D$95)^2+(E15-$E$95)^2+(F15-$F$95)^2+(G15-$G$95)^2+(H15-$H$95)^2+(I15-$I$95)^2+(J15-$J$95)^2+(K15-$K$95)^2+(L15-$L$95)^2+(M15-$M$95)^2+(N15-$N$95)^2+(O15-$O$95)^2+(P15-$P$95)^2+(Q15-$Q$95)^2+(R15-$R$95)^2+(S15-$S$95)^2+(T15-$T$95)^2+(U15-$U$95)^2+(V15-$V$95)^2+(W15-$W$95)^2+(X15-$X$95)^2+(Y15-$Y$95)^2+(Z15-$Z$95)^2+(AA15-$AA$95)^2+(AB15-$AB$95)^2+(AC15-$AC$95)^2+(AD15-$AD$95)^2+(AE15-$AE$95)^2+(AF15-$AF$95)^2+(AG15-$AG$95)^2)</f>
        <v>2.6638005430837595</v>
      </c>
      <c r="GW15" s="36" t="s">
        <v>330</v>
      </c>
      <c r="GX15" s="37" t="s">
        <v>120</v>
      </c>
      <c r="GZ15" s="44"/>
      <c r="HA15" s="36">
        <f>SQRT((A15-$A$96)^2+(B15-$B$96)^2+(C15-$C$96)^2+(D15-$D$96)^2+(E15-$E$96)^2+(F15-$F$96)^2+(G15-$G$96)^2+(H15-$H$96)^2+(I15-$I$96)^2+(J15-$J$96)^2+(K15-$K$96)^2+(L15-$L$96)^2+(M15-$M$96)^2+(N15-$N$96)^2+(O15-$O$96)^2+(P15-$P$96)^2+(Q15-$Q$96)^2+(R15-$R$96)^2+(S15-$S$96)^2+(T15-$T$96)^2+(U15-$U$96)^2+(V15-$V$96)^2+(W15-$W$96)^2+(X15-$X$96)^2+(Y15-$Y$96)^2+(Z15-$Z$96)^2+(AA15-$AA$96)^2+(AB15-$AB$96)^2+(AC15-$AC$96)^2+(AD15-$AD$96)^2+(AE15-$AE$96)^2+(AF15-$AF$96)^2+(AG15-$AG$96)^2)</f>
        <v>2.6034699067889289</v>
      </c>
      <c r="HB15" s="36" t="s">
        <v>131</v>
      </c>
      <c r="HC15" s="37" t="s">
        <v>120</v>
      </c>
      <c r="HE15" s="44"/>
      <c r="HF15" s="36">
        <f>SQRT((A15-$A$97)^2+(B15-$B$97)^2+(C15-$C$97)^2+(D15-$D$97)^2+(E15-$E$97)^2+(F15-$F$97)^2+(G15-$G$97)^2+(H15-$H$97)^2+(I15-$I$97)^2+(J15-$J$97)^2+(K15-$K$97)^2+(L15-$L$97)^2+(M15-$M$97)^2+(N15-$N$97)^2+(O15-$O$97)^2+(P15-$P$97)^2+(Q15-$Q$97)^2+(R15-$R$97)^2+(S15-$S$97)^2+(T15-$T$97)^2+(U15-$U$97)^2+(V15-$V$97)^2+(W15-$W$97)^2+(X15-$X$97)^2+(Y15-$Y$97)^2+(Z15-$Z$97)^2+(AA15-$AA$97)^2+(AB15-$AB$97)^2+(AC15-$AC$97)^2+(AD15-$AD$97)^2+(AE15-$AE$97)^2+(AF15-$AF$97)^2+(AG15-$AG$97)^2)</f>
        <v>1.4037959010430194</v>
      </c>
      <c r="HG15" s="36" t="s">
        <v>132</v>
      </c>
      <c r="HH15" s="37" t="s">
        <v>120</v>
      </c>
      <c r="HJ15" s="44"/>
      <c r="HK15" s="36">
        <f>SQRT((A15-$A$98)^2+(B15-$B$98)^2+(C15-$C$98)^2+(D15-$D$98)^2+(E15-$E$98)^2+(F15-$F$98)^2+(G15-$G$98)^2+(H15-$H$98)^2+(I15-$I$98)^2+(J15-$J$98)^2+(K15-$K$98)^2+(L15-$L$98)^2+(M15-$M$98)^2+(N15-$N$98)^2+(O15-$O$98)^2+(P15-$P$98)^2+(Q15-$Q$98)^2+(R15-$R$98)^2+(S15-$S$98)^2+(T15-$T$98)^2+(U15-$U$98)^2+(V15-$V$98)^2+(W15-$W$98)^2+(X15-$X$98)^2+(Y15-$Y$98)^2+(Z15-$Z$98)^2+(AA15-$AA$98)^2+(AB15-$AB$98)^2+(AC15-$AC$98)^2+(AD15-$AD$98)^2+(AE15-$AE$98)^2+(AF15-$AF$98)^2+(AG15-$AG$98)^2)</f>
        <v>1.4037959010430194</v>
      </c>
      <c r="HL15" s="36" t="s">
        <v>132</v>
      </c>
      <c r="HM15" s="37" t="s">
        <v>120</v>
      </c>
      <c r="HO15" s="44"/>
      <c r="HP15" s="36">
        <f>SQRT((A15-$A$99)^2+(B15-$B$99)^2+(C15-$C$99)^2+(D15-$D$99)^2+(E15-$E$99)^2+(F15-$F$99)^2+(G15-$G$99)^2+(H15-$H$99)^2+(I15-$I$99)^2+(J15-$J$99)^2+(K15-$K$99)^2+(L15-$L$99)^2+(M15-$M$99)^2+(N15-$N$99)^2+(O15-$O$99)^2+(P15-$P$99)^2+(Q15-$Q$99)^2+(R15-$R$99)^2+(S15-$S$99)^2+(T15-$T$99)^2+(U15-$U$99)^2+(V15-$V$99)^2+(W15-$W$99)^2+(X15-$X$99)^2+(Y15-$Y$99)^2+(Z15-$Z$99)^2+(AA15-$AA$99)^2+(AB15-$AB$99)^2+(AC15-$AC$99)^2+(AD15-$AD$99)^2+(AE15-$AE$99)^2+(AF15-$AF$99)^2+(AG15-$AG$99)^2)</f>
        <v>1.4037959010430194</v>
      </c>
      <c r="HQ15" s="36" t="s">
        <v>132</v>
      </c>
      <c r="HR15" s="37" t="s">
        <v>120</v>
      </c>
      <c r="HT15" s="44"/>
      <c r="HU15" s="36">
        <f>SQRT((A15-$A$100)^2+(B15-$B$100)^2+(C15-$C$100)^2+(D15-$D$100)^2+(E15-$E$100)^2+(F15-$F$100)^2+(G15-$G$100)^2+(H15-$H$100)^2+(I15-$I$100)^2+(J15-$J$100)^2+(K15-$K$100)^2+(L15-$L$100)^2+(M15-$M$100)^2+(N15-$N$100)^2+(O15-$O$100)^2+(P15-$P$100)^2+(Q15-$Q$100)^2+(R15-$R$100)^2+(S15-$S$100)^2+(T15-$T$100)^2+(U15-$U$100)^2+(V15-$V$100)^2+(W15-$W$100)^2+(X15-$X$100)^2+(Y15-$Y$100)^2+(Z15-$Z$100)^2+(AA15-$AA$100)^2+(AB15-$AB$100)^2+(AC15-$AC$100)^2+(AD15-$AD$100)^2+(AE15-$AE$100)^2+(AF15-$AF$100)^2+(AG15-$AG$100)^2)</f>
        <v>1.4037959010430194</v>
      </c>
      <c r="HV15" s="36" t="s">
        <v>132</v>
      </c>
      <c r="HW15" s="37" t="s">
        <v>120</v>
      </c>
      <c r="HY15" s="44"/>
      <c r="HZ15" s="36">
        <f>SQRT((A15-$A$101)^2+(B15-$B$101)^2+(C15-$C$101)^2+(D15-$D$101)^2+(E15-$E$101)^2+(F15-$F$101)^2+(G15-$G$101)^2+(H15-$H$101)^2+(I15-$I$101)^2+(J15-$J$101)^2+(K15-$K$101)^2+(L15-$L$101)^2+(M15-$M$101)^2+(N15-$N$101)^2+(O15-$O$101)^2+(P15-$P$101)^2+(Q15-$Q$101)^2+(R15-$R$101)^2+(S15-$S$101)^2+(T15-$T$101)^2+(U15-$U$101)^2+(V15-$V$101)^2+(W15-$W$101)^2+(X15-$X$101)^2+(Y15-$Y$101)^2+(Z15-$Z$101)^2+(AA15-$AA$101)^2+(AB15-$AB$101)^2+(AC15-$AC$101)^2+(AD15-$AD$101)^2+(AE15-$AE$101)^2+(AF15-$AF$101)^2+(AG15-$AG$101)^2)</f>
        <v>0.41666666666666641</v>
      </c>
      <c r="IA15" s="36" t="s">
        <v>127</v>
      </c>
      <c r="IB15" s="37" t="s">
        <v>120</v>
      </c>
    </row>
    <row r="16" spans="1:236" x14ac:dyDescent="0.35">
      <c r="A16" s="2">
        <v>0.83333333333333304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0.55555555555555503</v>
      </c>
      <c r="H16" s="2">
        <v>1</v>
      </c>
      <c r="I16" s="2">
        <v>0.5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1</v>
      </c>
      <c r="P16" s="2">
        <v>0.4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0</v>
      </c>
      <c r="W16" s="2">
        <v>1</v>
      </c>
      <c r="X16" s="2">
        <v>1</v>
      </c>
      <c r="Y16" s="2">
        <v>1</v>
      </c>
      <c r="Z16" s="2">
        <v>0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0</v>
      </c>
      <c r="AH16" s="2" t="s">
        <v>120</v>
      </c>
      <c r="AI16" s="42"/>
      <c r="AJ16" s="42"/>
      <c r="AL16" s="44"/>
      <c r="AM16" s="36">
        <f>SQRT((A16-$A$62)^2+(B16-$B$62)^2+(C16-$C$62)^2+(D16-$D$62)^2+(E16-$E$62)^2+(F16-$F$62)^2+(G16-$G$62)^2+(H16-$H$62)^2+(I16-$I$62)^2+(J16-$J$62)^2+(K16-$K$62)^2+(L16-$L$62)^2+(M16-$M$62)^2+(N16-$N$62)^2+(O16-$O$62)^2+(P16-$P$62)^2+(Q16-$Q$62)^2+(R16-$R$62)^2+(S16-$S$62)^2+(T16-$T$62)^2+(U16-$U$62)^2+(V16-$V$62)^2+(W16-$W$62)^2+(X16-$X$62)^2+(Y16-$Y$62)^2+(Z16-$Z$62)^2+(AA16-$AA$62)^2+(AB16-$AB$62)^2+(AC16-$AC$62)^2+(AD16-$AD$62)^2+(AE16-$AE$62)^2+(AF16-$AF$62)^2+(AG16-$AG$62)^2)</f>
        <v>2.1177162751941587</v>
      </c>
      <c r="AN16" s="36" t="s">
        <v>314</v>
      </c>
      <c r="AO16" s="37" t="s">
        <v>120</v>
      </c>
      <c r="AQ16" s="44"/>
      <c r="AR16" s="36">
        <f>SQRT((A16-$A$63)^2+(B16-$B$63)^2+(C16-$C$63)^2+(D16-$D$63)^2+(E16-$E$63)^2+(F16-$F$63)^2+(G16-$G$63)^2+(H16-$H$63)^2+(I16-$I$63)^2+(J16-$J$63)^2+(K16-$K$63)^2+(L16-$L$63)^2+(M16-$M$63)^2+(N16-$N$63)^2+(O16-$O$63)^2+(P16-$P$63)^2+(Q16-$Q$63)^2+(R16-$R$63)^2+(S16-$S$63)^2+(T16-$T$63)^2+(U16-$U$63)^2+(V16-$V$63)^2+(W16-$W$63)^2+(X16-$X$63)^2+(Y16-$Y$63)^2+(Z16-$Z$63)^2+(AA16-$AA$63)^2+(AB16-$AB$63)^2+(AC16-$AC$63)^2+(AD16-$AD$63)^2+(AE16-$AE$63)^2+(AF16-$AF$63)^2+(AG16-$AG$63)^2)</f>
        <v>1.6706997050173809</v>
      </c>
      <c r="AS16" s="36" t="s">
        <v>314</v>
      </c>
      <c r="AT16" s="37" t="s">
        <v>120</v>
      </c>
      <c r="AU16" s="30"/>
      <c r="AV16" s="44"/>
      <c r="AW16" s="36">
        <f>SQRT((A16-$A$64)^2+(B16-$B$64)^2+(C16-$C$64)^2+(D16-$D$64)^2+(E16-$E$64)^2+(F16-$F$64)^2+(G16-$G$64)^2+(H16-$H$64)^2+(I16-$I$64)^2+(J16-$J$64)^2+(K16-$K$64)^2+(L16-$L$64)^2+(M16-$M$64)^2+(N16-$N$64)^2+(O16-$O$64)^2+(P16-$P$64)^2+(Q16-$Q$64)^2+(R16-$R$64)^2+(S16-$S$64)^2+(T16-$T$64)^2+(U16-$U$64)^2+(V16-$V$64)^2+(W16-$W$64)^2+(X16-$X$64)^2+(Y16-$Y$64)^2+(Z16-$Z$64)^2+(AA16-$AA$64)^2+(AB16-$AB$64)^2+(AC16-$AC$64)^2+(AD16-$AD$64)^2+(AE16-$AE$64)^2+(AF16-$AF$64)^2+(AG16-$AG$64)^2)</f>
        <v>1.6706997050173809</v>
      </c>
      <c r="AX16" s="36" t="s">
        <v>314</v>
      </c>
      <c r="AY16" s="37" t="s">
        <v>120</v>
      </c>
      <c r="AZ16" s="30"/>
      <c r="BA16" s="44"/>
      <c r="BB16" s="36">
        <f>SQRT((A16-$A$65)^2+(B16-$B$65)^2+(C16-$C$65)^2+(D16-$D$65)^2+(E16-$E$65)^2+(F16-$F$65)^2+(G16-$G$65)^2+(H16-$H$65)^2+(I16-$I$65)^2+(J16-$J$65)^2+(K16-$K$65)^2+(L16-$L$65)^2+(M16-$M$65)^2+(N16-$N$65)^2+(O16-$O$65)^2+(P16-$P$65)^2+(Q16-$Q$65)^2+(R16-$R$65)^2+(S16-$S$65)^2+(T16-$T$65)^2+(U16-$U$65)^2+(V16-$V$65)^2+(W16-$W$65)^2+(X16-$X$65)^2+(Y16-$Y$65)^2+(Z16-$Z$65)^2+(AA16-$AA$65)^2+(AB16-$AB$65)^2+(AC16-$AC$65)^2+(AD16-$AD$65)^2+(AE16-$AE$65)^2+(AF16-$AF$65)^2+(AG16-$AG$65)^2)</f>
        <v>1.6706997050173809</v>
      </c>
      <c r="BC16" s="36" t="s">
        <v>314</v>
      </c>
      <c r="BD16" s="37" t="s">
        <v>120</v>
      </c>
      <c r="BE16" s="30"/>
      <c r="BF16" s="44"/>
      <c r="BG16" s="36">
        <f>SQRT((A16-$A$66)^2+(B16-$B$66)^2+(C16-$C$66)^2+(D16-$D$66)^2+(E16-$E$66)^2+(F16-$F$66)^2+(G16-$G$66)^2+(H16-$H$66)^2+(I16-$I$66)^2+(J16-$J$66)^2+(K16-$K$66)^2+(L16-$L$66)^2+(M16-$M$66)^2+(N16-$N$66)^2+(O16-$O$66)^2+(P16-$P$66)^2+(Q16-$Q$66)^2+(R16-$R$66)^2+(S16-$S$66)^2+(T16-$T$66)^2+(U16-$U$66)^2+(V16-$V$66)^2+(W16-$W$66)^2+(X16-$X$66)^2+(Y16-$Y$66)^2+(Z16-$Z$66)^2+(AA16-$AA$66)^2+(AB16-$AB$66)^2+(AC16-$AC$66)^2+(AD16-$AD$66)^2+(AE16-$AE$66)^2+(AF16-$AF$66)^2+(AG16-$AG$66)^2)</f>
        <v>1.6706997050173809</v>
      </c>
      <c r="BH16" s="36" t="s">
        <v>314</v>
      </c>
      <c r="BI16" s="37" t="s">
        <v>120</v>
      </c>
      <c r="BJ16" s="30"/>
      <c r="BK16" s="44"/>
      <c r="BL16" s="36">
        <f>SQRT((A16-$A$67)^2+(B16-$B$67)^2+(C16-$C$67)^2+(D16-$D$67)^2+(E16-$E$67)^2+(F16-$F$67)^2+(G16-$G$67)^2+(H16-$H$67)^2+(I16-$I$67)^2+(J16-$J$67)^2+(K16-$K$67)^2+(L16-$L$67)^2+(M16-$M$67)^2+(N16-$N$67)^2+(O16-$O$67)^2+(P16-$P$67)^2+(Q16-$Q$67)^2+(R16-$R$67)^2+(S16-$S$67)^2+(T16-$T$67)^2+(U16-$U$67)^2+(V16-$V$67)^2+(W16-$W$67)^2+(X16-$X$67)^2+(Y16-$Y$67)^2+(Z16-$Z$67)^2+(AA16-$AA$67)^2+(AB16-$AB$67)^2+(AC16-$AC$67)^2+(AD16-$AD$67)^2+(AE16-$AE$67)^2+(AF16-$AF$67)^2+(AG16-$AG$67)^2)</f>
        <v>1.6706997050173809</v>
      </c>
      <c r="BM16" s="36" t="s">
        <v>314</v>
      </c>
      <c r="BN16" s="37" t="s">
        <v>120</v>
      </c>
      <c r="BO16" s="30"/>
      <c r="BP16" s="44"/>
      <c r="BQ16" s="36">
        <f>SQRT((A16-$A$68)^2+(B16-$B$68)^2+(C16-$C$68)^2+(D16-$D$68)^2+(E16-$E$68)^2+(F16-$F$68)^2+(G16-$G$68)^2+(H16-$H$68)^2+(I16-$I$68)^2+(J16-$J$68)^2+(K16-$K$68)^2+(L16-$L$68)^2+(M16-$M$68)^2+(N16-$N$68)^2+(O16-$O$68)^2+(P16-$P$68)^2+(Q16-$Q$68)^2+(R16-$R$68)^2+(S16-$S$68)^2+(T16-$T$68)^2+(U16-$U$68)^2+(V16-$V$68)^2+(W16-$W$68)^2+(X16-$X$68)^2+(Y16-$Y$68)^2+(Z16-$Z$68)^2+(AA16-$AA$68)^2+(AB16-$AB$68)^2+(AC16-$AC$68)^2+(AD16-$AD$68)^2+(AE16-$AE$68)^2+(AF16-$AF$68)^2+(AG16-$AG$68)^2)</f>
        <v>1.6706997050173809</v>
      </c>
      <c r="BR16" s="36" t="s">
        <v>314</v>
      </c>
      <c r="BS16" s="37" t="s">
        <v>120</v>
      </c>
      <c r="BT16" s="30"/>
      <c r="BU16" s="44"/>
      <c r="BV16" s="36">
        <f>SQRT((A16-$A$69)^2+(B16-$B$69)^2+(C16-$C$69)^2+(D16-$D$69)^2+(E16-$E$69)^2+(F16-$F$69)^2+(G16-$G$69)^2+(H16-$H$69)^2+(I16-$I$69)^2+(J16-$J$69)^2+(K16-$K$69)^2+(L16-$L$69)^2+(M16-$M$69)^2+(N16-$N$69)^2+(O16-$O$69)^2+(P16-$P$69)^2+(Q16-$Q$69)^2+(R16-$R$69)^2+(S16-$S$69)^2+(T16-$T$69)^2+(U16-$U$69)^2+(V16-$V$69)^2+(W16-$W$69)^2+(X16-$X$69)^2+(Y16-$Y$69)^2+(Z16-$Z$69)^2+(AA16-$AA$69)^2+(AB16-$AB$69)^2+(AC16-$AC$69)^2+(AD16-$AD$69)^2+(AE16-$AE$69)^2+(AF16-$AF$69)^2+(AG16-$AG$69)^2)</f>
        <v>2.7553273081070158</v>
      </c>
      <c r="BW16" s="36" t="s">
        <v>125</v>
      </c>
      <c r="BX16" s="37" t="s">
        <v>120</v>
      </c>
      <c r="BZ16" s="44"/>
      <c r="CA16" s="36">
        <f>SQRT((A16-$A$70)^2+(B16-$B$70)^2+(C16-$C$70)^2+(D16-$D$70)^2+(E16-$E$70)^2+(F16-$F$70)^2+(G16-$G$70)^2+(H16-$H$70)^2+(I16-$I$70)^2+(J16-$J$70)^2+(K16-$K$70)^2+(L16-$L$70)^2+(M16-$M$70)^2+(N16-$N$70)^2+(O16-$O$70)^2+(P16-$P$70)^2+(Q16-$Q$70)^2+(R16-$R$70)^2+(S16-$S$70)^2+(T16-$T$70)^2+(U16-$U$70)^2+(V16-$V$70)^2+(W16-$W$70)^2+(X16-$X$70)^2+(Y16-$Y$70)^2+(Z16-$Z$70)^2+(AA16-$AA$70)^2+(AB16-$AB$70)^2+(AC16-$AC$70)^2+(AD16-$AD$70)^2+(AE16-$AE$70)^2+(AF16-$AF$70)^2+(AG16-$AG$70)^2)</f>
        <v>1.9799292889215432</v>
      </c>
      <c r="CB16" s="36" t="s">
        <v>127</v>
      </c>
      <c r="CC16" s="37" t="s">
        <v>120</v>
      </c>
      <c r="CE16" s="44"/>
      <c r="CF16" s="36">
        <f>SQRT((A16-$A$71)^2+(B16-$B$71)^2+(C16-$C$71)^2+(D16-$D$71)^2+(E16-$E$71)^2+(F16-$F$71)^2+(G16-$G$71)^2+(H16-$H$71)^2+(I16-$I$71)^2+(J16-$J$71)^2+(K16-$K$71)^2+(L16-$L$71)^2+(M16-$M$71)^2+(N16-$N$71)^2+(O16-$O$71)^2+(P16-$P$71)^2+(Q16-$Q$71)^2+(R16-$R$71)^2+(S16-$S$71)^2+(T16-$T$71)^2+(U16-$U$71)^2+(V16-$V$71)^2+(W16-$W$71)^2+(X16-$X$71)^2+(Y16-$Y$71)^2+(Z16-$Z$71)^2+(AA16-$AA$71)^2+(AB16-$AB$71)^2+(AC16-$AC$71)^2+(AD16-$AD$71)^2+(AE16-$AE$71)^2+(AF16-$AF$71)^2+(AG16-$AG$71)^2)</f>
        <v>1.7863239690668378</v>
      </c>
      <c r="CG16" s="36" t="s">
        <v>149</v>
      </c>
      <c r="CH16" s="37" t="s">
        <v>120</v>
      </c>
      <c r="CJ16" s="44"/>
      <c r="CK16" s="36">
        <f>SQRT((A16-$A$72)^2+(B16-$B$72)^2+(C16-$C$72)^2+(D16-$D$72)^2+(E16-$E$72)^2+(F16-$F$72)^2+(G16-$G$72)^2+(H16-$H$72)^2+(I16-$I$72)^2+(J16-$J$72)^2+(K16-$K$72)^2+(L16-$L$72)^2+(M16-$M$72)^2+(N16-$N$72)^2+(O16-$O$72)^2+(P16-$P$72)^2+(Q16-$Q$72)^2+(R16-$R$72)^2+(S16-$S$72)^2+(T16-$T$72)^2+(U16-$U$72)^2+(V16-$V$72)^2+(W16-$W$72)^2+(X16-$X$72)^2+(Y16-$Y$72)^2+(Z16-$Z$72)^2+(AA16-$AA$72)^2+(AB16-$AB$72)^2+(AC16-$AC$72)^2+(AD16-$AD$72)^2+(AE16-$AE$72)^2+(AF16-$AF$72)^2+(AG16-$AG$72)^2)</f>
        <v>1.5773462599243293</v>
      </c>
      <c r="CL16" s="36" t="s">
        <v>132</v>
      </c>
      <c r="CM16" s="37" t="s">
        <v>120</v>
      </c>
      <c r="CO16" s="44"/>
      <c r="CP16" s="36">
        <f>SQRT((A16-$A$73)^2+(B16-$B$73)^2+(C16-$C$73)^2+(D16-$D$73)^2+(E16-$E$73)^2+(F16-$F$73)^2+(G16-$G$73)^2+(H16-$H$73)^2+(I16-$I$73)^2+(J16-$J$73)^2+(K16-$K$73)^2+(L16-$L$73)^2+(M16-$M$73)^2+(N16-$N$73)^2+(O16-$O$73)^2+(P16-$P$73)^2+(Q16-$Q$73)^2+(R16-$R$73)^2+(S16-$S$73)^2+(T16-$T$73)^2+(U16-$U$73)^2+(V16-$V$73)^2+(W16-$W$73)^2+(X16-$X$73)^2+(Y16-$Y$73)^2+(Z16-$Z$73)^2+(AA16-$AA$73)^2+(AB16-$AB$73)^2+(AC16-$AC$73)^2+(AD16-$AD$73)^2+(AE16-$AE$73)^2+(AF16-$AF$73)^2+(AG16-$AG$73)^2)</f>
        <v>2.2154131794217427</v>
      </c>
      <c r="CQ16" s="36" t="s">
        <v>154</v>
      </c>
      <c r="CR16" s="37" t="s">
        <v>120</v>
      </c>
      <c r="CT16" s="44"/>
      <c r="CU16" s="36">
        <f>SQRT((A16-$A$74)^2+(B16-$B$74)^2+(C16-$C$74)^2+(D16-$D$74)^2+(E16-$E$74)^2+(F16-$F$74)^2+(G16-$G$74)^2+(H16-$H$74)^2+(I16-$I$74)^2+(J16-$J$74)^2+(K16-$K$74)^2+(L16-$L$74)^2+(M16-$M$74)^2+(N16-$N$74)^2+(O16-$O$74)^2+(P16-$P$74)^2+(Q16-$Q$74)^2+(R16-$R$74)^2+(S16-$S$74)^2+(T16-$T$74)^2+(U16-$U$74)^2+(V16-$V$74)^2+(W16-$W$74)^2+(X16-$X$74)^2+(Y16-$Y$74)^2+(Z16-$Z$74)^2+(AA16-$AA$74)^2+(AB16-$AB$74)^2+(AC16-$AC$74)^2+(AD16-$AD$74)^2+(AE16-$AE$74)^2+(AF16-$AF$74)^2+(AG16-$AG$74)^2)</f>
        <v>1.9311050377094108</v>
      </c>
      <c r="CV16" s="36" t="s">
        <v>131</v>
      </c>
      <c r="CW16" s="37" t="s">
        <v>120</v>
      </c>
      <c r="CY16" s="44"/>
      <c r="CZ16" s="36">
        <f>SQRT((A16-$A$75)^2+(B16-$B$75)^2+(C16-$C$75)^2+(D16-$D$75)^2+(E16-$E$75)^2+(F16-$F$75)^2+(G16-$G$75)^2+(H16-$H$75)^2+(I16-$I$75)^2+(J16-$J$75)^2+(K16-$K$75)^2+(L16-$L$75)^2+(M16-$M$75)^2+(N16-$N$75)^2+(O16-$O$75)^2+(P16-$P$75)^2+(Q16-$Q$75)^2+(R16-$R$75)^2+(S16-$S$75)^2+(T16-$T$75)^2+(U16-$U$75)^2+(V16-$V$75)^2+(W16-$W$75)^2+(X16-$X$75)^2+(Y16-$Y$75)^2+(Z16-$Z$75)^2+(AA16-$AA$75)^2+(AB16-$AB$75)^2+(AC16-$AC$75)^2+(AD16-$AD$75)^2+(AE16-$AE$75)^2+(AF16-$AF$75)^2+(AG16-$AG$75)^2)</f>
        <v>2.0254629100529091</v>
      </c>
      <c r="DA16" s="36" t="s">
        <v>322</v>
      </c>
      <c r="DB16" s="37" t="s">
        <v>120</v>
      </c>
      <c r="DD16" s="44"/>
      <c r="DE16" s="36">
        <f>SQRT((A16-$A$76)^2+(B16-$B$76)^2+(C16-$C$76)^2+(D16-$D$76)^2+(E16-$E$76)^2+(F16-$F$76)^2+(G16-$G$76)^2+(H16-$H$76)^2+(I16-$I$76)^2+(J16-$J$76)^2+(K16-$K$76)^2+(L16-$L$76)^2+(M16-$M$76)^2+(N16-$N$76)^2+(O16-$O$76)^2+(P16-$P$76)^2+(Q16-$Q$76)^2+(R16-$R$76)^2+(S16-$S$76)^2+(T16-$T$76)^2+(U16-$U$76)^2+(V16-$V$76)^2+(W16-$W$76)^2+(X16-$X$76)^2+(Y16-$Y$76)^2+(Z16-$Z$76)^2+(AA16-$AA$76)^2+(AB16-$AB$76)^2+(AC16-$AC$76)^2+(AD16-$AD$76)^2+(AE16-$AE$76)^2+(AF16-$AF$76)^2+(AG16-$AG$76)^2)</f>
        <v>1.6833333333333333</v>
      </c>
      <c r="DF16" s="36" t="s">
        <v>128</v>
      </c>
      <c r="DG16" s="37" t="s">
        <v>120</v>
      </c>
      <c r="DI16" s="44"/>
      <c r="DJ16" s="36">
        <f>SQRT((A16-$A$77)^2+(B16-$B$77)^2+(C16-$C$77)^2+(D16-$D$77)^2+(E16-$E$77)^2+(F16-$F$77)^2+(G16-$G$77)^2+(H16-$H$77)^2+(I16-$I$77)^2+(J16-$J$77)^2+(K16-$K$77)^2+(L16-$L$77)^2+(M16-$M$77)^2+(N16-$N$77)^2+(O16-$O$77)^2+(P16-$P$77)^2+(Q16-$Q$77)^2+(R16-$R$77)^2+(S16-$S$77)^2+(T16-$T$77)^2+(U16-$U$77)^2+(V16-$V$77)^2+(W16-$W$77)^2+(X16-$X$77)^2+(Y16-$Y$77)^2+(Z16-$Z$77)^2+(AA16-$AA$77)^2+(AB16-$AB$77)^2+(AC16-$AC$77)^2+(AD16-$AD$77)^2+(AE16-$AE$77)^2+(AF16-$AF$77)^2+(AG16-$AG$77)^2)</f>
        <v>2.394670007421575</v>
      </c>
      <c r="DK16" s="36" t="s">
        <v>314</v>
      </c>
      <c r="DL16" s="37" t="s">
        <v>120</v>
      </c>
      <c r="DN16" s="44"/>
      <c r="DO16" s="36">
        <f>SQRT((A16-$A$78)^2+(B16-$B$78)^2+(C16-$C$78)^2+(D16-$D$78)^2+(E16-$E$78)^2+(F16-$F$78)^2+(G16-$G$78)^2+(H16-$H$78)^2+(I16-$I$78)^2+(J16-$J$78)^2+(K16-$K$78)^2+(L16-$L$78)^2+(M16-$M$78)^2+(N16-$N$78)^2+(O16-$O$78)^2+(P16-$P$78)^2+(Q16-$Q$78)^2+(R16-$R$78)^2+(S16-$S$78)^2+(T16-$T$78)^2+(U16-$U$78)^2+(V16-$V$78)^2+(W16-$W$78)^2+(X16-$X$78)^2+(Y16-$Y$78)^2+(Z16-$Z$78)^2+(AA16-$AA$78)^2+(AB16-$AB$78)^2+(AC16-$AC$78)^2+(AD16-$AD$78)^2+(AE16-$AE$78)^2+(AF16-$AF$78)^2+(AG16-$AG$78)^2)</f>
        <v>1.9917752538993418</v>
      </c>
      <c r="DP16" s="36" t="s">
        <v>335</v>
      </c>
      <c r="DQ16" s="37" t="s">
        <v>120</v>
      </c>
      <c r="DS16" s="44"/>
      <c r="DT16" s="36">
        <f>SQRT((A16-$A$79)^2+(B16-$B$79)^2+(C16-$C$79)^2+(D16-$D$79)^2+(E16-$E$79)^2+(F16-$F$79)^2+(G16-$G$79)^2+(H16-$H$79)^2+(I16-$I$79)^2+(J16-$J$79)^2+(K16-$K$79)^2+(L16-$L$79)^2+(M16-$M$79)^2+(N16-$N$79)^2+(O16-$O$79)^2+(P16-$P$79)^2+(Q16-$Q$79)^2+(R16-$R$79)^2+(S16-$S$79)^2+(T16-$T$79)^2+(U16-$U$79)^2+(V16-$V$79)^2+(W16-$W$79)^2+(X16-$X$79)^2+(Y16-$Y$79)^2+(Z16-$Z$79)^2+(AA16-$AA$79)^2+(AB16-$AB$79)^2+(AC16-$AC$79)^2+(AD16-$AD$79)^2+(AE16-$AE$79)^2+(AF16-$AF$79)^2+(AG16-$AG$79)^2)</f>
        <v>1.7586558802601644</v>
      </c>
      <c r="DU16" s="36" t="s">
        <v>132</v>
      </c>
      <c r="DV16" s="37" t="s">
        <v>120</v>
      </c>
      <c r="DX16" s="44"/>
      <c r="DY16" s="36">
        <f>SQRT((A16-$A$80)^2+(B16-$B$80)^2+(C16-$C$80)^2+(D16-$D$80)^2+(E16-$E$80)^2+(F16-$F$80)^2+(G16-$G$80)^2+(H16-$H$80)^2+(I16-$I$80)^2+(J16-$J$80)^2+(K16-$K$80)^2+(L16-$L$80)^2+(M16-$M$80)^2+(N16-$N$80)^2+(O16-$O$80)^2+(P16-$P$80)^2+(Q16-$Q$80)^2+(R16-$R$80)^2+(S16-$S$80)^2+(T16-$T$80)^2+(U16-$U$80)^2+(V16-$V$80)^2+(W16-$W$80)^2+(X16-$X$80)^2+(Y16-$Y$80)^2+(Z16-$Z$80)^2+(AA16-$AA$80)^2+(AB16-$AB$80)^2+(AC16-$AC$80)^2+(AD16-$AD$80)^2+(AE16-$AE$80)^2+(AF16-$AF$80)^2+(AG16-$AG$80)^2)</f>
        <v>0.93169499062491179</v>
      </c>
      <c r="DZ16" s="36" t="s">
        <v>129</v>
      </c>
      <c r="EA16" s="37" t="s">
        <v>120</v>
      </c>
      <c r="EC16" s="44"/>
      <c r="ED16" s="36">
        <f>SQRT((A16-$A$81)^2+(B16-$B$81)^2+(C16-$C$81)^2+(D16-$D$81)^2+(E16-$E$81)^2+(F16-$F$81)^2+(G16-$G$81)^2+(H16-$H$81)^2+(I16-$I$81)^2+(J16-$J$81)^2+(K16-$K$81)^2+(L16-$L$81)^2+(M16-$M$81)^2+(N16-$N$81)^2+(O16-$O$81)^2+(P16-$P$81)^2+(Q16-$Q$81)^2+(R16-$R$81)^2+(S16-$S$81)^2+(T16-$T$81)^2+(U16-$U$81)^2+(V16-$V$81)^2+(W16-$W$81)^2+(X16-$X$81)^2+(Y16-$Y$81)^2+(Z16-$Z$81)^2+(AA16-$AA$81)^2+(AB16-$AB$81)^2+(AC16-$AC$81)^2+(AD16-$AD$81)^2+(AE16-$AE$81)^2+(AF16-$AF$81)^2+(AG16-$AG$81)^2)</f>
        <v>0.8569973421454955</v>
      </c>
      <c r="EE16" s="36" t="s">
        <v>129</v>
      </c>
      <c r="EF16" s="37" t="s">
        <v>120</v>
      </c>
      <c r="EH16" s="44"/>
      <c r="EI16" s="36">
        <f>SQRT((A16-$A$82)^2+(B16-$B$82)^2+(C16-$C$82)^2+(D16-$D$82)^2+(E16-$E$82)^2+(F16-$F$82)^2+(G16-$G$82)^2+(H16-$H$82)^2+(I16-$I$82)^2+(J16-$J$82)^2+(K16-$K$82)^2+(L16-$L$82)^2+(M16-$M$82)^2+(N16-$N$82)^2+(O16-$O$82)^2+(P16-$P$82)^2+(Q16-$Q$82)^2+(R16-$R$82)^2+(S16-$S$82)^2+(T16-$T$82)^2+(U16-$U$82)^2+(V16-$V$82)^2+(W16-$W$82)^2+(X16-$X$82)^2+(Y16-$Y$82)^2+(Z16-$Z$82)^2+(AA16-$AA$82)^2+(AB16-$AB$82)^2+(AC16-$AC$82)^2+(AD16-$AD$82)^2+(AE16-$AE$82)^2+(AF16-$AF$82)^2+(AG16-$AG$82)^2)</f>
        <v>2.2901848047316107</v>
      </c>
      <c r="EJ16" s="36" t="s">
        <v>318</v>
      </c>
      <c r="EK16" s="37" t="s">
        <v>120</v>
      </c>
      <c r="EM16" s="44"/>
      <c r="EN16" s="36">
        <f>SQRT((A16-$A$83)^2+(B16-$B$83)^2+(C16-$C$83)^2+(D16-$D$83)^2+(E16-$E$83)^2+(F16-$F$83)^2+(G16-$G$83)^2+(H16-$H$83)^2+(I16-$I$83)^2+(J16-$J$83)^2+(K16-$K$83)^2+(L16-$L$83)^2+(M16-$M$83)^2+(N16-$N$83)^2+(O16-$O$83)^2+(P16-$P$83)^2+(Q16-$Q$83)^2+(R16-$R$83)^2+(S16-$S$83)^2+(T16-$T$83)^2+(U16-$U$83)^2+(V16-$V$83)^2+(W16-$W$83)^2+(X16-$X$83)^2+(Y16-$Y$83)^2+(Z16-$Z$83)^2+(AA16-$AA$83)^2+(AB16-$AB$83)^2+(AC16-$AC$83)^2+(AD16-$AD$83)^2+(AE16-$AE$83)^2+(AF16-$AF$83)^2+(AG16-$AG$83)^2)</f>
        <v>1.8957413665140226</v>
      </c>
      <c r="EO16" s="36" t="s">
        <v>318</v>
      </c>
      <c r="EP16" s="37" t="s">
        <v>120</v>
      </c>
      <c r="ER16" s="44"/>
      <c r="ES16" s="36">
        <f>SQRT((A16-$A$84)^2+(B16-$B$84)^2+(C16-$C$84)^2+(D16-$D$84)^2+(E16-$E$84)^2+(F16-$F$84)^2+(G16-$G$84)^2+(H16-$H$84)^2+(I16-$I$84)^2+(J16-$J$84)^2+(K16-$K$84)^2+(L16-$L$84)^2+(M16-$M$84)^2+(N16-$N$84)^2+(O16-$O$84)^2+(P16-$P$84)^2+(Q16-$Q$84)^2+(R16-$R$84)^2+(S16-$S$84)^2+(T16-$T$84)^2+(U16-$U$84)^2+(V16-$V$84)^2+(W16-$W$84)^2+(X16-$X$84)^2+(Y16-$Y$84)^2+(Z16-$Z$84)^2+(AA16-$AA$84)^2+(AB16-$AB$84)^2+(AC16-$AC$84)^2+(AD16-$AD$84)^2+(AE16-$AE$84)^2+(AF16-$AF$84)^2+(AG16-$AG$84)^2)</f>
        <v>1.6706997050173809</v>
      </c>
      <c r="ET16" s="36" t="s">
        <v>314</v>
      </c>
      <c r="EU16" s="37" t="s">
        <v>120</v>
      </c>
      <c r="EW16" s="44"/>
      <c r="EX16" s="36">
        <f>SQRT((A16-$A$85)^2+(B16-$B$85)^2+(C16-$C$85)^2+(D16-$D$85)^2+(E16-$E$85)^2+(F16-$F$85)^2+(G16-$G$85)^2+(H16-$H$85)^2+(I16-$I$85)^2+(J16-$J$85)^2+(K16-$K$85)^2+(L16-$L$85)^2+(M16-$M$85)^2+(N16-$N$85)^2+(O16-$O$85)^2+(P16-$P$85)^2+(Q16-$Q$85)^2+(R16-$R$85)^2+(S16-$S$85)^2+(T16-$T$85)^2+(U16-$U$85)^2+(V16-$V$85)^2+(W16-$W$85)^2+(X16-$X$85)^2+(Y16-$Y$85)^2+(Z16-$Z$85)^2+(AA16-$AA$85)^2+(AB16-$AB$85)^2+(AC16-$AC$85)^2+(AD16-$AD$85)^2+(AE16-$AE$85)^2+(AF16-$AF$85)^2+(AG16-$AG$85)^2)</f>
        <v>1.6706997050173809</v>
      </c>
      <c r="EY16" s="36" t="s">
        <v>314</v>
      </c>
      <c r="EZ16" s="37" t="s">
        <v>120</v>
      </c>
      <c r="FB16" s="44"/>
      <c r="FC16" s="36">
        <f>SQRT((A16-$A$86)^2+(B16-$B$86)^2+(C16-$C$86)^2+(D16-$D$86)^2+(E16-$E$86)^2+(F16-$F$86)^2+(G16-$G$86)^2+(H16-$H$86)^2+(I16-$I$86)^2+(J16-$J$86)^2+(K16-$K$86)^2+(L16-$L$86)^2+(M16-$M$86)^2+(N16-$N$86)^2+(O16-$O$86)^2+(P16-$P$86)^2+(Q16-$Q$86)^2+(R16-$R$86)^2+(S16-$S$86)^2+(T16-$T$86)^2+(U16-$U$86)^2+(V16-$V$86)^2+(W16-$W$86)^2+(X16-$X$86)^2+(Y16-$Y$86)^2+(Z16-$Z$86)^2+(AA16-$AA$86)^2+(AB16-$AB$86)^2+(AC16-$AC$86)^2+(AD16-$AD$86)^2+(AE16-$AE$86)^2+(AF16-$AF$86)^2+(AG16-$AG$86)^2)</f>
        <v>1.6706997050173809</v>
      </c>
      <c r="FD16" s="36" t="s">
        <v>314</v>
      </c>
      <c r="FE16" s="37" t="s">
        <v>120</v>
      </c>
      <c r="FG16" s="44"/>
      <c r="FH16" s="36">
        <f>SQRT((A16-$A$87)^2+(B16-$B$87)^2+(C16-$C$87)^2+(D16-$D$87)^2+(E16-$E$87)^2+(F16-$F$87)^2+(G16-$G$87)^2+(H16-$H$87)^2+(I16-$I$87)^2+(J16-$J$87)^2+(K16-$K$87)^2+(L16-$L$87)^2+(M16-$M$87)^2+(N16-$N$87)^2+(O16-$O$87)^2+(P16-$P$87)^2+(Q16-$Q$87)^2+(R16-$R$87)^2+(S16-$S$87)^2+(T16-$T$87)^2+(U16-$U$87)^2+(V16-$V$87)^2+(W16-$W$87)^2+(X16-$X$87)^2+(Y16-$Y$87)^2+(Z16-$Z$87)^2+(AA16-$AA$87)^2+(AB16-$AB$87)^2+(AC16-$AC$87)^2+(AD16-$AD$87)^2+(AE16-$AE$87)^2+(AF16-$AF$87)^2+(AG16-$AG$87)^2)</f>
        <v>2.0779931558009412</v>
      </c>
      <c r="FI16" s="36" t="s">
        <v>129</v>
      </c>
      <c r="FJ16" s="37" t="s">
        <v>120</v>
      </c>
      <c r="FL16" s="44"/>
      <c r="FM16" s="36">
        <f>SQRT((A16-$A$88)^2+(B16-$B$88)^2+(C16-$C$88)^2+(D16-$D$88)^2+(E16-$E$88)^2+(F16-$F$88)^2+(G16-$G$88)^2+(H16-$H$88)^2+(I16-$I$88)^2+(J16-$J$88)^2+(K16-$K$88)^2+(L16-$L$88)^2+(M16-$M$88)^2+(N16-$N$88)^2+(O16-$O$88)^2+(P16-$P$88)^2+(Q16-$Q$88)^2+(R16-$R$88)^2+(S16-$S$88)^2+(T16-$T$88)^2+(U16-$U$88)^2+(V16-$V$88)^2+(W16-$W$88)^2+(X16-$X$88)^2+(Y16-$Y$88)^2+(Z16-$Z$88)^2+(AA16-$AA$88)^2+(AB16-$AB$88)^2+(AC16-$AC$88)^2+(AD16-$AD$88)^2+(AE16-$AE$88)^2+(AF16-$AF$88)^2+(AG16-$AG$88)^2)</f>
        <v>1.8938813732111195</v>
      </c>
      <c r="FN16" s="36" t="s">
        <v>149</v>
      </c>
      <c r="FO16" s="37" t="s">
        <v>120</v>
      </c>
      <c r="FQ16" s="44"/>
      <c r="FR16" s="36">
        <f>SQRT((A16-$A$89)^2+(B16-$B$89)^2+(C16-$C$89)^2+(D16-$D$89)^2+(E16-$E$89)^2+(F16-$F$89)^2+(G16-$G$89)^2+(H16-$H$89)^2+(I16-$I$89)^2+(J16-$J$89)^2+(K16-$K$89)^2+(L16-$L$89)^2+(M16-$M$89)^2+(N16-$N$89)^2+(O16-$O$89)^2+(P16-$P$89)^2+(Q16-$Q$89)^2+(R16-$R$89)^2+(S16-$S$89)^2+(T16-$T$89)^2+(U16-$U$89)^2+(V16-$V$89)^2+(W16-$W$89)^2+(X16-$X$89)^2+(Y16-$Y$89)^2+(Z16-$Z$89)^2+(AA16-$AA$89)^2+(AB16-$AB$89)^2+(AC16-$AC$89)^2+(AD16-$AD$89)^2+(AE16-$AE$89)^2+(AF16-$AF$89)^2+(AG16-$AG$89)^2)</f>
        <v>0.81120623490919652</v>
      </c>
      <c r="FS16" s="36" t="s">
        <v>143</v>
      </c>
      <c r="FT16" s="37" t="s">
        <v>120</v>
      </c>
      <c r="FV16" s="44"/>
      <c r="FW16" s="36">
        <f>SQRT((A16-$A$90)^2+(B16-$B$90)^2+(C16-$C$90)^2+(D16-$D$90)^2+(E16-$E$90)^2+(F16-$F$90)^2+(G16-$G$90)^2+(H16-$H$90)^2+(I16-$I$90)^2+(J16-$J$90)^2+(K16-$K$90)^2+(L16-$L$90)^2+(M16-$M$90)^2+(N16-$N$90)^2+(O16-$O$90)^2+(P16-$P$90)^2+(Q16-$Q$90)^2+(R16-$R$90)^2+(S16-$S$90)^2+(T16-$T$90)^2+(U16-$U$90)^2+(V16-$V$90)^2+(W16-$W$90)^2+(X16-$X$90)^2+(Y16-$Y$90)^2+(Z16-$Z$90)^2+(AA16-$AA$90)^2+(AB16-$AB$90)^2+(AC16-$AC$90)^2+(AD16-$AD$90)^2+(AE16-$AE$90)^2+(AF16-$AF$90)^2+(AG16-$AG$90)^2)</f>
        <v>2.2730913849743137</v>
      </c>
      <c r="FX16" s="36" t="s">
        <v>128</v>
      </c>
      <c r="FY16" s="37" t="s">
        <v>120</v>
      </c>
      <c r="GA16" s="44"/>
      <c r="GB16" s="36">
        <f>SQRT((A16-$A$91)^2+(B16-$B$91)^2+(C16-$C$91)^2+(D16-$D$91)^2+(E16-$E$91)^2+(F16-$F$91)^2+(G16-$G$91)^2+(H16-$H$91)^2+(I16-$I$91)^2+(J16-$J$91)^2+(K16-$K$91)^2+(L16-$L$91)^2+(M16-$M$91)^2+(N16-$N$91)^2+(O16-$O$91)^2+(P16-$P$91)^2+(Q16-$Q$91)^2+(R16-$R$91)^2+(S16-$S$91)^2+(T16-$T$91)^2+(U16-$U$91)^2+(V16-$V$91)^2+(W16-$W$91)^2+(X16-$X$91)^2+(Y16-$Y$91)^2+(Z16-$Z$91)^2+(AA16-$AA$91)^2+(AB16-$AB$91)^2+(AC16-$AC$91)^2+(AD16-$AD$91)^2+(AE16-$AE$91)^2+(AF16-$AF$91)^2+(AG16-$AG$91)^2)</f>
        <v>2.364083096866286</v>
      </c>
      <c r="GC16" s="36" t="s">
        <v>125</v>
      </c>
      <c r="GD16" s="37" t="s">
        <v>120</v>
      </c>
      <c r="GF16" s="44"/>
      <c r="GG16" s="36">
        <f>SQRT((A16-$A$92)^2+(B16-$B$92)^2+(C16-$C$92)^2+(D16-$D$92)^2+(E16-$E$92)^2+(F16-$F$92)^2+(G16-$G$92)^2+(H16-$H$92)^2+(I16-$I$92)^2+(J16-$J$92)^2+(K16-$K$92)^2+(L16-$L$92)^2+(M16-$M$92)^2+(N16-$N$92)^2+(O16-$O$92)^2+(P16-$P$92)^2+(Q16-$Q$92)^2+(R16-$R$92)^2+(S16-$S$92)^2+(T16-$T$92)^2+(U16-$U$92)^2+(V16-$V$92)^2+(W16-$W$92)^2+(X16-$X$92)^2+(Y16-$Y$92)^2+(Z16-$Z$92)^2+(AA16-$AA$92)^2+(AB16-$AB$92)^2+(AC16-$AC$92)^2+(AD16-$AD$92)^2+(AE16-$AE$92)^2+(AF16-$AF$92)^2+(AG16-$AG$92)^2)</f>
        <v>2.1610460404927445</v>
      </c>
      <c r="GH16" s="36" t="s">
        <v>337</v>
      </c>
      <c r="GI16" s="37" t="s">
        <v>120</v>
      </c>
      <c r="GK16" s="44"/>
      <c r="GL16" s="36">
        <f>SQRT((A16-$A$93)^2+(B16-$B$93)^2+(C16-$C$93)^2+(D16-$D$93)^2+(E16-$E$93)^2+(F16-$F$93)^2+(G16-$G$93)^2+(H16-$H$93)^2+(I16-$I$93)^2+(J16-$J$93)^2+(K16-$K$93)^2+(L16-$L$93)^2+(M16-$M$93)^2+(N16-$N$93)^2+(O16-$O$93)^2+(P16-$P$93)^2+(Q16-$Q$93)^2+(R16-$R$93)^2+(S16-$S$93)^2+(T16-$T$93)^2+(U16-$U$93)^2+(V16-$V$93)^2+(W16-$W$93)^2+(X16-$X$93)^2+(Y16-$Y$93)^2+(Z16-$Z$93)^2+(AA16-$AA$93)^2+(AB16-$AB$93)^2+(AC16-$AC$93)^2+(AD16-$AD$93)^2+(AE16-$AE$93)^2+(AF16-$AF$93)^2+(AG16-$AG$93)^2)</f>
        <v>2.7475241379993167</v>
      </c>
      <c r="GM16" s="36" t="s">
        <v>144</v>
      </c>
      <c r="GN16" s="37" t="s">
        <v>120</v>
      </c>
      <c r="GP16" s="44"/>
      <c r="GQ16" s="36">
        <f>SQRT((A16-$A$94)^2+(B16-$B$94)^2+(C16-$C$94)^2+(D16-$D$94)^2+(E16-$E$94)^2+(F16-$F$94)^2+(G16-$G$94)^2+(H16-$H$94)^2+(I16-$I$94)^2+(J16-$J$94)^2+(K16-$K$94)^2+(L16-$L$94)^2+(M16-$M$94)^2+(N16-$N$94)^2+(O16-$O$94)^2+(P16-$P$94)^2+(Q16-$Q$94)^2+(R16-$R$94)^2+(S16-$S$94)^2+(T16-$T$94)^2+(U16-$U$94)^2+(V16-$V$94)^2+(W16-$W$94)^2+(X16-$X$94)^2+(Y16-$Y$94)^2+(Z16-$Z$94)^2+(AA16-$AA$94)^2+(AB16-$AB$94)^2+(AC16-$AC$94)^2+(AD16-$AD$94)^2+(AE16-$AE$94)^2+(AF16-$AF$94)^2+(AG16-$AG$94)^2)</f>
        <v>2.314315784618572</v>
      </c>
      <c r="GR16" s="36" t="s">
        <v>335</v>
      </c>
      <c r="GS16" s="37" t="s">
        <v>120</v>
      </c>
      <c r="GU16" s="44"/>
      <c r="GV16" s="36">
        <f>SQRT((A16-$A$95)^2+(B16-$B$95)^2+(C16-$C$95)^2+(D16-$D$95)^2+(E16-$E$95)^2+(F16-$F$95)^2+(G16-$G$95)^2+(H16-$H$95)^2+(I16-$I$95)^2+(J16-$J$95)^2+(K16-$K$95)^2+(L16-$L$95)^2+(M16-$M$95)^2+(N16-$N$95)^2+(O16-$O$95)^2+(P16-$P$95)^2+(Q16-$Q$95)^2+(R16-$R$95)^2+(S16-$S$95)^2+(T16-$T$95)^2+(U16-$U$95)^2+(V16-$V$95)^2+(W16-$W$95)^2+(X16-$X$95)^2+(Y16-$Y$95)^2+(Z16-$Z$95)^2+(AA16-$AA$95)^2+(AB16-$AB$95)^2+(AC16-$AC$95)^2+(AD16-$AD$95)^2+(AE16-$AE$95)^2+(AF16-$AF$95)^2+(AG16-$AG$95)^2)</f>
        <v>2.5451478891761434</v>
      </c>
      <c r="GW16" s="36" t="s">
        <v>153</v>
      </c>
      <c r="GX16" s="37" t="s">
        <v>120</v>
      </c>
      <c r="GZ16" s="44"/>
      <c r="HA16" s="36">
        <f>SQRT((A16-$A$96)^2+(B16-$B$96)^2+(C16-$C$96)^2+(D16-$D$96)^2+(E16-$E$96)^2+(F16-$F$96)^2+(G16-$G$96)^2+(H16-$H$96)^2+(I16-$I$96)^2+(J16-$J$96)^2+(K16-$K$96)^2+(L16-$L$96)^2+(M16-$M$96)^2+(N16-$N$96)^2+(O16-$O$96)^2+(P16-$P$96)^2+(Q16-$Q$96)^2+(R16-$R$96)^2+(S16-$S$96)^2+(T16-$T$96)^2+(U16-$U$96)^2+(V16-$V$96)^2+(W16-$W$96)^2+(X16-$X$96)^2+(Y16-$Y$96)^2+(Z16-$Z$96)^2+(AA16-$AA$96)^2+(AB16-$AB$96)^2+(AC16-$AC$96)^2+(AD16-$AD$96)^2+(AE16-$AE$96)^2+(AF16-$AF$96)^2+(AG16-$AG$96)^2)</f>
        <v>2.5042186627990599</v>
      </c>
      <c r="HB16" s="36" t="s">
        <v>322</v>
      </c>
      <c r="HC16" s="37" t="s">
        <v>120</v>
      </c>
      <c r="HE16" s="44"/>
      <c r="HF16" s="36">
        <f>SQRT((A16-$A$97)^2+(B16-$B$97)^2+(C16-$C$97)^2+(D16-$D$97)^2+(E16-$E$97)^2+(F16-$F$97)^2+(G16-$G$97)^2+(H16-$H$97)^2+(I16-$I$97)^2+(J16-$J$97)^2+(K16-$K$97)^2+(L16-$L$97)^2+(M16-$M$97)^2+(N16-$N$97)^2+(O16-$O$97)^2+(P16-$P$97)^2+(Q16-$Q$97)^2+(R16-$R$97)^2+(S16-$S$97)^2+(T16-$T$97)^2+(U16-$U$97)^2+(V16-$V$97)^2+(W16-$W$97)^2+(X16-$X$97)^2+(Y16-$Y$97)^2+(Z16-$Z$97)^2+(AA16-$AA$97)^2+(AB16-$AB$97)^2+(AC16-$AC$97)^2+(AD16-$AD$97)^2+(AE16-$AE$97)^2+(AF16-$AF$97)^2+(AG16-$AG$97)^2)</f>
        <v>1.6706997050173809</v>
      </c>
      <c r="HG16" s="36" t="s">
        <v>314</v>
      </c>
      <c r="HH16" s="37" t="s">
        <v>120</v>
      </c>
      <c r="HJ16" s="44"/>
      <c r="HK16" s="36">
        <f>SQRT((A16-$A$98)^2+(B16-$B$98)^2+(C16-$C$98)^2+(D16-$D$98)^2+(E16-$E$98)^2+(F16-$F$98)^2+(G16-$G$98)^2+(H16-$H$98)^2+(I16-$I$98)^2+(J16-$J$98)^2+(K16-$K$98)^2+(L16-$L$98)^2+(M16-$M$98)^2+(N16-$N$98)^2+(O16-$O$98)^2+(P16-$P$98)^2+(Q16-$Q$98)^2+(R16-$R$98)^2+(S16-$S$98)^2+(T16-$T$98)^2+(U16-$U$98)^2+(V16-$V$98)^2+(W16-$W$98)^2+(X16-$X$98)^2+(Y16-$Y$98)^2+(Z16-$Z$98)^2+(AA16-$AA$98)^2+(AB16-$AB$98)^2+(AC16-$AC$98)^2+(AD16-$AD$98)^2+(AE16-$AE$98)^2+(AF16-$AF$98)^2+(AG16-$AG$98)^2)</f>
        <v>1.6706997050173809</v>
      </c>
      <c r="HL16" s="36" t="s">
        <v>314</v>
      </c>
      <c r="HM16" s="37" t="s">
        <v>120</v>
      </c>
      <c r="HO16" s="44"/>
      <c r="HP16" s="36">
        <f>SQRT((A16-$A$99)^2+(B16-$B$99)^2+(C16-$C$99)^2+(D16-$D$99)^2+(E16-$E$99)^2+(F16-$F$99)^2+(G16-$G$99)^2+(H16-$H$99)^2+(I16-$I$99)^2+(J16-$J$99)^2+(K16-$K$99)^2+(L16-$L$99)^2+(M16-$M$99)^2+(N16-$N$99)^2+(O16-$O$99)^2+(P16-$P$99)^2+(Q16-$Q$99)^2+(R16-$R$99)^2+(S16-$S$99)^2+(T16-$T$99)^2+(U16-$U$99)^2+(V16-$V$99)^2+(W16-$W$99)^2+(X16-$X$99)^2+(Y16-$Y$99)^2+(Z16-$Z$99)^2+(AA16-$AA$99)^2+(AB16-$AB$99)^2+(AC16-$AC$99)^2+(AD16-$AD$99)^2+(AE16-$AE$99)^2+(AF16-$AF$99)^2+(AG16-$AG$99)^2)</f>
        <v>1.6706997050173809</v>
      </c>
      <c r="HQ16" s="36" t="s">
        <v>314</v>
      </c>
      <c r="HR16" s="37" t="s">
        <v>120</v>
      </c>
      <c r="HT16" s="44"/>
      <c r="HU16" s="36">
        <f>SQRT((A16-$A$100)^2+(B16-$B$100)^2+(C16-$C$100)^2+(D16-$D$100)^2+(E16-$E$100)^2+(F16-$F$100)^2+(G16-$G$100)^2+(H16-$H$100)^2+(I16-$I$100)^2+(J16-$J$100)^2+(K16-$K$100)^2+(L16-$L$100)^2+(M16-$M$100)^2+(N16-$N$100)^2+(O16-$O$100)^2+(P16-$P$100)^2+(Q16-$Q$100)^2+(R16-$R$100)^2+(S16-$S$100)^2+(T16-$T$100)^2+(U16-$U$100)^2+(V16-$V$100)^2+(W16-$W$100)^2+(X16-$X$100)^2+(Y16-$Y$100)^2+(Z16-$Z$100)^2+(AA16-$AA$100)^2+(AB16-$AB$100)^2+(AC16-$AC$100)^2+(AD16-$AD$100)^2+(AE16-$AE$100)^2+(AF16-$AF$100)^2+(AG16-$AG$100)^2)</f>
        <v>1.6706997050173809</v>
      </c>
      <c r="HV16" s="36" t="s">
        <v>314</v>
      </c>
      <c r="HW16" s="37" t="s">
        <v>120</v>
      </c>
      <c r="HY16" s="44"/>
      <c r="HZ16" s="36">
        <f>SQRT((A16-$A$101)^2+(B16-$B$101)^2+(C16-$C$101)^2+(D16-$D$101)^2+(E16-$E$101)^2+(F16-$F$101)^2+(G16-$G$101)^2+(H16-$H$101)^2+(I16-$I$101)^2+(J16-$J$101)^2+(K16-$K$101)^2+(L16-$L$101)^2+(M16-$M$101)^2+(N16-$N$101)^2+(O16-$O$101)^2+(P16-$P$101)^2+(Q16-$Q$101)^2+(R16-$R$101)^2+(S16-$S$101)^2+(T16-$T$101)^2+(U16-$U$101)^2+(V16-$V$101)^2+(W16-$W$101)^2+(X16-$X$101)^2+(Y16-$Y$101)^2+(Z16-$Z$101)^2+(AA16-$AA$101)^2+(AB16-$AB$101)^2+(AC16-$AC$101)^2+(AD16-$AD$101)^2+(AE16-$AE$101)^2+(AF16-$AF$101)^2+(AG16-$AG$101)^2)</f>
        <v>0.74535599249992912</v>
      </c>
      <c r="IA16" s="36" t="s">
        <v>129</v>
      </c>
      <c r="IB16" s="37" t="s">
        <v>120</v>
      </c>
    </row>
    <row r="17" spans="1:236" x14ac:dyDescent="0.35">
      <c r="A17" s="2">
        <v>0.16666666666666599</v>
      </c>
      <c r="B17" s="2">
        <v>0.25</v>
      </c>
      <c r="C17" s="2">
        <v>0.33333333333333298</v>
      </c>
      <c r="D17" s="2">
        <v>0.66666666666666596</v>
      </c>
      <c r="E17" s="2">
        <v>1</v>
      </c>
      <c r="F17" s="2">
        <v>0.94805194805194803</v>
      </c>
      <c r="G17" s="2">
        <v>0.55555555555555503</v>
      </c>
      <c r="H17" s="2">
        <v>1</v>
      </c>
      <c r="I17" s="2">
        <v>0.5</v>
      </c>
      <c r="J17" s="2">
        <v>1</v>
      </c>
      <c r="K17" s="2">
        <v>0</v>
      </c>
      <c r="L17" s="2">
        <v>0.2</v>
      </c>
      <c r="M17" s="2">
        <v>1</v>
      </c>
      <c r="N17" s="2">
        <v>0.33333333333333298</v>
      </c>
      <c r="O17" s="2">
        <v>0</v>
      </c>
      <c r="P17" s="2">
        <v>0.4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1</v>
      </c>
      <c r="Y17" s="2">
        <v>1</v>
      </c>
      <c r="Z17" s="2">
        <v>0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0</v>
      </c>
      <c r="AH17" s="2" t="s">
        <v>120</v>
      </c>
      <c r="AI17" s="42"/>
      <c r="AJ17" s="42"/>
      <c r="AL17" s="44"/>
      <c r="AM17" s="36">
        <f>SQRT((A17-$A$62)^2+(B17-$B$62)^2+(C17-$C$62)^2+(D17-$D$62)^2+(E17-$E$62)^2+(F17-$F$62)^2+(G17-$G$62)^2+(H17-$H$62)^2+(I17-$I$62)^2+(J17-$J$62)^2+(K17-$K$62)^2+(L17-$L$62)^2+(M17-$M$62)^2+(N17-$N$62)^2+(O17-$O$62)^2+(P17-$P$62)^2+(Q17-$Q$62)^2+(R17-$R$62)^2+(S17-$S$62)^2+(T17-$T$62)^2+(U17-$U$62)^2+(V17-$V$62)^2+(W17-$W$62)^2+(X17-$X$62)^2+(Y17-$Y$62)^2+(Z17-$Z$62)^2+(AA17-$AA$62)^2+(AB17-$AB$62)^2+(AC17-$AC$62)^2+(AD17-$AD$62)^2+(AE17-$AE$62)^2+(AF17-$AF$62)^2+(AG17-$AG$62)^2)</f>
        <v>2.1975816860284998</v>
      </c>
      <c r="AN17" s="36" t="s">
        <v>128</v>
      </c>
      <c r="AO17" s="37" t="s">
        <v>120</v>
      </c>
      <c r="AQ17" s="44"/>
      <c r="AR17" s="36">
        <f>SQRT((A17-$A$63)^2+(B17-$B$63)^2+(C17-$C$63)^2+(D17-$D$63)^2+(E17-$E$63)^2+(F17-$F$63)^2+(G17-$G$63)^2+(H17-$H$63)^2+(I17-$I$63)^2+(J17-$J$63)^2+(K17-$K$63)^2+(L17-$L$63)^2+(M17-$M$63)^2+(N17-$N$63)^2+(O17-$O$63)^2+(P17-$P$63)^2+(Q17-$Q$63)^2+(R17-$R$63)^2+(S17-$S$63)^2+(T17-$T$63)^2+(U17-$U$63)^2+(V17-$V$63)^2+(W17-$W$63)^2+(X17-$X$63)^2+(Y17-$Y$63)^2+(Z17-$Z$63)^2+(AA17-$AA$63)^2+(AB17-$AB$63)^2+(AC17-$AC$63)^2+(AD17-$AD$63)^2+(AE17-$AE$63)^2+(AF17-$AF$63)^2+(AG17-$AG$63)^2)</f>
        <v>1.384457336245505</v>
      </c>
      <c r="AS17" s="36" t="s">
        <v>338</v>
      </c>
      <c r="AT17" s="37" t="s">
        <v>120</v>
      </c>
      <c r="AU17" s="30"/>
      <c r="AV17" s="44"/>
      <c r="AW17" s="36">
        <f>SQRT((A17-$A$64)^2+(B17-$B$64)^2+(C17-$C$64)^2+(D17-$D$64)^2+(E17-$E$64)^2+(F17-$F$64)^2+(G17-$G$64)^2+(H17-$H$64)^2+(I17-$I$64)^2+(J17-$J$64)^2+(K17-$K$64)^2+(L17-$L$64)^2+(M17-$M$64)^2+(N17-$N$64)^2+(O17-$O$64)^2+(P17-$P$64)^2+(Q17-$Q$64)^2+(R17-$R$64)^2+(S17-$S$64)^2+(T17-$T$64)^2+(U17-$U$64)^2+(V17-$V$64)^2+(W17-$W$64)^2+(X17-$X$64)^2+(Y17-$Y$64)^2+(Z17-$Z$64)^2+(AA17-$AA$64)^2+(AB17-$AB$64)^2+(AC17-$AC$64)^2+(AD17-$AD$64)^2+(AE17-$AE$64)^2+(AF17-$AF$64)^2+(AG17-$AG$64)^2)</f>
        <v>1.384457336245505</v>
      </c>
      <c r="AX17" s="36" t="s">
        <v>338</v>
      </c>
      <c r="AY17" s="37" t="s">
        <v>120</v>
      </c>
      <c r="AZ17" s="30"/>
      <c r="BA17" s="44"/>
      <c r="BB17" s="36">
        <f>SQRT((A17-$A$65)^2+(B17-$B$65)^2+(C17-$C$65)^2+(D17-$D$65)^2+(E17-$E$65)^2+(F17-$F$65)^2+(G17-$G$65)^2+(H17-$H$65)^2+(I17-$I$65)^2+(J17-$J$65)^2+(K17-$K$65)^2+(L17-$L$65)^2+(M17-$M$65)^2+(N17-$N$65)^2+(O17-$O$65)^2+(P17-$P$65)^2+(Q17-$Q$65)^2+(R17-$R$65)^2+(S17-$S$65)^2+(T17-$T$65)^2+(U17-$U$65)^2+(V17-$V$65)^2+(W17-$W$65)^2+(X17-$X$65)^2+(Y17-$Y$65)^2+(Z17-$Z$65)^2+(AA17-$AA$65)^2+(AB17-$AB$65)^2+(AC17-$AC$65)^2+(AD17-$AD$65)^2+(AE17-$AE$65)^2+(AF17-$AF$65)^2+(AG17-$AG$65)^2)</f>
        <v>1.384457336245505</v>
      </c>
      <c r="BC17" s="36" t="s">
        <v>338</v>
      </c>
      <c r="BD17" s="37" t="s">
        <v>120</v>
      </c>
      <c r="BE17" s="30"/>
      <c r="BF17" s="44"/>
      <c r="BG17" s="36">
        <f>SQRT((A17-$A$66)^2+(B17-$B$66)^2+(C17-$C$66)^2+(D17-$D$66)^2+(E17-$E$66)^2+(F17-$F$66)^2+(G17-$G$66)^2+(H17-$H$66)^2+(I17-$I$66)^2+(J17-$J$66)^2+(K17-$K$66)^2+(L17-$L$66)^2+(M17-$M$66)^2+(N17-$N$66)^2+(O17-$O$66)^2+(P17-$P$66)^2+(Q17-$Q$66)^2+(R17-$R$66)^2+(S17-$S$66)^2+(T17-$T$66)^2+(U17-$U$66)^2+(V17-$V$66)^2+(W17-$W$66)^2+(X17-$X$66)^2+(Y17-$Y$66)^2+(Z17-$Z$66)^2+(AA17-$AA$66)^2+(AB17-$AB$66)^2+(AC17-$AC$66)^2+(AD17-$AD$66)^2+(AE17-$AE$66)^2+(AF17-$AF$66)^2+(AG17-$AG$66)^2)</f>
        <v>1.384457336245505</v>
      </c>
      <c r="BH17" s="36" t="s">
        <v>338</v>
      </c>
      <c r="BI17" s="37" t="s">
        <v>120</v>
      </c>
      <c r="BJ17" s="30"/>
      <c r="BK17" s="44"/>
      <c r="BL17" s="36">
        <f>SQRT((A17-$A$67)^2+(B17-$B$67)^2+(C17-$C$67)^2+(D17-$D$67)^2+(E17-$E$67)^2+(F17-$F$67)^2+(G17-$G$67)^2+(H17-$H$67)^2+(I17-$I$67)^2+(J17-$J$67)^2+(K17-$K$67)^2+(L17-$L$67)^2+(M17-$M$67)^2+(N17-$N$67)^2+(O17-$O$67)^2+(P17-$P$67)^2+(Q17-$Q$67)^2+(R17-$R$67)^2+(S17-$S$67)^2+(T17-$T$67)^2+(U17-$U$67)^2+(V17-$V$67)^2+(W17-$W$67)^2+(X17-$X$67)^2+(Y17-$Y$67)^2+(Z17-$Z$67)^2+(AA17-$AA$67)^2+(AB17-$AB$67)^2+(AC17-$AC$67)^2+(AD17-$AD$67)^2+(AE17-$AE$67)^2+(AF17-$AF$67)^2+(AG17-$AG$67)^2)</f>
        <v>1.384457336245505</v>
      </c>
      <c r="BM17" s="36" t="s">
        <v>338</v>
      </c>
      <c r="BN17" s="37" t="s">
        <v>120</v>
      </c>
      <c r="BO17" s="30"/>
      <c r="BP17" s="44"/>
      <c r="BQ17" s="36">
        <f>SQRT((A17-$A$68)^2+(B17-$B$68)^2+(C17-$C$68)^2+(D17-$D$68)^2+(E17-$E$68)^2+(F17-$F$68)^2+(G17-$G$68)^2+(H17-$H$68)^2+(I17-$I$68)^2+(J17-$J$68)^2+(K17-$K$68)^2+(L17-$L$68)^2+(M17-$M$68)^2+(N17-$N$68)^2+(O17-$O$68)^2+(P17-$P$68)^2+(Q17-$Q$68)^2+(R17-$R$68)^2+(S17-$S$68)^2+(T17-$T$68)^2+(U17-$U$68)^2+(V17-$V$68)^2+(W17-$W$68)^2+(X17-$X$68)^2+(Y17-$Y$68)^2+(Z17-$Z$68)^2+(AA17-$AA$68)^2+(AB17-$AB$68)^2+(AC17-$AC$68)^2+(AD17-$AD$68)^2+(AE17-$AE$68)^2+(AF17-$AF$68)^2+(AG17-$AG$68)^2)</f>
        <v>1.384457336245505</v>
      </c>
      <c r="BR17" s="36" t="s">
        <v>338</v>
      </c>
      <c r="BS17" s="37" t="s">
        <v>120</v>
      </c>
      <c r="BT17" s="30"/>
      <c r="BU17" s="44"/>
      <c r="BV17" s="36">
        <f>SQRT((A17-$A$69)^2+(B17-$B$69)^2+(C17-$C$69)^2+(D17-$D$69)^2+(E17-$E$69)^2+(F17-$F$69)^2+(G17-$G$69)^2+(H17-$H$69)^2+(I17-$I$69)^2+(J17-$J$69)^2+(K17-$K$69)^2+(L17-$L$69)^2+(M17-$M$69)^2+(N17-$N$69)^2+(O17-$O$69)^2+(P17-$P$69)^2+(Q17-$Q$69)^2+(R17-$R$69)^2+(S17-$S$69)^2+(T17-$T$69)^2+(U17-$U$69)^2+(V17-$V$69)^2+(W17-$W$69)^2+(X17-$X$69)^2+(Y17-$Y$69)^2+(Z17-$Z$69)^2+(AA17-$AA$69)^2+(AB17-$AB$69)^2+(AC17-$AC$69)^2+(AD17-$AD$69)^2+(AE17-$AE$69)^2+(AF17-$AF$69)^2+(AG17-$AG$69)^2)</f>
        <v>2.0415509962500837</v>
      </c>
      <c r="BW17" s="36" t="s">
        <v>334</v>
      </c>
      <c r="BX17" s="37" t="s">
        <v>120</v>
      </c>
      <c r="BZ17" s="44"/>
      <c r="CA17" s="36">
        <f>SQRT((A17-$A$70)^2+(B17-$B$70)^2+(C17-$C$70)^2+(D17-$D$70)^2+(E17-$E$70)^2+(F17-$F$70)^2+(G17-$G$70)^2+(H17-$H$70)^2+(I17-$I$70)^2+(J17-$J$70)^2+(K17-$K$70)^2+(L17-$L$70)^2+(M17-$M$70)^2+(N17-$N$70)^2+(O17-$O$70)^2+(P17-$P$70)^2+(Q17-$Q$70)^2+(R17-$R$70)^2+(S17-$S$70)^2+(T17-$T$70)^2+(U17-$U$70)^2+(V17-$V$70)^2+(W17-$W$70)^2+(X17-$X$70)^2+(Y17-$Y$70)^2+(Z17-$Z$70)^2+(AA17-$AA$70)^2+(AB17-$AB$70)^2+(AC17-$AC$70)^2+(AD17-$AD$70)^2+(AE17-$AE$70)^2+(AF17-$AF$70)^2+(AG17-$AG$70)^2)</f>
        <v>1.9133712260743732</v>
      </c>
      <c r="CB17" s="36" t="s">
        <v>129</v>
      </c>
      <c r="CC17" s="37" t="s">
        <v>120</v>
      </c>
      <c r="CE17" s="44"/>
      <c r="CF17" s="36">
        <f>SQRT((A17-$A$71)^2+(B17-$B$71)^2+(C17-$C$71)^2+(D17-$D$71)^2+(E17-$E$71)^2+(F17-$F$71)^2+(G17-$G$71)^2+(H17-$H$71)^2+(I17-$I$71)^2+(J17-$J$71)^2+(K17-$K$71)^2+(L17-$L$71)^2+(M17-$M$71)^2+(N17-$N$71)^2+(O17-$O$71)^2+(P17-$P$71)^2+(Q17-$Q$71)^2+(R17-$R$71)^2+(S17-$S$71)^2+(T17-$T$71)^2+(U17-$U$71)^2+(V17-$V$71)^2+(W17-$W$71)^2+(X17-$X$71)^2+(Y17-$Y$71)^2+(Z17-$Z$71)^2+(AA17-$AA$71)^2+(AB17-$AB$71)^2+(AC17-$AC$71)^2+(AD17-$AD$71)^2+(AE17-$AE$71)^2+(AF17-$AF$71)^2+(AG17-$AG$71)^2)</f>
        <v>1.6076692943141204</v>
      </c>
      <c r="CG17" s="36" t="s">
        <v>152</v>
      </c>
      <c r="CH17" s="37" t="s">
        <v>120</v>
      </c>
      <c r="CJ17" s="44"/>
      <c r="CK17" s="36">
        <f>SQRT((A17-$A$72)^2+(B17-$B$72)^2+(C17-$C$72)^2+(D17-$D$72)^2+(E17-$E$72)^2+(F17-$F$72)^2+(G17-$G$72)^2+(H17-$H$72)^2+(I17-$I$72)^2+(J17-$J$72)^2+(K17-$K$72)^2+(L17-$L$72)^2+(M17-$M$72)^2+(N17-$N$72)^2+(O17-$O$72)^2+(P17-$P$72)^2+(Q17-$Q$72)^2+(R17-$R$72)^2+(S17-$S$72)^2+(T17-$T$72)^2+(U17-$U$72)^2+(V17-$V$72)^2+(W17-$W$72)^2+(X17-$X$72)^2+(Y17-$Y$72)^2+(Z17-$Z$72)^2+(AA17-$AA$72)^2+(AB17-$AB$72)^2+(AC17-$AC$72)^2+(AD17-$AD$72)^2+(AE17-$AE$72)^2+(AF17-$AF$72)^2+(AG17-$AG$72)^2)</f>
        <v>1.7657235265539564</v>
      </c>
      <c r="CL17" s="36" t="s">
        <v>321</v>
      </c>
      <c r="CM17" s="37" t="s">
        <v>120</v>
      </c>
      <c r="CO17" s="44"/>
      <c r="CP17" s="36">
        <f>SQRT((A17-$A$73)^2+(B17-$B$73)^2+(C17-$C$73)^2+(D17-$D$73)^2+(E17-$E$73)^2+(F17-$F$73)^2+(G17-$G$73)^2+(H17-$H$73)^2+(I17-$I$73)^2+(J17-$J$73)^2+(K17-$K$73)^2+(L17-$L$73)^2+(M17-$M$73)^2+(N17-$N$73)^2+(O17-$O$73)^2+(P17-$P$73)^2+(Q17-$Q$73)^2+(R17-$R$73)^2+(S17-$S$73)^2+(T17-$T$73)^2+(U17-$U$73)^2+(V17-$V$73)^2+(W17-$W$73)^2+(X17-$X$73)^2+(Y17-$Y$73)^2+(Z17-$Z$73)^2+(AA17-$AA$73)^2+(AB17-$AB$73)^2+(AC17-$AC$73)^2+(AD17-$AD$73)^2+(AE17-$AE$73)^2+(AF17-$AF$73)^2+(AG17-$AG$73)^2)</f>
        <v>2.0350890616850372</v>
      </c>
      <c r="CQ17" s="36" t="s">
        <v>338</v>
      </c>
      <c r="CR17" s="37" t="s">
        <v>120</v>
      </c>
      <c r="CT17" s="44"/>
      <c r="CU17" s="36">
        <f>SQRT((A17-$A$74)^2+(B17-$B$74)^2+(C17-$C$74)^2+(D17-$D$74)^2+(E17-$E$74)^2+(F17-$F$74)^2+(G17-$G$74)^2+(H17-$H$74)^2+(I17-$I$74)^2+(J17-$J$74)^2+(K17-$K$74)^2+(L17-$L$74)^2+(M17-$M$74)^2+(N17-$N$74)^2+(O17-$O$74)^2+(P17-$P$74)^2+(Q17-$Q$74)^2+(R17-$R$74)^2+(S17-$S$74)^2+(T17-$T$74)^2+(U17-$U$74)^2+(V17-$V$74)^2+(W17-$W$74)^2+(X17-$X$74)^2+(Y17-$Y$74)^2+(Z17-$Z$74)^2+(AA17-$AA$74)^2+(AB17-$AB$74)^2+(AC17-$AC$74)^2+(AD17-$AD$74)^2+(AE17-$AE$74)^2+(AF17-$AF$74)^2+(AG17-$AG$74)^2)</f>
        <v>1.806909190392096</v>
      </c>
      <c r="CV17" s="36" t="s">
        <v>336</v>
      </c>
      <c r="CW17" s="37" t="s">
        <v>120</v>
      </c>
      <c r="CY17" s="44"/>
      <c r="CZ17" s="36">
        <f>SQRT((A17-$A$75)^2+(B17-$B$75)^2+(C17-$C$75)^2+(D17-$D$75)^2+(E17-$E$75)^2+(F17-$F$75)^2+(G17-$G$75)^2+(H17-$H$75)^2+(I17-$I$75)^2+(J17-$J$75)^2+(K17-$K$75)^2+(L17-$L$75)^2+(M17-$M$75)^2+(N17-$N$75)^2+(O17-$O$75)^2+(P17-$P$75)^2+(Q17-$Q$75)^2+(R17-$R$75)^2+(S17-$S$75)^2+(T17-$T$75)^2+(U17-$U$75)^2+(V17-$V$75)^2+(W17-$W$75)^2+(X17-$X$75)^2+(Y17-$Y$75)^2+(Z17-$Z$75)^2+(AA17-$AA$75)^2+(AB17-$AB$75)^2+(AC17-$AC$75)^2+(AD17-$AD$75)^2+(AE17-$AE$75)^2+(AF17-$AF$75)^2+(AG17-$AG$75)^2)</f>
        <v>1.7645990227845838</v>
      </c>
      <c r="DA17" s="36" t="s">
        <v>131</v>
      </c>
      <c r="DB17" s="37" t="s">
        <v>120</v>
      </c>
      <c r="DD17" s="44"/>
      <c r="DE17" s="36">
        <f>SQRT((A17-$A$76)^2+(B17-$B$76)^2+(C17-$C$76)^2+(D17-$D$76)^2+(E17-$E$76)^2+(F17-$F$76)^2+(G17-$G$76)^2+(H17-$H$76)^2+(I17-$I$76)^2+(J17-$J$76)^2+(K17-$K$76)^2+(L17-$L$76)^2+(M17-$M$76)^2+(N17-$N$76)^2+(O17-$O$76)^2+(P17-$P$76)^2+(Q17-$Q$76)^2+(R17-$R$76)^2+(S17-$S$76)^2+(T17-$T$76)^2+(U17-$U$76)^2+(V17-$V$76)^2+(W17-$W$76)^2+(X17-$X$76)^2+(Y17-$Y$76)^2+(Z17-$Z$76)^2+(AA17-$AA$76)^2+(AB17-$AB$76)^2+(AC17-$AC$76)^2+(AD17-$AD$76)^2+(AE17-$AE$76)^2+(AF17-$AF$76)^2+(AG17-$AG$76)^2)</f>
        <v>1.6958867690487269</v>
      </c>
      <c r="DF17" s="36" t="s">
        <v>333</v>
      </c>
      <c r="DG17" s="37" t="s">
        <v>120</v>
      </c>
      <c r="DI17" s="44"/>
      <c r="DJ17" s="36">
        <f>SQRT((A17-$A$77)^2+(B17-$B$77)^2+(C17-$C$77)^2+(D17-$D$77)^2+(E17-$E$77)^2+(F17-$F$77)^2+(G17-$G$77)^2+(H17-$H$77)^2+(I17-$I$77)^2+(J17-$J$77)^2+(K17-$K$77)^2+(L17-$L$77)^2+(M17-$M$77)^2+(N17-$N$77)^2+(O17-$O$77)^2+(P17-$P$77)^2+(Q17-$Q$77)^2+(R17-$R$77)^2+(S17-$S$77)^2+(T17-$T$77)^2+(U17-$U$77)^2+(V17-$V$77)^2+(W17-$W$77)^2+(X17-$X$77)^2+(Y17-$Y$77)^2+(Z17-$Z$77)^2+(AA17-$AA$77)^2+(AB17-$AB$77)^2+(AC17-$AC$77)^2+(AD17-$AD$77)^2+(AE17-$AE$77)^2+(AF17-$AF$77)^2+(AG17-$AG$77)^2)</f>
        <v>2.2505996090156057</v>
      </c>
      <c r="DK17" s="36" t="s">
        <v>319</v>
      </c>
      <c r="DL17" s="37" t="s">
        <v>120</v>
      </c>
      <c r="DN17" s="44"/>
      <c r="DO17" s="36">
        <f>SQRT((A17-$A$78)^2+(B17-$B$78)^2+(C17-$C$78)^2+(D17-$D$78)^2+(E17-$E$78)^2+(F17-$F$78)^2+(G17-$G$78)^2+(H17-$H$78)^2+(I17-$I$78)^2+(J17-$J$78)^2+(K17-$K$78)^2+(L17-$L$78)^2+(M17-$M$78)^2+(N17-$N$78)^2+(O17-$O$78)^2+(P17-$P$78)^2+(Q17-$Q$78)^2+(R17-$R$78)^2+(S17-$S$78)^2+(T17-$T$78)^2+(U17-$U$78)^2+(V17-$V$78)^2+(W17-$W$78)^2+(X17-$X$78)^2+(Y17-$Y$78)^2+(Z17-$Z$78)^2+(AA17-$AA$78)^2+(AB17-$AB$78)^2+(AC17-$AC$78)^2+(AD17-$AD$78)^2+(AE17-$AE$78)^2+(AF17-$AF$78)^2+(AG17-$AG$78)^2)</f>
        <v>1.8236503490198768</v>
      </c>
      <c r="DP17" s="36" t="s">
        <v>333</v>
      </c>
      <c r="DQ17" s="37" t="s">
        <v>120</v>
      </c>
      <c r="DS17" s="44"/>
      <c r="DT17" s="36">
        <f>SQRT((A17-$A$79)^2+(B17-$B$79)^2+(C17-$C$79)^2+(D17-$D$79)^2+(E17-$E$79)^2+(F17-$F$79)^2+(G17-$G$79)^2+(H17-$H$79)^2+(I17-$I$79)^2+(J17-$J$79)^2+(K17-$K$79)^2+(L17-$L$79)^2+(M17-$M$79)^2+(N17-$N$79)^2+(O17-$O$79)^2+(P17-$P$79)^2+(Q17-$Q$79)^2+(R17-$R$79)^2+(S17-$S$79)^2+(T17-$T$79)^2+(U17-$U$79)^2+(V17-$V$79)^2+(W17-$W$79)^2+(X17-$X$79)^2+(Y17-$Y$79)^2+(Z17-$Z$79)^2+(AA17-$AA$79)^2+(AB17-$AB$79)^2+(AC17-$AC$79)^2+(AD17-$AD$79)^2+(AE17-$AE$79)^2+(AF17-$AF$79)^2+(AG17-$AG$79)^2)</f>
        <v>1.650811412905187</v>
      </c>
      <c r="DU17" s="36" t="s">
        <v>149</v>
      </c>
      <c r="DV17" s="37" t="s">
        <v>120</v>
      </c>
      <c r="DX17" s="44"/>
      <c r="DY17" s="36">
        <f>SQRT((A17-$A$80)^2+(B17-$B$80)^2+(C17-$C$80)^2+(D17-$D$80)^2+(E17-$E$80)^2+(F17-$F$80)^2+(G17-$G$80)^2+(H17-$H$80)^2+(I17-$I$80)^2+(J17-$J$80)^2+(K17-$K$80)^2+(L17-$L$80)^2+(M17-$M$80)^2+(N17-$N$80)^2+(O17-$O$80)^2+(P17-$P$80)^2+(Q17-$Q$80)^2+(R17-$R$80)^2+(S17-$S$80)^2+(T17-$T$80)^2+(U17-$U$80)^2+(V17-$V$80)^2+(W17-$W$80)^2+(X17-$X$80)^2+(Y17-$Y$80)^2+(Z17-$Z$80)^2+(AA17-$AA$80)^2+(AB17-$AB$80)^2+(AC17-$AC$80)^2+(AD17-$AD$80)^2+(AE17-$AE$80)^2+(AF17-$AF$80)^2+(AG17-$AG$80)^2)</f>
        <v>1.4770197997962269</v>
      </c>
      <c r="DZ17" s="36" t="s">
        <v>318</v>
      </c>
      <c r="EA17" s="37" t="s">
        <v>120</v>
      </c>
      <c r="EC17" s="44"/>
      <c r="ED17" s="36">
        <f>SQRT((A17-$A$81)^2+(B17-$B$81)^2+(C17-$C$81)^2+(D17-$D$81)^2+(E17-$E$81)^2+(F17-$F$81)^2+(G17-$G$81)^2+(H17-$H$81)^2+(I17-$I$81)^2+(J17-$J$81)^2+(K17-$K$81)^2+(L17-$L$81)^2+(M17-$M$81)^2+(N17-$N$81)^2+(O17-$O$81)^2+(P17-$P$81)^2+(Q17-$Q$81)^2+(R17-$R$81)^2+(S17-$S$81)^2+(T17-$T$81)^2+(U17-$U$81)^2+(V17-$V$81)^2+(W17-$W$81)^2+(X17-$X$81)^2+(Y17-$Y$81)^2+(Z17-$Z$81)^2+(AA17-$AA$81)^2+(AB17-$AB$81)^2+(AC17-$AC$81)^2+(AD17-$AD$81)^2+(AE17-$AE$81)^2+(AF17-$AF$81)^2+(AG17-$AG$81)^2)</f>
        <v>1.5215776681133295</v>
      </c>
      <c r="EE17" s="36" t="s">
        <v>318</v>
      </c>
      <c r="EF17" s="37" t="s">
        <v>120</v>
      </c>
      <c r="EH17" s="44"/>
      <c r="EI17" s="36">
        <f>SQRT((A17-$A$82)^2+(B17-$B$82)^2+(C17-$C$82)^2+(D17-$D$82)^2+(E17-$E$82)^2+(F17-$F$82)^2+(G17-$G$82)^2+(H17-$H$82)^2+(I17-$I$82)^2+(J17-$J$82)^2+(K17-$K$82)^2+(L17-$L$82)^2+(M17-$M$82)^2+(N17-$N$82)^2+(O17-$O$82)^2+(P17-$P$82)^2+(Q17-$Q$82)^2+(R17-$R$82)^2+(S17-$S$82)^2+(T17-$T$82)^2+(U17-$U$82)^2+(V17-$V$82)^2+(W17-$W$82)^2+(X17-$X$82)^2+(Y17-$Y$82)^2+(Z17-$Z$82)^2+(AA17-$AA$82)^2+(AB17-$AB$82)^2+(AC17-$AC$82)^2+(AD17-$AD$82)^2+(AE17-$AE$82)^2+(AF17-$AF$82)^2+(AG17-$AG$82)^2)</f>
        <v>1.984140042081564</v>
      </c>
      <c r="EJ17" s="36" t="s">
        <v>337</v>
      </c>
      <c r="EK17" s="37" t="s">
        <v>120</v>
      </c>
      <c r="EM17" s="44"/>
      <c r="EN17" s="36">
        <f>SQRT((A17-$A$83)^2+(B17-$B$83)^2+(C17-$C$83)^2+(D17-$D$83)^2+(E17-$E$83)^2+(F17-$F$83)^2+(G17-$G$83)^2+(H17-$H$83)^2+(I17-$I$83)^2+(J17-$J$83)^2+(K17-$K$83)^2+(L17-$L$83)^2+(M17-$M$83)^2+(N17-$N$83)^2+(O17-$O$83)^2+(P17-$P$83)^2+(Q17-$Q$83)^2+(R17-$R$83)^2+(S17-$S$83)^2+(T17-$T$83)^2+(U17-$U$83)^2+(V17-$V$83)^2+(W17-$W$83)^2+(X17-$X$83)^2+(Y17-$Y$83)^2+(Z17-$Z$83)^2+(AA17-$AA$83)^2+(AB17-$AB$83)^2+(AC17-$AC$83)^2+(AD17-$AD$83)^2+(AE17-$AE$83)^2+(AF17-$AF$83)^2+(AG17-$AG$83)^2)</f>
        <v>1.8646210624658917</v>
      </c>
      <c r="EO17" s="36" t="s">
        <v>335</v>
      </c>
      <c r="EP17" s="37" t="s">
        <v>120</v>
      </c>
      <c r="ER17" s="44"/>
      <c r="ES17" s="36">
        <f>SQRT((A17-$A$84)^2+(B17-$B$84)^2+(C17-$C$84)^2+(D17-$D$84)^2+(E17-$E$84)^2+(F17-$F$84)^2+(G17-$G$84)^2+(H17-$H$84)^2+(I17-$I$84)^2+(J17-$J$84)^2+(K17-$K$84)^2+(L17-$L$84)^2+(M17-$M$84)^2+(N17-$N$84)^2+(O17-$O$84)^2+(P17-$P$84)^2+(Q17-$Q$84)^2+(R17-$R$84)^2+(S17-$S$84)^2+(T17-$T$84)^2+(U17-$U$84)^2+(V17-$V$84)^2+(W17-$W$84)^2+(X17-$X$84)^2+(Y17-$Y$84)^2+(Z17-$Z$84)^2+(AA17-$AA$84)^2+(AB17-$AB$84)^2+(AC17-$AC$84)^2+(AD17-$AD$84)^2+(AE17-$AE$84)^2+(AF17-$AF$84)^2+(AG17-$AG$84)^2)</f>
        <v>1.384457336245505</v>
      </c>
      <c r="ET17" s="36" t="s">
        <v>338</v>
      </c>
      <c r="EU17" s="37" t="s">
        <v>120</v>
      </c>
      <c r="EW17" s="44"/>
      <c r="EX17" s="36">
        <f>SQRT((A17-$A$85)^2+(B17-$B$85)^2+(C17-$C$85)^2+(D17-$D$85)^2+(E17-$E$85)^2+(F17-$F$85)^2+(G17-$G$85)^2+(H17-$H$85)^2+(I17-$I$85)^2+(J17-$J$85)^2+(K17-$K$85)^2+(L17-$L$85)^2+(M17-$M$85)^2+(N17-$N$85)^2+(O17-$O$85)^2+(P17-$P$85)^2+(Q17-$Q$85)^2+(R17-$R$85)^2+(S17-$S$85)^2+(T17-$T$85)^2+(U17-$U$85)^2+(V17-$V$85)^2+(W17-$W$85)^2+(X17-$X$85)^2+(Y17-$Y$85)^2+(Z17-$Z$85)^2+(AA17-$AA$85)^2+(AB17-$AB$85)^2+(AC17-$AC$85)^2+(AD17-$AD$85)^2+(AE17-$AE$85)^2+(AF17-$AF$85)^2+(AG17-$AG$85)^2)</f>
        <v>1.384457336245505</v>
      </c>
      <c r="EY17" s="36" t="s">
        <v>338</v>
      </c>
      <c r="EZ17" s="37" t="s">
        <v>120</v>
      </c>
      <c r="FB17" s="44"/>
      <c r="FC17" s="36">
        <f>SQRT((A17-$A$86)^2+(B17-$B$86)^2+(C17-$C$86)^2+(D17-$D$86)^2+(E17-$E$86)^2+(F17-$F$86)^2+(G17-$G$86)^2+(H17-$H$86)^2+(I17-$I$86)^2+(J17-$J$86)^2+(K17-$K$86)^2+(L17-$L$86)^2+(M17-$M$86)^2+(N17-$N$86)^2+(O17-$O$86)^2+(P17-$P$86)^2+(Q17-$Q$86)^2+(R17-$R$86)^2+(S17-$S$86)^2+(T17-$T$86)^2+(U17-$U$86)^2+(V17-$V$86)^2+(W17-$W$86)^2+(X17-$X$86)^2+(Y17-$Y$86)^2+(Z17-$Z$86)^2+(AA17-$AA$86)^2+(AB17-$AB$86)^2+(AC17-$AC$86)^2+(AD17-$AD$86)^2+(AE17-$AE$86)^2+(AF17-$AF$86)^2+(AG17-$AG$86)^2)</f>
        <v>1.384457336245505</v>
      </c>
      <c r="FD17" s="36" t="s">
        <v>338</v>
      </c>
      <c r="FE17" s="37" t="s">
        <v>120</v>
      </c>
      <c r="FG17" s="44"/>
      <c r="FH17" s="36">
        <f>SQRT((A17-$A$87)^2+(B17-$B$87)^2+(C17-$C$87)^2+(D17-$D$87)^2+(E17-$E$87)^2+(F17-$F$87)^2+(G17-$G$87)^2+(H17-$H$87)^2+(I17-$I$87)^2+(J17-$J$87)^2+(K17-$K$87)^2+(L17-$L$87)^2+(M17-$M$87)^2+(N17-$N$87)^2+(O17-$O$87)^2+(P17-$P$87)^2+(Q17-$Q$87)^2+(R17-$R$87)^2+(S17-$S$87)^2+(T17-$T$87)^2+(U17-$U$87)^2+(V17-$V$87)^2+(W17-$W$87)^2+(X17-$X$87)^2+(Y17-$Y$87)^2+(Z17-$Z$87)^2+(AA17-$AA$87)^2+(AB17-$AB$87)^2+(AC17-$AC$87)^2+(AD17-$AD$87)^2+(AE17-$AE$87)^2+(AF17-$AF$87)^2+(AG17-$AG$87)^2)</f>
        <v>1.8845655968923147</v>
      </c>
      <c r="FI17" s="36" t="s">
        <v>318</v>
      </c>
      <c r="FJ17" s="37" t="s">
        <v>120</v>
      </c>
      <c r="FL17" s="44"/>
      <c r="FM17" s="36">
        <f>SQRT((A17-$A$88)^2+(B17-$B$88)^2+(C17-$C$88)^2+(D17-$D$88)^2+(E17-$E$88)^2+(F17-$F$88)^2+(G17-$G$88)^2+(H17-$H$88)^2+(I17-$I$88)^2+(J17-$J$88)^2+(K17-$K$88)^2+(L17-$L$88)^2+(M17-$M$88)^2+(N17-$N$88)^2+(O17-$O$88)^2+(P17-$P$88)^2+(Q17-$Q$88)^2+(R17-$R$88)^2+(S17-$S$88)^2+(T17-$T$88)^2+(U17-$U$88)^2+(V17-$V$88)^2+(W17-$W$88)^2+(X17-$X$88)^2+(Y17-$Y$88)^2+(Z17-$Z$88)^2+(AA17-$AA$88)^2+(AB17-$AB$88)^2+(AC17-$AC$88)^2+(AD17-$AD$88)^2+(AE17-$AE$88)^2+(AF17-$AF$88)^2+(AG17-$AG$88)^2)</f>
        <v>1.4888065704868805</v>
      </c>
      <c r="FN17" s="36" t="s">
        <v>132</v>
      </c>
      <c r="FO17" s="37" t="s">
        <v>120</v>
      </c>
      <c r="FQ17" s="44"/>
      <c r="FR17" s="36">
        <f>SQRT((A17-$A$89)^2+(B17-$B$89)^2+(C17-$C$89)^2+(D17-$D$89)^2+(E17-$E$89)^2+(F17-$F$89)^2+(G17-$G$89)^2+(H17-$H$89)^2+(I17-$I$89)^2+(J17-$J$89)^2+(K17-$K$89)^2+(L17-$L$89)^2+(M17-$M$89)^2+(N17-$N$89)^2+(O17-$O$89)^2+(P17-$P$89)^2+(Q17-$Q$89)^2+(R17-$R$89)^2+(S17-$S$89)^2+(T17-$T$89)^2+(U17-$U$89)^2+(V17-$V$89)^2+(W17-$W$89)^2+(X17-$X$89)^2+(Y17-$Y$89)^2+(Z17-$Z$89)^2+(AA17-$AA$89)^2+(AB17-$AB$89)^2+(AC17-$AC$89)^2+(AD17-$AD$89)^2+(AE17-$AE$89)^2+(AF17-$AF$89)^2+(AG17-$AG$89)^2)</f>
        <v>1.5994543305942666</v>
      </c>
      <c r="FS17" s="36" t="s">
        <v>329</v>
      </c>
      <c r="FT17" s="37" t="s">
        <v>120</v>
      </c>
      <c r="FV17" s="44"/>
      <c r="FW17" s="36">
        <f>SQRT((A17-$A$90)^2+(B17-$B$90)^2+(C17-$C$90)^2+(D17-$D$90)^2+(E17-$E$90)^2+(F17-$F$90)^2+(G17-$G$90)^2+(H17-$H$90)^2+(I17-$I$90)^2+(J17-$J$90)^2+(K17-$K$90)^2+(L17-$L$90)^2+(M17-$M$90)^2+(N17-$N$90)^2+(O17-$O$90)^2+(P17-$P$90)^2+(Q17-$Q$90)^2+(R17-$R$90)^2+(S17-$S$90)^2+(T17-$T$90)^2+(U17-$U$90)^2+(V17-$V$90)^2+(W17-$W$90)^2+(X17-$X$90)^2+(Y17-$Y$90)^2+(Z17-$Z$90)^2+(AA17-$AA$90)^2+(AB17-$AB$90)^2+(AC17-$AC$90)^2+(AD17-$AD$90)^2+(AE17-$AE$90)^2+(AF17-$AF$90)^2+(AG17-$AG$90)^2)</f>
        <v>2.0635537685402707</v>
      </c>
      <c r="FX17" s="36" t="s">
        <v>322</v>
      </c>
      <c r="FY17" s="37" t="s">
        <v>120</v>
      </c>
      <c r="GA17" s="44"/>
      <c r="GB17" s="36">
        <f>SQRT((A17-$A$91)^2+(B17-$B$91)^2+(C17-$C$91)^2+(D17-$D$91)^2+(E17-$E$91)^2+(F17-$F$91)^2+(G17-$G$91)^2+(H17-$H$91)^2+(I17-$I$91)^2+(J17-$J$91)^2+(K17-$K$91)^2+(L17-$L$91)^2+(M17-$M$91)^2+(N17-$N$91)^2+(O17-$O$91)^2+(P17-$P$91)^2+(Q17-$Q$91)^2+(R17-$R$91)^2+(S17-$S$91)^2+(T17-$T$91)^2+(U17-$U$91)^2+(V17-$V$91)^2+(W17-$W$91)^2+(X17-$X$91)^2+(Y17-$Y$91)^2+(Z17-$Z$91)^2+(AA17-$AA$91)^2+(AB17-$AB$91)^2+(AC17-$AC$91)^2+(AD17-$AD$91)^2+(AE17-$AE$91)^2+(AF17-$AF$91)^2+(AG17-$AG$91)^2)</f>
        <v>2.4158455478801431</v>
      </c>
      <c r="GC17" s="36" t="s">
        <v>152</v>
      </c>
      <c r="GD17" s="37" t="s">
        <v>120</v>
      </c>
      <c r="GF17" s="44"/>
      <c r="GG17" s="36">
        <f>SQRT((A17-$A$92)^2+(B17-$B$92)^2+(C17-$C$92)^2+(D17-$D$92)^2+(E17-$E$92)^2+(F17-$F$92)^2+(G17-$G$92)^2+(H17-$H$92)^2+(I17-$I$92)^2+(J17-$J$92)^2+(K17-$K$92)^2+(L17-$L$92)^2+(M17-$M$92)^2+(N17-$N$92)^2+(O17-$O$92)^2+(P17-$P$92)^2+(Q17-$Q$92)^2+(R17-$R$92)^2+(S17-$S$92)^2+(T17-$T$92)^2+(U17-$U$92)^2+(V17-$V$92)^2+(W17-$W$92)^2+(X17-$X$92)^2+(Y17-$Y$92)^2+(Z17-$Z$92)^2+(AA17-$AA$92)^2+(AB17-$AB$92)^2+(AC17-$AC$92)^2+(AD17-$AD$92)^2+(AE17-$AE$92)^2+(AF17-$AF$92)^2+(AG17-$AG$92)^2)</f>
        <v>2.2035049110936411</v>
      </c>
      <c r="GH17" s="36" t="s">
        <v>153</v>
      </c>
      <c r="GI17" s="37" t="s">
        <v>120</v>
      </c>
      <c r="GK17" s="44"/>
      <c r="GL17" s="36">
        <f>SQRT((A17-$A$93)^2+(B17-$B$93)^2+(C17-$C$93)^2+(D17-$D$93)^2+(E17-$E$93)^2+(F17-$F$93)^2+(G17-$G$93)^2+(H17-$H$93)^2+(I17-$I$93)^2+(J17-$J$93)^2+(K17-$K$93)^2+(L17-$L$93)^2+(M17-$M$93)^2+(N17-$N$93)^2+(O17-$O$93)^2+(P17-$P$93)^2+(Q17-$Q$93)^2+(R17-$R$93)^2+(S17-$S$93)^2+(T17-$T$93)^2+(U17-$U$93)^2+(V17-$V$93)^2+(W17-$W$93)^2+(X17-$X$93)^2+(Y17-$Y$93)^2+(Z17-$Z$93)^2+(AA17-$AA$93)^2+(AB17-$AB$93)^2+(AC17-$AC$93)^2+(AD17-$AD$93)^2+(AE17-$AE$93)^2+(AF17-$AF$93)^2+(AG17-$AG$93)^2)</f>
        <v>2.6009995386583977</v>
      </c>
      <c r="GM17" s="36" t="s">
        <v>132</v>
      </c>
      <c r="GN17" s="37" t="s">
        <v>120</v>
      </c>
      <c r="GP17" s="44"/>
      <c r="GQ17" s="36">
        <f>SQRT((A17-$A$94)^2+(B17-$B$94)^2+(C17-$C$94)^2+(D17-$D$94)^2+(E17-$E$94)^2+(F17-$F$94)^2+(G17-$G$94)^2+(H17-$H$94)^2+(I17-$I$94)^2+(J17-$J$94)^2+(K17-$K$94)^2+(L17-$L$94)^2+(M17-$M$94)^2+(N17-$N$94)^2+(O17-$O$94)^2+(P17-$P$94)^2+(Q17-$Q$94)^2+(R17-$R$94)^2+(S17-$S$94)^2+(T17-$T$94)^2+(U17-$U$94)^2+(V17-$V$94)^2+(W17-$W$94)^2+(X17-$X$94)^2+(Y17-$Y$94)^2+(Z17-$Z$94)^2+(AA17-$AA$94)^2+(AB17-$AB$94)^2+(AC17-$AC$94)^2+(AD17-$AD$94)^2+(AE17-$AE$94)^2+(AF17-$AF$94)^2+(AG17-$AG$94)^2)</f>
        <v>1.7137128425122545</v>
      </c>
      <c r="GR17" s="36" t="s">
        <v>134</v>
      </c>
      <c r="GS17" s="37" t="s">
        <v>120</v>
      </c>
      <c r="GU17" s="44"/>
      <c r="GV17" s="36">
        <f>SQRT((A17-$A$95)^2+(B17-$B$95)^2+(C17-$C$95)^2+(D17-$D$95)^2+(E17-$E$95)^2+(F17-$F$95)^2+(G17-$G$95)^2+(H17-$H$95)^2+(I17-$I$95)^2+(J17-$J$95)^2+(K17-$K$95)^2+(L17-$L$95)^2+(M17-$M$95)^2+(N17-$N$95)^2+(O17-$O$95)^2+(P17-$P$95)^2+(Q17-$Q$95)^2+(R17-$R$95)^2+(S17-$S$95)^2+(T17-$T$95)^2+(U17-$U$95)^2+(V17-$V$95)^2+(W17-$W$95)^2+(X17-$X$95)^2+(Y17-$Y$95)^2+(Z17-$Z$95)^2+(AA17-$AA$95)^2+(AB17-$AB$95)^2+(AC17-$AC$95)^2+(AD17-$AD$95)^2+(AE17-$AE$95)^2+(AF17-$AF$95)^2+(AG17-$AG$95)^2)</f>
        <v>2.6996238928546621</v>
      </c>
      <c r="GW17" s="36" t="s">
        <v>336</v>
      </c>
      <c r="GX17" s="37" t="s">
        <v>120</v>
      </c>
      <c r="GZ17" s="44"/>
      <c r="HA17" s="36">
        <f>SQRT((A17-$A$96)^2+(B17-$B$96)^2+(C17-$C$96)^2+(D17-$D$96)^2+(E17-$E$96)^2+(F17-$F$96)^2+(G17-$G$96)^2+(H17-$H$96)^2+(I17-$I$96)^2+(J17-$J$96)^2+(K17-$K$96)^2+(L17-$L$96)^2+(M17-$M$96)^2+(N17-$N$96)^2+(O17-$O$96)^2+(P17-$P$96)^2+(Q17-$Q$96)^2+(R17-$R$96)^2+(S17-$S$96)^2+(T17-$T$96)^2+(U17-$U$96)^2+(V17-$V$96)^2+(W17-$W$96)^2+(X17-$X$96)^2+(Y17-$Y$96)^2+(Z17-$Z$96)^2+(AA17-$AA$96)^2+(AB17-$AB$96)^2+(AC17-$AC$96)^2+(AD17-$AD$96)^2+(AE17-$AE$96)^2+(AF17-$AF$96)^2+(AG17-$AG$96)^2)</f>
        <v>2.6342134070691521</v>
      </c>
      <c r="HB17" s="36" t="s">
        <v>128</v>
      </c>
      <c r="HC17" s="37" t="s">
        <v>120</v>
      </c>
      <c r="HE17" s="44"/>
      <c r="HF17" s="36">
        <f>SQRT((A17-$A$97)^2+(B17-$B$97)^2+(C17-$C$97)^2+(D17-$D$97)^2+(E17-$E$97)^2+(F17-$F$97)^2+(G17-$G$97)^2+(H17-$H$97)^2+(I17-$I$97)^2+(J17-$J$97)^2+(K17-$K$97)^2+(L17-$L$97)^2+(M17-$M$97)^2+(N17-$N$97)^2+(O17-$O$97)^2+(P17-$P$97)^2+(Q17-$Q$97)^2+(R17-$R$97)^2+(S17-$S$97)^2+(T17-$T$97)^2+(U17-$U$97)^2+(V17-$V$97)^2+(W17-$W$97)^2+(X17-$X$97)^2+(Y17-$Y$97)^2+(Z17-$Z$97)^2+(AA17-$AA$97)^2+(AB17-$AB$97)^2+(AC17-$AC$97)^2+(AD17-$AD$97)^2+(AE17-$AE$97)^2+(AF17-$AF$97)^2+(AG17-$AG$97)^2)</f>
        <v>1.384457336245505</v>
      </c>
      <c r="HG17" s="36" t="s">
        <v>338</v>
      </c>
      <c r="HH17" s="37" t="s">
        <v>120</v>
      </c>
      <c r="HJ17" s="44"/>
      <c r="HK17" s="36">
        <f>SQRT((A17-$A$98)^2+(B17-$B$98)^2+(C17-$C$98)^2+(D17-$D$98)^2+(E17-$E$98)^2+(F17-$F$98)^2+(G17-$G$98)^2+(H17-$H$98)^2+(I17-$I$98)^2+(J17-$J$98)^2+(K17-$K$98)^2+(L17-$L$98)^2+(M17-$M$98)^2+(N17-$N$98)^2+(O17-$O$98)^2+(P17-$P$98)^2+(Q17-$Q$98)^2+(R17-$R$98)^2+(S17-$S$98)^2+(T17-$T$98)^2+(U17-$U$98)^2+(V17-$V$98)^2+(W17-$W$98)^2+(X17-$X$98)^2+(Y17-$Y$98)^2+(Z17-$Z$98)^2+(AA17-$AA$98)^2+(AB17-$AB$98)^2+(AC17-$AC$98)^2+(AD17-$AD$98)^2+(AE17-$AE$98)^2+(AF17-$AF$98)^2+(AG17-$AG$98)^2)</f>
        <v>1.384457336245505</v>
      </c>
      <c r="HL17" s="36" t="s">
        <v>338</v>
      </c>
      <c r="HM17" s="37" t="s">
        <v>120</v>
      </c>
      <c r="HO17" s="44"/>
      <c r="HP17" s="36">
        <f>SQRT((A17-$A$99)^2+(B17-$B$99)^2+(C17-$C$99)^2+(D17-$D$99)^2+(E17-$E$99)^2+(F17-$F$99)^2+(G17-$G$99)^2+(H17-$H$99)^2+(I17-$I$99)^2+(J17-$J$99)^2+(K17-$K$99)^2+(L17-$L$99)^2+(M17-$M$99)^2+(N17-$N$99)^2+(O17-$O$99)^2+(P17-$P$99)^2+(Q17-$Q$99)^2+(R17-$R$99)^2+(S17-$S$99)^2+(T17-$T$99)^2+(U17-$U$99)^2+(V17-$V$99)^2+(W17-$W$99)^2+(X17-$X$99)^2+(Y17-$Y$99)^2+(Z17-$Z$99)^2+(AA17-$AA$99)^2+(AB17-$AB$99)^2+(AC17-$AC$99)^2+(AD17-$AD$99)^2+(AE17-$AE$99)^2+(AF17-$AF$99)^2+(AG17-$AG$99)^2)</f>
        <v>1.384457336245505</v>
      </c>
      <c r="HQ17" s="36" t="s">
        <v>338</v>
      </c>
      <c r="HR17" s="37" t="s">
        <v>120</v>
      </c>
      <c r="HT17" s="44"/>
      <c r="HU17" s="36">
        <f>SQRT((A17-$A$100)^2+(B17-$B$100)^2+(C17-$C$100)^2+(D17-$D$100)^2+(E17-$E$100)^2+(F17-$F$100)^2+(G17-$G$100)^2+(H17-$H$100)^2+(I17-$I$100)^2+(J17-$J$100)^2+(K17-$K$100)^2+(L17-$L$100)^2+(M17-$M$100)^2+(N17-$N$100)^2+(O17-$O$100)^2+(P17-$P$100)^2+(Q17-$Q$100)^2+(R17-$R$100)^2+(S17-$S$100)^2+(T17-$T$100)^2+(U17-$U$100)^2+(V17-$V$100)^2+(W17-$W$100)^2+(X17-$X$100)^2+(Y17-$Y$100)^2+(Z17-$Z$100)^2+(AA17-$AA$100)^2+(AB17-$AB$100)^2+(AC17-$AC$100)^2+(AD17-$AD$100)^2+(AE17-$AE$100)^2+(AF17-$AF$100)^2+(AG17-$AG$100)^2)</f>
        <v>1.384457336245505</v>
      </c>
      <c r="HV17" s="36" t="s">
        <v>338</v>
      </c>
      <c r="HW17" s="37" t="s">
        <v>120</v>
      </c>
      <c r="HY17" s="44"/>
      <c r="HZ17" s="36">
        <f>SQRT((A17-$A$101)^2+(B17-$B$101)^2+(C17-$C$101)^2+(D17-$D$101)^2+(E17-$E$101)^2+(F17-$F$101)^2+(G17-$G$101)^2+(H17-$H$101)^2+(I17-$I$101)^2+(J17-$J$101)^2+(K17-$K$101)^2+(L17-$L$101)^2+(M17-$M$101)^2+(N17-$N$101)^2+(O17-$O$101)^2+(P17-$P$101)^2+(Q17-$Q$101)^2+(R17-$R$101)^2+(S17-$S$101)^2+(T17-$T$101)^2+(U17-$U$101)^2+(V17-$V$101)^2+(W17-$W$101)^2+(X17-$X$101)^2+(Y17-$Y$101)^2+(Z17-$Z$101)^2+(AA17-$AA$101)^2+(AB17-$AB$101)^2+(AC17-$AC$101)^2+(AD17-$AD$101)^2+(AE17-$AE$101)^2+(AF17-$AF$101)^2+(AG17-$AG$101)^2)</f>
        <v>1.5615799478203256</v>
      </c>
      <c r="IA17" s="36" t="s">
        <v>318</v>
      </c>
      <c r="IB17" s="37" t="s">
        <v>120</v>
      </c>
    </row>
    <row r="18" spans="1:236" x14ac:dyDescent="0.35">
      <c r="A18" s="2">
        <v>0.66666666666666596</v>
      </c>
      <c r="B18" s="2">
        <v>0</v>
      </c>
      <c r="C18" s="2">
        <v>1</v>
      </c>
      <c r="D18" s="2">
        <v>0.66666666666666596</v>
      </c>
      <c r="E18" s="2">
        <v>0.33333333333333298</v>
      </c>
      <c r="F18" s="2">
        <v>1</v>
      </c>
      <c r="G18" s="2">
        <v>0.55555555555555503</v>
      </c>
      <c r="H18" s="2">
        <v>1</v>
      </c>
      <c r="I18" s="2">
        <v>0.5</v>
      </c>
      <c r="J18" s="2">
        <v>0</v>
      </c>
      <c r="K18" s="2">
        <v>0</v>
      </c>
      <c r="L18" s="2">
        <v>0</v>
      </c>
      <c r="M18" s="2">
        <v>1</v>
      </c>
      <c r="N18" s="2">
        <v>0.33333333333333298</v>
      </c>
      <c r="O18" s="2">
        <v>0</v>
      </c>
      <c r="P18" s="2">
        <v>1</v>
      </c>
      <c r="Q18" s="2">
        <v>1</v>
      </c>
      <c r="R18" s="2">
        <v>1</v>
      </c>
      <c r="S18" s="2">
        <v>0</v>
      </c>
      <c r="T18" s="2">
        <v>1</v>
      </c>
      <c r="U18" s="2">
        <v>1</v>
      </c>
      <c r="V18" s="2">
        <v>0</v>
      </c>
      <c r="W18" s="2">
        <v>1</v>
      </c>
      <c r="X18" s="2">
        <v>1</v>
      </c>
      <c r="Y18" s="2">
        <v>1</v>
      </c>
      <c r="Z18" s="2">
        <v>0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0</v>
      </c>
      <c r="AH18" s="2" t="s">
        <v>120</v>
      </c>
      <c r="AI18" s="42"/>
      <c r="AJ18" s="42"/>
      <c r="AL18" s="44"/>
      <c r="AM18" s="36">
        <f>SQRT((A18-$A$62)^2+(B18-$B$62)^2+(C18-$C$62)^2+(D18-$D$62)^2+(E18-$E$62)^2+(F18-$F$62)^2+(G18-$G$62)^2+(H18-$H$62)^2+(I18-$I$62)^2+(J18-$J$62)^2+(K18-$K$62)^2+(L18-$L$62)^2+(M18-$M$62)^2+(N18-$N$62)^2+(O18-$O$62)^2+(P18-$P$62)^2+(Q18-$Q$62)^2+(R18-$R$62)^2+(S18-$S$62)^2+(T18-$T$62)^2+(U18-$U$62)^2+(V18-$V$62)^2+(W18-$W$62)^2+(X18-$X$62)^2+(Y18-$Y$62)^2+(Z18-$Z$62)^2+(AA18-$AA$62)^2+(AB18-$AB$62)^2+(AC18-$AC$62)^2+(AD18-$AD$62)^2+(AE18-$AE$62)^2+(AF18-$AF$62)^2+(AG18-$AG$62)^2)</f>
        <v>2.289407977816293</v>
      </c>
      <c r="AN18" s="36" t="s">
        <v>153</v>
      </c>
      <c r="AO18" s="37" t="s">
        <v>120</v>
      </c>
      <c r="AQ18" s="44"/>
      <c r="AR18" s="36">
        <f>SQRT((A18-$A$63)^2+(B18-$B$63)^2+(C18-$C$63)^2+(D18-$D$63)^2+(E18-$E$63)^2+(F18-$F$63)^2+(G18-$G$63)^2+(H18-$H$63)^2+(I18-$I$63)^2+(J18-$J$63)^2+(K18-$K$63)^2+(L18-$L$63)^2+(M18-$M$63)^2+(N18-$N$63)^2+(O18-$O$63)^2+(P18-$P$63)^2+(Q18-$Q$63)^2+(R18-$R$63)^2+(S18-$S$63)^2+(T18-$T$63)^2+(U18-$U$63)^2+(V18-$V$63)^2+(W18-$W$63)^2+(X18-$X$63)^2+(Y18-$Y$63)^2+(Z18-$Z$63)^2+(AA18-$AA$63)^2+(AB18-$AB$63)^2+(AC18-$AC$63)^2+(AD18-$AD$63)^2+(AE18-$AE$63)^2+(AF18-$AF$63)^2+(AG18-$AG$63)^2)</f>
        <v>1.7491305908234378</v>
      </c>
      <c r="AS18" s="36" t="s">
        <v>133</v>
      </c>
      <c r="AT18" s="37" t="s">
        <v>120</v>
      </c>
      <c r="AU18" s="30"/>
      <c r="AV18" s="44"/>
      <c r="AW18" s="36">
        <f>SQRT((A18-$A$64)^2+(B18-$B$64)^2+(C18-$C$64)^2+(D18-$D$64)^2+(E18-$E$64)^2+(F18-$F$64)^2+(G18-$G$64)^2+(H18-$H$64)^2+(I18-$I$64)^2+(J18-$J$64)^2+(K18-$K$64)^2+(L18-$L$64)^2+(M18-$M$64)^2+(N18-$N$64)^2+(O18-$O$64)^2+(P18-$P$64)^2+(Q18-$Q$64)^2+(R18-$R$64)^2+(S18-$S$64)^2+(T18-$T$64)^2+(U18-$U$64)^2+(V18-$V$64)^2+(W18-$W$64)^2+(X18-$X$64)^2+(Y18-$Y$64)^2+(Z18-$Z$64)^2+(AA18-$AA$64)^2+(AB18-$AB$64)^2+(AC18-$AC$64)^2+(AD18-$AD$64)^2+(AE18-$AE$64)^2+(AF18-$AF$64)^2+(AG18-$AG$64)^2)</f>
        <v>1.7491305908234378</v>
      </c>
      <c r="AX18" s="36" t="s">
        <v>133</v>
      </c>
      <c r="AY18" s="37" t="s">
        <v>120</v>
      </c>
      <c r="AZ18" s="30"/>
      <c r="BA18" s="44"/>
      <c r="BB18" s="36">
        <f>SQRT((A18-$A$65)^2+(B18-$B$65)^2+(C18-$C$65)^2+(D18-$D$65)^2+(E18-$E$65)^2+(F18-$F$65)^2+(G18-$G$65)^2+(H18-$H$65)^2+(I18-$I$65)^2+(J18-$J$65)^2+(K18-$K$65)^2+(L18-$L$65)^2+(M18-$M$65)^2+(N18-$N$65)^2+(O18-$O$65)^2+(P18-$P$65)^2+(Q18-$Q$65)^2+(R18-$R$65)^2+(S18-$S$65)^2+(T18-$T$65)^2+(U18-$U$65)^2+(V18-$V$65)^2+(W18-$W$65)^2+(X18-$X$65)^2+(Y18-$Y$65)^2+(Z18-$Z$65)^2+(AA18-$AA$65)^2+(AB18-$AB$65)^2+(AC18-$AC$65)^2+(AD18-$AD$65)^2+(AE18-$AE$65)^2+(AF18-$AF$65)^2+(AG18-$AG$65)^2)</f>
        <v>1.7491305908234378</v>
      </c>
      <c r="BC18" s="36" t="s">
        <v>133</v>
      </c>
      <c r="BD18" s="37" t="s">
        <v>120</v>
      </c>
      <c r="BE18" s="30"/>
      <c r="BF18" s="44"/>
      <c r="BG18" s="36">
        <f>SQRT((A18-$A$66)^2+(B18-$B$66)^2+(C18-$C$66)^2+(D18-$D$66)^2+(E18-$E$66)^2+(F18-$F$66)^2+(G18-$G$66)^2+(H18-$H$66)^2+(I18-$I$66)^2+(J18-$J$66)^2+(K18-$K$66)^2+(L18-$L$66)^2+(M18-$M$66)^2+(N18-$N$66)^2+(O18-$O$66)^2+(P18-$P$66)^2+(Q18-$Q$66)^2+(R18-$R$66)^2+(S18-$S$66)^2+(T18-$T$66)^2+(U18-$U$66)^2+(V18-$V$66)^2+(W18-$W$66)^2+(X18-$X$66)^2+(Y18-$Y$66)^2+(Z18-$Z$66)^2+(AA18-$AA$66)^2+(AB18-$AB$66)^2+(AC18-$AC$66)^2+(AD18-$AD$66)^2+(AE18-$AE$66)^2+(AF18-$AF$66)^2+(AG18-$AG$66)^2)</f>
        <v>1.7491305908234378</v>
      </c>
      <c r="BH18" s="36" t="s">
        <v>133</v>
      </c>
      <c r="BI18" s="37" t="s">
        <v>120</v>
      </c>
      <c r="BJ18" s="30"/>
      <c r="BK18" s="44"/>
      <c r="BL18" s="36">
        <f>SQRT((A18-$A$67)^2+(B18-$B$67)^2+(C18-$C$67)^2+(D18-$D$67)^2+(E18-$E$67)^2+(F18-$F$67)^2+(G18-$G$67)^2+(H18-$H$67)^2+(I18-$I$67)^2+(J18-$J$67)^2+(K18-$K$67)^2+(L18-$L$67)^2+(M18-$M$67)^2+(N18-$N$67)^2+(O18-$O$67)^2+(P18-$P$67)^2+(Q18-$Q$67)^2+(R18-$R$67)^2+(S18-$S$67)^2+(T18-$T$67)^2+(U18-$U$67)^2+(V18-$V$67)^2+(W18-$W$67)^2+(X18-$X$67)^2+(Y18-$Y$67)^2+(Z18-$Z$67)^2+(AA18-$AA$67)^2+(AB18-$AB$67)^2+(AC18-$AC$67)^2+(AD18-$AD$67)^2+(AE18-$AE$67)^2+(AF18-$AF$67)^2+(AG18-$AG$67)^2)</f>
        <v>1.7491305908234378</v>
      </c>
      <c r="BM18" s="36" t="s">
        <v>133</v>
      </c>
      <c r="BN18" s="37" t="s">
        <v>120</v>
      </c>
      <c r="BO18" s="30"/>
      <c r="BP18" s="44"/>
      <c r="BQ18" s="36">
        <f>SQRT((A18-$A$68)^2+(B18-$B$68)^2+(C18-$C$68)^2+(D18-$D$68)^2+(E18-$E$68)^2+(F18-$F$68)^2+(G18-$G$68)^2+(H18-$H$68)^2+(I18-$I$68)^2+(J18-$J$68)^2+(K18-$K$68)^2+(L18-$L$68)^2+(M18-$M$68)^2+(N18-$N$68)^2+(O18-$O$68)^2+(P18-$P$68)^2+(Q18-$Q$68)^2+(R18-$R$68)^2+(S18-$S$68)^2+(T18-$T$68)^2+(U18-$U$68)^2+(V18-$V$68)^2+(W18-$W$68)^2+(X18-$X$68)^2+(Y18-$Y$68)^2+(Z18-$Z$68)^2+(AA18-$AA$68)^2+(AB18-$AB$68)^2+(AC18-$AC$68)^2+(AD18-$AD$68)^2+(AE18-$AE$68)^2+(AF18-$AF$68)^2+(AG18-$AG$68)^2)</f>
        <v>1.7491305908234378</v>
      </c>
      <c r="BR18" s="36" t="s">
        <v>133</v>
      </c>
      <c r="BS18" s="37" t="s">
        <v>120</v>
      </c>
      <c r="BT18" s="30"/>
      <c r="BU18" s="44"/>
      <c r="BV18" s="36">
        <f>SQRT((A18-$A$69)^2+(B18-$B$69)^2+(C18-$C$69)^2+(D18-$D$69)^2+(E18-$E$69)^2+(F18-$F$69)^2+(G18-$G$69)^2+(H18-$H$69)^2+(I18-$I$69)^2+(J18-$J$69)^2+(K18-$K$69)^2+(L18-$L$69)^2+(M18-$M$69)^2+(N18-$N$69)^2+(O18-$O$69)^2+(P18-$P$69)^2+(Q18-$Q$69)^2+(R18-$R$69)^2+(S18-$S$69)^2+(T18-$T$69)^2+(U18-$U$69)^2+(V18-$V$69)^2+(W18-$W$69)^2+(X18-$X$69)^2+(Y18-$Y$69)^2+(Z18-$Z$69)^2+(AA18-$AA$69)^2+(AB18-$AB$69)^2+(AC18-$AC$69)^2+(AD18-$AD$69)^2+(AE18-$AE$69)^2+(AF18-$AF$69)^2+(AG18-$AG$69)^2)</f>
        <v>2.675657591026027</v>
      </c>
      <c r="BW18" s="36" t="s">
        <v>143</v>
      </c>
      <c r="BX18" s="37" t="s">
        <v>120</v>
      </c>
      <c r="BZ18" s="44"/>
      <c r="CA18" s="36">
        <f>SQRT((A18-$A$70)^2+(B18-$B$70)^2+(C18-$C$70)^2+(D18-$D$70)^2+(E18-$E$70)^2+(F18-$F$70)^2+(G18-$G$70)^2+(H18-$H$70)^2+(I18-$I$70)^2+(J18-$J$70)^2+(K18-$K$70)^2+(L18-$L$70)^2+(M18-$M$70)^2+(N18-$N$70)^2+(O18-$O$70)^2+(P18-$P$70)^2+(Q18-$Q$70)^2+(R18-$R$70)^2+(S18-$S$70)^2+(T18-$T$70)^2+(U18-$U$70)^2+(V18-$V$70)^2+(W18-$W$70)^2+(X18-$X$70)^2+(Y18-$Y$70)^2+(Z18-$Z$70)^2+(AA18-$AA$70)^2+(AB18-$AB$70)^2+(AC18-$AC$70)^2+(AD18-$AD$70)^2+(AE18-$AE$70)^2+(AF18-$AF$70)^2+(AG18-$AG$70)^2)</f>
        <v>1.8847102078955593</v>
      </c>
      <c r="CB18" s="36" t="s">
        <v>318</v>
      </c>
      <c r="CC18" s="37" t="s">
        <v>120</v>
      </c>
      <c r="CE18" s="44"/>
      <c r="CF18" s="36">
        <f>SQRT((A18-$A$71)^2+(B18-$B$71)^2+(C18-$C$71)^2+(D18-$D$71)^2+(E18-$E$71)^2+(F18-$F$71)^2+(G18-$G$71)^2+(H18-$H$71)^2+(I18-$I$71)^2+(J18-$J$71)^2+(K18-$K$71)^2+(L18-$L$71)^2+(M18-$M$71)^2+(N18-$N$71)^2+(O18-$O$71)^2+(P18-$P$71)^2+(Q18-$Q$71)^2+(R18-$R$71)^2+(S18-$S$71)^2+(T18-$T$71)^2+(U18-$U$71)^2+(V18-$V$71)^2+(W18-$W$71)^2+(X18-$X$71)^2+(Y18-$Y$71)^2+(Z18-$Z$71)^2+(AA18-$AA$71)^2+(AB18-$AB$71)^2+(AC18-$AC$71)^2+(AD18-$AD$71)^2+(AE18-$AE$71)^2+(AF18-$AF$71)^2+(AG18-$AG$71)^2)</f>
        <v>1.6635535295034842</v>
      </c>
      <c r="CG18" s="36" t="s">
        <v>334</v>
      </c>
      <c r="CH18" s="37" t="s">
        <v>120</v>
      </c>
      <c r="CJ18" s="44"/>
      <c r="CK18" s="36">
        <f>SQRT((A18-$A$72)^2+(B18-$B$72)^2+(C18-$C$72)^2+(D18-$D$72)^2+(E18-$E$72)^2+(F18-$F$72)^2+(G18-$G$72)^2+(H18-$H$72)^2+(I18-$I$72)^2+(J18-$J$72)^2+(K18-$K$72)^2+(L18-$L$72)^2+(M18-$M$72)^2+(N18-$N$72)^2+(O18-$O$72)^2+(P18-$P$72)^2+(Q18-$Q$72)^2+(R18-$R$72)^2+(S18-$S$72)^2+(T18-$T$72)^2+(U18-$U$72)^2+(V18-$V$72)^2+(W18-$W$72)^2+(X18-$X$72)^2+(Y18-$Y$72)^2+(Z18-$Z$72)^2+(AA18-$AA$72)^2+(AB18-$AB$72)^2+(AC18-$AC$72)^2+(AD18-$AD$72)^2+(AE18-$AE$72)^2+(AF18-$AF$72)^2+(AG18-$AG$72)^2)</f>
        <v>1.7346246542703443</v>
      </c>
      <c r="CL18" s="36" t="s">
        <v>319</v>
      </c>
      <c r="CM18" s="37" t="s">
        <v>120</v>
      </c>
      <c r="CO18" s="44"/>
      <c r="CP18" s="36">
        <f>SQRT((A18-$A$73)^2+(B18-$B$73)^2+(C18-$C$73)^2+(D18-$D$73)^2+(E18-$E$73)^2+(F18-$F$73)^2+(G18-$G$73)^2+(H18-$H$73)^2+(I18-$I$73)^2+(J18-$J$73)^2+(K18-$K$73)^2+(L18-$L$73)^2+(M18-$M$73)^2+(N18-$N$73)^2+(O18-$O$73)^2+(P18-$P$73)^2+(Q18-$Q$73)^2+(R18-$R$73)^2+(S18-$S$73)^2+(T18-$T$73)^2+(U18-$U$73)^2+(V18-$V$73)^2+(W18-$W$73)^2+(X18-$X$73)^2+(Y18-$Y$73)^2+(Z18-$Z$73)^2+(AA18-$AA$73)^2+(AB18-$AB$73)^2+(AC18-$AC$73)^2+(AD18-$AD$73)^2+(AE18-$AE$73)^2+(AF18-$AF$73)^2+(AG18-$AG$73)^2)</f>
        <v>2.059193477499814</v>
      </c>
      <c r="CQ18" s="36" t="s">
        <v>325</v>
      </c>
      <c r="CR18" s="37" t="s">
        <v>120</v>
      </c>
      <c r="CT18" s="44"/>
      <c r="CU18" s="36">
        <f>SQRT((A18-$A$74)^2+(B18-$B$74)^2+(C18-$C$74)^2+(D18-$D$74)^2+(E18-$E$74)^2+(F18-$F$74)^2+(G18-$G$74)^2+(H18-$H$74)^2+(I18-$I$74)^2+(J18-$J$74)^2+(K18-$K$74)^2+(L18-$L$74)^2+(M18-$M$74)^2+(N18-$N$74)^2+(O18-$O$74)^2+(P18-$P$74)^2+(Q18-$Q$74)^2+(R18-$R$74)^2+(S18-$S$74)^2+(T18-$T$74)^2+(U18-$U$74)^2+(V18-$V$74)^2+(W18-$W$74)^2+(X18-$X$74)^2+(Y18-$Y$74)^2+(Z18-$Z$74)^2+(AA18-$AA$74)^2+(AB18-$AB$74)^2+(AC18-$AC$74)^2+(AD18-$AD$74)^2+(AE18-$AE$74)^2+(AF18-$AF$74)^2+(AG18-$AG$74)^2)</f>
        <v>1.7654870275491814</v>
      </c>
      <c r="CV18" s="36" t="s">
        <v>322</v>
      </c>
      <c r="CW18" s="37" t="s">
        <v>120</v>
      </c>
      <c r="CY18" s="44"/>
      <c r="CZ18" s="36">
        <f>SQRT((A18-$A$75)^2+(B18-$B$75)^2+(C18-$C$75)^2+(D18-$D$75)^2+(E18-$E$75)^2+(F18-$F$75)^2+(G18-$G$75)^2+(H18-$H$75)^2+(I18-$I$75)^2+(J18-$J$75)^2+(K18-$K$75)^2+(L18-$L$75)^2+(M18-$M$75)^2+(N18-$N$75)^2+(O18-$O$75)^2+(P18-$P$75)^2+(Q18-$Q$75)^2+(R18-$R$75)^2+(S18-$S$75)^2+(T18-$T$75)^2+(U18-$U$75)^2+(V18-$V$75)^2+(W18-$W$75)^2+(X18-$X$75)^2+(Y18-$Y$75)^2+(Z18-$Z$75)^2+(AA18-$AA$75)^2+(AB18-$AB$75)^2+(AC18-$AC$75)^2+(AD18-$AD$75)^2+(AE18-$AE$75)^2+(AF18-$AF$75)^2+(AG18-$AG$75)^2)</f>
        <v>1.8382509803252294</v>
      </c>
      <c r="DA18" s="36" t="s">
        <v>334</v>
      </c>
      <c r="DB18" s="37" t="s">
        <v>120</v>
      </c>
      <c r="DD18" s="44"/>
      <c r="DE18" s="36">
        <f>SQRT((A18-$A$76)^2+(B18-$B$76)^2+(C18-$C$76)^2+(D18-$D$76)^2+(E18-$E$76)^2+(F18-$F$76)^2+(G18-$G$76)^2+(H18-$H$76)^2+(I18-$I$76)^2+(J18-$J$76)^2+(K18-$K$76)^2+(L18-$L$76)^2+(M18-$M$76)^2+(N18-$N$76)^2+(O18-$O$76)^2+(P18-$P$76)^2+(Q18-$Q$76)^2+(R18-$R$76)^2+(S18-$S$76)^2+(T18-$T$76)^2+(U18-$U$76)^2+(V18-$V$76)^2+(W18-$W$76)^2+(X18-$X$76)^2+(Y18-$Y$76)^2+(Z18-$Z$76)^2+(AA18-$AA$76)^2+(AB18-$AB$76)^2+(AC18-$AC$76)^2+(AD18-$AD$76)^2+(AE18-$AE$76)^2+(AF18-$AF$76)^2+(AG18-$AG$76)^2)</f>
        <v>1.7477763650485212</v>
      </c>
      <c r="DF18" s="36" t="s">
        <v>334</v>
      </c>
      <c r="DG18" s="37" t="s">
        <v>120</v>
      </c>
      <c r="DI18" s="44"/>
      <c r="DJ18" s="36">
        <f>SQRT((A18-$A$77)^2+(B18-$B$77)^2+(C18-$C$77)^2+(D18-$D$77)^2+(E18-$E$77)^2+(F18-$F$77)^2+(G18-$G$77)^2+(H18-$H$77)^2+(I18-$I$77)^2+(J18-$J$77)^2+(K18-$K$77)^2+(L18-$L$77)^2+(M18-$M$77)^2+(N18-$N$77)^2+(O18-$O$77)^2+(P18-$P$77)^2+(Q18-$Q$77)^2+(R18-$R$77)^2+(S18-$S$77)^2+(T18-$T$77)^2+(U18-$U$77)^2+(V18-$V$77)^2+(W18-$W$77)^2+(X18-$X$77)^2+(Y18-$Y$77)^2+(Z18-$Z$77)^2+(AA18-$AA$77)^2+(AB18-$AB$77)^2+(AC18-$AC$77)^2+(AD18-$AD$77)^2+(AE18-$AE$77)^2+(AF18-$AF$77)^2+(AG18-$AG$77)^2)</f>
        <v>2.1369760566432805</v>
      </c>
      <c r="DK18" s="36" t="s">
        <v>153</v>
      </c>
      <c r="DL18" s="37" t="s">
        <v>120</v>
      </c>
      <c r="DN18" s="44"/>
      <c r="DO18" s="36">
        <f>SQRT((A18-$A$78)^2+(B18-$B$78)^2+(C18-$C$78)^2+(D18-$D$78)^2+(E18-$E$78)^2+(F18-$F$78)^2+(G18-$G$78)^2+(H18-$H$78)^2+(I18-$I$78)^2+(J18-$J$78)^2+(K18-$K$78)^2+(L18-$L$78)^2+(M18-$M$78)^2+(N18-$N$78)^2+(O18-$O$78)^2+(P18-$P$78)^2+(Q18-$Q$78)^2+(R18-$R$78)^2+(S18-$S$78)^2+(T18-$T$78)^2+(U18-$U$78)^2+(V18-$V$78)^2+(W18-$W$78)^2+(X18-$X$78)^2+(Y18-$Y$78)^2+(Z18-$Z$78)^2+(AA18-$AA$78)^2+(AB18-$AB$78)^2+(AC18-$AC$78)^2+(AD18-$AD$78)^2+(AE18-$AE$78)^2+(AF18-$AF$78)^2+(AG18-$AG$78)^2)</f>
        <v>1.9774989242422158</v>
      </c>
      <c r="DP18" s="36" t="s">
        <v>331</v>
      </c>
      <c r="DQ18" s="37" t="s">
        <v>120</v>
      </c>
      <c r="DS18" s="44"/>
      <c r="DT18" s="36">
        <f>SQRT((A18-$A$79)^2+(B18-$B$79)^2+(C18-$C$79)^2+(D18-$D$79)^2+(E18-$E$79)^2+(F18-$F$79)^2+(G18-$G$79)^2+(H18-$H$79)^2+(I18-$I$79)^2+(J18-$J$79)^2+(K18-$K$79)^2+(L18-$L$79)^2+(M18-$M$79)^2+(N18-$N$79)^2+(O18-$O$79)^2+(P18-$P$79)^2+(Q18-$Q$79)^2+(R18-$R$79)^2+(S18-$S$79)^2+(T18-$T$79)^2+(U18-$U$79)^2+(V18-$V$79)^2+(W18-$W$79)^2+(X18-$X$79)^2+(Y18-$Y$79)^2+(Z18-$Z$79)^2+(AA18-$AA$79)^2+(AB18-$AB$79)^2+(AC18-$AC$79)^2+(AD18-$AD$79)^2+(AE18-$AE$79)^2+(AF18-$AF$79)^2+(AG18-$AG$79)^2)</f>
        <v>1.6507219886431537</v>
      </c>
      <c r="DU18" s="36" t="s">
        <v>337</v>
      </c>
      <c r="DV18" s="37" t="s">
        <v>120</v>
      </c>
      <c r="DX18" s="44"/>
      <c r="DY18" s="36">
        <f>SQRT((A18-$A$80)^2+(B18-$B$80)^2+(C18-$C$80)^2+(D18-$D$80)^2+(E18-$E$80)^2+(F18-$F$80)^2+(G18-$G$80)^2+(H18-$H$80)^2+(I18-$I$80)^2+(J18-$J$80)^2+(K18-$K$80)^2+(L18-$L$80)^2+(M18-$M$80)^2+(N18-$N$80)^2+(O18-$O$80)^2+(P18-$P$80)^2+(Q18-$Q$80)^2+(R18-$R$80)^2+(S18-$S$80)^2+(T18-$T$80)^2+(U18-$U$80)^2+(V18-$V$80)^2+(W18-$W$80)^2+(X18-$X$80)^2+(Y18-$Y$80)^2+(Z18-$Z$80)^2+(AA18-$AA$80)^2+(AB18-$AB$80)^2+(AC18-$AC$80)^2+(AD18-$AD$80)^2+(AE18-$AE$80)^2+(AF18-$AF$80)^2+(AG18-$AG$80)^2)</f>
        <v>2.0494579229098062</v>
      </c>
      <c r="DZ18" s="36" t="s">
        <v>137</v>
      </c>
      <c r="EA18" s="37" t="s">
        <v>120</v>
      </c>
      <c r="EC18" s="44"/>
      <c r="ED18" s="36">
        <f>SQRT((A18-$A$81)^2+(B18-$B$81)^2+(C18-$C$81)^2+(D18-$D$81)^2+(E18-$E$81)^2+(F18-$F$81)^2+(G18-$G$81)^2+(H18-$H$81)^2+(I18-$I$81)^2+(J18-$J$81)^2+(K18-$K$81)^2+(L18-$L$81)^2+(M18-$M$81)^2+(N18-$N$81)^2+(O18-$O$81)^2+(P18-$P$81)^2+(Q18-$Q$81)^2+(R18-$R$81)^2+(S18-$S$81)^2+(T18-$T$81)^2+(U18-$U$81)^2+(V18-$V$81)^2+(W18-$W$81)^2+(X18-$X$81)^2+(Y18-$Y$81)^2+(Z18-$Z$81)^2+(AA18-$AA$81)^2+(AB18-$AB$81)^2+(AC18-$AC$81)^2+(AD18-$AD$81)^2+(AE18-$AE$81)^2+(AF18-$AF$81)^2+(AG18-$AG$81)^2)</f>
        <v>2.175622516277429</v>
      </c>
      <c r="EE18" s="36" t="s">
        <v>327</v>
      </c>
      <c r="EF18" s="37" t="s">
        <v>120</v>
      </c>
      <c r="EH18" s="44"/>
      <c r="EI18" s="36">
        <f>SQRT((A18-$A$82)^2+(B18-$B$82)^2+(C18-$C$82)^2+(D18-$D$82)^2+(E18-$E$82)^2+(F18-$F$82)^2+(G18-$G$82)^2+(H18-$H$82)^2+(I18-$I$82)^2+(J18-$J$82)^2+(K18-$K$82)^2+(L18-$L$82)^2+(M18-$M$82)^2+(N18-$N$82)^2+(O18-$O$82)^2+(P18-$P$82)^2+(Q18-$Q$82)^2+(R18-$R$82)^2+(S18-$S$82)^2+(T18-$T$82)^2+(U18-$U$82)^2+(V18-$V$82)^2+(W18-$W$82)^2+(X18-$X$82)^2+(Y18-$Y$82)^2+(Z18-$Z$82)^2+(AA18-$AA$82)^2+(AB18-$AB$82)^2+(AC18-$AC$82)^2+(AD18-$AD$82)^2+(AE18-$AE$82)^2+(AF18-$AF$82)^2+(AG18-$AG$82)^2)</f>
        <v>2.0868508427349486</v>
      </c>
      <c r="EJ18" s="36" t="s">
        <v>133</v>
      </c>
      <c r="EK18" s="37" t="s">
        <v>120</v>
      </c>
      <c r="EM18" s="44"/>
      <c r="EN18" s="36">
        <f>SQRT((A18-$A$83)^2+(B18-$B$83)^2+(C18-$C$83)^2+(D18-$D$83)^2+(E18-$E$83)^2+(F18-$F$83)^2+(G18-$G$83)^2+(H18-$H$83)^2+(I18-$I$83)^2+(J18-$J$83)^2+(K18-$K$83)^2+(L18-$L$83)^2+(M18-$M$83)^2+(N18-$N$83)^2+(O18-$O$83)^2+(P18-$P$83)^2+(Q18-$Q$83)^2+(R18-$R$83)^2+(S18-$S$83)^2+(T18-$T$83)^2+(U18-$U$83)^2+(V18-$V$83)^2+(W18-$W$83)^2+(X18-$X$83)^2+(Y18-$Y$83)^2+(Z18-$Z$83)^2+(AA18-$AA$83)^2+(AB18-$AB$83)^2+(AC18-$AC$83)^2+(AD18-$AD$83)^2+(AE18-$AE$83)^2+(AF18-$AF$83)^2+(AG18-$AG$83)^2)</f>
        <v>1.9100470604560766</v>
      </c>
      <c r="EO18" s="36" t="s">
        <v>337</v>
      </c>
      <c r="EP18" s="37" t="s">
        <v>120</v>
      </c>
      <c r="ER18" s="44"/>
      <c r="ES18" s="36">
        <f>SQRT((A18-$A$84)^2+(B18-$B$84)^2+(C18-$C$84)^2+(D18-$D$84)^2+(E18-$E$84)^2+(F18-$F$84)^2+(G18-$G$84)^2+(H18-$H$84)^2+(I18-$I$84)^2+(J18-$J$84)^2+(K18-$K$84)^2+(L18-$L$84)^2+(M18-$M$84)^2+(N18-$N$84)^2+(O18-$O$84)^2+(P18-$P$84)^2+(Q18-$Q$84)^2+(R18-$R$84)^2+(S18-$S$84)^2+(T18-$T$84)^2+(U18-$U$84)^2+(V18-$V$84)^2+(W18-$W$84)^2+(X18-$X$84)^2+(Y18-$Y$84)^2+(Z18-$Z$84)^2+(AA18-$AA$84)^2+(AB18-$AB$84)^2+(AC18-$AC$84)^2+(AD18-$AD$84)^2+(AE18-$AE$84)^2+(AF18-$AF$84)^2+(AG18-$AG$84)^2)</f>
        <v>1.7491305908234378</v>
      </c>
      <c r="ET18" s="36" t="s">
        <v>133</v>
      </c>
      <c r="EU18" s="37" t="s">
        <v>120</v>
      </c>
      <c r="EW18" s="44"/>
      <c r="EX18" s="36">
        <f>SQRT((A18-$A$85)^2+(B18-$B$85)^2+(C18-$C$85)^2+(D18-$D$85)^2+(E18-$E$85)^2+(F18-$F$85)^2+(G18-$G$85)^2+(H18-$H$85)^2+(I18-$I$85)^2+(J18-$J$85)^2+(K18-$K$85)^2+(L18-$L$85)^2+(M18-$M$85)^2+(N18-$N$85)^2+(O18-$O$85)^2+(P18-$P$85)^2+(Q18-$Q$85)^2+(R18-$R$85)^2+(S18-$S$85)^2+(T18-$T$85)^2+(U18-$U$85)^2+(V18-$V$85)^2+(W18-$W$85)^2+(X18-$X$85)^2+(Y18-$Y$85)^2+(Z18-$Z$85)^2+(AA18-$AA$85)^2+(AB18-$AB$85)^2+(AC18-$AC$85)^2+(AD18-$AD$85)^2+(AE18-$AE$85)^2+(AF18-$AF$85)^2+(AG18-$AG$85)^2)</f>
        <v>1.7491305908234378</v>
      </c>
      <c r="EY18" s="36" t="s">
        <v>133</v>
      </c>
      <c r="EZ18" s="37" t="s">
        <v>120</v>
      </c>
      <c r="FB18" s="44"/>
      <c r="FC18" s="36">
        <f>SQRT((A18-$A$86)^2+(B18-$B$86)^2+(C18-$C$86)^2+(D18-$D$86)^2+(E18-$E$86)^2+(F18-$F$86)^2+(G18-$G$86)^2+(H18-$H$86)^2+(I18-$I$86)^2+(J18-$J$86)^2+(K18-$K$86)^2+(L18-$L$86)^2+(M18-$M$86)^2+(N18-$N$86)^2+(O18-$O$86)^2+(P18-$P$86)^2+(Q18-$Q$86)^2+(R18-$R$86)^2+(S18-$S$86)^2+(T18-$T$86)^2+(U18-$U$86)^2+(V18-$V$86)^2+(W18-$W$86)^2+(X18-$X$86)^2+(Y18-$Y$86)^2+(Z18-$Z$86)^2+(AA18-$AA$86)^2+(AB18-$AB$86)^2+(AC18-$AC$86)^2+(AD18-$AD$86)^2+(AE18-$AE$86)^2+(AF18-$AF$86)^2+(AG18-$AG$86)^2)</f>
        <v>1.7491305908234378</v>
      </c>
      <c r="FD18" s="36" t="s">
        <v>133</v>
      </c>
      <c r="FE18" s="37" t="s">
        <v>120</v>
      </c>
      <c r="FG18" s="44"/>
      <c r="FH18" s="36">
        <f>SQRT((A18-$A$87)^2+(B18-$B$87)^2+(C18-$C$87)^2+(D18-$D$87)^2+(E18-$E$87)^2+(F18-$F$87)^2+(G18-$G$87)^2+(H18-$H$87)^2+(I18-$I$87)^2+(J18-$J$87)^2+(K18-$K$87)^2+(L18-$L$87)^2+(M18-$M$87)^2+(N18-$N$87)^2+(O18-$O$87)^2+(P18-$P$87)^2+(Q18-$Q$87)^2+(R18-$R$87)^2+(S18-$S$87)^2+(T18-$T$87)^2+(U18-$U$87)^2+(V18-$V$87)^2+(W18-$W$87)^2+(X18-$X$87)^2+(Y18-$Y$87)^2+(Z18-$Z$87)^2+(AA18-$AA$87)^2+(AB18-$AB$87)^2+(AC18-$AC$87)^2+(AD18-$AD$87)^2+(AE18-$AE$87)^2+(AF18-$AF$87)^2+(AG18-$AG$87)^2)</f>
        <v>2.0323084848953856</v>
      </c>
      <c r="FI18" s="36" t="s">
        <v>331</v>
      </c>
      <c r="FJ18" s="37" t="s">
        <v>120</v>
      </c>
      <c r="FL18" s="44"/>
      <c r="FM18" s="36">
        <f>SQRT((A18-$A$88)^2+(B18-$B$88)^2+(C18-$C$88)^2+(D18-$D$88)^2+(E18-$E$88)^2+(F18-$F$88)^2+(G18-$G$88)^2+(H18-$H$88)^2+(I18-$I$88)^2+(J18-$J$88)^2+(K18-$K$88)^2+(L18-$L$88)^2+(M18-$M$88)^2+(N18-$N$88)^2+(O18-$O$88)^2+(P18-$P$88)^2+(Q18-$Q$88)^2+(R18-$R$88)^2+(S18-$S$88)^2+(T18-$T$88)^2+(U18-$U$88)^2+(V18-$V$88)^2+(W18-$W$88)^2+(X18-$X$88)^2+(Y18-$Y$88)^2+(Z18-$Z$88)^2+(AA18-$AA$88)^2+(AB18-$AB$88)^2+(AC18-$AC$88)^2+(AD18-$AD$88)^2+(AE18-$AE$88)^2+(AF18-$AF$88)^2+(AG18-$AG$88)^2)</f>
        <v>1.5975395355814275</v>
      </c>
      <c r="FN18" s="36" t="s">
        <v>321</v>
      </c>
      <c r="FO18" s="37" t="s">
        <v>120</v>
      </c>
      <c r="FQ18" s="44"/>
      <c r="FR18" s="36">
        <f>SQRT((A18-$A$89)^2+(B18-$B$89)^2+(C18-$C$89)^2+(D18-$D$89)^2+(E18-$E$89)^2+(F18-$F$89)^2+(G18-$G$89)^2+(H18-$H$89)^2+(I18-$I$89)^2+(J18-$J$89)^2+(K18-$K$89)^2+(L18-$L$89)^2+(M18-$M$89)^2+(N18-$N$89)^2+(O18-$O$89)^2+(P18-$P$89)^2+(Q18-$Q$89)^2+(R18-$R$89)^2+(S18-$S$89)^2+(T18-$T$89)^2+(U18-$U$89)^2+(V18-$V$89)^2+(W18-$W$89)^2+(X18-$X$89)^2+(Y18-$Y$89)^2+(Z18-$Z$89)^2+(AA18-$AA$89)^2+(AB18-$AB$89)^2+(AC18-$AC$89)^2+(AD18-$AD$89)^2+(AE18-$AE$89)^2+(AF18-$AF$89)^2+(AG18-$AG$89)^2)</f>
        <v>2.0388586131569899</v>
      </c>
      <c r="FS18" s="36" t="s">
        <v>126</v>
      </c>
      <c r="FT18" s="37" t="s">
        <v>120</v>
      </c>
      <c r="FV18" s="44"/>
      <c r="FW18" s="36">
        <f>SQRT((A18-$A$90)^2+(B18-$B$90)^2+(C18-$C$90)^2+(D18-$D$90)^2+(E18-$E$90)^2+(F18-$F$90)^2+(G18-$G$90)^2+(H18-$H$90)^2+(I18-$I$90)^2+(J18-$J$90)^2+(K18-$K$90)^2+(L18-$L$90)^2+(M18-$M$90)^2+(N18-$N$90)^2+(O18-$O$90)^2+(P18-$P$90)^2+(Q18-$Q$90)^2+(R18-$R$90)^2+(S18-$S$90)^2+(T18-$T$90)^2+(U18-$U$90)^2+(V18-$V$90)^2+(W18-$W$90)^2+(X18-$X$90)^2+(Y18-$Y$90)^2+(Z18-$Z$90)^2+(AA18-$AA$90)^2+(AB18-$AB$90)^2+(AC18-$AC$90)^2+(AD18-$AD$90)^2+(AE18-$AE$90)^2+(AF18-$AF$90)^2+(AG18-$AG$90)^2)</f>
        <v>2.2063670491456211</v>
      </c>
      <c r="FX18" s="36" t="s">
        <v>150</v>
      </c>
      <c r="FY18" s="37" t="s">
        <v>120</v>
      </c>
      <c r="GA18" s="44"/>
      <c r="GB18" s="36">
        <f>SQRT((A18-$A$91)^2+(B18-$B$91)^2+(C18-$C$91)^2+(D18-$D$91)^2+(E18-$E$91)^2+(F18-$F$91)^2+(G18-$G$91)^2+(H18-$H$91)^2+(I18-$I$91)^2+(J18-$J$91)^2+(K18-$K$91)^2+(L18-$L$91)^2+(M18-$M$91)^2+(N18-$N$91)^2+(O18-$O$91)^2+(P18-$P$91)^2+(Q18-$Q$91)^2+(R18-$R$91)^2+(S18-$S$91)^2+(T18-$T$91)^2+(U18-$U$91)^2+(V18-$V$91)^2+(W18-$W$91)^2+(X18-$X$91)^2+(Y18-$Y$91)^2+(Z18-$Z$91)^2+(AA18-$AA$91)^2+(AB18-$AB$91)^2+(AC18-$AC$91)^2+(AD18-$AD$91)^2+(AE18-$AE$91)^2+(AF18-$AF$91)^2+(AG18-$AG$91)^2)</f>
        <v>2.750959428595372</v>
      </c>
      <c r="GC18" s="36" t="s">
        <v>132</v>
      </c>
      <c r="GD18" s="37" t="s">
        <v>120</v>
      </c>
      <c r="GF18" s="44"/>
      <c r="GG18" s="36">
        <f>SQRT((A18-$A$92)^2+(B18-$B$92)^2+(C18-$C$92)^2+(D18-$D$92)^2+(E18-$E$92)^2+(F18-$F$92)^2+(G18-$G$92)^2+(H18-$H$92)^2+(I18-$I$92)^2+(J18-$J$92)^2+(K18-$K$92)^2+(L18-$L$92)^2+(M18-$M$92)^2+(N18-$N$92)^2+(O18-$O$92)^2+(P18-$P$92)^2+(Q18-$Q$92)^2+(R18-$R$92)^2+(S18-$S$92)^2+(T18-$T$92)^2+(U18-$U$92)^2+(V18-$V$92)^2+(W18-$W$92)^2+(X18-$X$92)^2+(Y18-$Y$92)^2+(Z18-$Z$92)^2+(AA18-$AA$92)^2+(AB18-$AB$92)^2+(AC18-$AC$92)^2+(AD18-$AD$92)^2+(AE18-$AE$92)^2+(AF18-$AF$92)^2+(AG18-$AG$92)^2)</f>
        <v>2.1007721625290148</v>
      </c>
      <c r="GH18" s="36" t="s">
        <v>338</v>
      </c>
      <c r="GI18" s="37" t="s">
        <v>120</v>
      </c>
      <c r="GK18" s="44"/>
      <c r="GL18" s="36">
        <f>SQRT((A18-$A$93)^2+(B18-$B$93)^2+(C18-$C$93)^2+(D18-$D$93)^2+(E18-$E$93)^2+(F18-$F$93)^2+(G18-$G$93)^2+(H18-$H$93)^2+(I18-$I$93)^2+(J18-$J$93)^2+(K18-$K$93)^2+(L18-$L$93)^2+(M18-$M$93)^2+(N18-$N$93)^2+(O18-$O$93)^2+(P18-$P$93)^2+(Q18-$Q$93)^2+(R18-$R$93)^2+(S18-$S$93)^2+(T18-$T$93)^2+(U18-$U$93)^2+(V18-$V$93)^2+(W18-$W$93)^2+(X18-$X$93)^2+(Y18-$Y$93)^2+(Z18-$Z$93)^2+(AA18-$AA$93)^2+(AB18-$AB$93)^2+(AC18-$AC$93)^2+(AD18-$AD$93)^2+(AE18-$AE$93)^2+(AF18-$AF$93)^2+(AG18-$AG$93)^2)</f>
        <v>2.8136571693556882</v>
      </c>
      <c r="GM18" s="36" t="s">
        <v>321</v>
      </c>
      <c r="GN18" s="37" t="s">
        <v>120</v>
      </c>
      <c r="GP18" s="44"/>
      <c r="GQ18" s="36">
        <f>SQRT((A18-$A$94)^2+(B18-$B$94)^2+(C18-$C$94)^2+(D18-$D$94)^2+(E18-$E$94)^2+(F18-$F$94)^2+(G18-$G$94)^2+(H18-$H$94)^2+(I18-$I$94)^2+(J18-$J$94)^2+(K18-$K$94)^2+(L18-$L$94)^2+(M18-$M$94)^2+(N18-$N$94)^2+(O18-$O$94)^2+(P18-$P$94)^2+(Q18-$Q$94)^2+(R18-$R$94)^2+(S18-$S$94)^2+(T18-$T$94)^2+(U18-$U$94)^2+(V18-$V$94)^2+(W18-$W$94)^2+(X18-$X$94)^2+(Y18-$Y$94)^2+(Z18-$Z$94)^2+(AA18-$AA$94)^2+(AB18-$AB$94)^2+(AC18-$AC$94)^2+(AD18-$AD$94)^2+(AE18-$AE$94)^2+(AF18-$AF$94)^2+(AG18-$AG$94)^2)</f>
        <v>1.9204894618708273</v>
      </c>
      <c r="GR18" s="36" t="s">
        <v>338</v>
      </c>
      <c r="GS18" s="37" t="s">
        <v>120</v>
      </c>
      <c r="GU18" s="44"/>
      <c r="GV18" s="36">
        <f>SQRT((A18-$A$95)^2+(B18-$B$95)^2+(C18-$C$95)^2+(D18-$D$95)^2+(E18-$E$95)^2+(F18-$F$95)^2+(G18-$G$95)^2+(H18-$H$95)^2+(I18-$I$95)^2+(J18-$J$95)^2+(K18-$K$95)^2+(L18-$L$95)^2+(M18-$M$95)^2+(N18-$N$95)^2+(O18-$O$95)^2+(P18-$P$95)^2+(Q18-$Q$95)^2+(R18-$R$95)^2+(S18-$S$95)^2+(T18-$T$95)^2+(U18-$U$95)^2+(V18-$V$95)^2+(W18-$W$95)^2+(X18-$X$95)^2+(Y18-$Y$95)^2+(Z18-$Z$95)^2+(AA18-$AA$95)^2+(AB18-$AB$95)^2+(AC18-$AC$95)^2+(AD18-$AD$95)^2+(AE18-$AE$95)^2+(AF18-$AF$95)^2+(AG18-$AG$95)^2)</f>
        <v>2.4406283343980633</v>
      </c>
      <c r="GW18" s="36" t="s">
        <v>322</v>
      </c>
      <c r="GX18" s="37" t="s">
        <v>120</v>
      </c>
      <c r="GZ18" s="44"/>
      <c r="HA18" s="36">
        <f>SQRT((A18-$A$96)^2+(B18-$B$96)^2+(C18-$C$96)^2+(D18-$D$96)^2+(E18-$E$96)^2+(F18-$F$96)^2+(G18-$G$96)^2+(H18-$H$96)^2+(I18-$I$96)^2+(J18-$J$96)^2+(K18-$K$96)^2+(L18-$L$96)^2+(M18-$M$96)^2+(N18-$N$96)^2+(O18-$O$96)^2+(P18-$P$96)^2+(Q18-$Q$96)^2+(R18-$R$96)^2+(S18-$S$96)^2+(T18-$T$96)^2+(U18-$U$96)^2+(V18-$V$96)^2+(W18-$W$96)^2+(X18-$X$96)^2+(Y18-$Y$96)^2+(Z18-$Z$96)^2+(AA18-$AA$96)^2+(AB18-$AB$96)^2+(AC18-$AC$96)^2+(AD18-$AD$96)^2+(AE18-$AE$96)^2+(AF18-$AF$96)^2+(AG18-$AG$96)^2)</f>
        <v>2.7738861628488727</v>
      </c>
      <c r="HB18" s="36" t="s">
        <v>336</v>
      </c>
      <c r="HC18" s="37" t="s">
        <v>120</v>
      </c>
      <c r="HE18" s="44"/>
      <c r="HF18" s="36">
        <f>SQRT((A18-$A$97)^2+(B18-$B$97)^2+(C18-$C$97)^2+(D18-$D$97)^2+(E18-$E$97)^2+(F18-$F$97)^2+(G18-$G$97)^2+(H18-$H$97)^2+(I18-$I$97)^2+(J18-$J$97)^2+(K18-$K$97)^2+(L18-$L$97)^2+(M18-$M$97)^2+(N18-$N$97)^2+(O18-$O$97)^2+(P18-$P$97)^2+(Q18-$Q$97)^2+(R18-$R$97)^2+(S18-$S$97)^2+(T18-$T$97)^2+(U18-$U$97)^2+(V18-$V$97)^2+(W18-$W$97)^2+(X18-$X$97)^2+(Y18-$Y$97)^2+(Z18-$Z$97)^2+(AA18-$AA$97)^2+(AB18-$AB$97)^2+(AC18-$AC$97)^2+(AD18-$AD$97)^2+(AE18-$AE$97)^2+(AF18-$AF$97)^2+(AG18-$AG$97)^2)</f>
        <v>1.7491305908234378</v>
      </c>
      <c r="HG18" s="36" t="s">
        <v>133</v>
      </c>
      <c r="HH18" s="37" t="s">
        <v>120</v>
      </c>
      <c r="HJ18" s="44"/>
      <c r="HK18" s="36">
        <f>SQRT((A18-$A$98)^2+(B18-$B$98)^2+(C18-$C$98)^2+(D18-$D$98)^2+(E18-$E$98)^2+(F18-$F$98)^2+(G18-$G$98)^2+(H18-$H$98)^2+(I18-$I$98)^2+(J18-$J$98)^2+(K18-$K$98)^2+(L18-$L$98)^2+(M18-$M$98)^2+(N18-$N$98)^2+(O18-$O$98)^2+(P18-$P$98)^2+(Q18-$Q$98)^2+(R18-$R$98)^2+(S18-$S$98)^2+(T18-$T$98)^2+(U18-$U$98)^2+(V18-$V$98)^2+(W18-$W$98)^2+(X18-$X$98)^2+(Y18-$Y$98)^2+(Z18-$Z$98)^2+(AA18-$AA$98)^2+(AB18-$AB$98)^2+(AC18-$AC$98)^2+(AD18-$AD$98)^2+(AE18-$AE$98)^2+(AF18-$AF$98)^2+(AG18-$AG$98)^2)</f>
        <v>1.7491305908234378</v>
      </c>
      <c r="HL18" s="36" t="s">
        <v>133</v>
      </c>
      <c r="HM18" s="37" t="s">
        <v>120</v>
      </c>
      <c r="HO18" s="44"/>
      <c r="HP18" s="36">
        <f>SQRT((A18-$A$99)^2+(B18-$B$99)^2+(C18-$C$99)^2+(D18-$D$99)^2+(E18-$E$99)^2+(F18-$F$99)^2+(G18-$G$99)^2+(H18-$H$99)^2+(I18-$I$99)^2+(J18-$J$99)^2+(K18-$K$99)^2+(L18-$L$99)^2+(M18-$M$99)^2+(N18-$N$99)^2+(O18-$O$99)^2+(P18-$P$99)^2+(Q18-$Q$99)^2+(R18-$R$99)^2+(S18-$S$99)^2+(T18-$T$99)^2+(U18-$U$99)^2+(V18-$V$99)^2+(W18-$W$99)^2+(X18-$X$99)^2+(Y18-$Y$99)^2+(Z18-$Z$99)^2+(AA18-$AA$99)^2+(AB18-$AB$99)^2+(AC18-$AC$99)^2+(AD18-$AD$99)^2+(AE18-$AE$99)^2+(AF18-$AF$99)^2+(AG18-$AG$99)^2)</f>
        <v>1.7491305908234378</v>
      </c>
      <c r="HQ18" s="36" t="s">
        <v>133</v>
      </c>
      <c r="HR18" s="37" t="s">
        <v>120</v>
      </c>
      <c r="HT18" s="44"/>
      <c r="HU18" s="36">
        <f>SQRT((A18-$A$100)^2+(B18-$B$100)^2+(C18-$C$100)^2+(D18-$D$100)^2+(E18-$E$100)^2+(F18-$F$100)^2+(G18-$G$100)^2+(H18-$H$100)^2+(I18-$I$100)^2+(J18-$J$100)^2+(K18-$K$100)^2+(L18-$L$100)^2+(M18-$M$100)^2+(N18-$N$100)^2+(O18-$O$100)^2+(P18-$P$100)^2+(Q18-$Q$100)^2+(R18-$R$100)^2+(S18-$S$100)^2+(T18-$T$100)^2+(U18-$U$100)^2+(V18-$V$100)^2+(W18-$W$100)^2+(X18-$X$100)^2+(Y18-$Y$100)^2+(Z18-$Z$100)^2+(AA18-$AA$100)^2+(AB18-$AB$100)^2+(AC18-$AC$100)^2+(AD18-$AD$100)^2+(AE18-$AE$100)^2+(AF18-$AF$100)^2+(AG18-$AG$100)^2)</f>
        <v>1.7491305908234378</v>
      </c>
      <c r="HV18" s="36" t="s">
        <v>133</v>
      </c>
      <c r="HW18" s="37" t="s">
        <v>120</v>
      </c>
      <c r="HY18" s="44"/>
      <c r="HZ18" s="36">
        <f>SQRT((A18-$A$101)^2+(B18-$B$101)^2+(C18-$C$101)^2+(D18-$D$101)^2+(E18-$E$101)^2+(F18-$F$101)^2+(G18-$G$101)^2+(H18-$H$101)^2+(I18-$I$101)^2+(J18-$J$101)^2+(K18-$K$101)^2+(L18-$L$101)^2+(M18-$M$101)^2+(N18-$N$101)^2+(O18-$O$101)^2+(P18-$P$101)^2+(Q18-$Q$101)^2+(R18-$R$101)^2+(S18-$S$101)^2+(T18-$T$101)^2+(U18-$U$101)^2+(V18-$V$101)^2+(W18-$W$101)^2+(X18-$X$101)^2+(Y18-$Y$101)^2+(Z18-$Z$101)^2+(AA18-$AA$101)^2+(AB18-$AB$101)^2+(AC18-$AC$101)^2+(AD18-$AD$101)^2+(AE18-$AE$101)^2+(AF18-$AF$101)^2+(AG18-$AG$101)^2)</f>
        <v>2.1470910553583886</v>
      </c>
      <c r="IA18" s="36" t="s">
        <v>329</v>
      </c>
      <c r="IB18" s="37" t="s">
        <v>120</v>
      </c>
    </row>
    <row r="19" spans="1:236" x14ac:dyDescent="0.35">
      <c r="A19" s="2">
        <v>0.66666666666666596</v>
      </c>
      <c r="B19" s="2">
        <v>0.25</v>
      </c>
      <c r="C19" s="2">
        <v>0.33333333333333298</v>
      </c>
      <c r="D19" s="2">
        <v>0</v>
      </c>
      <c r="E19" s="2">
        <v>0</v>
      </c>
      <c r="F19" s="2">
        <v>0</v>
      </c>
      <c r="G19" s="2">
        <v>0.55555555555555503</v>
      </c>
      <c r="H19" s="2">
        <v>0</v>
      </c>
      <c r="I19" s="2">
        <v>0.5</v>
      </c>
      <c r="J19" s="2">
        <v>0</v>
      </c>
      <c r="K19" s="2">
        <v>0</v>
      </c>
      <c r="L19" s="2">
        <v>0.2</v>
      </c>
      <c r="M19" s="2">
        <v>1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1</v>
      </c>
      <c r="U19" s="2">
        <v>1</v>
      </c>
      <c r="V19" s="2">
        <v>0</v>
      </c>
      <c r="W19" s="2">
        <v>1</v>
      </c>
      <c r="X19" s="2">
        <v>1</v>
      </c>
      <c r="Y19" s="2">
        <v>1</v>
      </c>
      <c r="Z19" s="2">
        <v>0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 t="s">
        <v>120</v>
      </c>
      <c r="AI19" s="42"/>
      <c r="AJ19" s="42"/>
      <c r="AL19" s="44"/>
      <c r="AM19" s="36">
        <f>SQRT((A19-$A$62)^2+(B19-$B$62)^2+(C19-$C$62)^2+(D19-$D$62)^2+(E19-$E$62)^2+(F19-$F$62)^2+(G19-$G$62)^2+(H19-$H$62)^2+(I19-$I$62)^2+(J19-$J$62)^2+(K19-$K$62)^2+(L19-$L$62)^2+(M19-$M$62)^2+(N19-$N$62)^2+(O19-$O$62)^2+(P19-$P$62)^2+(Q19-$Q$62)^2+(R19-$R$62)^2+(S19-$S$62)^2+(T19-$T$62)^2+(U19-$U$62)^2+(V19-$V$62)^2+(W19-$W$62)^2+(X19-$X$62)^2+(Y19-$Y$62)^2+(Z19-$Z$62)^2+(AA19-$AA$62)^2+(AB19-$AB$62)^2+(AC19-$AC$62)^2+(AD19-$AD$62)^2+(AE19-$AE$62)^2+(AF19-$AF$62)^2+(AG19-$AG$62)^2)</f>
        <v>2.0069324297987157</v>
      </c>
      <c r="AN19" s="36" t="s">
        <v>131</v>
      </c>
      <c r="AO19" s="37" t="s">
        <v>120</v>
      </c>
      <c r="AQ19" s="44"/>
      <c r="AR19" s="36">
        <f>SQRT((A19-$A$63)^2+(B19-$B$63)^2+(C19-$C$63)^2+(D19-$D$63)^2+(E19-$E$63)^2+(F19-$F$63)^2+(G19-$G$63)^2+(H19-$H$63)^2+(I19-$I$63)^2+(J19-$J$63)^2+(K19-$K$63)^2+(L19-$L$63)^2+(M19-$M$63)^2+(N19-$N$63)^2+(O19-$O$63)^2+(P19-$P$63)^2+(Q19-$Q$63)^2+(R19-$R$63)^2+(S19-$S$63)^2+(T19-$T$63)^2+(U19-$U$63)^2+(V19-$V$63)^2+(W19-$W$63)^2+(X19-$X$63)^2+(Y19-$Y$63)^2+(Z19-$Z$63)^2+(AA19-$AA$63)^2+(AB19-$AB$63)^2+(AC19-$AC$63)^2+(AD19-$AD$63)^2+(AE19-$AE$63)^2+(AF19-$AF$63)^2+(AG19-$AG$63)^2)</f>
        <v>2.0470220236920285</v>
      </c>
      <c r="AS19" s="36" t="s">
        <v>319</v>
      </c>
      <c r="AT19" s="37" t="s">
        <v>120</v>
      </c>
      <c r="AU19" s="30"/>
      <c r="AV19" s="44"/>
      <c r="AW19" s="36">
        <f>SQRT((A19-$A$64)^2+(B19-$B$64)^2+(C19-$C$64)^2+(D19-$D$64)^2+(E19-$E$64)^2+(F19-$F$64)^2+(G19-$G$64)^2+(H19-$H$64)^2+(I19-$I$64)^2+(J19-$J$64)^2+(K19-$K$64)^2+(L19-$L$64)^2+(M19-$M$64)^2+(N19-$N$64)^2+(O19-$O$64)^2+(P19-$P$64)^2+(Q19-$Q$64)^2+(R19-$R$64)^2+(S19-$S$64)^2+(T19-$T$64)^2+(U19-$U$64)^2+(V19-$V$64)^2+(W19-$W$64)^2+(X19-$X$64)^2+(Y19-$Y$64)^2+(Z19-$Z$64)^2+(AA19-$AA$64)^2+(AB19-$AB$64)^2+(AC19-$AC$64)^2+(AD19-$AD$64)^2+(AE19-$AE$64)^2+(AF19-$AF$64)^2+(AG19-$AG$64)^2)</f>
        <v>2.0470220236920285</v>
      </c>
      <c r="AX19" s="36" t="s">
        <v>319</v>
      </c>
      <c r="AY19" s="37" t="s">
        <v>120</v>
      </c>
      <c r="AZ19" s="30"/>
      <c r="BA19" s="44"/>
      <c r="BB19" s="36">
        <f>SQRT((A19-$A$65)^2+(B19-$B$65)^2+(C19-$C$65)^2+(D19-$D$65)^2+(E19-$E$65)^2+(F19-$F$65)^2+(G19-$G$65)^2+(H19-$H$65)^2+(I19-$I$65)^2+(J19-$J$65)^2+(K19-$K$65)^2+(L19-$L$65)^2+(M19-$M$65)^2+(N19-$N$65)^2+(O19-$O$65)^2+(P19-$P$65)^2+(Q19-$Q$65)^2+(R19-$R$65)^2+(S19-$S$65)^2+(T19-$T$65)^2+(U19-$U$65)^2+(V19-$V$65)^2+(W19-$W$65)^2+(X19-$X$65)^2+(Y19-$Y$65)^2+(Z19-$Z$65)^2+(AA19-$AA$65)^2+(AB19-$AB$65)^2+(AC19-$AC$65)^2+(AD19-$AD$65)^2+(AE19-$AE$65)^2+(AF19-$AF$65)^2+(AG19-$AG$65)^2)</f>
        <v>2.0470220236920285</v>
      </c>
      <c r="BC19" s="36" t="s">
        <v>319</v>
      </c>
      <c r="BD19" s="37" t="s">
        <v>120</v>
      </c>
      <c r="BE19" s="30"/>
      <c r="BF19" s="44"/>
      <c r="BG19" s="36">
        <f>SQRT((A19-$A$66)^2+(B19-$B$66)^2+(C19-$C$66)^2+(D19-$D$66)^2+(E19-$E$66)^2+(F19-$F$66)^2+(G19-$G$66)^2+(H19-$H$66)^2+(I19-$I$66)^2+(J19-$J$66)^2+(K19-$K$66)^2+(L19-$L$66)^2+(M19-$M$66)^2+(N19-$N$66)^2+(O19-$O$66)^2+(P19-$P$66)^2+(Q19-$Q$66)^2+(R19-$R$66)^2+(S19-$S$66)^2+(T19-$T$66)^2+(U19-$U$66)^2+(V19-$V$66)^2+(W19-$W$66)^2+(X19-$X$66)^2+(Y19-$Y$66)^2+(Z19-$Z$66)^2+(AA19-$AA$66)^2+(AB19-$AB$66)^2+(AC19-$AC$66)^2+(AD19-$AD$66)^2+(AE19-$AE$66)^2+(AF19-$AF$66)^2+(AG19-$AG$66)^2)</f>
        <v>2.0470220236920285</v>
      </c>
      <c r="BH19" s="36" t="s">
        <v>319</v>
      </c>
      <c r="BI19" s="37" t="s">
        <v>120</v>
      </c>
      <c r="BJ19" s="30"/>
      <c r="BK19" s="44"/>
      <c r="BL19" s="36">
        <f>SQRT((A19-$A$67)^2+(B19-$B$67)^2+(C19-$C$67)^2+(D19-$D$67)^2+(E19-$E$67)^2+(F19-$F$67)^2+(G19-$G$67)^2+(H19-$H$67)^2+(I19-$I$67)^2+(J19-$J$67)^2+(K19-$K$67)^2+(L19-$L$67)^2+(M19-$M$67)^2+(N19-$N$67)^2+(O19-$O$67)^2+(P19-$P$67)^2+(Q19-$Q$67)^2+(R19-$R$67)^2+(S19-$S$67)^2+(T19-$T$67)^2+(U19-$U$67)^2+(V19-$V$67)^2+(W19-$W$67)^2+(X19-$X$67)^2+(Y19-$Y$67)^2+(Z19-$Z$67)^2+(AA19-$AA$67)^2+(AB19-$AB$67)^2+(AC19-$AC$67)^2+(AD19-$AD$67)^2+(AE19-$AE$67)^2+(AF19-$AF$67)^2+(AG19-$AG$67)^2)</f>
        <v>2.0470220236920285</v>
      </c>
      <c r="BM19" s="36" t="s">
        <v>319</v>
      </c>
      <c r="BN19" s="37" t="s">
        <v>120</v>
      </c>
      <c r="BO19" s="30"/>
      <c r="BP19" s="44"/>
      <c r="BQ19" s="36">
        <f>SQRT((A19-$A$68)^2+(B19-$B$68)^2+(C19-$C$68)^2+(D19-$D$68)^2+(E19-$E$68)^2+(F19-$F$68)^2+(G19-$G$68)^2+(H19-$H$68)^2+(I19-$I$68)^2+(J19-$J$68)^2+(K19-$K$68)^2+(L19-$L$68)^2+(M19-$M$68)^2+(N19-$N$68)^2+(O19-$O$68)^2+(P19-$P$68)^2+(Q19-$Q$68)^2+(R19-$R$68)^2+(S19-$S$68)^2+(T19-$T$68)^2+(U19-$U$68)^2+(V19-$V$68)^2+(W19-$W$68)^2+(X19-$X$68)^2+(Y19-$Y$68)^2+(Z19-$Z$68)^2+(AA19-$AA$68)^2+(AB19-$AB$68)^2+(AC19-$AC$68)^2+(AD19-$AD$68)^2+(AE19-$AE$68)^2+(AF19-$AF$68)^2+(AG19-$AG$68)^2)</f>
        <v>2.0470220236920285</v>
      </c>
      <c r="BR19" s="36" t="s">
        <v>319</v>
      </c>
      <c r="BS19" s="37" t="s">
        <v>120</v>
      </c>
      <c r="BT19" s="30"/>
      <c r="BU19" s="44"/>
      <c r="BV19" s="36">
        <f>SQRT((A19-$A$69)^2+(B19-$B$69)^2+(C19-$C$69)^2+(D19-$D$69)^2+(E19-$E$69)^2+(F19-$F$69)^2+(G19-$G$69)^2+(H19-$H$69)^2+(I19-$I$69)^2+(J19-$J$69)^2+(K19-$K$69)^2+(L19-$L$69)^2+(M19-$M$69)^2+(N19-$N$69)^2+(O19-$O$69)^2+(P19-$P$69)^2+(Q19-$Q$69)^2+(R19-$R$69)^2+(S19-$S$69)^2+(T19-$T$69)^2+(U19-$U$69)^2+(V19-$V$69)^2+(W19-$W$69)^2+(X19-$X$69)^2+(Y19-$Y$69)^2+(Z19-$Z$69)^2+(AA19-$AA$69)^2+(AB19-$AB$69)^2+(AC19-$AC$69)^2+(AD19-$AD$69)^2+(AE19-$AE$69)^2+(AF19-$AF$69)^2+(AG19-$AG$69)^2)</f>
        <v>2.9373335639303142</v>
      </c>
      <c r="BW19" s="36" t="s">
        <v>149</v>
      </c>
      <c r="BX19" s="37" t="s">
        <v>120</v>
      </c>
      <c r="BZ19" s="44"/>
      <c r="CA19" s="36">
        <f>SQRT((A19-$A$70)^2+(B19-$B$70)^2+(C19-$C$70)^2+(D19-$D$70)^2+(E19-$E$70)^2+(F19-$F$70)^2+(G19-$G$70)^2+(H19-$H$70)^2+(I19-$I$70)^2+(J19-$J$70)^2+(K19-$K$70)^2+(L19-$L$70)^2+(M19-$M$70)^2+(N19-$N$70)^2+(O19-$O$70)^2+(P19-$P$70)^2+(Q19-$Q$70)^2+(R19-$R$70)^2+(S19-$S$70)^2+(T19-$T$70)^2+(U19-$U$70)^2+(V19-$V$70)^2+(W19-$W$70)^2+(X19-$X$70)^2+(Y19-$Y$70)^2+(Z19-$Z$70)^2+(AA19-$AA$70)^2+(AB19-$AB$70)^2+(AC19-$AC$70)^2+(AD19-$AD$70)^2+(AE19-$AE$70)^2+(AF19-$AF$70)^2+(AG19-$AG$70)^2)</f>
        <v>2.3474070448423299</v>
      </c>
      <c r="CB19" s="36" t="s">
        <v>151</v>
      </c>
      <c r="CC19" s="37" t="s">
        <v>120</v>
      </c>
      <c r="CE19" s="44"/>
      <c r="CF19" s="36">
        <f>SQRT((A19-$A$71)^2+(B19-$B$71)^2+(C19-$C$71)^2+(D19-$D$71)^2+(E19-$E$71)^2+(F19-$F$71)^2+(G19-$G$71)^2+(H19-$H$71)^2+(I19-$I$71)^2+(J19-$J$71)^2+(K19-$K$71)^2+(L19-$L$71)^2+(M19-$M$71)^2+(N19-$N$71)^2+(O19-$O$71)^2+(P19-$P$71)^2+(Q19-$Q$71)^2+(R19-$R$71)^2+(S19-$S$71)^2+(T19-$T$71)^2+(U19-$U$71)^2+(V19-$V$71)^2+(W19-$W$71)^2+(X19-$X$71)^2+(Y19-$Y$71)^2+(Z19-$Z$71)^2+(AA19-$AA$71)^2+(AB19-$AB$71)^2+(AC19-$AC$71)^2+(AD19-$AD$71)^2+(AE19-$AE$71)^2+(AF19-$AF$71)^2+(AG19-$AG$71)^2)</f>
        <v>2.1449003734330359</v>
      </c>
      <c r="CG19" s="36" t="s">
        <v>125</v>
      </c>
      <c r="CH19" s="37" t="s">
        <v>120</v>
      </c>
      <c r="CJ19" s="44"/>
      <c r="CK19" s="36">
        <f>SQRT((A19-$A$72)^2+(B19-$B$72)^2+(C19-$C$72)^2+(D19-$D$72)^2+(E19-$E$72)^2+(F19-$F$72)^2+(G19-$G$72)^2+(H19-$H$72)^2+(I19-$I$72)^2+(J19-$J$72)^2+(K19-$K$72)^2+(L19-$L$72)^2+(M19-$M$72)^2+(N19-$N$72)^2+(O19-$O$72)^2+(P19-$P$72)^2+(Q19-$Q$72)^2+(R19-$R$72)^2+(S19-$S$72)^2+(T19-$T$72)^2+(U19-$U$72)^2+(V19-$V$72)^2+(W19-$W$72)^2+(X19-$X$72)^2+(Y19-$Y$72)^2+(Z19-$Z$72)^2+(AA19-$AA$72)^2+(AB19-$AB$72)^2+(AC19-$AC$72)^2+(AD19-$AD$72)^2+(AE19-$AE$72)^2+(AF19-$AF$72)^2+(AG19-$AG$72)^2)</f>
        <v>2.0194605885590593</v>
      </c>
      <c r="CL19" s="36" t="s">
        <v>314</v>
      </c>
      <c r="CM19" s="37" t="s">
        <v>120</v>
      </c>
      <c r="CO19" s="44"/>
      <c r="CP19" s="36">
        <f>SQRT((A19-$A$73)^2+(B19-$B$73)^2+(C19-$C$73)^2+(D19-$D$73)^2+(E19-$E$73)^2+(F19-$F$73)^2+(G19-$G$73)^2+(H19-$H$73)^2+(I19-$I$73)^2+(J19-$J$73)^2+(K19-$K$73)^2+(L19-$L$73)^2+(M19-$M$73)^2+(N19-$N$73)^2+(O19-$O$73)^2+(P19-$P$73)^2+(Q19-$Q$73)^2+(R19-$R$73)^2+(S19-$S$73)^2+(T19-$T$73)^2+(U19-$U$73)^2+(V19-$V$73)^2+(W19-$W$73)^2+(X19-$X$73)^2+(Y19-$Y$73)^2+(Z19-$Z$73)^2+(AA19-$AA$73)^2+(AB19-$AB$73)^2+(AC19-$AC$73)^2+(AD19-$AD$73)^2+(AE19-$AE$73)^2+(AF19-$AF$73)^2+(AG19-$AG$73)^2)</f>
        <v>2.1715329966536441</v>
      </c>
      <c r="CQ19" s="36" t="s">
        <v>331</v>
      </c>
      <c r="CR19" s="37" t="s">
        <v>120</v>
      </c>
      <c r="CT19" s="44"/>
      <c r="CU19" s="36">
        <f>SQRT((A19-$A$74)^2+(B19-$B$74)^2+(C19-$C$74)^2+(D19-$D$74)^2+(E19-$E$74)^2+(F19-$F$74)^2+(G19-$G$74)^2+(H19-$H$74)^2+(I19-$I$74)^2+(J19-$J$74)^2+(K19-$K$74)^2+(L19-$L$74)^2+(M19-$M$74)^2+(N19-$N$74)^2+(O19-$O$74)^2+(P19-$P$74)^2+(Q19-$Q$74)^2+(R19-$R$74)^2+(S19-$S$74)^2+(T19-$T$74)^2+(U19-$U$74)^2+(V19-$V$74)^2+(W19-$W$74)^2+(X19-$X$74)^2+(Y19-$Y$74)^2+(Z19-$Z$74)^2+(AA19-$AA$74)^2+(AB19-$AB$74)^2+(AC19-$AC$74)^2+(AD19-$AD$74)^2+(AE19-$AE$74)^2+(AF19-$AF$74)^2+(AG19-$AG$74)^2)</f>
        <v>1.9163043135739743</v>
      </c>
      <c r="CV19" s="36" t="s">
        <v>132</v>
      </c>
      <c r="CW19" s="37" t="s">
        <v>120</v>
      </c>
      <c r="CY19" s="44"/>
      <c r="CZ19" s="36">
        <f>SQRT((A19-$A$75)^2+(B19-$B$75)^2+(C19-$C$75)^2+(D19-$D$75)^2+(E19-$E$75)^2+(F19-$F$75)^2+(G19-$G$75)^2+(H19-$H$75)^2+(I19-$I$75)^2+(J19-$J$75)^2+(K19-$K$75)^2+(L19-$L$75)^2+(M19-$M$75)^2+(N19-$N$75)^2+(O19-$O$75)^2+(P19-$P$75)^2+(Q19-$Q$75)^2+(R19-$R$75)^2+(S19-$S$75)^2+(T19-$T$75)^2+(U19-$U$75)^2+(V19-$V$75)^2+(W19-$W$75)^2+(X19-$X$75)^2+(Y19-$Y$75)^2+(Z19-$Z$75)^2+(AA19-$AA$75)^2+(AB19-$AB$75)^2+(AC19-$AC$75)^2+(AD19-$AD$75)^2+(AE19-$AE$75)^2+(AF19-$AF$75)^2+(AG19-$AG$75)^2)</f>
        <v>1.9632739096836294</v>
      </c>
      <c r="DA19" s="36" t="s">
        <v>125</v>
      </c>
      <c r="DB19" s="37" t="s">
        <v>120</v>
      </c>
      <c r="DD19" s="44"/>
      <c r="DE19" s="36">
        <f>SQRT((A19-$A$76)^2+(B19-$B$76)^2+(C19-$C$76)^2+(D19-$D$76)^2+(E19-$E$76)^2+(F19-$F$76)^2+(G19-$G$76)^2+(H19-$H$76)^2+(I19-$I$76)^2+(J19-$J$76)^2+(K19-$K$76)^2+(L19-$L$76)^2+(M19-$M$76)^2+(N19-$N$76)^2+(O19-$O$76)^2+(P19-$P$76)^2+(Q19-$Q$76)^2+(R19-$R$76)^2+(S19-$S$76)^2+(T19-$T$76)^2+(U19-$U$76)^2+(V19-$V$76)^2+(W19-$W$76)^2+(X19-$X$76)^2+(Y19-$Y$76)^2+(Z19-$Z$76)^2+(AA19-$AA$76)^2+(AB19-$AB$76)^2+(AC19-$AC$76)^2+(AD19-$AD$76)^2+(AE19-$AE$76)^2+(AF19-$AF$76)^2+(AG19-$AG$76)^2)</f>
        <v>2.1356757972855127</v>
      </c>
      <c r="DF19" s="36" t="s">
        <v>149</v>
      </c>
      <c r="DG19" s="37" t="s">
        <v>120</v>
      </c>
      <c r="DI19" s="44"/>
      <c r="DJ19" s="36">
        <f>SQRT((A19-$A$77)^2+(B19-$B$77)^2+(C19-$C$77)^2+(D19-$D$77)^2+(E19-$E$77)^2+(F19-$F$77)^2+(G19-$G$77)^2+(H19-$H$77)^2+(I19-$I$77)^2+(J19-$J$77)^2+(K19-$K$77)^2+(L19-$L$77)^2+(M19-$M$77)^2+(N19-$N$77)^2+(O19-$O$77)^2+(P19-$P$77)^2+(Q19-$Q$77)^2+(R19-$R$77)^2+(S19-$S$77)^2+(T19-$T$77)^2+(U19-$U$77)^2+(V19-$V$77)^2+(W19-$W$77)^2+(X19-$X$77)^2+(Y19-$Y$77)^2+(Z19-$Z$77)^2+(AA19-$AA$77)^2+(AB19-$AB$77)^2+(AC19-$AC$77)^2+(AD19-$AD$77)^2+(AE19-$AE$77)^2+(AF19-$AF$77)^2+(AG19-$AG$77)^2)</f>
        <v>2.2174184188926644</v>
      </c>
      <c r="DK19" s="36" t="s">
        <v>331</v>
      </c>
      <c r="DL19" s="37" t="s">
        <v>120</v>
      </c>
      <c r="DN19" s="44"/>
      <c r="DO19" s="36">
        <f>SQRT((A19-$A$78)^2+(B19-$B$78)^2+(C19-$C$78)^2+(D19-$D$78)^2+(E19-$E$78)^2+(F19-$F$78)^2+(G19-$G$78)^2+(H19-$H$78)^2+(I19-$I$78)^2+(J19-$J$78)^2+(K19-$K$78)^2+(L19-$L$78)^2+(M19-$M$78)^2+(N19-$N$78)^2+(O19-$O$78)^2+(P19-$P$78)^2+(Q19-$Q$78)^2+(R19-$R$78)^2+(S19-$S$78)^2+(T19-$T$78)^2+(U19-$U$78)^2+(V19-$V$78)^2+(W19-$W$78)^2+(X19-$X$78)^2+(Y19-$Y$78)^2+(Z19-$Z$78)^2+(AA19-$AA$78)^2+(AB19-$AB$78)^2+(AC19-$AC$78)^2+(AD19-$AD$78)^2+(AE19-$AE$78)^2+(AF19-$AF$78)^2+(AG19-$AG$78)^2)</f>
        <v>2.3822323524136699</v>
      </c>
      <c r="DP19" s="36" t="s">
        <v>133</v>
      </c>
      <c r="DQ19" s="37" t="s">
        <v>120</v>
      </c>
      <c r="DS19" s="44"/>
      <c r="DT19" s="36">
        <f>SQRT((A19-$A$79)^2+(B19-$B$79)^2+(C19-$C$79)^2+(D19-$D$79)^2+(E19-$E$79)^2+(F19-$F$79)^2+(G19-$G$79)^2+(H19-$H$79)^2+(I19-$I$79)^2+(J19-$J$79)^2+(K19-$K$79)^2+(L19-$L$79)^2+(M19-$M$79)^2+(N19-$N$79)^2+(O19-$O$79)^2+(P19-$P$79)^2+(Q19-$Q$79)^2+(R19-$R$79)^2+(S19-$S$79)^2+(T19-$T$79)^2+(U19-$U$79)^2+(V19-$V$79)^2+(W19-$W$79)^2+(X19-$X$79)^2+(Y19-$Y$79)^2+(Z19-$Z$79)^2+(AA19-$AA$79)^2+(AB19-$AB$79)^2+(AC19-$AC$79)^2+(AD19-$AD$79)^2+(AE19-$AE$79)^2+(AF19-$AF$79)^2+(AG19-$AG$79)^2)</f>
        <v>2.1388101146160845</v>
      </c>
      <c r="DU19" s="36" t="s">
        <v>154</v>
      </c>
      <c r="DV19" s="37" t="s">
        <v>120</v>
      </c>
      <c r="DX19" s="44"/>
      <c r="DY19" s="36">
        <f>SQRT((A19-$A$80)^2+(B19-$B$80)^2+(C19-$C$80)^2+(D19-$D$80)^2+(E19-$E$80)^2+(F19-$F$80)^2+(G19-$G$80)^2+(H19-$H$80)^2+(I19-$I$80)^2+(J19-$J$80)^2+(K19-$K$80)^2+(L19-$L$80)^2+(M19-$M$80)^2+(N19-$N$80)^2+(O19-$O$80)^2+(P19-$P$80)^2+(Q19-$Q$80)^2+(R19-$R$80)^2+(S19-$S$80)^2+(T19-$T$80)^2+(U19-$U$80)^2+(V19-$V$80)^2+(W19-$W$80)^2+(X19-$X$80)^2+(Y19-$Y$80)^2+(Z19-$Z$80)^2+(AA19-$AA$80)^2+(AB19-$AB$80)^2+(AC19-$AC$80)^2+(AD19-$AD$80)^2+(AE19-$AE$80)^2+(AF19-$AF$80)^2+(AG19-$AG$80)^2)</f>
        <v>2.5991451586157237</v>
      </c>
      <c r="DZ19" s="36" t="s">
        <v>143</v>
      </c>
      <c r="EA19" s="37" t="s">
        <v>120</v>
      </c>
      <c r="EC19" s="44"/>
      <c r="ED19" s="36">
        <f>SQRT((A19-$A$81)^2+(B19-$B$81)^2+(C19-$C$81)^2+(D19-$D$81)^2+(E19-$E$81)^2+(F19-$F$81)^2+(G19-$G$81)^2+(H19-$H$81)^2+(I19-$I$81)^2+(J19-$J$81)^2+(K19-$K$81)^2+(L19-$L$81)^2+(M19-$M$81)^2+(N19-$N$81)^2+(O19-$O$81)^2+(P19-$P$81)^2+(Q19-$Q$81)^2+(R19-$R$81)^2+(S19-$S$81)^2+(T19-$T$81)^2+(U19-$U$81)^2+(V19-$V$81)^2+(W19-$W$81)^2+(X19-$X$81)^2+(Y19-$Y$81)^2+(Z19-$Z$81)^2+(AA19-$AA$81)^2+(AB19-$AB$81)^2+(AC19-$AC$81)^2+(AD19-$AD$81)^2+(AE19-$AE$81)^2+(AF19-$AF$81)^2+(AG19-$AG$81)^2)</f>
        <v>2.6247222075234298</v>
      </c>
      <c r="EE19" s="36" t="s">
        <v>329</v>
      </c>
      <c r="EF19" s="37" t="s">
        <v>120</v>
      </c>
      <c r="EH19" s="44"/>
      <c r="EI19" s="36">
        <f>SQRT((A19-$A$82)^2+(B19-$B$82)^2+(C19-$C$82)^2+(D19-$D$82)^2+(E19-$E$82)^2+(F19-$F$82)^2+(G19-$G$82)^2+(H19-$H$82)^2+(I19-$I$82)^2+(J19-$J$82)^2+(K19-$K$82)^2+(L19-$L$82)^2+(M19-$M$82)^2+(N19-$N$82)^2+(O19-$O$82)^2+(P19-$P$82)^2+(Q19-$Q$82)^2+(R19-$R$82)^2+(S19-$S$82)^2+(T19-$T$82)^2+(U19-$U$82)^2+(V19-$V$82)^2+(W19-$W$82)^2+(X19-$X$82)^2+(Y19-$Y$82)^2+(Z19-$Z$82)^2+(AA19-$AA$82)^2+(AB19-$AB$82)^2+(AC19-$AC$82)^2+(AD19-$AD$82)^2+(AE19-$AE$82)^2+(AF19-$AF$82)^2+(AG19-$AG$82)^2)</f>
        <v>2.6050224743747372</v>
      </c>
      <c r="EJ19" s="36" t="s">
        <v>333</v>
      </c>
      <c r="EK19" s="37" t="s">
        <v>120</v>
      </c>
      <c r="EM19" s="44"/>
      <c r="EN19" s="36">
        <f>SQRT((A19-$A$83)^2+(B19-$B$83)^2+(C19-$C$83)^2+(D19-$D$83)^2+(E19-$E$83)^2+(F19-$F$83)^2+(G19-$G$83)^2+(H19-$H$83)^2+(I19-$I$83)^2+(J19-$J$83)^2+(K19-$K$83)^2+(L19-$L$83)^2+(M19-$M$83)^2+(N19-$N$83)^2+(O19-$O$83)^2+(P19-$P$83)^2+(Q19-$Q$83)^2+(R19-$R$83)^2+(S19-$S$83)^2+(T19-$T$83)^2+(U19-$U$83)^2+(V19-$V$83)^2+(W19-$W$83)^2+(X19-$X$83)^2+(Y19-$Y$83)^2+(Z19-$Z$83)^2+(AA19-$AA$83)^2+(AB19-$AB$83)^2+(AC19-$AC$83)^2+(AD19-$AD$83)^2+(AE19-$AE$83)^2+(AF19-$AF$83)^2+(AG19-$AG$83)^2)</f>
        <v>2.3436742006226345</v>
      </c>
      <c r="EO19" s="36" t="s">
        <v>133</v>
      </c>
      <c r="EP19" s="37" t="s">
        <v>120</v>
      </c>
      <c r="ER19" s="44"/>
      <c r="ES19" s="36">
        <f>SQRT((A19-$A$84)^2+(B19-$B$84)^2+(C19-$C$84)^2+(D19-$D$84)^2+(E19-$E$84)^2+(F19-$F$84)^2+(G19-$G$84)^2+(H19-$H$84)^2+(I19-$I$84)^2+(J19-$J$84)^2+(K19-$K$84)^2+(L19-$L$84)^2+(M19-$M$84)^2+(N19-$N$84)^2+(O19-$O$84)^2+(P19-$P$84)^2+(Q19-$Q$84)^2+(R19-$R$84)^2+(S19-$S$84)^2+(T19-$T$84)^2+(U19-$U$84)^2+(V19-$V$84)^2+(W19-$W$84)^2+(X19-$X$84)^2+(Y19-$Y$84)^2+(Z19-$Z$84)^2+(AA19-$AA$84)^2+(AB19-$AB$84)^2+(AC19-$AC$84)^2+(AD19-$AD$84)^2+(AE19-$AE$84)^2+(AF19-$AF$84)^2+(AG19-$AG$84)^2)</f>
        <v>2.0470220236920285</v>
      </c>
      <c r="ET19" s="36" t="s">
        <v>319</v>
      </c>
      <c r="EU19" s="37" t="s">
        <v>120</v>
      </c>
      <c r="EW19" s="44"/>
      <c r="EX19" s="36">
        <f>SQRT((A19-$A$85)^2+(B19-$B$85)^2+(C19-$C$85)^2+(D19-$D$85)^2+(E19-$E$85)^2+(F19-$F$85)^2+(G19-$G$85)^2+(H19-$H$85)^2+(I19-$I$85)^2+(J19-$J$85)^2+(K19-$K$85)^2+(L19-$L$85)^2+(M19-$M$85)^2+(N19-$N$85)^2+(O19-$O$85)^2+(P19-$P$85)^2+(Q19-$Q$85)^2+(R19-$R$85)^2+(S19-$S$85)^2+(T19-$T$85)^2+(U19-$U$85)^2+(V19-$V$85)^2+(W19-$W$85)^2+(X19-$X$85)^2+(Y19-$Y$85)^2+(Z19-$Z$85)^2+(AA19-$AA$85)^2+(AB19-$AB$85)^2+(AC19-$AC$85)^2+(AD19-$AD$85)^2+(AE19-$AE$85)^2+(AF19-$AF$85)^2+(AG19-$AG$85)^2)</f>
        <v>2.0470220236920285</v>
      </c>
      <c r="EY19" s="36" t="s">
        <v>319</v>
      </c>
      <c r="EZ19" s="37" t="s">
        <v>120</v>
      </c>
      <c r="FB19" s="44"/>
      <c r="FC19" s="36">
        <f>SQRT((A19-$A$86)^2+(B19-$B$86)^2+(C19-$C$86)^2+(D19-$D$86)^2+(E19-$E$86)^2+(F19-$F$86)^2+(G19-$G$86)^2+(H19-$H$86)^2+(I19-$I$86)^2+(J19-$J$86)^2+(K19-$K$86)^2+(L19-$L$86)^2+(M19-$M$86)^2+(N19-$N$86)^2+(O19-$O$86)^2+(P19-$P$86)^2+(Q19-$Q$86)^2+(R19-$R$86)^2+(S19-$S$86)^2+(T19-$T$86)^2+(U19-$U$86)^2+(V19-$V$86)^2+(W19-$W$86)^2+(X19-$X$86)^2+(Y19-$Y$86)^2+(Z19-$Z$86)^2+(AA19-$AA$86)^2+(AB19-$AB$86)^2+(AC19-$AC$86)^2+(AD19-$AD$86)^2+(AE19-$AE$86)^2+(AF19-$AF$86)^2+(AG19-$AG$86)^2)</f>
        <v>2.0470220236920285</v>
      </c>
      <c r="FD19" s="36" t="s">
        <v>319</v>
      </c>
      <c r="FE19" s="37" t="s">
        <v>120</v>
      </c>
      <c r="FG19" s="44"/>
      <c r="FH19" s="36">
        <f>SQRT((A19-$A$87)^2+(B19-$B$87)^2+(C19-$C$87)^2+(D19-$D$87)^2+(E19-$E$87)^2+(F19-$F$87)^2+(G19-$G$87)^2+(H19-$H$87)^2+(I19-$I$87)^2+(J19-$J$87)^2+(K19-$K$87)^2+(L19-$L$87)^2+(M19-$M$87)^2+(N19-$N$87)^2+(O19-$O$87)^2+(P19-$P$87)^2+(Q19-$Q$87)^2+(R19-$R$87)^2+(S19-$S$87)^2+(T19-$T$87)^2+(U19-$U$87)^2+(V19-$V$87)^2+(W19-$W$87)^2+(X19-$X$87)^2+(Y19-$Y$87)^2+(Z19-$Z$87)^2+(AA19-$AA$87)^2+(AB19-$AB$87)^2+(AC19-$AC$87)^2+(AD19-$AD$87)^2+(AE19-$AE$87)^2+(AF19-$AF$87)^2+(AG19-$AG$87)^2)</f>
        <v>2.4094720491334933</v>
      </c>
      <c r="FI19" s="36" t="s">
        <v>314</v>
      </c>
      <c r="FJ19" s="37" t="s">
        <v>120</v>
      </c>
      <c r="FL19" s="44"/>
      <c r="FM19" s="36">
        <f>SQRT((A19-$A$88)^2+(B19-$B$88)^2+(C19-$C$88)^2+(D19-$D$88)^2+(E19-$E$88)^2+(F19-$F$88)^2+(G19-$G$88)^2+(H19-$H$88)^2+(I19-$I$88)^2+(J19-$J$88)^2+(K19-$K$88)^2+(L19-$L$88)^2+(M19-$M$88)^2+(N19-$N$88)^2+(O19-$O$88)^2+(P19-$P$88)^2+(Q19-$Q$88)^2+(R19-$R$88)^2+(S19-$S$88)^2+(T19-$T$88)^2+(U19-$U$88)^2+(V19-$V$88)^2+(W19-$W$88)^2+(X19-$X$88)^2+(Y19-$Y$88)^2+(Z19-$Z$88)^2+(AA19-$AA$88)^2+(AB19-$AB$88)^2+(AC19-$AC$88)^2+(AD19-$AD$88)^2+(AE19-$AE$88)^2+(AF19-$AF$88)^2+(AG19-$AG$88)^2)</f>
        <v>2.2752992112779511</v>
      </c>
      <c r="FN19" s="36" t="s">
        <v>336</v>
      </c>
      <c r="FO19" s="37" t="s">
        <v>120</v>
      </c>
      <c r="FQ19" s="44"/>
      <c r="FR19" s="36">
        <f>SQRT((A19-$A$89)^2+(B19-$B$89)^2+(C19-$C$89)^2+(D19-$D$89)^2+(E19-$E$89)^2+(F19-$F$89)^2+(G19-$G$89)^2+(H19-$H$89)^2+(I19-$I$89)^2+(J19-$J$89)^2+(K19-$K$89)^2+(L19-$L$89)^2+(M19-$M$89)^2+(N19-$N$89)^2+(O19-$O$89)^2+(P19-$P$89)^2+(Q19-$Q$89)^2+(R19-$R$89)^2+(S19-$S$89)^2+(T19-$T$89)^2+(U19-$U$89)^2+(V19-$V$89)^2+(W19-$W$89)^2+(X19-$X$89)^2+(Y19-$Y$89)^2+(Z19-$Z$89)^2+(AA19-$AA$89)^2+(AB19-$AB$89)^2+(AC19-$AC$89)^2+(AD19-$AD$89)^2+(AE19-$AE$89)^2+(AF19-$AF$89)^2+(AG19-$AG$89)^2)</f>
        <v>2.5753101215624929</v>
      </c>
      <c r="FS19" s="36" t="s">
        <v>127</v>
      </c>
      <c r="FT19" s="37" t="s">
        <v>120</v>
      </c>
      <c r="FV19" s="44"/>
      <c r="FW19" s="36">
        <f>SQRT((A19-$A$90)^2+(B19-$B$90)^2+(C19-$C$90)^2+(D19-$D$90)^2+(E19-$E$90)^2+(F19-$F$90)^2+(G19-$G$90)^2+(H19-$H$90)^2+(I19-$I$90)^2+(J19-$J$90)^2+(K19-$K$90)^2+(L19-$L$90)^2+(M19-$M$90)^2+(N19-$N$90)^2+(O19-$O$90)^2+(P19-$P$90)^2+(Q19-$Q$90)^2+(R19-$R$90)^2+(S19-$S$90)^2+(T19-$T$90)^2+(U19-$U$90)^2+(V19-$V$90)^2+(W19-$W$90)^2+(X19-$X$90)^2+(Y19-$Y$90)^2+(Z19-$Z$90)^2+(AA19-$AA$90)^2+(AB19-$AB$90)^2+(AC19-$AC$90)^2+(AD19-$AD$90)^2+(AE19-$AE$90)^2+(AF19-$AF$90)^2+(AG19-$AG$90)^2)</f>
        <v>1.6868774571839991</v>
      </c>
      <c r="FX19" s="36" t="s">
        <v>139</v>
      </c>
      <c r="FY19" s="37" t="s">
        <v>120</v>
      </c>
      <c r="GA19" s="44"/>
      <c r="GB19" s="36">
        <f>SQRT((A19-$A$91)^2+(B19-$B$91)^2+(C19-$C$91)^2+(D19-$D$91)^2+(E19-$E$91)^2+(F19-$F$91)^2+(G19-$G$91)^2+(H19-$H$91)^2+(I19-$I$91)^2+(J19-$J$91)^2+(K19-$K$91)^2+(L19-$L$91)^2+(M19-$M$91)^2+(N19-$N$91)^2+(O19-$O$91)^2+(P19-$P$91)^2+(Q19-$Q$91)^2+(R19-$R$91)^2+(S19-$S$91)^2+(T19-$T$91)^2+(U19-$U$91)^2+(V19-$V$91)^2+(W19-$W$91)^2+(X19-$X$91)^2+(Y19-$Y$91)^2+(Z19-$Z$91)^2+(AA19-$AA$91)^2+(AB19-$AB$91)^2+(AC19-$AC$91)^2+(AD19-$AD$91)^2+(AE19-$AE$91)^2+(AF19-$AF$91)^2+(AG19-$AG$91)^2)</f>
        <v>2.2438186696393765</v>
      </c>
      <c r="GC19" s="36" t="s">
        <v>321</v>
      </c>
      <c r="GD19" s="37" t="s">
        <v>120</v>
      </c>
      <c r="GF19" s="44"/>
      <c r="GG19" s="36">
        <f>SQRT((A19-$A$92)^2+(B19-$B$92)^2+(C19-$C$92)^2+(D19-$D$92)^2+(E19-$E$92)^2+(F19-$F$92)^2+(G19-$G$92)^2+(H19-$H$92)^2+(I19-$I$92)^2+(J19-$J$92)^2+(K19-$K$92)^2+(L19-$L$92)^2+(M19-$M$92)^2+(N19-$N$92)^2+(O19-$O$92)^2+(P19-$P$92)^2+(Q19-$Q$92)^2+(R19-$R$92)^2+(S19-$S$92)^2+(T19-$T$92)^2+(U19-$U$92)^2+(V19-$V$92)^2+(W19-$W$92)^2+(X19-$X$92)^2+(Y19-$Y$92)^2+(Z19-$Z$92)^2+(AA19-$AA$92)^2+(AB19-$AB$92)^2+(AC19-$AC$92)^2+(AD19-$AD$92)^2+(AE19-$AE$92)^2+(AF19-$AF$92)^2+(AG19-$AG$92)^2)</f>
        <v>2.5241693574890158</v>
      </c>
      <c r="GH19" s="36" t="s">
        <v>151</v>
      </c>
      <c r="GI19" s="37" t="s">
        <v>120</v>
      </c>
      <c r="GK19" s="44"/>
      <c r="GL19" s="36">
        <f>SQRT((A19-$A$93)^2+(B19-$B$93)^2+(C19-$C$93)^2+(D19-$D$93)^2+(E19-$E$93)^2+(F19-$F$93)^2+(G19-$G$93)^2+(H19-$H$93)^2+(I19-$I$93)^2+(J19-$J$93)^2+(K19-$K$93)^2+(L19-$L$93)^2+(M19-$M$93)^2+(N19-$N$93)^2+(O19-$O$93)^2+(P19-$P$93)^2+(Q19-$Q$93)^2+(R19-$R$93)^2+(S19-$S$93)^2+(T19-$T$93)^2+(U19-$U$93)^2+(V19-$V$93)^2+(W19-$W$93)^2+(X19-$X$93)^2+(Y19-$Y$93)^2+(Z19-$Z$93)^2+(AA19-$AA$93)^2+(AB19-$AB$93)^2+(AC19-$AC$93)^2+(AD19-$AD$93)^2+(AE19-$AE$93)^2+(AF19-$AF$93)^2+(AG19-$AG$93)^2)</f>
        <v>2.3135470602518544</v>
      </c>
      <c r="GM19" s="36" t="s">
        <v>152</v>
      </c>
      <c r="GN19" s="37" t="s">
        <v>120</v>
      </c>
      <c r="GP19" s="44"/>
      <c r="GQ19" s="36">
        <f>SQRT((A19-$A$94)^2+(B19-$B$94)^2+(C19-$C$94)^2+(D19-$D$94)^2+(E19-$E$94)^2+(F19-$F$94)^2+(G19-$G$94)^2+(H19-$H$94)^2+(I19-$I$94)^2+(J19-$J$94)^2+(K19-$K$94)^2+(L19-$L$94)^2+(M19-$M$94)^2+(N19-$N$94)^2+(O19-$O$94)^2+(P19-$P$94)^2+(Q19-$Q$94)^2+(R19-$R$94)^2+(S19-$S$94)^2+(T19-$T$94)^2+(U19-$U$94)^2+(V19-$V$94)^2+(W19-$W$94)^2+(X19-$X$94)^2+(Y19-$Y$94)^2+(Z19-$Z$94)^2+(AA19-$AA$94)^2+(AB19-$AB$94)^2+(AC19-$AC$94)^2+(AD19-$AD$94)^2+(AE19-$AE$94)^2+(AF19-$AF$94)^2+(AG19-$AG$94)^2)</f>
        <v>2.6050224743747372</v>
      </c>
      <c r="GR19" s="36" t="s">
        <v>326</v>
      </c>
      <c r="GS19" s="37" t="s">
        <v>120</v>
      </c>
      <c r="GU19" s="44"/>
      <c r="GV19" s="36">
        <f>SQRT((A19-$A$95)^2+(B19-$B$95)^2+(C19-$C$95)^2+(D19-$D$95)^2+(E19-$E$95)^2+(F19-$F$95)^2+(G19-$G$95)^2+(H19-$H$95)^2+(I19-$I$95)^2+(J19-$J$95)^2+(K19-$K$95)^2+(L19-$L$95)^2+(M19-$M$95)^2+(N19-$N$95)^2+(O19-$O$95)^2+(P19-$P$95)^2+(Q19-$Q$95)^2+(R19-$R$95)^2+(S19-$S$95)^2+(T19-$T$95)^2+(U19-$U$95)^2+(V19-$V$95)^2+(W19-$W$95)^2+(X19-$X$95)^2+(Y19-$Y$95)^2+(Z19-$Z$95)^2+(AA19-$AA$95)^2+(AB19-$AB$95)^2+(AC19-$AC$95)^2+(AD19-$AD$95)^2+(AE19-$AE$95)^2+(AF19-$AF$95)^2+(AG19-$AG$95)^2)</f>
        <v>2.1032382440206603</v>
      </c>
      <c r="GW19" s="36" t="s">
        <v>331</v>
      </c>
      <c r="GX19" s="37" t="s">
        <v>120</v>
      </c>
      <c r="GZ19" s="44"/>
      <c r="HA19" s="36">
        <f>SQRT((A19-$A$96)^2+(B19-$B$96)^2+(C19-$C$96)^2+(D19-$D$96)^2+(E19-$E$96)^2+(F19-$F$96)^2+(G19-$G$96)^2+(H19-$H$96)^2+(I19-$I$96)^2+(J19-$J$96)^2+(K19-$K$96)^2+(L19-$L$96)^2+(M19-$M$96)^2+(N19-$N$96)^2+(O19-$O$96)^2+(P19-$P$96)^2+(Q19-$Q$96)^2+(R19-$R$96)^2+(S19-$S$96)^2+(T19-$T$96)^2+(U19-$U$96)^2+(V19-$V$96)^2+(W19-$W$96)^2+(X19-$X$96)^2+(Y19-$Y$96)^2+(Z19-$Z$96)^2+(AA19-$AA$96)^2+(AB19-$AB$96)^2+(AC19-$AC$96)^2+(AD19-$AD$96)^2+(AE19-$AE$96)^2+(AF19-$AF$96)^2+(AG19-$AG$96)^2)</f>
        <v>1.4971268780196583</v>
      </c>
      <c r="HB19" s="36" t="s">
        <v>314</v>
      </c>
      <c r="HC19" s="37" t="s">
        <v>120</v>
      </c>
      <c r="HE19" s="44"/>
      <c r="HF19" s="36">
        <f>SQRT((A19-$A$97)^2+(B19-$B$97)^2+(C19-$C$97)^2+(D19-$D$97)^2+(E19-$E$97)^2+(F19-$F$97)^2+(G19-$G$97)^2+(H19-$H$97)^2+(I19-$I$97)^2+(J19-$J$97)^2+(K19-$K$97)^2+(L19-$L$97)^2+(M19-$M$97)^2+(N19-$N$97)^2+(O19-$O$97)^2+(P19-$P$97)^2+(Q19-$Q$97)^2+(R19-$R$97)^2+(S19-$S$97)^2+(T19-$T$97)^2+(U19-$U$97)^2+(V19-$V$97)^2+(W19-$W$97)^2+(X19-$X$97)^2+(Y19-$Y$97)^2+(Z19-$Z$97)^2+(AA19-$AA$97)^2+(AB19-$AB$97)^2+(AC19-$AC$97)^2+(AD19-$AD$97)^2+(AE19-$AE$97)^2+(AF19-$AF$97)^2+(AG19-$AG$97)^2)</f>
        <v>2.0470220236920285</v>
      </c>
      <c r="HG19" s="36" t="s">
        <v>319</v>
      </c>
      <c r="HH19" s="37" t="s">
        <v>120</v>
      </c>
      <c r="HJ19" s="44"/>
      <c r="HK19" s="36">
        <f>SQRT((A19-$A$98)^2+(B19-$B$98)^2+(C19-$C$98)^2+(D19-$D$98)^2+(E19-$E$98)^2+(F19-$F$98)^2+(G19-$G$98)^2+(H19-$H$98)^2+(I19-$I$98)^2+(J19-$J$98)^2+(K19-$K$98)^2+(L19-$L$98)^2+(M19-$M$98)^2+(N19-$N$98)^2+(O19-$O$98)^2+(P19-$P$98)^2+(Q19-$Q$98)^2+(R19-$R$98)^2+(S19-$S$98)^2+(T19-$T$98)^2+(U19-$U$98)^2+(V19-$V$98)^2+(W19-$W$98)^2+(X19-$X$98)^2+(Y19-$Y$98)^2+(Z19-$Z$98)^2+(AA19-$AA$98)^2+(AB19-$AB$98)^2+(AC19-$AC$98)^2+(AD19-$AD$98)^2+(AE19-$AE$98)^2+(AF19-$AF$98)^2+(AG19-$AG$98)^2)</f>
        <v>2.0470220236920285</v>
      </c>
      <c r="HL19" s="36" t="s">
        <v>319</v>
      </c>
      <c r="HM19" s="37" t="s">
        <v>120</v>
      </c>
      <c r="HO19" s="44"/>
      <c r="HP19" s="36">
        <f>SQRT((A19-$A$99)^2+(B19-$B$99)^2+(C19-$C$99)^2+(D19-$D$99)^2+(E19-$E$99)^2+(F19-$F$99)^2+(G19-$G$99)^2+(H19-$H$99)^2+(I19-$I$99)^2+(J19-$J$99)^2+(K19-$K$99)^2+(L19-$L$99)^2+(M19-$M$99)^2+(N19-$N$99)^2+(O19-$O$99)^2+(P19-$P$99)^2+(Q19-$Q$99)^2+(R19-$R$99)^2+(S19-$S$99)^2+(T19-$T$99)^2+(U19-$U$99)^2+(V19-$V$99)^2+(W19-$W$99)^2+(X19-$X$99)^2+(Y19-$Y$99)^2+(Z19-$Z$99)^2+(AA19-$AA$99)^2+(AB19-$AB$99)^2+(AC19-$AC$99)^2+(AD19-$AD$99)^2+(AE19-$AE$99)^2+(AF19-$AF$99)^2+(AG19-$AG$99)^2)</f>
        <v>2.0470220236920285</v>
      </c>
      <c r="HQ19" s="36" t="s">
        <v>319</v>
      </c>
      <c r="HR19" s="37" t="s">
        <v>120</v>
      </c>
      <c r="HT19" s="44"/>
      <c r="HU19" s="36">
        <f>SQRT((A19-$A$100)^2+(B19-$B$100)^2+(C19-$C$100)^2+(D19-$D$100)^2+(E19-$E$100)^2+(F19-$F$100)^2+(G19-$G$100)^2+(H19-$H$100)^2+(I19-$I$100)^2+(J19-$J$100)^2+(K19-$K$100)^2+(L19-$L$100)^2+(M19-$M$100)^2+(N19-$N$100)^2+(O19-$O$100)^2+(P19-$P$100)^2+(Q19-$Q$100)^2+(R19-$R$100)^2+(S19-$S$100)^2+(T19-$T$100)^2+(U19-$U$100)^2+(V19-$V$100)^2+(W19-$W$100)^2+(X19-$X$100)^2+(Y19-$Y$100)^2+(Z19-$Z$100)^2+(AA19-$AA$100)^2+(AB19-$AB$100)^2+(AC19-$AC$100)^2+(AD19-$AD$100)^2+(AE19-$AE$100)^2+(AF19-$AF$100)^2+(AG19-$AG$100)^2)</f>
        <v>2.0470220236920285</v>
      </c>
      <c r="HV19" s="36" t="s">
        <v>319</v>
      </c>
      <c r="HW19" s="37" t="s">
        <v>120</v>
      </c>
      <c r="HY19" s="44"/>
      <c r="HZ19" s="36">
        <f>SQRT((A19-$A$101)^2+(B19-$B$101)^2+(C19-$C$101)^2+(D19-$D$101)^2+(E19-$E$101)^2+(F19-$F$101)^2+(G19-$G$101)^2+(H19-$H$101)^2+(I19-$I$101)^2+(J19-$J$101)^2+(K19-$K$101)^2+(L19-$L$101)^2+(M19-$M$101)^2+(N19-$N$101)^2+(O19-$O$101)^2+(P19-$P$101)^2+(Q19-$Q$101)^2+(R19-$R$101)^2+(S19-$S$101)^2+(T19-$T$101)^2+(U19-$U$101)^2+(V19-$V$101)^2+(W19-$W$101)^2+(X19-$X$101)^2+(Y19-$Y$101)^2+(Z19-$Z$101)^2+(AA19-$AA$101)^2+(AB19-$AB$101)^2+(AC19-$AC$101)^2+(AD19-$AD$101)^2+(AE19-$AE$101)^2+(AF19-$AF$101)^2+(AG19-$AG$101)^2)</f>
        <v>2.6164543438274119</v>
      </c>
      <c r="IA19" s="36" t="s">
        <v>143</v>
      </c>
      <c r="IB19" s="37" t="s">
        <v>120</v>
      </c>
    </row>
    <row r="20" spans="1:236" x14ac:dyDescent="0.35">
      <c r="A20" s="2">
        <v>0.33333333333333298</v>
      </c>
      <c r="B20" s="2">
        <v>0.5</v>
      </c>
      <c r="C20" s="2">
        <v>0.33333333333333298</v>
      </c>
      <c r="D20" s="2">
        <v>0</v>
      </c>
      <c r="E20" s="2">
        <v>0</v>
      </c>
      <c r="F20" s="2">
        <v>1</v>
      </c>
      <c r="G20" s="2">
        <v>0.55555555555555503</v>
      </c>
      <c r="H20" s="2">
        <v>1</v>
      </c>
      <c r="I20" s="2">
        <v>0.5</v>
      </c>
      <c r="J20" s="2">
        <v>0</v>
      </c>
      <c r="K20" s="2">
        <v>0</v>
      </c>
      <c r="L20" s="2">
        <v>0.2</v>
      </c>
      <c r="M20" s="2">
        <v>1</v>
      </c>
      <c r="N20" s="2">
        <v>0</v>
      </c>
      <c r="O20" s="2">
        <v>0</v>
      </c>
      <c r="P20" s="2">
        <v>0.4</v>
      </c>
      <c r="Q20" s="2">
        <v>1</v>
      </c>
      <c r="R20" s="2">
        <v>0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0</v>
      </c>
      <c r="Z20" s="2">
        <v>0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0</v>
      </c>
      <c r="AH20" s="2" t="s">
        <v>120</v>
      </c>
      <c r="AI20" s="42"/>
      <c r="AJ20" s="42"/>
      <c r="AL20" s="44"/>
      <c r="AM20" s="36">
        <f>SQRT((A20-$A$62)^2+(B20-$B$62)^2+(C20-$C$62)^2+(D20-$D$62)^2+(E20-$E$62)^2+(F20-$F$62)^2+(G20-$G$62)^2+(H20-$H$62)^2+(I20-$I$62)^2+(J20-$J$62)^2+(K20-$K$62)^2+(L20-$L$62)^2+(M20-$M$62)^2+(N20-$N$62)^2+(O20-$O$62)^2+(P20-$P$62)^2+(Q20-$Q$62)^2+(R20-$R$62)^2+(S20-$S$62)^2+(T20-$T$62)^2+(U20-$U$62)^2+(V20-$V$62)^2+(W20-$W$62)^2+(X20-$X$62)^2+(Y20-$Y$62)^2+(Z20-$Z$62)^2+(AA20-$AA$62)^2+(AB20-$AB$62)^2+(AC20-$AC$62)^2+(AD20-$AD$62)^2+(AE20-$AE$62)^2+(AF20-$AF$62)^2+(AG20-$AG$62)^2)</f>
        <v>1.1181582078479673</v>
      </c>
      <c r="AN20" s="36" t="s">
        <v>316</v>
      </c>
      <c r="AO20" s="37" t="s">
        <v>120</v>
      </c>
      <c r="AQ20" s="44"/>
      <c r="AR20" s="36">
        <f>SQRT((A20-$A$63)^2+(B20-$B$63)^2+(C20-$C$63)^2+(D20-$D$63)^2+(E20-$E$63)^2+(F20-$F$63)^2+(G20-$G$63)^2+(H20-$H$63)^2+(I20-$I$63)^2+(J20-$J$63)^2+(K20-$K$63)^2+(L20-$L$63)^2+(M20-$M$63)^2+(N20-$N$63)^2+(O20-$O$63)^2+(P20-$P$63)^2+(Q20-$Q$63)^2+(R20-$R$63)^2+(S20-$S$63)^2+(T20-$T$63)^2+(U20-$U$63)^2+(V20-$V$63)^2+(W20-$W$63)^2+(X20-$X$63)^2+(Y20-$Y$63)^2+(Z20-$Z$63)^2+(AA20-$AA$63)^2+(AB20-$AB$63)^2+(AC20-$AC$63)^2+(AD20-$AD$63)^2+(AE20-$AE$63)^2+(AF20-$AF$63)^2+(AG20-$AG$63)^2)</f>
        <v>1.740374351493877</v>
      </c>
      <c r="AS20" s="36" t="s">
        <v>322</v>
      </c>
      <c r="AT20" s="37" t="s">
        <v>120</v>
      </c>
      <c r="AU20" s="30"/>
      <c r="AV20" s="44"/>
      <c r="AW20" s="36">
        <f>SQRT((A20-$A$64)^2+(B20-$B$64)^2+(C20-$C$64)^2+(D20-$D$64)^2+(E20-$E$64)^2+(F20-$F$64)^2+(G20-$G$64)^2+(H20-$H$64)^2+(I20-$I$64)^2+(J20-$J$64)^2+(K20-$K$64)^2+(L20-$L$64)^2+(M20-$M$64)^2+(N20-$N$64)^2+(O20-$O$64)^2+(P20-$P$64)^2+(Q20-$Q$64)^2+(R20-$R$64)^2+(S20-$S$64)^2+(T20-$T$64)^2+(U20-$U$64)^2+(V20-$V$64)^2+(W20-$W$64)^2+(X20-$X$64)^2+(Y20-$Y$64)^2+(Z20-$Z$64)^2+(AA20-$AA$64)^2+(AB20-$AB$64)^2+(AC20-$AC$64)^2+(AD20-$AD$64)^2+(AE20-$AE$64)^2+(AF20-$AF$64)^2+(AG20-$AG$64)^2)</f>
        <v>1.740374351493877</v>
      </c>
      <c r="AX20" s="36" t="s">
        <v>322</v>
      </c>
      <c r="AY20" s="37" t="s">
        <v>120</v>
      </c>
      <c r="AZ20" s="30"/>
      <c r="BA20" s="44"/>
      <c r="BB20" s="36">
        <f>SQRT((A20-$A$65)^2+(B20-$B$65)^2+(C20-$C$65)^2+(D20-$D$65)^2+(E20-$E$65)^2+(F20-$F$65)^2+(G20-$G$65)^2+(H20-$H$65)^2+(I20-$I$65)^2+(J20-$J$65)^2+(K20-$K$65)^2+(L20-$L$65)^2+(M20-$M$65)^2+(N20-$N$65)^2+(O20-$O$65)^2+(P20-$P$65)^2+(Q20-$Q$65)^2+(R20-$R$65)^2+(S20-$S$65)^2+(T20-$T$65)^2+(U20-$U$65)^2+(V20-$V$65)^2+(W20-$W$65)^2+(X20-$X$65)^2+(Y20-$Y$65)^2+(Z20-$Z$65)^2+(AA20-$AA$65)^2+(AB20-$AB$65)^2+(AC20-$AC$65)^2+(AD20-$AD$65)^2+(AE20-$AE$65)^2+(AF20-$AF$65)^2+(AG20-$AG$65)^2)</f>
        <v>1.740374351493877</v>
      </c>
      <c r="BC20" s="36" t="s">
        <v>322</v>
      </c>
      <c r="BD20" s="37" t="s">
        <v>120</v>
      </c>
      <c r="BE20" s="30"/>
      <c r="BF20" s="44"/>
      <c r="BG20" s="36">
        <f>SQRT((A20-$A$66)^2+(B20-$B$66)^2+(C20-$C$66)^2+(D20-$D$66)^2+(E20-$E$66)^2+(F20-$F$66)^2+(G20-$G$66)^2+(H20-$H$66)^2+(I20-$I$66)^2+(J20-$J$66)^2+(K20-$K$66)^2+(L20-$L$66)^2+(M20-$M$66)^2+(N20-$N$66)^2+(O20-$O$66)^2+(P20-$P$66)^2+(Q20-$Q$66)^2+(R20-$R$66)^2+(S20-$S$66)^2+(T20-$T$66)^2+(U20-$U$66)^2+(V20-$V$66)^2+(W20-$W$66)^2+(X20-$X$66)^2+(Y20-$Y$66)^2+(Z20-$Z$66)^2+(AA20-$AA$66)^2+(AB20-$AB$66)^2+(AC20-$AC$66)^2+(AD20-$AD$66)^2+(AE20-$AE$66)^2+(AF20-$AF$66)^2+(AG20-$AG$66)^2)</f>
        <v>1.740374351493877</v>
      </c>
      <c r="BH20" s="36" t="s">
        <v>322</v>
      </c>
      <c r="BI20" s="37" t="s">
        <v>120</v>
      </c>
      <c r="BJ20" s="30"/>
      <c r="BK20" s="44"/>
      <c r="BL20" s="36">
        <f>SQRT((A20-$A$67)^2+(B20-$B$67)^2+(C20-$C$67)^2+(D20-$D$67)^2+(E20-$E$67)^2+(F20-$F$67)^2+(G20-$G$67)^2+(H20-$H$67)^2+(I20-$I$67)^2+(J20-$J$67)^2+(K20-$K$67)^2+(L20-$L$67)^2+(M20-$M$67)^2+(N20-$N$67)^2+(O20-$O$67)^2+(P20-$P$67)^2+(Q20-$Q$67)^2+(R20-$R$67)^2+(S20-$S$67)^2+(T20-$T$67)^2+(U20-$U$67)^2+(V20-$V$67)^2+(W20-$W$67)^2+(X20-$X$67)^2+(Y20-$Y$67)^2+(Z20-$Z$67)^2+(AA20-$AA$67)^2+(AB20-$AB$67)^2+(AC20-$AC$67)^2+(AD20-$AD$67)^2+(AE20-$AE$67)^2+(AF20-$AF$67)^2+(AG20-$AG$67)^2)</f>
        <v>1.740374351493877</v>
      </c>
      <c r="BM20" s="36" t="s">
        <v>322</v>
      </c>
      <c r="BN20" s="37" t="s">
        <v>120</v>
      </c>
      <c r="BO20" s="30"/>
      <c r="BP20" s="44"/>
      <c r="BQ20" s="36">
        <f>SQRT((A20-$A$68)^2+(B20-$B$68)^2+(C20-$C$68)^2+(D20-$D$68)^2+(E20-$E$68)^2+(F20-$F$68)^2+(G20-$G$68)^2+(H20-$H$68)^2+(I20-$I$68)^2+(J20-$J$68)^2+(K20-$K$68)^2+(L20-$L$68)^2+(M20-$M$68)^2+(N20-$N$68)^2+(O20-$O$68)^2+(P20-$P$68)^2+(Q20-$Q$68)^2+(R20-$R$68)^2+(S20-$S$68)^2+(T20-$T$68)^2+(U20-$U$68)^2+(V20-$V$68)^2+(W20-$W$68)^2+(X20-$X$68)^2+(Y20-$Y$68)^2+(Z20-$Z$68)^2+(AA20-$AA$68)^2+(AB20-$AB$68)^2+(AC20-$AC$68)^2+(AD20-$AD$68)^2+(AE20-$AE$68)^2+(AF20-$AF$68)^2+(AG20-$AG$68)^2)</f>
        <v>1.740374351493877</v>
      </c>
      <c r="BR20" s="36" t="s">
        <v>322</v>
      </c>
      <c r="BS20" s="37" t="s">
        <v>120</v>
      </c>
      <c r="BT20" s="30"/>
      <c r="BU20" s="44"/>
      <c r="BV20" s="36">
        <f>SQRT((A20-$A$69)^2+(B20-$B$69)^2+(C20-$C$69)^2+(D20-$D$69)^2+(E20-$E$69)^2+(F20-$F$69)^2+(G20-$G$69)^2+(H20-$H$69)^2+(I20-$I$69)^2+(J20-$J$69)^2+(K20-$K$69)^2+(L20-$L$69)^2+(M20-$M$69)^2+(N20-$N$69)^2+(O20-$O$69)^2+(P20-$P$69)^2+(Q20-$Q$69)^2+(R20-$R$69)^2+(S20-$S$69)^2+(T20-$T$69)^2+(U20-$U$69)^2+(V20-$V$69)^2+(W20-$W$69)^2+(X20-$X$69)^2+(Y20-$Y$69)^2+(Z20-$Z$69)^2+(AA20-$AA$69)^2+(AB20-$AB$69)^2+(AC20-$AC$69)^2+(AD20-$AD$69)^2+(AE20-$AE$69)^2+(AF20-$AF$69)^2+(AG20-$AG$69)^2)</f>
        <v>2.7253575022068843</v>
      </c>
      <c r="BW20" s="36" t="s">
        <v>321</v>
      </c>
      <c r="BX20" s="37" t="s">
        <v>120</v>
      </c>
      <c r="BZ20" s="44"/>
      <c r="CA20" s="36">
        <f>SQRT((A20-$A$70)^2+(B20-$B$70)^2+(C20-$C$70)^2+(D20-$D$70)^2+(E20-$E$70)^2+(F20-$F$70)^2+(G20-$G$70)^2+(H20-$H$70)^2+(I20-$I$70)^2+(J20-$J$70)^2+(K20-$K$70)^2+(L20-$L$70)^2+(M20-$M$70)^2+(N20-$N$70)^2+(O20-$O$70)^2+(P20-$P$70)^2+(Q20-$Q$70)^2+(R20-$R$70)^2+(S20-$S$70)^2+(T20-$T$70)^2+(U20-$U$70)^2+(V20-$V$70)^2+(W20-$W$70)^2+(X20-$X$70)^2+(Y20-$Y$70)^2+(Z20-$Z$70)^2+(AA20-$AA$70)^2+(AB20-$AB$70)^2+(AC20-$AC$70)^2+(AD20-$AD$70)^2+(AE20-$AE$70)^2+(AF20-$AF$70)^2+(AG20-$AG$70)^2)</f>
        <v>2.2170329932395223</v>
      </c>
      <c r="CB20" s="36" t="s">
        <v>333</v>
      </c>
      <c r="CC20" s="37" t="s">
        <v>120</v>
      </c>
      <c r="CE20" s="44"/>
      <c r="CF20" s="36">
        <f>SQRT((A20-$A$71)^2+(B20-$B$71)^2+(C20-$C$71)^2+(D20-$D$71)^2+(E20-$E$71)^2+(F20-$F$71)^2+(G20-$G$71)^2+(H20-$H$71)^2+(I20-$I$71)^2+(J20-$J$71)^2+(K20-$K$71)^2+(L20-$L$71)^2+(M20-$M$71)^2+(N20-$N$71)^2+(O20-$O$71)^2+(P20-$P$71)^2+(Q20-$Q$71)^2+(R20-$R$71)^2+(S20-$S$71)^2+(T20-$T$71)^2+(U20-$U$71)^2+(V20-$V$71)^2+(W20-$W$71)^2+(X20-$X$71)^2+(Y20-$Y$71)^2+(Z20-$Z$71)^2+(AA20-$AA$71)^2+(AB20-$AB$71)^2+(AC20-$AC$71)^2+(AD20-$AD$71)^2+(AE20-$AE$71)^2+(AF20-$AF$71)^2+(AG20-$AG$71)^2)</f>
        <v>1.9414947745948903</v>
      </c>
      <c r="CG20" s="36" t="s">
        <v>132</v>
      </c>
      <c r="CH20" s="37" t="s">
        <v>120</v>
      </c>
      <c r="CJ20" s="44"/>
      <c r="CK20" s="36">
        <f>SQRT((A20-$A$72)^2+(B20-$B$72)^2+(C20-$C$72)^2+(D20-$D$72)^2+(E20-$E$72)^2+(F20-$F$72)^2+(G20-$G$72)^2+(H20-$H$72)^2+(I20-$I$72)^2+(J20-$J$72)^2+(K20-$K$72)^2+(L20-$L$72)^2+(M20-$M$72)^2+(N20-$N$72)^2+(O20-$O$72)^2+(P20-$P$72)^2+(Q20-$Q$72)^2+(R20-$R$72)^2+(S20-$S$72)^2+(T20-$T$72)^2+(U20-$U$72)^2+(V20-$V$72)^2+(W20-$W$72)^2+(X20-$X$72)^2+(Y20-$Y$72)^2+(Z20-$Z$72)^2+(AA20-$AA$72)^2+(AB20-$AB$72)^2+(AC20-$AC$72)^2+(AD20-$AD$72)^2+(AE20-$AE$72)^2+(AF20-$AF$72)^2+(AG20-$AG$72)^2)</f>
        <v>1.8663162989376958</v>
      </c>
      <c r="CL20" s="36" t="s">
        <v>334</v>
      </c>
      <c r="CM20" s="37" t="s">
        <v>120</v>
      </c>
      <c r="CO20" s="44"/>
      <c r="CP20" s="36">
        <f>SQRT((A20-$A$73)^2+(B20-$B$73)^2+(C20-$C$73)^2+(D20-$D$73)^2+(E20-$E$73)^2+(F20-$F$73)^2+(G20-$G$73)^2+(H20-$H$73)^2+(I20-$I$73)^2+(J20-$J$73)^2+(K20-$K$73)^2+(L20-$L$73)^2+(M20-$M$73)^2+(N20-$N$73)^2+(O20-$O$73)^2+(P20-$P$73)^2+(Q20-$Q$73)^2+(R20-$R$73)^2+(S20-$S$73)^2+(T20-$T$73)^2+(U20-$U$73)^2+(V20-$V$73)^2+(W20-$W$73)^2+(X20-$X$73)^2+(Y20-$Y$73)^2+(Z20-$Z$73)^2+(AA20-$AA$73)^2+(AB20-$AB$73)^2+(AC20-$AC$73)^2+(AD20-$AD$73)^2+(AE20-$AE$73)^2+(AF20-$AF$73)^2+(AG20-$AG$73)^2)</f>
        <v>1.8726837545203525</v>
      </c>
      <c r="CQ20" s="36" t="s">
        <v>335</v>
      </c>
      <c r="CR20" s="37" t="s">
        <v>120</v>
      </c>
      <c r="CT20" s="44"/>
      <c r="CU20" s="36">
        <f>SQRT((A20-$A$74)^2+(B20-$B$74)^2+(C20-$C$74)^2+(D20-$D$74)^2+(E20-$E$74)^2+(F20-$F$74)^2+(G20-$G$74)^2+(H20-$H$74)^2+(I20-$I$74)^2+(J20-$J$74)^2+(K20-$K$74)^2+(L20-$L$74)^2+(M20-$M$74)^2+(N20-$N$74)^2+(O20-$O$74)^2+(P20-$P$74)^2+(Q20-$Q$74)^2+(R20-$R$74)^2+(S20-$S$74)^2+(T20-$T$74)^2+(U20-$U$74)^2+(V20-$V$74)^2+(W20-$W$74)^2+(X20-$X$74)^2+(Y20-$Y$74)^2+(Z20-$Z$74)^2+(AA20-$AA$74)^2+(AB20-$AB$74)^2+(AC20-$AC$74)^2+(AD20-$AD$74)^2+(AE20-$AE$74)^2+(AF20-$AF$74)^2+(AG20-$AG$74)^2)</f>
        <v>1.6045940988992267</v>
      </c>
      <c r="CV20" s="36" t="s">
        <v>149</v>
      </c>
      <c r="CW20" s="37" t="s">
        <v>120</v>
      </c>
      <c r="CY20" s="44"/>
      <c r="CZ20" s="36">
        <f>SQRT((A20-$A$75)^2+(B20-$B$75)^2+(C20-$C$75)^2+(D20-$D$75)^2+(E20-$E$75)^2+(F20-$F$75)^2+(G20-$G$75)^2+(H20-$H$75)^2+(I20-$I$75)^2+(J20-$J$75)^2+(K20-$K$75)^2+(L20-$L$75)^2+(M20-$M$75)^2+(N20-$N$75)^2+(O20-$O$75)^2+(P20-$P$75)^2+(Q20-$Q$75)^2+(R20-$R$75)^2+(S20-$S$75)^2+(T20-$T$75)^2+(U20-$U$75)^2+(V20-$V$75)^2+(W20-$W$75)^2+(X20-$X$75)^2+(Y20-$Y$75)^2+(Z20-$Z$75)^2+(AA20-$AA$75)^2+(AB20-$AB$75)^2+(AC20-$AC$75)^2+(AD20-$AD$75)^2+(AE20-$AE$75)^2+(AF20-$AF$75)^2+(AG20-$AG$75)^2)</f>
        <v>1.5920810978785664</v>
      </c>
      <c r="DA20" s="36" t="s">
        <v>149</v>
      </c>
      <c r="DB20" s="37" t="s">
        <v>120</v>
      </c>
      <c r="DD20" s="44"/>
      <c r="DE20" s="36">
        <f>SQRT((A20-$A$76)^2+(B20-$B$76)^2+(C20-$C$76)^2+(D20-$D$76)^2+(E20-$E$76)^2+(F20-$F$76)^2+(G20-$G$76)^2+(H20-$H$76)^2+(I20-$I$76)^2+(J20-$J$76)^2+(K20-$K$76)^2+(L20-$L$76)^2+(M20-$M$76)^2+(N20-$N$76)^2+(O20-$O$76)^2+(P20-$P$76)^2+(Q20-$Q$76)^2+(R20-$R$76)^2+(S20-$S$76)^2+(T20-$T$76)^2+(U20-$U$76)^2+(V20-$V$76)^2+(W20-$W$76)^2+(X20-$X$76)^2+(Y20-$Y$76)^2+(Z20-$Z$76)^2+(AA20-$AA$76)^2+(AB20-$AB$76)^2+(AC20-$AC$76)^2+(AD20-$AD$76)^2+(AE20-$AE$76)^2+(AF20-$AF$76)^2+(AG20-$AG$76)^2)</f>
        <v>1.8309833423600554</v>
      </c>
      <c r="DF20" s="36" t="s">
        <v>125</v>
      </c>
      <c r="DG20" s="37" t="s">
        <v>120</v>
      </c>
      <c r="DI20" s="44"/>
      <c r="DJ20" s="36">
        <f>SQRT((A20-$A$77)^2+(B20-$B$77)^2+(C20-$C$77)^2+(D20-$D$77)^2+(E20-$E$77)^2+(F20-$F$77)^2+(G20-$G$77)^2+(H20-$H$77)^2+(I20-$I$77)^2+(J20-$J$77)^2+(K20-$K$77)^2+(L20-$L$77)^2+(M20-$M$77)^2+(N20-$N$77)^2+(O20-$O$77)^2+(P20-$P$77)^2+(Q20-$Q$77)^2+(R20-$R$77)^2+(S20-$S$77)^2+(T20-$T$77)^2+(U20-$U$77)^2+(V20-$V$77)^2+(W20-$W$77)^2+(X20-$X$77)^2+(Y20-$Y$77)^2+(Z20-$Z$77)^2+(AA20-$AA$77)^2+(AB20-$AB$77)^2+(AC20-$AC$77)^2+(AD20-$AD$77)^2+(AE20-$AE$77)^2+(AF20-$AF$77)^2+(AG20-$AG$77)^2)</f>
        <v>1.2133516482134199</v>
      </c>
      <c r="DK20" s="36" t="s">
        <v>133</v>
      </c>
      <c r="DL20" s="37" t="s">
        <v>120</v>
      </c>
      <c r="DN20" s="44"/>
      <c r="DO20" s="36">
        <f>SQRT((A20-$A$78)^2+(B20-$B$78)^2+(C20-$C$78)^2+(D20-$D$78)^2+(E20-$E$78)^2+(F20-$F$78)^2+(G20-$G$78)^2+(H20-$H$78)^2+(I20-$I$78)^2+(J20-$J$78)^2+(K20-$K$78)^2+(L20-$L$78)^2+(M20-$M$78)^2+(N20-$N$78)^2+(O20-$O$78)^2+(P20-$P$78)^2+(Q20-$Q$78)^2+(R20-$R$78)^2+(S20-$S$78)^2+(T20-$T$78)^2+(U20-$U$78)^2+(V20-$V$78)^2+(W20-$W$78)^2+(X20-$X$78)^2+(Y20-$Y$78)^2+(Z20-$Z$78)^2+(AA20-$AA$78)^2+(AB20-$AB$78)^2+(AC20-$AC$78)^2+(AD20-$AD$78)^2+(AE20-$AE$78)^2+(AF20-$AF$78)^2+(AG20-$AG$78)^2)</f>
        <v>2.2071731029736275</v>
      </c>
      <c r="DP20" s="36" t="s">
        <v>337</v>
      </c>
      <c r="DQ20" s="37" t="s">
        <v>120</v>
      </c>
      <c r="DS20" s="44"/>
      <c r="DT20" s="36">
        <f>SQRT((A20-$A$79)^2+(B20-$B$79)^2+(C20-$C$79)^2+(D20-$D$79)^2+(E20-$E$79)^2+(F20-$F$79)^2+(G20-$G$79)^2+(H20-$H$79)^2+(I20-$I$79)^2+(J20-$J$79)^2+(K20-$K$79)^2+(L20-$L$79)^2+(M20-$M$79)^2+(N20-$N$79)^2+(O20-$O$79)^2+(P20-$P$79)^2+(Q20-$Q$79)^2+(R20-$R$79)^2+(S20-$S$79)^2+(T20-$T$79)^2+(U20-$U$79)^2+(V20-$V$79)^2+(W20-$W$79)^2+(X20-$X$79)^2+(Y20-$Y$79)^2+(Z20-$Z$79)^2+(AA20-$AA$79)^2+(AB20-$AB$79)^2+(AC20-$AC$79)^2+(AD20-$AD$79)^2+(AE20-$AE$79)^2+(AF20-$AF$79)^2+(AG20-$AG$79)^2)</f>
        <v>1.9632687450579114</v>
      </c>
      <c r="DU20" s="36" t="s">
        <v>322</v>
      </c>
      <c r="DV20" s="37" t="s">
        <v>120</v>
      </c>
      <c r="DX20" s="44"/>
      <c r="DY20" s="36">
        <f>SQRT((A20-$A$80)^2+(B20-$B$80)^2+(C20-$C$80)^2+(D20-$D$80)^2+(E20-$E$80)^2+(F20-$F$80)^2+(G20-$G$80)^2+(H20-$H$80)^2+(I20-$I$80)^2+(J20-$J$80)^2+(K20-$K$80)^2+(L20-$L$80)^2+(M20-$M$80)^2+(N20-$N$80)^2+(O20-$O$80)^2+(P20-$P$80)^2+(Q20-$Q$80)^2+(R20-$R$80)^2+(S20-$S$80)^2+(T20-$T$80)^2+(U20-$U$80)^2+(V20-$V$80)^2+(W20-$W$80)^2+(X20-$X$80)^2+(Y20-$Y$80)^2+(Z20-$Z$80)^2+(AA20-$AA$80)^2+(AB20-$AB$80)^2+(AC20-$AC$80)^2+(AD20-$AD$80)^2+(AE20-$AE$80)^2+(AF20-$AF$80)^2+(AG20-$AG$80)^2)</f>
        <v>2.3551952030446315</v>
      </c>
      <c r="DZ20" s="36" t="s">
        <v>327</v>
      </c>
      <c r="EA20" s="37" t="s">
        <v>120</v>
      </c>
      <c r="EC20" s="44"/>
      <c r="ED20" s="36">
        <f>SQRT((A20-$A$81)^2+(B20-$B$81)^2+(C20-$C$81)^2+(D20-$D$81)^2+(E20-$E$81)^2+(F20-$F$81)^2+(G20-$G$81)^2+(H20-$H$81)^2+(I20-$I$81)^2+(J20-$J$81)^2+(K20-$K$81)^2+(L20-$L$81)^2+(M20-$M$81)^2+(N20-$N$81)^2+(O20-$O$81)^2+(P20-$P$81)^2+(Q20-$Q$81)^2+(R20-$R$81)^2+(S20-$S$81)^2+(T20-$T$81)^2+(U20-$U$81)^2+(V20-$V$81)^2+(W20-$W$81)^2+(X20-$X$81)^2+(Y20-$Y$81)^2+(Z20-$Z$81)^2+(AA20-$AA$81)^2+(AB20-$AB$81)^2+(AC20-$AC$81)^2+(AD20-$AD$81)^2+(AE20-$AE$81)^2+(AF20-$AF$81)^2+(AG20-$AG$81)^2)</f>
        <v>2.4094720491334933</v>
      </c>
      <c r="EE20" s="36" t="s">
        <v>137</v>
      </c>
      <c r="EF20" s="37" t="s">
        <v>120</v>
      </c>
      <c r="EH20" s="44"/>
      <c r="EI20" s="36">
        <f>SQRT((A20-$A$82)^2+(B20-$B$82)^2+(C20-$C$82)^2+(D20-$D$82)^2+(E20-$E$82)^2+(F20-$F$82)^2+(G20-$G$82)^2+(H20-$H$82)^2+(I20-$I$82)^2+(J20-$J$82)^2+(K20-$K$82)^2+(L20-$L$82)^2+(M20-$M$82)^2+(N20-$N$82)^2+(O20-$O$82)^2+(P20-$P$82)^2+(Q20-$Q$82)^2+(R20-$R$82)^2+(S20-$S$82)^2+(T20-$T$82)^2+(U20-$U$82)^2+(V20-$V$82)^2+(W20-$W$82)^2+(X20-$X$82)^2+(Y20-$Y$82)^2+(Z20-$Z$82)^2+(AA20-$AA$82)^2+(AB20-$AB$82)^2+(AC20-$AC$82)^2+(AD20-$AD$82)^2+(AE20-$AE$82)^2+(AF20-$AF$82)^2+(AG20-$AG$82)^2)</f>
        <v>2.023322843421794</v>
      </c>
      <c r="EJ20" s="36" t="s">
        <v>331</v>
      </c>
      <c r="EK20" s="37" t="s">
        <v>120</v>
      </c>
      <c r="EM20" s="44"/>
      <c r="EN20" s="36">
        <f>SQRT((A20-$A$83)^2+(B20-$B$83)^2+(C20-$C$83)^2+(D20-$D$83)^2+(E20-$E$83)^2+(F20-$F$83)^2+(G20-$G$83)^2+(H20-$H$83)^2+(I20-$I$83)^2+(J20-$J$83)^2+(K20-$K$83)^2+(L20-$L$83)^2+(M20-$M$83)^2+(N20-$N$83)^2+(O20-$O$83)^2+(P20-$P$83)^2+(Q20-$Q$83)^2+(R20-$R$83)^2+(S20-$S$83)^2+(T20-$T$83)^2+(U20-$U$83)^2+(V20-$V$83)^2+(W20-$W$83)^2+(X20-$X$83)^2+(Y20-$Y$83)^2+(Z20-$Z$83)^2+(AA20-$AA$83)^2+(AB20-$AB$83)^2+(AC20-$AC$83)^2+(AD20-$AD$83)^2+(AE20-$AE$83)^2+(AF20-$AF$83)^2+(AG20-$AG$83)^2)</f>
        <v>2.2162159431089363</v>
      </c>
      <c r="EO20" s="36" t="s">
        <v>151</v>
      </c>
      <c r="EP20" s="37" t="s">
        <v>120</v>
      </c>
      <c r="ER20" s="44"/>
      <c r="ES20" s="36">
        <f>SQRT((A20-$A$84)^2+(B20-$B$84)^2+(C20-$C$84)^2+(D20-$D$84)^2+(E20-$E$84)^2+(F20-$F$84)^2+(G20-$G$84)^2+(H20-$H$84)^2+(I20-$I$84)^2+(J20-$J$84)^2+(K20-$K$84)^2+(L20-$L$84)^2+(M20-$M$84)^2+(N20-$N$84)^2+(O20-$O$84)^2+(P20-$P$84)^2+(Q20-$Q$84)^2+(R20-$R$84)^2+(S20-$S$84)^2+(T20-$T$84)^2+(U20-$U$84)^2+(V20-$V$84)^2+(W20-$W$84)^2+(X20-$X$84)^2+(Y20-$Y$84)^2+(Z20-$Z$84)^2+(AA20-$AA$84)^2+(AB20-$AB$84)^2+(AC20-$AC$84)^2+(AD20-$AD$84)^2+(AE20-$AE$84)^2+(AF20-$AF$84)^2+(AG20-$AG$84)^2)</f>
        <v>1.740374351493877</v>
      </c>
      <c r="ET20" s="36" t="s">
        <v>322</v>
      </c>
      <c r="EU20" s="37" t="s">
        <v>120</v>
      </c>
      <c r="EW20" s="44"/>
      <c r="EX20" s="36">
        <f>SQRT((A20-$A$85)^2+(B20-$B$85)^2+(C20-$C$85)^2+(D20-$D$85)^2+(E20-$E$85)^2+(F20-$F$85)^2+(G20-$G$85)^2+(H20-$H$85)^2+(I20-$I$85)^2+(J20-$J$85)^2+(K20-$K$85)^2+(L20-$L$85)^2+(M20-$M$85)^2+(N20-$N$85)^2+(O20-$O$85)^2+(P20-$P$85)^2+(Q20-$Q$85)^2+(R20-$R$85)^2+(S20-$S$85)^2+(T20-$T$85)^2+(U20-$U$85)^2+(V20-$V$85)^2+(W20-$W$85)^2+(X20-$X$85)^2+(Y20-$Y$85)^2+(Z20-$Z$85)^2+(AA20-$AA$85)^2+(AB20-$AB$85)^2+(AC20-$AC$85)^2+(AD20-$AD$85)^2+(AE20-$AE$85)^2+(AF20-$AF$85)^2+(AG20-$AG$85)^2)</f>
        <v>1.740374351493877</v>
      </c>
      <c r="EY20" s="36" t="s">
        <v>322</v>
      </c>
      <c r="EZ20" s="37" t="s">
        <v>120</v>
      </c>
      <c r="FB20" s="44"/>
      <c r="FC20" s="36">
        <f>SQRT((A20-$A$86)^2+(B20-$B$86)^2+(C20-$C$86)^2+(D20-$D$86)^2+(E20-$E$86)^2+(F20-$F$86)^2+(G20-$G$86)^2+(H20-$H$86)^2+(I20-$I$86)^2+(J20-$J$86)^2+(K20-$K$86)^2+(L20-$L$86)^2+(M20-$M$86)^2+(N20-$N$86)^2+(O20-$O$86)^2+(P20-$P$86)^2+(Q20-$Q$86)^2+(R20-$R$86)^2+(S20-$S$86)^2+(T20-$T$86)^2+(U20-$U$86)^2+(V20-$V$86)^2+(W20-$W$86)^2+(X20-$X$86)^2+(Y20-$Y$86)^2+(Z20-$Z$86)^2+(AA20-$AA$86)^2+(AB20-$AB$86)^2+(AC20-$AC$86)^2+(AD20-$AD$86)^2+(AE20-$AE$86)^2+(AF20-$AF$86)^2+(AG20-$AG$86)^2)</f>
        <v>1.740374351493877</v>
      </c>
      <c r="FD20" s="36" t="s">
        <v>322</v>
      </c>
      <c r="FE20" s="37" t="s">
        <v>120</v>
      </c>
      <c r="FG20" s="44"/>
      <c r="FH20" s="36">
        <f>SQRT((A20-$A$87)^2+(B20-$B$87)^2+(C20-$C$87)^2+(D20-$D$87)^2+(E20-$E$87)^2+(F20-$F$87)^2+(G20-$G$87)^2+(H20-$H$87)^2+(I20-$I$87)^2+(J20-$J$87)^2+(K20-$K$87)^2+(L20-$L$87)^2+(M20-$M$87)^2+(N20-$N$87)^2+(O20-$O$87)^2+(P20-$P$87)^2+(Q20-$Q$87)^2+(R20-$R$87)^2+(S20-$S$87)^2+(T20-$T$87)^2+(U20-$U$87)^2+(V20-$V$87)^2+(W20-$W$87)^2+(X20-$X$87)^2+(Y20-$Y$87)^2+(Z20-$Z$87)^2+(AA20-$AA$87)^2+(AB20-$AB$87)^2+(AC20-$AC$87)^2+(AD20-$AD$87)^2+(AE20-$AE$87)^2+(AF20-$AF$87)^2+(AG20-$AG$87)^2)</f>
        <v>2.2174184188926644</v>
      </c>
      <c r="FI20" s="36" t="s">
        <v>333</v>
      </c>
      <c r="FJ20" s="37" t="s">
        <v>120</v>
      </c>
      <c r="FL20" s="44"/>
      <c r="FM20" s="36">
        <f>SQRT((A20-$A$88)^2+(B20-$B$88)^2+(C20-$C$88)^2+(D20-$D$88)^2+(E20-$E$88)^2+(F20-$F$88)^2+(G20-$G$88)^2+(H20-$H$88)^2+(I20-$I$88)^2+(J20-$J$88)^2+(K20-$K$88)^2+(L20-$L$88)^2+(M20-$M$88)^2+(N20-$N$88)^2+(O20-$O$88)^2+(P20-$P$88)^2+(Q20-$Q$88)^2+(R20-$R$88)^2+(S20-$S$88)^2+(T20-$T$88)^2+(U20-$U$88)^2+(V20-$V$88)^2+(W20-$W$88)^2+(X20-$X$88)^2+(Y20-$Y$88)^2+(Z20-$Z$88)^2+(AA20-$AA$88)^2+(AB20-$AB$88)^2+(AC20-$AC$88)^2+(AD20-$AD$88)^2+(AE20-$AE$88)^2+(AF20-$AF$88)^2+(AG20-$AG$88)^2)</f>
        <v>2.1405377734997493</v>
      </c>
      <c r="FN20" s="36" t="s">
        <v>334</v>
      </c>
      <c r="FO20" s="37" t="s">
        <v>120</v>
      </c>
      <c r="FQ20" s="44"/>
      <c r="FR20" s="36">
        <f>SQRT((A20-$A$89)^2+(B20-$B$89)^2+(C20-$C$89)^2+(D20-$D$89)^2+(E20-$E$89)^2+(F20-$F$89)^2+(G20-$G$89)^2+(H20-$H$89)^2+(I20-$I$89)^2+(J20-$J$89)^2+(K20-$K$89)^2+(L20-$L$89)^2+(M20-$M$89)^2+(N20-$N$89)^2+(O20-$O$89)^2+(P20-$P$89)^2+(Q20-$Q$89)^2+(R20-$R$89)^2+(S20-$S$89)^2+(T20-$T$89)^2+(U20-$U$89)^2+(V20-$V$89)^2+(W20-$W$89)^2+(X20-$X$89)^2+(Y20-$Y$89)^2+(Z20-$Z$89)^2+(AA20-$AA$89)^2+(AB20-$AB$89)^2+(AC20-$AC$89)^2+(AD20-$AD$89)^2+(AE20-$AE$89)^2+(AF20-$AF$89)^2+(AG20-$AG$89)^2)</f>
        <v>2.3993633414813278</v>
      </c>
      <c r="FS20" s="36" t="s">
        <v>129</v>
      </c>
      <c r="FT20" s="37" t="s">
        <v>120</v>
      </c>
      <c r="FV20" s="44"/>
      <c r="FW20" s="36">
        <f>SQRT((A20-$A$90)^2+(B20-$B$90)^2+(C20-$C$90)^2+(D20-$D$90)^2+(E20-$E$90)^2+(F20-$F$90)^2+(G20-$G$90)^2+(H20-$H$90)^2+(I20-$I$90)^2+(J20-$J$90)^2+(K20-$K$90)^2+(L20-$L$90)^2+(M20-$M$90)^2+(N20-$N$90)^2+(O20-$O$90)^2+(P20-$P$90)^2+(Q20-$Q$90)^2+(R20-$R$90)^2+(S20-$S$90)^2+(T20-$T$90)^2+(U20-$U$90)^2+(V20-$V$90)^2+(W20-$W$90)^2+(X20-$X$90)^2+(Y20-$Y$90)^2+(Z20-$Z$90)^2+(AA20-$AA$90)^2+(AB20-$AB$90)^2+(AC20-$AC$90)^2+(AD20-$AD$90)^2+(AE20-$AE$90)^2+(AF20-$AF$90)^2+(AG20-$AG$90)^2)</f>
        <v>2.0443010215393098</v>
      </c>
      <c r="FX20" s="36" t="s">
        <v>132</v>
      </c>
      <c r="FY20" s="37" t="s">
        <v>120</v>
      </c>
      <c r="GA20" s="44"/>
      <c r="GB20" s="36">
        <f>SQRT((A20-$A$91)^2+(B20-$B$91)^2+(C20-$C$91)^2+(D20-$D$91)^2+(E20-$E$91)^2+(F20-$F$91)^2+(G20-$G$91)^2+(H20-$H$91)^2+(I20-$I$91)^2+(J20-$J$91)^2+(K20-$K$91)^2+(L20-$L$91)^2+(M20-$M$91)^2+(N20-$N$91)^2+(O20-$O$91)^2+(P20-$P$91)^2+(Q20-$Q$91)^2+(R20-$R$91)^2+(S20-$S$91)^2+(T20-$T$91)^2+(U20-$U$91)^2+(V20-$V$91)^2+(W20-$W$91)^2+(X20-$X$91)^2+(Y20-$Y$91)^2+(Z20-$Z$91)^2+(AA20-$AA$91)^2+(AB20-$AB$91)^2+(AC20-$AC$91)^2+(AD20-$AD$91)^2+(AE20-$AE$91)^2+(AF20-$AF$91)^2+(AG20-$AG$91)^2)</f>
        <v>2.2715633383201093</v>
      </c>
      <c r="GC20" s="36" t="s">
        <v>335</v>
      </c>
      <c r="GD20" s="37" t="s">
        <v>120</v>
      </c>
      <c r="GF20" s="44"/>
      <c r="GG20" s="36">
        <f>SQRT((A20-$A$92)^2+(B20-$B$92)^2+(C20-$C$92)^2+(D20-$D$92)^2+(E20-$E$92)^2+(F20-$F$92)^2+(G20-$G$92)^2+(H20-$H$92)^2+(I20-$I$92)^2+(J20-$J$92)^2+(K20-$K$92)^2+(L20-$L$92)^2+(M20-$M$92)^2+(N20-$N$92)^2+(O20-$O$92)^2+(P20-$P$92)^2+(Q20-$Q$92)^2+(R20-$R$92)^2+(S20-$S$92)^2+(T20-$T$92)^2+(U20-$U$92)^2+(V20-$V$92)^2+(W20-$W$92)^2+(X20-$X$92)^2+(Y20-$Y$92)^2+(Z20-$Z$92)^2+(AA20-$AA$92)^2+(AB20-$AB$92)^2+(AC20-$AC$92)^2+(AD20-$AD$92)^2+(AE20-$AE$92)^2+(AF20-$AF$92)^2+(AG20-$AG$92)^2)</f>
        <v>1.9996421245927809</v>
      </c>
      <c r="GH20" s="36" t="s">
        <v>126</v>
      </c>
      <c r="GI20" s="37" t="s">
        <v>120</v>
      </c>
      <c r="GK20" s="44"/>
      <c r="GL20" s="36">
        <f>SQRT((A20-$A$93)^2+(B20-$B$93)^2+(C20-$C$93)^2+(D20-$D$93)^2+(E20-$E$93)^2+(F20-$F$93)^2+(G20-$G$93)^2+(H20-$H$93)^2+(I20-$I$93)^2+(J20-$J$93)^2+(K20-$K$93)^2+(L20-$L$93)^2+(M20-$M$93)^2+(N20-$N$93)^2+(O20-$O$93)^2+(P20-$P$93)^2+(Q20-$Q$93)^2+(R20-$R$93)^2+(S20-$S$93)^2+(T20-$T$93)^2+(U20-$U$93)^2+(V20-$V$93)^2+(W20-$W$93)^2+(X20-$X$93)^2+(Y20-$Y$93)^2+(Z20-$Z$93)^2+(AA20-$AA$93)^2+(AB20-$AB$93)^2+(AC20-$AC$93)^2+(AD20-$AD$93)^2+(AE20-$AE$93)^2+(AF20-$AF$93)^2+(AG20-$AG$93)^2)</f>
        <v>2.5232254490367416</v>
      </c>
      <c r="GM20" s="36" t="s">
        <v>154</v>
      </c>
      <c r="GN20" s="37" t="s">
        <v>120</v>
      </c>
      <c r="GP20" s="44"/>
      <c r="GQ20" s="36">
        <f>SQRT((A20-$A$94)^2+(B20-$B$94)^2+(C20-$C$94)^2+(D20-$D$94)^2+(E20-$E$94)^2+(F20-$F$94)^2+(G20-$G$94)^2+(H20-$H$94)^2+(I20-$I$94)^2+(J20-$J$94)^2+(K20-$K$94)^2+(L20-$L$94)^2+(M20-$M$94)^2+(N20-$N$94)^2+(O20-$O$94)^2+(P20-$P$94)^2+(Q20-$Q$94)^2+(R20-$R$94)^2+(S20-$S$94)^2+(T20-$T$94)^2+(U20-$U$94)^2+(V20-$V$94)^2+(W20-$W$94)^2+(X20-$X$94)^2+(Y20-$Y$94)^2+(Z20-$Z$94)^2+(AA20-$AA$94)^2+(AB20-$AB$94)^2+(AC20-$AC$94)^2+(AD20-$AD$94)^2+(AE20-$AE$94)^2+(AF20-$AF$94)^2+(AG20-$AG$94)^2)</f>
        <v>2.4231411652007053</v>
      </c>
      <c r="GR20" s="36" t="s">
        <v>133</v>
      </c>
      <c r="GS20" s="37" t="s">
        <v>120</v>
      </c>
      <c r="GU20" s="44"/>
      <c r="GV20" s="36">
        <f>SQRT((A20-$A$95)^2+(B20-$B$95)^2+(C20-$C$95)^2+(D20-$D$95)^2+(E20-$E$95)^2+(F20-$F$95)^2+(G20-$G$95)^2+(H20-$H$95)^2+(I20-$I$95)^2+(J20-$J$95)^2+(K20-$K$95)^2+(L20-$L$95)^2+(M20-$M$95)^2+(N20-$N$95)^2+(O20-$O$95)^2+(P20-$P$95)^2+(Q20-$Q$95)^2+(R20-$R$95)^2+(S20-$S$95)^2+(T20-$T$95)^2+(U20-$U$95)^2+(V20-$V$95)^2+(W20-$W$95)^2+(X20-$X$95)^2+(Y20-$Y$95)^2+(Z20-$Z$95)^2+(AA20-$AA$95)^2+(AB20-$AB$95)^2+(AC20-$AC$95)^2+(AD20-$AD$95)^2+(AE20-$AE$95)^2+(AF20-$AF$95)^2+(AG20-$AG$95)^2)</f>
        <v>2.4253293018108328</v>
      </c>
      <c r="GW20" s="36" t="s">
        <v>314</v>
      </c>
      <c r="GX20" s="37" t="s">
        <v>120</v>
      </c>
      <c r="GZ20" s="44"/>
      <c r="HA20" s="36">
        <f>SQRT((A20-$A$96)^2+(B20-$B$96)^2+(C20-$C$96)^2+(D20-$D$96)^2+(E20-$E$96)^2+(F20-$F$96)^2+(G20-$G$96)^2+(H20-$H$96)^2+(I20-$I$96)^2+(J20-$J$96)^2+(K20-$K$96)^2+(L20-$L$96)^2+(M20-$M$96)^2+(N20-$N$96)^2+(O20-$O$96)^2+(P20-$P$96)^2+(Q20-$Q$96)^2+(R20-$R$96)^2+(S20-$S$96)^2+(T20-$T$96)^2+(U20-$U$96)^2+(V20-$V$96)^2+(W20-$W$96)^2+(X20-$X$96)^2+(Y20-$Y$96)^2+(Z20-$Z$96)^2+(AA20-$AA$96)^2+(AB20-$AB$96)^2+(AC20-$AC$96)^2+(AD20-$AD$96)^2+(AE20-$AE$96)^2+(AF20-$AF$96)^2+(AG20-$AG$96)^2)</f>
        <v>2.364083096866286</v>
      </c>
      <c r="HB20" s="36" t="s">
        <v>153</v>
      </c>
      <c r="HC20" s="37" t="s">
        <v>120</v>
      </c>
      <c r="HE20" s="44"/>
      <c r="HF20" s="36">
        <f>SQRT((A20-$A$97)^2+(B20-$B$97)^2+(C20-$C$97)^2+(D20-$D$97)^2+(E20-$E$97)^2+(F20-$F$97)^2+(G20-$G$97)^2+(H20-$H$97)^2+(I20-$I$97)^2+(J20-$J$97)^2+(K20-$K$97)^2+(L20-$L$97)^2+(M20-$M$97)^2+(N20-$N$97)^2+(O20-$O$97)^2+(P20-$P$97)^2+(Q20-$Q$97)^2+(R20-$R$97)^2+(S20-$S$97)^2+(T20-$T$97)^2+(U20-$U$97)^2+(V20-$V$97)^2+(W20-$W$97)^2+(X20-$X$97)^2+(Y20-$Y$97)^2+(Z20-$Z$97)^2+(AA20-$AA$97)^2+(AB20-$AB$97)^2+(AC20-$AC$97)^2+(AD20-$AD$97)^2+(AE20-$AE$97)^2+(AF20-$AF$97)^2+(AG20-$AG$97)^2)</f>
        <v>1.740374351493877</v>
      </c>
      <c r="HG20" s="36" t="s">
        <v>322</v>
      </c>
      <c r="HH20" s="37" t="s">
        <v>120</v>
      </c>
      <c r="HJ20" s="44"/>
      <c r="HK20" s="36">
        <f>SQRT((A20-$A$98)^2+(B20-$B$98)^2+(C20-$C$98)^2+(D20-$D$98)^2+(E20-$E$98)^2+(F20-$F$98)^2+(G20-$G$98)^2+(H20-$H$98)^2+(I20-$I$98)^2+(J20-$J$98)^2+(K20-$K$98)^2+(L20-$L$98)^2+(M20-$M$98)^2+(N20-$N$98)^2+(O20-$O$98)^2+(P20-$P$98)^2+(Q20-$Q$98)^2+(R20-$R$98)^2+(S20-$S$98)^2+(T20-$T$98)^2+(U20-$U$98)^2+(V20-$V$98)^2+(W20-$W$98)^2+(X20-$X$98)^2+(Y20-$Y$98)^2+(Z20-$Z$98)^2+(AA20-$AA$98)^2+(AB20-$AB$98)^2+(AC20-$AC$98)^2+(AD20-$AD$98)^2+(AE20-$AE$98)^2+(AF20-$AF$98)^2+(AG20-$AG$98)^2)</f>
        <v>1.740374351493877</v>
      </c>
      <c r="HL20" s="36" t="s">
        <v>322</v>
      </c>
      <c r="HM20" s="37" t="s">
        <v>120</v>
      </c>
      <c r="HO20" s="44"/>
      <c r="HP20" s="36">
        <f>SQRT((A20-$A$99)^2+(B20-$B$99)^2+(C20-$C$99)^2+(D20-$D$99)^2+(E20-$E$99)^2+(F20-$F$99)^2+(G20-$G$99)^2+(H20-$H$99)^2+(I20-$I$99)^2+(J20-$J$99)^2+(K20-$K$99)^2+(L20-$L$99)^2+(M20-$M$99)^2+(N20-$N$99)^2+(O20-$O$99)^2+(P20-$P$99)^2+(Q20-$Q$99)^2+(R20-$R$99)^2+(S20-$S$99)^2+(T20-$T$99)^2+(U20-$U$99)^2+(V20-$V$99)^2+(W20-$W$99)^2+(X20-$X$99)^2+(Y20-$Y$99)^2+(Z20-$Z$99)^2+(AA20-$AA$99)^2+(AB20-$AB$99)^2+(AC20-$AC$99)^2+(AD20-$AD$99)^2+(AE20-$AE$99)^2+(AF20-$AF$99)^2+(AG20-$AG$99)^2)</f>
        <v>1.740374351493877</v>
      </c>
      <c r="HQ20" s="36" t="s">
        <v>322</v>
      </c>
      <c r="HR20" s="37" t="s">
        <v>120</v>
      </c>
      <c r="HT20" s="44"/>
      <c r="HU20" s="36">
        <f>SQRT((A20-$A$100)^2+(B20-$B$100)^2+(C20-$C$100)^2+(D20-$D$100)^2+(E20-$E$100)^2+(F20-$F$100)^2+(G20-$G$100)^2+(H20-$H$100)^2+(I20-$I$100)^2+(J20-$J$100)^2+(K20-$K$100)^2+(L20-$L$100)^2+(M20-$M$100)^2+(N20-$N$100)^2+(O20-$O$100)^2+(P20-$P$100)^2+(Q20-$Q$100)^2+(R20-$R$100)^2+(S20-$S$100)^2+(T20-$T$100)^2+(U20-$U$100)^2+(V20-$V$100)^2+(W20-$W$100)^2+(X20-$X$100)^2+(Y20-$Y$100)^2+(Z20-$Z$100)^2+(AA20-$AA$100)^2+(AB20-$AB$100)^2+(AC20-$AC$100)^2+(AD20-$AD$100)^2+(AE20-$AE$100)^2+(AF20-$AF$100)^2+(AG20-$AG$100)^2)</f>
        <v>1.740374351493877</v>
      </c>
      <c r="HV20" s="36" t="s">
        <v>322</v>
      </c>
      <c r="HW20" s="37" t="s">
        <v>120</v>
      </c>
      <c r="HY20" s="44"/>
      <c r="HZ20" s="36">
        <f>SQRT((A20-$A$101)^2+(B20-$B$101)^2+(C20-$C$101)^2+(D20-$D$101)^2+(E20-$E$101)^2+(F20-$F$101)^2+(G20-$G$101)^2+(H20-$H$101)^2+(I20-$I$101)^2+(J20-$J$101)^2+(K20-$K$101)^2+(L20-$L$101)^2+(M20-$M$101)^2+(N20-$N$101)^2+(O20-$O$101)^2+(P20-$P$101)^2+(Q20-$Q$101)^2+(R20-$R$101)^2+(S20-$S$101)^2+(T20-$T$101)^2+(U20-$U$101)^2+(V20-$V$101)^2+(W20-$W$101)^2+(X20-$X$101)^2+(Y20-$Y$101)^2+(Z20-$Z$101)^2+(AA20-$AA$101)^2+(AB20-$AB$101)^2+(AC20-$AC$101)^2+(AD20-$AD$101)^2+(AE20-$AE$101)^2+(AF20-$AF$101)^2+(AG20-$AG$101)^2)</f>
        <v>2.4234960972391377</v>
      </c>
      <c r="IA20" s="36" t="s">
        <v>327</v>
      </c>
      <c r="IB20" s="37" t="s">
        <v>120</v>
      </c>
    </row>
    <row r="21" spans="1:236" x14ac:dyDescent="0.35">
      <c r="A21" s="2">
        <v>0</v>
      </c>
      <c r="B21" s="2">
        <v>0</v>
      </c>
      <c r="C21" s="2">
        <v>0</v>
      </c>
      <c r="D21" s="2">
        <v>1</v>
      </c>
      <c r="E21" s="2">
        <v>0.33333333333333298</v>
      </c>
      <c r="F21" s="2">
        <v>1</v>
      </c>
      <c r="G21" s="2">
        <v>0.55555555555555503</v>
      </c>
      <c r="H21" s="2">
        <v>1</v>
      </c>
      <c r="I21" s="2">
        <v>0</v>
      </c>
      <c r="J21" s="2">
        <v>0.44444444444444398</v>
      </c>
      <c r="K21" s="2">
        <v>0</v>
      </c>
      <c r="L21" s="2">
        <v>0.2</v>
      </c>
      <c r="M21" s="2">
        <v>1</v>
      </c>
      <c r="N21" s="2">
        <v>0</v>
      </c>
      <c r="O21" s="2">
        <v>1</v>
      </c>
      <c r="P21" s="2">
        <v>0.4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0</v>
      </c>
      <c r="W21" s="2">
        <v>1</v>
      </c>
      <c r="X21" s="2">
        <v>1</v>
      </c>
      <c r="Y21" s="2">
        <v>1</v>
      </c>
      <c r="Z21" s="2">
        <v>0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0</v>
      </c>
      <c r="AH21" s="2" t="s">
        <v>120</v>
      </c>
      <c r="AI21" s="42"/>
      <c r="AJ21" s="42"/>
      <c r="AL21" s="44"/>
      <c r="AM21" s="36">
        <f>SQRT((A21-$A$62)^2+(B21-$B$62)^2+(C21-$C$62)^2+(D21-$D$62)^2+(E21-$E$62)^2+(F21-$F$62)^2+(G21-$G$62)^2+(H21-$H$62)^2+(I21-$I$62)^2+(J21-$J$62)^2+(K21-$K$62)^2+(L21-$L$62)^2+(M21-$M$62)^2+(N21-$N$62)^2+(O21-$O$62)^2+(P21-$P$62)^2+(Q21-$Q$62)^2+(R21-$R$62)^2+(S21-$S$62)^2+(T21-$T$62)^2+(U21-$U$62)^2+(V21-$V$62)^2+(W21-$W$62)^2+(X21-$X$62)^2+(Y21-$Y$62)^2+(Z21-$Z$62)^2+(AA21-$AA$62)^2+(AB21-$AB$62)^2+(AC21-$AC$62)^2+(AD21-$AD$62)^2+(AE21-$AE$62)^2+(AF21-$AF$62)^2+(AG21-$AG$62)^2)</f>
        <v>2.2676536522184669</v>
      </c>
      <c r="AN21" s="36" t="s">
        <v>319</v>
      </c>
      <c r="AO21" s="37" t="s">
        <v>120</v>
      </c>
      <c r="AQ21" s="44"/>
      <c r="AR21" s="36">
        <f>SQRT((A21-$A$63)^2+(B21-$B$63)^2+(C21-$C$63)^2+(D21-$D$63)^2+(E21-$E$63)^2+(F21-$F$63)^2+(G21-$G$63)^2+(H21-$H$63)^2+(I21-$I$63)^2+(J21-$J$63)^2+(K21-$K$63)^2+(L21-$L$63)^2+(M21-$M$63)^2+(N21-$N$63)^2+(O21-$O$63)^2+(P21-$P$63)^2+(Q21-$Q$63)^2+(R21-$R$63)^2+(S21-$S$63)^2+(T21-$T$63)^2+(U21-$U$63)^2+(V21-$V$63)^2+(W21-$W$63)^2+(X21-$X$63)^2+(Y21-$Y$63)^2+(Z21-$Z$63)^2+(AA21-$AA$63)^2+(AB21-$AB$63)^2+(AC21-$AC$63)^2+(AD21-$AD$63)^2+(AE21-$AE$63)^2+(AF21-$AF$63)^2+(AG21-$AG$63)^2)</f>
        <v>1.2635620823390037</v>
      </c>
      <c r="AS21" s="36" t="s">
        <v>333</v>
      </c>
      <c r="AT21" s="37" t="s">
        <v>120</v>
      </c>
      <c r="AU21" s="30"/>
      <c r="AV21" s="44"/>
      <c r="AW21" s="36">
        <f>SQRT((A21-$A$64)^2+(B21-$B$64)^2+(C21-$C$64)^2+(D21-$D$64)^2+(E21-$E$64)^2+(F21-$F$64)^2+(G21-$G$64)^2+(H21-$H$64)^2+(I21-$I$64)^2+(J21-$J$64)^2+(K21-$K$64)^2+(L21-$L$64)^2+(M21-$M$64)^2+(N21-$N$64)^2+(O21-$O$64)^2+(P21-$P$64)^2+(Q21-$Q$64)^2+(R21-$R$64)^2+(S21-$S$64)^2+(T21-$T$64)^2+(U21-$U$64)^2+(V21-$V$64)^2+(W21-$W$64)^2+(X21-$X$64)^2+(Y21-$Y$64)^2+(Z21-$Z$64)^2+(AA21-$AA$64)^2+(AB21-$AB$64)^2+(AC21-$AC$64)^2+(AD21-$AD$64)^2+(AE21-$AE$64)^2+(AF21-$AF$64)^2+(AG21-$AG$64)^2)</f>
        <v>1.2635620823390037</v>
      </c>
      <c r="AX21" s="36" t="s">
        <v>333</v>
      </c>
      <c r="AY21" s="37" t="s">
        <v>120</v>
      </c>
      <c r="AZ21" s="30"/>
      <c r="BA21" s="44"/>
      <c r="BB21" s="36">
        <f>SQRT((A21-$A$65)^2+(B21-$B$65)^2+(C21-$C$65)^2+(D21-$D$65)^2+(E21-$E$65)^2+(F21-$F$65)^2+(G21-$G$65)^2+(H21-$H$65)^2+(I21-$I$65)^2+(J21-$J$65)^2+(K21-$K$65)^2+(L21-$L$65)^2+(M21-$M$65)^2+(N21-$N$65)^2+(O21-$O$65)^2+(P21-$P$65)^2+(Q21-$Q$65)^2+(R21-$R$65)^2+(S21-$S$65)^2+(T21-$T$65)^2+(U21-$U$65)^2+(V21-$V$65)^2+(W21-$W$65)^2+(X21-$X$65)^2+(Y21-$Y$65)^2+(Z21-$Z$65)^2+(AA21-$AA$65)^2+(AB21-$AB$65)^2+(AC21-$AC$65)^2+(AD21-$AD$65)^2+(AE21-$AE$65)^2+(AF21-$AF$65)^2+(AG21-$AG$65)^2)</f>
        <v>1.2635620823390037</v>
      </c>
      <c r="BC21" s="36" t="s">
        <v>333</v>
      </c>
      <c r="BD21" s="37" t="s">
        <v>120</v>
      </c>
      <c r="BE21" s="30"/>
      <c r="BF21" s="44"/>
      <c r="BG21" s="36">
        <f>SQRT((A21-$A$66)^2+(B21-$B$66)^2+(C21-$C$66)^2+(D21-$D$66)^2+(E21-$E$66)^2+(F21-$F$66)^2+(G21-$G$66)^2+(H21-$H$66)^2+(I21-$I$66)^2+(J21-$J$66)^2+(K21-$K$66)^2+(L21-$L$66)^2+(M21-$M$66)^2+(N21-$N$66)^2+(O21-$O$66)^2+(P21-$P$66)^2+(Q21-$Q$66)^2+(R21-$R$66)^2+(S21-$S$66)^2+(T21-$T$66)^2+(U21-$U$66)^2+(V21-$V$66)^2+(W21-$W$66)^2+(X21-$X$66)^2+(Y21-$Y$66)^2+(Z21-$Z$66)^2+(AA21-$AA$66)^2+(AB21-$AB$66)^2+(AC21-$AC$66)^2+(AD21-$AD$66)^2+(AE21-$AE$66)^2+(AF21-$AF$66)^2+(AG21-$AG$66)^2)</f>
        <v>1.2635620823390037</v>
      </c>
      <c r="BH21" s="36" t="s">
        <v>333</v>
      </c>
      <c r="BI21" s="37" t="s">
        <v>120</v>
      </c>
      <c r="BJ21" s="30"/>
      <c r="BK21" s="44"/>
      <c r="BL21" s="36">
        <f>SQRT((A21-$A$67)^2+(B21-$B$67)^2+(C21-$C$67)^2+(D21-$D$67)^2+(E21-$E$67)^2+(F21-$F$67)^2+(G21-$G$67)^2+(H21-$H$67)^2+(I21-$I$67)^2+(J21-$J$67)^2+(K21-$K$67)^2+(L21-$L$67)^2+(M21-$M$67)^2+(N21-$N$67)^2+(O21-$O$67)^2+(P21-$P$67)^2+(Q21-$Q$67)^2+(R21-$R$67)^2+(S21-$S$67)^2+(T21-$T$67)^2+(U21-$U$67)^2+(V21-$V$67)^2+(W21-$W$67)^2+(X21-$X$67)^2+(Y21-$Y$67)^2+(Z21-$Z$67)^2+(AA21-$AA$67)^2+(AB21-$AB$67)^2+(AC21-$AC$67)^2+(AD21-$AD$67)^2+(AE21-$AE$67)^2+(AF21-$AF$67)^2+(AG21-$AG$67)^2)</f>
        <v>1.2635620823390037</v>
      </c>
      <c r="BM21" s="36" t="s">
        <v>333</v>
      </c>
      <c r="BN21" s="37" t="s">
        <v>120</v>
      </c>
      <c r="BO21" s="30"/>
      <c r="BP21" s="44"/>
      <c r="BQ21" s="36">
        <f>SQRT((A21-$A$68)^2+(B21-$B$68)^2+(C21-$C$68)^2+(D21-$D$68)^2+(E21-$E$68)^2+(F21-$F$68)^2+(G21-$G$68)^2+(H21-$H$68)^2+(I21-$I$68)^2+(J21-$J$68)^2+(K21-$K$68)^2+(L21-$L$68)^2+(M21-$M$68)^2+(N21-$N$68)^2+(O21-$O$68)^2+(P21-$P$68)^2+(Q21-$Q$68)^2+(R21-$R$68)^2+(S21-$S$68)^2+(T21-$T$68)^2+(U21-$U$68)^2+(V21-$V$68)^2+(W21-$W$68)^2+(X21-$X$68)^2+(Y21-$Y$68)^2+(Z21-$Z$68)^2+(AA21-$AA$68)^2+(AB21-$AB$68)^2+(AC21-$AC$68)^2+(AD21-$AD$68)^2+(AE21-$AE$68)^2+(AF21-$AF$68)^2+(AG21-$AG$68)^2)</f>
        <v>1.2635620823390037</v>
      </c>
      <c r="BR21" s="36" t="s">
        <v>333</v>
      </c>
      <c r="BS21" s="37" t="s">
        <v>120</v>
      </c>
      <c r="BT21" s="30"/>
      <c r="BU21" s="44"/>
      <c r="BV21" s="36">
        <f>SQRT((A21-$A$69)^2+(B21-$B$69)^2+(C21-$C$69)^2+(D21-$D$69)^2+(E21-$E$69)^2+(F21-$F$69)^2+(G21-$G$69)^2+(H21-$H$69)^2+(I21-$I$69)^2+(J21-$J$69)^2+(K21-$K$69)^2+(L21-$L$69)^2+(M21-$M$69)^2+(N21-$N$69)^2+(O21-$O$69)^2+(P21-$P$69)^2+(Q21-$Q$69)^2+(R21-$R$69)^2+(S21-$S$69)^2+(T21-$T$69)^2+(U21-$U$69)^2+(V21-$V$69)^2+(W21-$W$69)^2+(X21-$X$69)^2+(Y21-$Y$69)^2+(Z21-$Z$69)^2+(AA21-$AA$69)^2+(AB21-$AB$69)^2+(AC21-$AC$69)^2+(AD21-$AD$69)^2+(AE21-$AE$69)^2+(AF21-$AF$69)^2+(AG21-$AG$69)^2)</f>
        <v>2.4596236322750928</v>
      </c>
      <c r="BW21" s="36" t="s">
        <v>338</v>
      </c>
      <c r="BX21" s="37" t="s">
        <v>120</v>
      </c>
      <c r="BZ21" s="44"/>
      <c r="CA21" s="36">
        <f>SQRT((A21-$A$70)^2+(B21-$B$70)^2+(C21-$C$70)^2+(D21-$D$70)^2+(E21-$E$70)^2+(F21-$F$70)^2+(G21-$G$70)^2+(H21-$H$70)^2+(I21-$I$70)^2+(J21-$J$70)^2+(K21-$K$70)^2+(L21-$L$70)^2+(M21-$M$70)^2+(N21-$N$70)^2+(O21-$O$70)^2+(P21-$P$70)^2+(Q21-$Q$70)^2+(R21-$R$70)^2+(S21-$S$70)^2+(T21-$T$70)^2+(U21-$U$70)^2+(V21-$V$70)^2+(W21-$W$70)^2+(X21-$X$70)^2+(Y21-$Y$70)^2+(Z21-$Z$70)^2+(AA21-$AA$70)^2+(AB21-$AB$70)^2+(AC21-$AC$70)^2+(AD21-$AD$70)^2+(AE21-$AE$70)^2+(AF21-$AF$70)^2+(AG21-$AG$70)^2)</f>
        <v>1.7384174693586529</v>
      </c>
      <c r="CB21" s="36" t="s">
        <v>326</v>
      </c>
      <c r="CC21" s="37" t="s">
        <v>120</v>
      </c>
      <c r="CE21" s="44"/>
      <c r="CF21" s="36">
        <f>SQRT((A21-$A$71)^2+(B21-$B$71)^2+(C21-$C$71)^2+(D21-$D$71)^2+(E21-$E$71)^2+(F21-$F$71)^2+(G21-$G$71)^2+(H21-$H$71)^2+(I21-$I$71)^2+(J21-$J$71)^2+(K21-$K$71)^2+(L21-$L$71)^2+(M21-$M$71)^2+(N21-$N$71)^2+(O21-$O$71)^2+(P21-$P$71)^2+(Q21-$Q$71)^2+(R21-$R$71)^2+(S21-$S$71)^2+(T21-$T$71)^2+(U21-$U$71)^2+(V21-$V$71)^2+(W21-$W$71)^2+(X21-$X$71)^2+(Y21-$Y$71)^2+(Z21-$Z$71)^2+(AA21-$AA$71)^2+(AB21-$AB$71)^2+(AC21-$AC$71)^2+(AD21-$AD$71)^2+(AE21-$AE$71)^2+(AF21-$AF$71)^2+(AG21-$AG$71)^2)</f>
        <v>1.419560091481477</v>
      </c>
      <c r="CG21" s="36" t="s">
        <v>154</v>
      </c>
      <c r="CH21" s="37" t="s">
        <v>120</v>
      </c>
      <c r="CJ21" s="44"/>
      <c r="CK21" s="36">
        <f>SQRT((A21-$A$72)^2+(B21-$B$72)^2+(C21-$C$72)^2+(D21-$D$72)^2+(E21-$E$72)^2+(F21-$F$72)^2+(G21-$G$72)^2+(H21-$H$72)^2+(I21-$I$72)^2+(J21-$J$72)^2+(K21-$K$72)^2+(L21-$L$72)^2+(M21-$M$72)^2+(N21-$N$72)^2+(O21-$O$72)^2+(P21-$P$72)^2+(Q21-$Q$72)^2+(R21-$R$72)^2+(S21-$S$72)^2+(T21-$T$72)^2+(U21-$U$72)^2+(V21-$V$72)^2+(W21-$W$72)^2+(X21-$X$72)^2+(Y21-$Y$72)^2+(Z21-$Z$72)^2+(AA21-$AA$72)^2+(AB21-$AB$72)^2+(AC21-$AC$72)^2+(AD21-$AD$72)^2+(AE21-$AE$72)^2+(AF21-$AF$72)^2+(AG21-$AG$72)^2)</f>
        <v>1.9807397268880576</v>
      </c>
      <c r="CL21" s="36" t="s">
        <v>338</v>
      </c>
      <c r="CM21" s="37" t="s">
        <v>120</v>
      </c>
      <c r="CO21" s="44"/>
      <c r="CP21" s="36">
        <f>SQRT((A21-$A$73)^2+(B21-$B$73)^2+(C21-$C$73)^2+(D21-$D$73)^2+(E21-$E$73)^2+(F21-$F$73)^2+(G21-$G$73)^2+(H21-$H$73)^2+(I21-$I$73)^2+(J21-$J$73)^2+(K21-$K$73)^2+(L21-$L$73)^2+(M21-$M$73)^2+(N21-$N$73)^2+(O21-$O$73)^2+(P21-$P$73)^2+(Q21-$Q$73)^2+(R21-$R$73)^2+(S21-$S$73)^2+(T21-$T$73)^2+(U21-$U$73)^2+(V21-$V$73)^2+(W21-$W$73)^2+(X21-$X$73)^2+(Y21-$Y$73)^2+(Z21-$Z$73)^2+(AA21-$AA$73)^2+(AB21-$AB$73)^2+(AC21-$AC$73)^2+(AD21-$AD$73)^2+(AE21-$AE$73)^2+(AF21-$AF$73)^2+(AG21-$AG$73)^2)</f>
        <v>1.9885862587883822</v>
      </c>
      <c r="CQ21" s="36" t="s">
        <v>144</v>
      </c>
      <c r="CR21" s="37" t="s">
        <v>120</v>
      </c>
      <c r="CT21" s="44"/>
      <c r="CU21" s="36">
        <f>SQRT((A21-$A$74)^2+(B21-$B$74)^2+(C21-$C$74)^2+(D21-$D$74)^2+(E21-$E$74)^2+(F21-$F$74)^2+(G21-$G$74)^2+(H21-$H$74)^2+(I21-$I$74)^2+(J21-$J$74)^2+(K21-$K$74)^2+(L21-$L$74)^2+(M21-$M$74)^2+(N21-$N$74)^2+(O21-$O$74)^2+(P21-$P$74)^2+(Q21-$Q$74)^2+(R21-$R$74)^2+(S21-$S$74)^2+(T21-$T$74)^2+(U21-$U$74)^2+(V21-$V$74)^2+(W21-$W$74)^2+(X21-$X$74)^2+(Y21-$Y$74)^2+(Z21-$Z$74)^2+(AA21-$AA$74)^2+(AB21-$AB$74)^2+(AC21-$AC$74)^2+(AD21-$AD$74)^2+(AE21-$AE$74)^2+(AF21-$AF$74)^2+(AG21-$AG$74)^2)</f>
        <v>1.7701311243890561</v>
      </c>
      <c r="CV21" s="36" t="s">
        <v>152</v>
      </c>
      <c r="CW21" s="37" t="s">
        <v>120</v>
      </c>
      <c r="CY21" s="44"/>
      <c r="CZ21" s="36">
        <f>SQRT((A21-$A$75)^2+(B21-$B$75)^2+(C21-$C$75)^2+(D21-$D$75)^2+(E21-$E$75)^2+(F21-$F$75)^2+(G21-$G$75)^2+(H21-$H$75)^2+(I21-$I$75)^2+(J21-$J$75)^2+(K21-$K$75)^2+(L21-$L$75)^2+(M21-$M$75)^2+(N21-$N$75)^2+(O21-$O$75)^2+(P21-$P$75)^2+(Q21-$Q$75)^2+(R21-$R$75)^2+(S21-$S$75)^2+(T21-$T$75)^2+(U21-$U$75)^2+(V21-$V$75)^2+(W21-$W$75)^2+(X21-$X$75)^2+(Y21-$Y$75)^2+(Z21-$Z$75)^2+(AA21-$AA$75)^2+(AB21-$AB$75)^2+(AC21-$AC$75)^2+(AD21-$AD$75)^2+(AE21-$AE$75)^2+(AF21-$AF$75)^2+(AG21-$AG$75)^2)</f>
        <v>1.6944444444444444</v>
      </c>
      <c r="DA21" s="36" t="s">
        <v>336</v>
      </c>
      <c r="DB21" s="37" t="s">
        <v>120</v>
      </c>
      <c r="DD21" s="44"/>
      <c r="DE21" s="36">
        <f>SQRT((A21-$A$76)^2+(B21-$B$76)^2+(C21-$C$76)^2+(D21-$D$76)^2+(E21-$E$76)^2+(F21-$F$76)^2+(G21-$G$76)^2+(H21-$H$76)^2+(I21-$I$76)^2+(J21-$J$76)^2+(K21-$K$76)^2+(L21-$L$76)^2+(M21-$M$76)^2+(N21-$N$76)^2+(O21-$O$76)^2+(P21-$P$76)^2+(Q21-$Q$76)^2+(R21-$R$76)^2+(S21-$S$76)^2+(T21-$T$76)^2+(U21-$U$76)^2+(V21-$V$76)^2+(W21-$W$76)^2+(X21-$X$76)^2+(Y21-$Y$76)^2+(Z21-$Z$76)^2+(AA21-$AA$76)^2+(AB21-$AB$76)^2+(AC21-$AC$76)^2+(AD21-$AD$76)^2+(AE21-$AE$76)^2+(AF21-$AF$76)^2+(AG21-$AG$76)^2)</f>
        <v>1.622764369072375</v>
      </c>
      <c r="DF21" s="36" t="s">
        <v>321</v>
      </c>
      <c r="DG21" s="37" t="s">
        <v>120</v>
      </c>
      <c r="DI21" s="44"/>
      <c r="DJ21" s="36">
        <f>SQRT((A21-$A$77)^2+(B21-$B$77)^2+(C21-$C$77)^2+(D21-$D$77)^2+(E21-$E$77)^2+(F21-$F$77)^2+(G21-$G$77)^2+(H21-$H$77)^2+(I21-$I$77)^2+(J21-$J$77)^2+(K21-$K$77)^2+(L21-$L$77)^2+(M21-$M$77)^2+(N21-$N$77)^2+(O21-$O$77)^2+(P21-$P$77)^2+(Q21-$Q$77)^2+(R21-$R$77)^2+(S21-$S$77)^2+(T21-$T$77)^2+(U21-$U$77)^2+(V21-$V$77)^2+(W21-$W$77)^2+(X21-$X$77)^2+(Y21-$Y$77)^2+(Z21-$Z$77)^2+(AA21-$AA$77)^2+(AB21-$AB$77)^2+(AC21-$AC$77)^2+(AD21-$AD$77)^2+(AE21-$AE$77)^2+(AF21-$AF$77)^2+(AG21-$AG$77)^2)</f>
        <v>2.4158683227954332</v>
      </c>
      <c r="DK21" s="36" t="s">
        <v>335</v>
      </c>
      <c r="DL21" s="37" t="s">
        <v>120</v>
      </c>
      <c r="DN21" s="44"/>
      <c r="DO21" s="36">
        <f>SQRT((A21-$A$78)^2+(B21-$B$78)^2+(C21-$C$78)^2+(D21-$D$78)^2+(E21-$E$78)^2+(F21-$F$78)^2+(G21-$G$78)^2+(H21-$H$78)^2+(I21-$I$78)^2+(J21-$J$78)^2+(K21-$K$78)^2+(L21-$L$78)^2+(M21-$M$78)^2+(N21-$N$78)^2+(O21-$O$78)^2+(P21-$P$78)^2+(Q21-$Q$78)^2+(R21-$R$78)^2+(S21-$S$78)^2+(T21-$T$78)^2+(U21-$U$78)^2+(V21-$V$78)^2+(W21-$W$78)^2+(X21-$X$78)^2+(Y21-$Y$78)^2+(Z21-$Z$78)^2+(AA21-$AA$78)^2+(AB21-$AB$78)^2+(AC21-$AC$78)^2+(AD21-$AD$78)^2+(AE21-$AE$78)^2+(AF21-$AF$78)^2+(AG21-$AG$78)^2)</f>
        <v>1.6540286083845195</v>
      </c>
      <c r="DP21" s="36" t="s">
        <v>316</v>
      </c>
      <c r="DQ21" s="37" t="s">
        <v>120</v>
      </c>
      <c r="DS21" s="44"/>
      <c r="DT21" s="36">
        <f>SQRT((A21-$A$79)^2+(B21-$B$79)^2+(C21-$C$79)^2+(D21-$D$79)^2+(E21-$E$79)^2+(F21-$F$79)^2+(G21-$G$79)^2+(H21-$H$79)^2+(I21-$I$79)^2+(J21-$J$79)^2+(K21-$K$79)^2+(L21-$L$79)^2+(M21-$M$79)^2+(N21-$N$79)^2+(O21-$O$79)^2+(P21-$P$79)^2+(Q21-$Q$79)^2+(R21-$R$79)^2+(S21-$S$79)^2+(T21-$T$79)^2+(U21-$U$79)^2+(V21-$V$79)^2+(W21-$W$79)^2+(X21-$X$79)^2+(Y21-$Y$79)^2+(Z21-$Z$79)^2+(AA21-$AA$79)^2+(AB21-$AB$79)^2+(AC21-$AC$79)^2+(AD21-$AD$79)^2+(AE21-$AE$79)^2+(AF21-$AF$79)^2+(AG21-$AG$79)^2)</f>
        <v>1.6465977559744251</v>
      </c>
      <c r="DU21" s="36" t="s">
        <v>334</v>
      </c>
      <c r="DV21" s="37" t="s">
        <v>120</v>
      </c>
      <c r="DX21" s="44"/>
      <c r="DY21" s="36">
        <f>SQRT((A21-$A$80)^2+(B21-$B$80)^2+(C21-$C$80)^2+(D21-$D$80)^2+(E21-$E$80)^2+(F21-$F$80)^2+(G21-$G$80)^2+(H21-$H$80)^2+(I21-$I$80)^2+(J21-$J$80)^2+(K21-$K$80)^2+(L21-$L$80)^2+(M21-$M$80)^2+(N21-$N$80)^2+(O21-$O$80)^2+(P21-$P$80)^2+(Q21-$Q$80)^2+(R21-$R$80)^2+(S21-$S$80)^2+(T21-$T$80)^2+(U21-$U$80)^2+(V21-$V$80)^2+(W21-$W$80)^2+(X21-$X$80)^2+(Y21-$Y$80)^2+(Z21-$Z$80)^2+(AA21-$AA$80)^2+(AB21-$AB$80)^2+(AC21-$AC$80)^2+(AD21-$AD$80)^2+(AE21-$AE$80)^2+(AF21-$AF$80)^2+(AG21-$AG$80)^2)</f>
        <v>1.0514686965160145</v>
      </c>
      <c r="DZ21" s="36" t="s">
        <v>329</v>
      </c>
      <c r="EA21" s="37" t="s">
        <v>120</v>
      </c>
      <c r="EC21" s="44"/>
      <c r="ED21" s="36">
        <f>SQRT((A21-$A$81)^2+(B21-$B$81)^2+(C21-$C$81)^2+(D21-$D$81)^2+(E21-$E$81)^2+(F21-$F$81)^2+(G21-$G$81)^2+(H21-$H$81)^2+(I21-$I$81)^2+(J21-$J$81)^2+(K21-$K$81)^2+(L21-$L$81)^2+(M21-$M$81)^2+(N21-$N$81)^2+(O21-$O$81)^2+(P21-$P$81)^2+(Q21-$Q$81)^2+(R21-$R$81)^2+(S21-$S$81)^2+(T21-$T$81)^2+(U21-$U$81)^2+(V21-$V$81)^2+(W21-$W$81)^2+(X21-$X$81)^2+(Y21-$Y$81)^2+(Z21-$Z$81)^2+(AA21-$AA$81)^2+(AB21-$AB$81)^2+(AC21-$AC$81)^2+(AD21-$AD$81)^2+(AE21-$AE$81)^2+(AF21-$AF$81)^2+(AG21-$AG$81)^2)</f>
        <v>0.94444444444444475</v>
      </c>
      <c r="EE21" s="36" t="s">
        <v>143</v>
      </c>
      <c r="EF21" s="37" t="s">
        <v>120</v>
      </c>
      <c r="EH21" s="44"/>
      <c r="EI21" s="36">
        <f>SQRT((A21-$A$82)^2+(B21-$B$82)^2+(C21-$C$82)^2+(D21-$D$82)^2+(E21-$E$82)^2+(F21-$F$82)^2+(G21-$G$82)^2+(H21-$H$82)^2+(I21-$I$82)^2+(J21-$J$82)^2+(K21-$K$82)^2+(L21-$L$82)^2+(M21-$M$82)^2+(N21-$N$82)^2+(O21-$O$82)^2+(P21-$P$82)^2+(Q21-$Q$82)^2+(R21-$R$82)^2+(S21-$S$82)^2+(T21-$T$82)^2+(U21-$U$82)^2+(V21-$V$82)^2+(W21-$W$82)^2+(X21-$X$82)^2+(Y21-$Y$82)^2+(Z21-$Z$82)^2+(AA21-$AA$82)^2+(AB21-$AB$82)^2+(AC21-$AC$82)^2+(AD21-$AD$82)^2+(AE21-$AE$82)^2+(AF21-$AF$82)^2+(AG21-$AG$82)^2)</f>
        <v>1.8892178198100302</v>
      </c>
      <c r="EJ21" s="36" t="s">
        <v>338</v>
      </c>
      <c r="EK21" s="37" t="s">
        <v>120</v>
      </c>
      <c r="EM21" s="44"/>
      <c r="EN21" s="36">
        <f>SQRT((A21-$A$83)^2+(B21-$B$83)^2+(C21-$C$83)^2+(D21-$D$83)^2+(E21-$E$83)^2+(F21-$F$83)^2+(G21-$G$83)^2+(H21-$H$83)^2+(I21-$I$83)^2+(J21-$J$83)^2+(K21-$K$83)^2+(L21-$L$83)^2+(M21-$M$83)^2+(N21-$N$83)^2+(O21-$O$83)^2+(P21-$P$83)^2+(Q21-$Q$83)^2+(R21-$R$83)^2+(S21-$S$83)^2+(T21-$T$83)^2+(U21-$U$83)^2+(V21-$V$83)^2+(W21-$W$83)^2+(X21-$X$83)^2+(Y21-$Y$83)^2+(Z21-$Z$83)^2+(AA21-$AA$83)^2+(AB21-$AB$83)^2+(AC21-$AC$83)^2+(AD21-$AD$83)^2+(AE21-$AE$83)^2+(AF21-$AF$83)^2+(AG21-$AG$83)^2)</f>
        <v>1.7314828499227628</v>
      </c>
      <c r="EO21" s="36" t="s">
        <v>333</v>
      </c>
      <c r="EP21" s="37" t="s">
        <v>120</v>
      </c>
      <c r="ER21" s="44"/>
      <c r="ES21" s="36">
        <f>SQRT((A21-$A$84)^2+(B21-$B$84)^2+(C21-$C$84)^2+(D21-$D$84)^2+(E21-$E$84)^2+(F21-$F$84)^2+(G21-$G$84)^2+(H21-$H$84)^2+(I21-$I$84)^2+(J21-$J$84)^2+(K21-$K$84)^2+(L21-$L$84)^2+(M21-$M$84)^2+(N21-$N$84)^2+(O21-$O$84)^2+(P21-$P$84)^2+(Q21-$Q$84)^2+(R21-$R$84)^2+(S21-$S$84)^2+(T21-$T$84)^2+(U21-$U$84)^2+(V21-$V$84)^2+(W21-$W$84)^2+(X21-$X$84)^2+(Y21-$Y$84)^2+(Z21-$Z$84)^2+(AA21-$AA$84)^2+(AB21-$AB$84)^2+(AC21-$AC$84)^2+(AD21-$AD$84)^2+(AE21-$AE$84)^2+(AF21-$AF$84)^2+(AG21-$AG$84)^2)</f>
        <v>1.2635620823390037</v>
      </c>
      <c r="ET21" s="36" t="s">
        <v>333</v>
      </c>
      <c r="EU21" s="37" t="s">
        <v>120</v>
      </c>
      <c r="EW21" s="44"/>
      <c r="EX21" s="36">
        <f>SQRT((A21-$A$85)^2+(B21-$B$85)^2+(C21-$C$85)^2+(D21-$D$85)^2+(E21-$E$85)^2+(F21-$F$85)^2+(G21-$G$85)^2+(H21-$H$85)^2+(I21-$I$85)^2+(J21-$J$85)^2+(K21-$K$85)^2+(L21-$L$85)^2+(M21-$M$85)^2+(N21-$N$85)^2+(O21-$O$85)^2+(P21-$P$85)^2+(Q21-$Q$85)^2+(R21-$R$85)^2+(S21-$S$85)^2+(T21-$T$85)^2+(U21-$U$85)^2+(V21-$V$85)^2+(W21-$W$85)^2+(X21-$X$85)^2+(Y21-$Y$85)^2+(Z21-$Z$85)^2+(AA21-$AA$85)^2+(AB21-$AB$85)^2+(AC21-$AC$85)^2+(AD21-$AD$85)^2+(AE21-$AE$85)^2+(AF21-$AF$85)^2+(AG21-$AG$85)^2)</f>
        <v>1.2635620823390037</v>
      </c>
      <c r="EY21" s="36" t="s">
        <v>333</v>
      </c>
      <c r="EZ21" s="37" t="s">
        <v>120</v>
      </c>
      <c r="FB21" s="44"/>
      <c r="FC21" s="36">
        <f>SQRT((A21-$A$86)^2+(B21-$B$86)^2+(C21-$C$86)^2+(D21-$D$86)^2+(E21-$E$86)^2+(F21-$F$86)^2+(G21-$G$86)^2+(H21-$H$86)^2+(I21-$I$86)^2+(J21-$J$86)^2+(K21-$K$86)^2+(L21-$L$86)^2+(M21-$M$86)^2+(N21-$N$86)^2+(O21-$O$86)^2+(P21-$P$86)^2+(Q21-$Q$86)^2+(R21-$R$86)^2+(S21-$S$86)^2+(T21-$T$86)^2+(U21-$U$86)^2+(V21-$V$86)^2+(W21-$W$86)^2+(X21-$X$86)^2+(Y21-$Y$86)^2+(Z21-$Z$86)^2+(AA21-$AA$86)^2+(AB21-$AB$86)^2+(AC21-$AC$86)^2+(AD21-$AD$86)^2+(AE21-$AE$86)^2+(AF21-$AF$86)^2+(AG21-$AG$86)^2)</f>
        <v>1.2635620823390037</v>
      </c>
      <c r="FD21" s="36" t="s">
        <v>333</v>
      </c>
      <c r="FE21" s="37" t="s">
        <v>120</v>
      </c>
      <c r="FG21" s="44"/>
      <c r="FH21" s="36">
        <f>SQRT((A21-$A$87)^2+(B21-$B$87)^2+(C21-$C$87)^2+(D21-$D$87)^2+(E21-$E$87)^2+(F21-$F$87)^2+(G21-$G$87)^2+(H21-$H$87)^2+(I21-$I$87)^2+(J21-$J$87)^2+(K21-$K$87)^2+(L21-$L$87)^2+(M21-$M$87)^2+(N21-$N$87)^2+(O21-$O$87)^2+(P21-$P$87)^2+(Q21-$Q$87)^2+(R21-$R$87)^2+(S21-$S$87)^2+(T21-$T$87)^2+(U21-$U$87)^2+(V21-$V$87)^2+(W21-$W$87)^2+(X21-$X$87)^2+(Y21-$Y$87)^2+(Z21-$Z$87)^2+(AA21-$AA$87)^2+(AB21-$AB$87)^2+(AC21-$AC$87)^2+(AD21-$AD$87)^2+(AE21-$AE$87)^2+(AF21-$AF$87)^2+(AG21-$AG$87)^2)</f>
        <v>1.6924760880561871</v>
      </c>
      <c r="FI21" s="36" t="s">
        <v>328</v>
      </c>
      <c r="FJ21" s="37" t="s">
        <v>120</v>
      </c>
      <c r="FL21" s="44"/>
      <c r="FM21" s="36">
        <f>SQRT((A21-$A$88)^2+(B21-$B$88)^2+(C21-$C$88)^2+(D21-$D$88)^2+(E21-$E$88)^2+(F21-$F$88)^2+(G21-$G$88)^2+(H21-$H$88)^2+(I21-$I$88)^2+(J21-$J$88)^2+(K21-$K$88)^2+(L21-$L$88)^2+(M21-$M$88)^2+(N21-$N$88)^2+(O21-$O$88)^2+(P21-$P$88)^2+(Q21-$Q$88)^2+(R21-$R$88)^2+(S21-$S$88)^2+(T21-$T$88)^2+(U21-$U$88)^2+(V21-$V$88)^2+(W21-$W$88)^2+(X21-$X$88)^2+(Y21-$Y$88)^2+(Z21-$Z$88)^2+(AA21-$AA$88)^2+(AB21-$AB$88)^2+(AC21-$AC$88)^2+(AD21-$AD$88)^2+(AE21-$AE$88)^2+(AF21-$AF$88)^2+(AG21-$AG$88)^2)</f>
        <v>1.5165332424807314</v>
      </c>
      <c r="FN21" s="36" t="s">
        <v>150</v>
      </c>
      <c r="FO21" s="37" t="s">
        <v>120</v>
      </c>
      <c r="FQ21" s="44"/>
      <c r="FR21" s="36">
        <f>SQRT((A21-$A$89)^2+(B21-$B$89)^2+(C21-$C$89)^2+(D21-$D$89)^2+(E21-$E$89)^2+(F21-$F$89)^2+(G21-$G$89)^2+(H21-$H$89)^2+(I21-$I$89)^2+(J21-$J$89)^2+(K21-$K$89)^2+(L21-$L$89)^2+(M21-$M$89)^2+(N21-$N$89)^2+(O21-$O$89)^2+(P21-$P$89)^2+(Q21-$Q$89)^2+(R21-$R$89)^2+(S21-$S$89)^2+(T21-$T$89)^2+(U21-$U$89)^2+(V21-$V$89)^2+(W21-$W$89)^2+(X21-$X$89)^2+(Y21-$Y$89)^2+(Z21-$Z$89)^2+(AA21-$AA$89)^2+(AB21-$AB$89)^2+(AC21-$AC$89)^2+(AD21-$AD$89)^2+(AE21-$AE$89)^2+(AF21-$AF$89)^2+(AG21-$AG$89)^2)</f>
        <v>1.2841027034806911</v>
      </c>
      <c r="FS21" s="36" t="s">
        <v>318</v>
      </c>
      <c r="FT21" s="37" t="s">
        <v>120</v>
      </c>
      <c r="FV21" s="44"/>
      <c r="FW21" s="36">
        <f>SQRT((A21-$A$90)^2+(B21-$B$90)^2+(C21-$C$90)^2+(D21-$D$90)^2+(E21-$E$90)^2+(F21-$F$90)^2+(G21-$G$90)^2+(H21-$H$90)^2+(I21-$I$90)^2+(J21-$J$90)^2+(K21-$K$90)^2+(L21-$L$90)^2+(M21-$M$90)^2+(N21-$N$90)^2+(O21-$O$90)^2+(P21-$P$90)^2+(Q21-$Q$90)^2+(R21-$R$90)^2+(S21-$S$90)^2+(T21-$T$90)^2+(U21-$U$90)^2+(V21-$V$90)^2+(W21-$W$90)^2+(X21-$X$90)^2+(Y21-$Y$90)^2+(Z21-$Z$90)^2+(AA21-$AA$90)^2+(AB21-$AB$90)^2+(AC21-$AC$90)^2+(AD21-$AD$90)^2+(AE21-$AE$90)^2+(AF21-$AF$90)^2+(AG21-$AG$90)^2)</f>
        <v>2.0314274613837919</v>
      </c>
      <c r="FX21" s="36" t="s">
        <v>148</v>
      </c>
      <c r="FY21" s="37" t="s">
        <v>120</v>
      </c>
      <c r="GA21" s="44"/>
      <c r="GB21" s="36">
        <f>SQRT((A21-$A$91)^2+(B21-$B$91)^2+(C21-$C$91)^2+(D21-$D$91)^2+(E21-$E$91)^2+(F21-$F$91)^2+(G21-$G$91)^2+(H21-$H$91)^2+(I21-$I$91)^2+(J21-$J$91)^2+(K21-$K$91)^2+(L21-$L$91)^2+(M21-$M$91)^2+(N21-$N$91)^2+(O21-$O$91)^2+(P21-$P$91)^2+(Q21-$Q$91)^2+(R21-$R$91)^2+(S21-$S$91)^2+(T21-$T$91)^2+(U21-$U$91)^2+(V21-$V$91)^2+(W21-$W$91)^2+(X21-$X$91)^2+(Y21-$Y$91)^2+(Z21-$Z$91)^2+(AA21-$AA$91)^2+(AB21-$AB$91)^2+(AC21-$AC$91)^2+(AD21-$AD$91)^2+(AE21-$AE$91)^2+(AF21-$AF$91)^2+(AG21-$AG$91)^2)</f>
        <v>2.5614906925267626</v>
      </c>
      <c r="GC21" s="36" t="s">
        <v>333</v>
      </c>
      <c r="GD21" s="37" t="s">
        <v>120</v>
      </c>
      <c r="GF21" s="44"/>
      <c r="GG21" s="36">
        <f>SQRT((A21-$A$92)^2+(B21-$B$92)^2+(C21-$C$92)^2+(D21-$D$92)^2+(E21-$E$92)^2+(F21-$F$92)^2+(G21-$G$92)^2+(H21-$H$92)^2+(I21-$I$92)^2+(J21-$J$92)^2+(K21-$K$92)^2+(L21-$L$92)^2+(M21-$M$92)^2+(N21-$N$92)^2+(O21-$O$92)^2+(P21-$P$92)^2+(Q21-$Q$92)^2+(R21-$R$92)^2+(S21-$S$92)^2+(T21-$T$92)^2+(U21-$U$92)^2+(V21-$V$92)^2+(W21-$W$92)^2+(X21-$X$92)^2+(Y21-$Y$92)^2+(Z21-$Z$92)^2+(AA21-$AA$92)^2+(AB21-$AB$92)^2+(AC21-$AC$92)^2+(AD21-$AD$92)^2+(AE21-$AE$92)^2+(AF21-$AF$92)^2+(AG21-$AG$92)^2)</f>
        <v>2.1971915832095523</v>
      </c>
      <c r="GH21" s="36" t="s">
        <v>127</v>
      </c>
      <c r="GI21" s="37" t="s">
        <v>120</v>
      </c>
      <c r="GK21" s="44"/>
      <c r="GL21" s="36">
        <f>SQRT((A21-$A$93)^2+(B21-$B$93)^2+(C21-$C$93)^2+(D21-$D$93)^2+(E21-$E$93)^2+(F21-$F$93)^2+(G21-$G$93)^2+(H21-$H$93)^2+(I21-$I$93)^2+(J21-$J$93)^2+(K21-$K$93)^2+(L21-$L$93)^2+(M21-$M$93)^2+(N21-$N$93)^2+(O21-$O$93)^2+(P21-$P$93)^2+(Q21-$Q$93)^2+(R21-$R$93)^2+(S21-$S$93)^2+(T21-$T$93)^2+(U21-$U$93)^2+(V21-$V$93)^2+(W21-$W$93)^2+(X21-$X$93)^2+(Y21-$Y$93)^2+(Z21-$Z$93)^2+(AA21-$AA$93)^2+(AB21-$AB$93)^2+(AC21-$AC$93)^2+(AD21-$AD$93)^2+(AE21-$AE$93)^2+(AF21-$AF$93)^2+(AG21-$AG$93)^2)</f>
        <v>2.5728880827622009</v>
      </c>
      <c r="GM21" s="36" t="s">
        <v>325</v>
      </c>
      <c r="GN21" s="37" t="s">
        <v>120</v>
      </c>
      <c r="GP21" s="44"/>
      <c r="GQ21" s="36">
        <f>SQRT((A21-$A$94)^2+(B21-$B$94)^2+(C21-$C$94)^2+(D21-$D$94)^2+(E21-$E$94)^2+(F21-$F$94)^2+(G21-$G$94)^2+(H21-$H$94)^2+(I21-$I$94)^2+(J21-$J$94)^2+(K21-$K$94)^2+(L21-$L$94)^2+(M21-$M$94)^2+(N21-$N$94)^2+(O21-$O$94)^2+(P21-$P$94)^2+(Q21-$Q$94)^2+(R21-$R$94)^2+(S21-$S$94)^2+(T21-$T$94)^2+(U21-$U$94)^2+(V21-$V$94)^2+(W21-$W$94)^2+(X21-$X$94)^2+(Y21-$Y$94)^2+(Z21-$Z$94)^2+(AA21-$AA$94)^2+(AB21-$AB$94)^2+(AC21-$AC$94)^2+(AD21-$AD$94)^2+(AE21-$AE$94)^2+(AF21-$AF$94)^2+(AG21-$AG$94)^2)</f>
        <v>1.5678114872575248</v>
      </c>
      <c r="GR21" s="36" t="s">
        <v>333</v>
      </c>
      <c r="GS21" s="37" t="s">
        <v>120</v>
      </c>
      <c r="GU21" s="44"/>
      <c r="GV21" s="36">
        <f>SQRT((A21-$A$95)^2+(B21-$B$95)^2+(C21-$C$95)^2+(D21-$D$95)^2+(E21-$E$95)^2+(F21-$F$95)^2+(G21-$G$95)^2+(H21-$H$95)^2+(I21-$I$95)^2+(J21-$J$95)^2+(K21-$K$95)^2+(L21-$L$95)^2+(M21-$M$95)^2+(N21-$N$95)^2+(O21-$O$95)^2+(P21-$P$95)^2+(Q21-$Q$95)^2+(R21-$R$95)^2+(S21-$S$95)^2+(T21-$T$95)^2+(U21-$U$95)^2+(V21-$V$95)^2+(W21-$W$95)^2+(X21-$X$95)^2+(Y21-$Y$95)^2+(Z21-$Z$95)^2+(AA21-$AA$95)^2+(AB21-$AB$95)^2+(AC21-$AC$95)^2+(AD21-$AD$95)^2+(AE21-$AE$95)^2+(AF21-$AF$95)^2+(AG21-$AG$95)^2)</f>
        <v>2.8130208708349618</v>
      </c>
      <c r="GW21" s="36" t="s">
        <v>140</v>
      </c>
      <c r="GX21" s="37" t="s">
        <v>120</v>
      </c>
      <c r="GZ21" s="44"/>
      <c r="HA21" s="36">
        <f>SQRT((A21-$A$96)^2+(B21-$B$96)^2+(C21-$C$96)^2+(D21-$D$96)^2+(E21-$E$96)^2+(F21-$F$96)^2+(G21-$G$96)^2+(H21-$H$96)^2+(I21-$I$96)^2+(J21-$J$96)^2+(K21-$K$96)^2+(L21-$L$96)^2+(M21-$M$96)^2+(N21-$N$96)^2+(O21-$O$96)^2+(P21-$P$96)^2+(Q21-$Q$96)^2+(R21-$R$96)^2+(S21-$S$96)^2+(T21-$T$96)^2+(U21-$U$96)^2+(V21-$V$96)^2+(W21-$W$96)^2+(X21-$X$96)^2+(Y21-$Y$96)^2+(Z21-$Z$96)^2+(AA21-$AA$96)^2+(AB21-$AB$96)^2+(AC21-$AC$96)^2+(AD21-$AD$96)^2+(AE21-$AE$96)^2+(AF21-$AF$96)^2+(AG21-$AG$96)^2)</f>
        <v>2.6473839871293023</v>
      </c>
      <c r="HB21" s="36" t="s">
        <v>319</v>
      </c>
      <c r="HC21" s="37" t="s">
        <v>120</v>
      </c>
      <c r="HE21" s="44"/>
      <c r="HF21" s="36">
        <f>SQRT((A21-$A$97)^2+(B21-$B$97)^2+(C21-$C$97)^2+(D21-$D$97)^2+(E21-$E$97)^2+(F21-$F$97)^2+(G21-$G$97)^2+(H21-$H$97)^2+(I21-$I$97)^2+(J21-$J$97)^2+(K21-$K$97)^2+(L21-$L$97)^2+(M21-$M$97)^2+(N21-$N$97)^2+(O21-$O$97)^2+(P21-$P$97)^2+(Q21-$Q$97)^2+(R21-$R$97)^2+(S21-$S$97)^2+(T21-$T$97)^2+(U21-$U$97)^2+(V21-$V$97)^2+(W21-$W$97)^2+(X21-$X$97)^2+(Y21-$Y$97)^2+(Z21-$Z$97)^2+(AA21-$AA$97)^2+(AB21-$AB$97)^2+(AC21-$AC$97)^2+(AD21-$AD$97)^2+(AE21-$AE$97)^2+(AF21-$AF$97)^2+(AG21-$AG$97)^2)</f>
        <v>1.2635620823390037</v>
      </c>
      <c r="HG21" s="36" t="s">
        <v>333</v>
      </c>
      <c r="HH21" s="37" t="s">
        <v>120</v>
      </c>
      <c r="HJ21" s="44"/>
      <c r="HK21" s="36">
        <f>SQRT((A21-$A$98)^2+(B21-$B$98)^2+(C21-$C$98)^2+(D21-$D$98)^2+(E21-$E$98)^2+(F21-$F$98)^2+(G21-$G$98)^2+(H21-$H$98)^2+(I21-$I$98)^2+(J21-$J$98)^2+(K21-$K$98)^2+(L21-$L$98)^2+(M21-$M$98)^2+(N21-$N$98)^2+(O21-$O$98)^2+(P21-$P$98)^2+(Q21-$Q$98)^2+(R21-$R$98)^2+(S21-$S$98)^2+(T21-$T$98)^2+(U21-$U$98)^2+(V21-$V$98)^2+(W21-$W$98)^2+(X21-$X$98)^2+(Y21-$Y$98)^2+(Z21-$Z$98)^2+(AA21-$AA$98)^2+(AB21-$AB$98)^2+(AC21-$AC$98)^2+(AD21-$AD$98)^2+(AE21-$AE$98)^2+(AF21-$AF$98)^2+(AG21-$AG$98)^2)</f>
        <v>1.2635620823390037</v>
      </c>
      <c r="HL21" s="36" t="s">
        <v>333</v>
      </c>
      <c r="HM21" s="37" t="s">
        <v>120</v>
      </c>
      <c r="HO21" s="44"/>
      <c r="HP21" s="36">
        <f>SQRT((A21-$A$99)^2+(B21-$B$99)^2+(C21-$C$99)^2+(D21-$D$99)^2+(E21-$E$99)^2+(F21-$F$99)^2+(G21-$G$99)^2+(H21-$H$99)^2+(I21-$I$99)^2+(J21-$J$99)^2+(K21-$K$99)^2+(L21-$L$99)^2+(M21-$M$99)^2+(N21-$N$99)^2+(O21-$O$99)^2+(P21-$P$99)^2+(Q21-$Q$99)^2+(R21-$R$99)^2+(S21-$S$99)^2+(T21-$T$99)^2+(U21-$U$99)^2+(V21-$V$99)^2+(W21-$W$99)^2+(X21-$X$99)^2+(Y21-$Y$99)^2+(Z21-$Z$99)^2+(AA21-$AA$99)^2+(AB21-$AB$99)^2+(AC21-$AC$99)^2+(AD21-$AD$99)^2+(AE21-$AE$99)^2+(AF21-$AF$99)^2+(AG21-$AG$99)^2)</f>
        <v>1.2635620823390037</v>
      </c>
      <c r="HQ21" s="36" t="s">
        <v>333</v>
      </c>
      <c r="HR21" s="37" t="s">
        <v>120</v>
      </c>
      <c r="HT21" s="44"/>
      <c r="HU21" s="36">
        <f>SQRT((A21-$A$100)^2+(B21-$B$100)^2+(C21-$C$100)^2+(D21-$D$100)^2+(E21-$E$100)^2+(F21-$F$100)^2+(G21-$G$100)^2+(H21-$H$100)^2+(I21-$I$100)^2+(J21-$J$100)^2+(K21-$K$100)^2+(L21-$L$100)^2+(M21-$M$100)^2+(N21-$N$100)^2+(O21-$O$100)^2+(P21-$P$100)^2+(Q21-$Q$100)^2+(R21-$R$100)^2+(S21-$S$100)^2+(T21-$T$100)^2+(U21-$U$100)^2+(V21-$V$100)^2+(W21-$W$100)^2+(X21-$X$100)^2+(Y21-$Y$100)^2+(Z21-$Z$100)^2+(AA21-$AA$100)^2+(AB21-$AB$100)^2+(AC21-$AC$100)^2+(AD21-$AD$100)^2+(AE21-$AE$100)^2+(AF21-$AF$100)^2+(AG21-$AG$100)^2)</f>
        <v>1.2635620823390037</v>
      </c>
      <c r="HV21" s="36" t="s">
        <v>333</v>
      </c>
      <c r="HW21" s="37" t="s">
        <v>120</v>
      </c>
      <c r="HY21" s="44"/>
      <c r="HZ21" s="36">
        <f>SQRT((A21-$A$101)^2+(B21-$B$101)^2+(C21-$C$101)^2+(D21-$D$101)^2+(E21-$E$101)^2+(F21-$F$101)^2+(G21-$G$101)^2+(H21-$H$101)^2+(I21-$I$101)^2+(J21-$J$101)^2+(K21-$K$101)^2+(L21-$L$101)^2+(M21-$M$101)^2+(N21-$N$101)^2+(O21-$O$101)^2+(P21-$P$101)^2+(Q21-$Q$101)^2+(R21-$R$101)^2+(S21-$S$101)^2+(T21-$T$101)^2+(U21-$U$101)^2+(V21-$V$101)^2+(W21-$W$101)^2+(X21-$X$101)^2+(Y21-$Y$101)^2+(Z21-$Z$101)^2+(AA21-$AA$101)^2+(AB21-$AB$101)^2+(AC21-$AC$101)^2+(AD21-$AD$101)^2+(AE21-$AE$101)^2+(AF21-$AF$101)^2+(AG21-$AG$101)^2)</f>
        <v>1.0348256846111161</v>
      </c>
      <c r="IA21" s="36" t="s">
        <v>137</v>
      </c>
      <c r="IB21" s="37" t="s">
        <v>120</v>
      </c>
    </row>
    <row r="22" spans="1:236" x14ac:dyDescent="0.35">
      <c r="A22" s="2">
        <v>0.33333333333333298</v>
      </c>
      <c r="B22" s="2">
        <v>0</v>
      </c>
      <c r="C22" s="2">
        <v>0</v>
      </c>
      <c r="D22" s="2">
        <v>1</v>
      </c>
      <c r="E22" s="2">
        <v>0.33333333333333298</v>
      </c>
      <c r="F22" s="2">
        <v>1</v>
      </c>
      <c r="G22" s="2">
        <v>0.55555555555555503</v>
      </c>
      <c r="H22" s="2">
        <v>1</v>
      </c>
      <c r="I22" s="2">
        <v>0</v>
      </c>
      <c r="J22" s="2">
        <v>0.44444444444444398</v>
      </c>
      <c r="K22" s="2">
        <v>0</v>
      </c>
      <c r="L22" s="2">
        <v>0.2</v>
      </c>
      <c r="M22" s="2">
        <v>1</v>
      </c>
      <c r="N22" s="2">
        <v>0</v>
      </c>
      <c r="O22" s="2">
        <v>1</v>
      </c>
      <c r="P22" s="2">
        <v>0.4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1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0</v>
      </c>
      <c r="AH22" s="2" t="s">
        <v>120</v>
      </c>
      <c r="AI22" s="42"/>
      <c r="AJ22" s="42"/>
      <c r="AL22" s="44"/>
      <c r="AM22" s="36">
        <f>SQRT((A22-$A$62)^2+(B22-$B$62)^2+(C22-$C$62)^2+(D22-$D$62)^2+(E22-$E$62)^2+(F22-$F$62)^2+(G22-$G$62)^2+(H22-$H$62)^2+(I22-$I$62)^2+(J22-$J$62)^2+(K22-$K$62)^2+(L22-$L$62)^2+(M22-$M$62)^2+(N22-$N$62)^2+(O22-$O$62)^2+(P22-$P$62)^2+(Q22-$Q$62)^2+(R22-$R$62)^2+(S22-$S$62)^2+(T22-$T$62)^2+(U22-$U$62)^2+(V22-$V$62)^2+(W22-$W$62)^2+(X22-$X$62)^2+(Y22-$Y$62)^2+(Z22-$Z$62)^2+(AA22-$AA$62)^2+(AB22-$AB$62)^2+(AC22-$AC$62)^2+(AD22-$AD$62)^2+(AE22-$AE$62)^2+(AF22-$AF$62)^2+(AG22-$AG$62)^2)</f>
        <v>2.2181142585983999</v>
      </c>
      <c r="AN22" s="36" t="s">
        <v>331</v>
      </c>
      <c r="AO22" s="37" t="s">
        <v>120</v>
      </c>
      <c r="AQ22" s="44"/>
      <c r="AR22" s="36">
        <f>SQRT((A22-$A$63)^2+(B22-$B$63)^2+(C22-$C$63)^2+(D22-$D$63)^2+(E22-$E$63)^2+(F22-$F$63)^2+(G22-$G$63)^2+(H22-$H$63)^2+(I22-$I$63)^2+(J22-$J$63)^2+(K22-$K$63)^2+(L22-$L$63)^2+(M22-$M$63)^2+(N22-$N$63)^2+(O22-$O$63)^2+(P22-$P$63)^2+(Q22-$Q$63)^2+(R22-$R$63)^2+(S22-$S$63)^2+(T22-$T$63)^2+(U22-$U$63)^2+(V22-$V$63)^2+(W22-$W$63)^2+(X22-$X$63)^2+(Y22-$Y$63)^2+(Z22-$Z$63)^2+(AA22-$AA$63)^2+(AB22-$AB$63)^2+(AC22-$AC$63)^2+(AD22-$AD$63)^2+(AE22-$AE$63)^2+(AF22-$AF$63)^2+(AG22-$AG$63)^2)</f>
        <v>1.3067900546897311</v>
      </c>
      <c r="AS22" s="36" t="s">
        <v>331</v>
      </c>
      <c r="AT22" s="37" t="s">
        <v>120</v>
      </c>
      <c r="AU22" s="30"/>
      <c r="AV22" s="44"/>
      <c r="AW22" s="36">
        <f>SQRT((A22-$A$64)^2+(B22-$B$64)^2+(C22-$C$64)^2+(D22-$D$64)^2+(E22-$E$64)^2+(F22-$F$64)^2+(G22-$G$64)^2+(H22-$H$64)^2+(I22-$I$64)^2+(J22-$J$64)^2+(K22-$K$64)^2+(L22-$L$64)^2+(M22-$M$64)^2+(N22-$N$64)^2+(O22-$O$64)^2+(P22-$P$64)^2+(Q22-$Q$64)^2+(R22-$R$64)^2+(S22-$S$64)^2+(T22-$T$64)^2+(U22-$U$64)^2+(V22-$V$64)^2+(W22-$W$64)^2+(X22-$X$64)^2+(Y22-$Y$64)^2+(Z22-$Z$64)^2+(AA22-$AA$64)^2+(AB22-$AB$64)^2+(AC22-$AC$64)^2+(AD22-$AD$64)^2+(AE22-$AE$64)^2+(AF22-$AF$64)^2+(AG22-$AG$64)^2)</f>
        <v>1.3067900546897311</v>
      </c>
      <c r="AX22" s="36" t="s">
        <v>331</v>
      </c>
      <c r="AY22" s="37" t="s">
        <v>120</v>
      </c>
      <c r="AZ22" s="30"/>
      <c r="BA22" s="44"/>
      <c r="BB22" s="36">
        <f>SQRT((A22-$A$65)^2+(B22-$B$65)^2+(C22-$C$65)^2+(D22-$D$65)^2+(E22-$E$65)^2+(F22-$F$65)^2+(G22-$G$65)^2+(H22-$H$65)^2+(I22-$I$65)^2+(J22-$J$65)^2+(K22-$K$65)^2+(L22-$L$65)^2+(M22-$M$65)^2+(N22-$N$65)^2+(O22-$O$65)^2+(P22-$P$65)^2+(Q22-$Q$65)^2+(R22-$R$65)^2+(S22-$S$65)^2+(T22-$T$65)^2+(U22-$U$65)^2+(V22-$V$65)^2+(W22-$W$65)^2+(X22-$X$65)^2+(Y22-$Y$65)^2+(Z22-$Z$65)^2+(AA22-$AA$65)^2+(AB22-$AB$65)^2+(AC22-$AC$65)^2+(AD22-$AD$65)^2+(AE22-$AE$65)^2+(AF22-$AF$65)^2+(AG22-$AG$65)^2)</f>
        <v>1.3067900546897311</v>
      </c>
      <c r="BC22" s="36" t="s">
        <v>331</v>
      </c>
      <c r="BD22" s="37" t="s">
        <v>120</v>
      </c>
      <c r="BE22" s="30"/>
      <c r="BF22" s="44"/>
      <c r="BG22" s="36">
        <f>SQRT((A22-$A$66)^2+(B22-$B$66)^2+(C22-$C$66)^2+(D22-$D$66)^2+(E22-$E$66)^2+(F22-$F$66)^2+(G22-$G$66)^2+(H22-$H$66)^2+(I22-$I$66)^2+(J22-$J$66)^2+(K22-$K$66)^2+(L22-$L$66)^2+(M22-$M$66)^2+(N22-$N$66)^2+(O22-$O$66)^2+(P22-$P$66)^2+(Q22-$Q$66)^2+(R22-$R$66)^2+(S22-$S$66)^2+(T22-$T$66)^2+(U22-$U$66)^2+(V22-$V$66)^2+(W22-$W$66)^2+(X22-$X$66)^2+(Y22-$Y$66)^2+(Z22-$Z$66)^2+(AA22-$AA$66)^2+(AB22-$AB$66)^2+(AC22-$AC$66)^2+(AD22-$AD$66)^2+(AE22-$AE$66)^2+(AF22-$AF$66)^2+(AG22-$AG$66)^2)</f>
        <v>1.3067900546897311</v>
      </c>
      <c r="BH22" s="36" t="s">
        <v>331</v>
      </c>
      <c r="BI22" s="37" t="s">
        <v>120</v>
      </c>
      <c r="BJ22" s="30"/>
      <c r="BK22" s="44"/>
      <c r="BL22" s="36">
        <f>SQRT((A22-$A$67)^2+(B22-$B$67)^2+(C22-$C$67)^2+(D22-$D$67)^2+(E22-$E$67)^2+(F22-$F$67)^2+(G22-$G$67)^2+(H22-$H$67)^2+(I22-$I$67)^2+(J22-$J$67)^2+(K22-$K$67)^2+(L22-$L$67)^2+(M22-$M$67)^2+(N22-$N$67)^2+(O22-$O$67)^2+(P22-$P$67)^2+(Q22-$Q$67)^2+(R22-$R$67)^2+(S22-$S$67)^2+(T22-$T$67)^2+(U22-$U$67)^2+(V22-$V$67)^2+(W22-$W$67)^2+(X22-$X$67)^2+(Y22-$Y$67)^2+(Z22-$Z$67)^2+(AA22-$AA$67)^2+(AB22-$AB$67)^2+(AC22-$AC$67)^2+(AD22-$AD$67)^2+(AE22-$AE$67)^2+(AF22-$AF$67)^2+(AG22-$AG$67)^2)</f>
        <v>1.3067900546897311</v>
      </c>
      <c r="BM22" s="36" t="s">
        <v>331</v>
      </c>
      <c r="BN22" s="37" t="s">
        <v>120</v>
      </c>
      <c r="BO22" s="30"/>
      <c r="BP22" s="44"/>
      <c r="BQ22" s="36">
        <f>SQRT((A22-$A$68)^2+(B22-$B$68)^2+(C22-$C$68)^2+(D22-$D$68)^2+(E22-$E$68)^2+(F22-$F$68)^2+(G22-$G$68)^2+(H22-$H$68)^2+(I22-$I$68)^2+(J22-$J$68)^2+(K22-$K$68)^2+(L22-$L$68)^2+(M22-$M$68)^2+(N22-$N$68)^2+(O22-$O$68)^2+(P22-$P$68)^2+(Q22-$Q$68)^2+(R22-$R$68)^2+(S22-$S$68)^2+(T22-$T$68)^2+(U22-$U$68)^2+(V22-$V$68)^2+(W22-$W$68)^2+(X22-$X$68)^2+(Y22-$Y$68)^2+(Z22-$Z$68)^2+(AA22-$AA$68)^2+(AB22-$AB$68)^2+(AC22-$AC$68)^2+(AD22-$AD$68)^2+(AE22-$AE$68)^2+(AF22-$AF$68)^2+(AG22-$AG$68)^2)</f>
        <v>1.3067900546897311</v>
      </c>
      <c r="BR22" s="36" t="s">
        <v>331</v>
      </c>
      <c r="BS22" s="37" t="s">
        <v>120</v>
      </c>
      <c r="BT22" s="30"/>
      <c r="BU22" s="44"/>
      <c r="BV22" s="36">
        <f>SQRT((A22-$A$69)^2+(B22-$B$69)^2+(C22-$C$69)^2+(D22-$D$69)^2+(E22-$E$69)^2+(F22-$F$69)^2+(G22-$G$69)^2+(H22-$H$69)^2+(I22-$I$69)^2+(J22-$J$69)^2+(K22-$K$69)^2+(L22-$L$69)^2+(M22-$M$69)^2+(N22-$N$69)^2+(O22-$O$69)^2+(P22-$P$69)^2+(Q22-$Q$69)^2+(R22-$R$69)^2+(S22-$S$69)^2+(T22-$T$69)^2+(U22-$U$69)^2+(V22-$V$69)^2+(W22-$W$69)^2+(X22-$X$69)^2+(Y22-$Y$69)^2+(Z22-$Z$69)^2+(AA22-$AA$69)^2+(AB22-$AB$69)^2+(AC22-$AC$69)^2+(AD22-$AD$69)^2+(AE22-$AE$69)^2+(AF22-$AF$69)^2+(AG22-$AG$69)^2)</f>
        <v>2.482107879113483</v>
      </c>
      <c r="BW22" s="36" t="s">
        <v>152</v>
      </c>
      <c r="BX22" s="37" t="s">
        <v>120</v>
      </c>
      <c r="BZ22" s="44"/>
      <c r="CA22" s="36">
        <f>SQRT((A22-$A$70)^2+(B22-$B$70)^2+(C22-$C$70)^2+(D22-$D$70)^2+(E22-$E$70)^2+(F22-$F$70)^2+(G22-$G$70)^2+(H22-$H$70)^2+(I22-$I$70)^2+(J22-$J$70)^2+(K22-$K$70)^2+(L22-$L$70)^2+(M22-$M$70)^2+(N22-$N$70)^2+(O22-$O$70)^2+(P22-$P$70)^2+(Q22-$Q$70)^2+(R22-$R$70)^2+(S22-$S$70)^2+(T22-$T$70)^2+(U22-$U$70)^2+(V22-$V$70)^2+(W22-$W$70)^2+(X22-$X$70)^2+(Y22-$Y$70)^2+(Z22-$Z$70)^2+(AA22-$AA$70)^2+(AB22-$AB$70)^2+(AC22-$AC$70)^2+(AD22-$AD$70)^2+(AE22-$AE$70)^2+(AF22-$AF$70)^2+(AG22-$AG$70)^2)</f>
        <v>1.6397444814476463</v>
      </c>
      <c r="CB22" s="36" t="s">
        <v>319</v>
      </c>
      <c r="CC22" s="37" t="s">
        <v>120</v>
      </c>
      <c r="CE22" s="44"/>
      <c r="CF22" s="36">
        <f>SQRT((A22-$A$71)^2+(B22-$B$71)^2+(C22-$C$71)^2+(D22-$D$71)^2+(E22-$E$71)^2+(F22-$F$71)^2+(G22-$G$71)^2+(H22-$H$71)^2+(I22-$I$71)^2+(J22-$J$71)^2+(K22-$K$71)^2+(L22-$L$71)^2+(M22-$M$71)^2+(N22-$N$71)^2+(O22-$O$71)^2+(P22-$P$71)^2+(Q22-$Q$71)^2+(R22-$R$71)^2+(S22-$S$71)^2+(T22-$T$71)^2+(U22-$U$71)^2+(V22-$V$71)^2+(W22-$W$71)^2+(X22-$X$71)^2+(Y22-$Y$71)^2+(Z22-$Z$71)^2+(AA22-$AA$71)^2+(AB22-$AB$71)^2+(AC22-$AC$71)^2+(AD22-$AD$71)^2+(AE22-$AE$71)^2+(AF22-$AF$71)^2+(AG22-$AG$71)^2)</f>
        <v>1.3390028495506188</v>
      </c>
      <c r="CG22" s="36" t="s">
        <v>337</v>
      </c>
      <c r="CH22" s="37" t="s">
        <v>120</v>
      </c>
      <c r="CJ22" s="44"/>
      <c r="CK22" s="36">
        <f>SQRT((A22-$A$72)^2+(B22-$B$72)^2+(C22-$C$72)^2+(D22-$D$72)^2+(E22-$E$72)^2+(F22-$F$72)^2+(G22-$G$72)^2+(H22-$H$72)^2+(I22-$I$72)^2+(J22-$J$72)^2+(K22-$K$72)^2+(L22-$L$72)^2+(M22-$M$72)^2+(N22-$N$72)^2+(O22-$O$72)^2+(P22-$P$72)^2+(Q22-$Q$72)^2+(R22-$R$72)^2+(S22-$S$72)^2+(T22-$T$72)^2+(U22-$U$72)^2+(V22-$V$72)^2+(W22-$W$72)^2+(X22-$X$72)^2+(Y22-$Y$72)^2+(Z22-$Z$72)^2+(AA22-$AA$72)^2+(AB22-$AB$72)^2+(AC22-$AC$72)^2+(AD22-$AD$72)^2+(AE22-$AE$72)^2+(AF22-$AF$72)^2+(AG22-$AG$72)^2)</f>
        <v>1.8947286170687465</v>
      </c>
      <c r="CL22" s="36" t="s">
        <v>154</v>
      </c>
      <c r="CM22" s="37" t="s">
        <v>120</v>
      </c>
      <c r="CO22" s="44"/>
      <c r="CP22" s="36">
        <f>SQRT((A22-$A$73)^2+(B22-$B$73)^2+(C22-$C$73)^2+(D22-$D$73)^2+(E22-$E$73)^2+(F22-$F$73)^2+(G22-$G$73)^2+(H22-$H$73)^2+(I22-$I$73)^2+(J22-$J$73)^2+(K22-$K$73)^2+(L22-$L$73)^2+(M22-$M$73)^2+(N22-$N$73)^2+(O22-$O$73)^2+(P22-$P$73)^2+(Q22-$Q$73)^2+(R22-$R$73)^2+(S22-$S$73)^2+(T22-$T$73)^2+(U22-$U$73)^2+(V22-$V$73)^2+(W22-$W$73)^2+(X22-$X$73)^2+(Y22-$Y$73)^2+(Z22-$Z$73)^2+(AA22-$AA$73)^2+(AB22-$AB$73)^2+(AC22-$AC$73)^2+(AD22-$AD$73)^2+(AE22-$AE$73)^2+(AF22-$AF$73)^2+(AG22-$AG$73)^2)</f>
        <v>1.9604499987326542</v>
      </c>
      <c r="CQ22" s="36" t="s">
        <v>337</v>
      </c>
      <c r="CR22" s="37" t="s">
        <v>120</v>
      </c>
      <c r="CT22" s="44"/>
      <c r="CU22" s="36">
        <f>SQRT((A22-$A$74)^2+(B22-$B$74)^2+(C22-$C$74)^2+(D22-$D$74)^2+(E22-$E$74)^2+(F22-$F$74)^2+(G22-$G$74)^2+(H22-$H$74)^2+(I22-$I$74)^2+(J22-$J$74)^2+(K22-$K$74)^2+(L22-$L$74)^2+(M22-$M$74)^2+(N22-$N$74)^2+(O22-$O$74)^2+(P22-$P$74)^2+(Q22-$Q$74)^2+(R22-$R$74)^2+(S22-$S$74)^2+(T22-$T$74)^2+(U22-$U$74)^2+(V22-$V$74)^2+(W22-$W$74)^2+(X22-$X$74)^2+(Y22-$Y$74)^2+(Z22-$Z$74)^2+(AA22-$AA$74)^2+(AB22-$AB$74)^2+(AC22-$AC$74)^2+(AD22-$AD$74)^2+(AE22-$AE$74)^2+(AF22-$AF$74)^2+(AG22-$AG$74)^2)</f>
        <v>1.7062068969819111</v>
      </c>
      <c r="CV22" s="36" t="s">
        <v>334</v>
      </c>
      <c r="CW22" s="37" t="s">
        <v>120</v>
      </c>
      <c r="CY22" s="44"/>
      <c r="CZ22" s="36">
        <f>SQRT((A22-$A$75)^2+(B22-$B$75)^2+(C22-$C$75)^2+(D22-$D$75)^2+(E22-$E$75)^2+(F22-$F$75)^2+(G22-$G$75)^2+(H22-$H$75)^2+(I22-$I$75)^2+(J22-$J$75)^2+(K22-$K$75)^2+(L22-$L$75)^2+(M22-$M$75)^2+(N22-$N$75)^2+(O22-$O$75)^2+(P22-$P$75)^2+(Q22-$Q$75)^2+(R22-$R$75)^2+(S22-$S$75)^2+(T22-$T$75)^2+(U22-$U$75)^2+(V22-$V$75)^2+(W22-$W$75)^2+(X22-$X$75)^2+(Y22-$Y$75)^2+(Z22-$Z$75)^2+(AA22-$AA$75)^2+(AB22-$AB$75)^2+(AC22-$AC$75)^2+(AD22-$AD$75)^2+(AE22-$AE$75)^2+(AF22-$AF$75)^2+(AG22-$AG$75)^2)</f>
        <v>1.6944444444444444</v>
      </c>
      <c r="DA22" s="36" t="s">
        <v>321</v>
      </c>
      <c r="DB22" s="37" t="s">
        <v>120</v>
      </c>
      <c r="DD22" s="44"/>
      <c r="DE22" s="36">
        <f>SQRT((A22-$A$76)^2+(B22-$B$76)^2+(C22-$C$76)^2+(D22-$D$76)^2+(E22-$E$76)^2+(F22-$F$76)^2+(G22-$G$76)^2+(H22-$H$76)^2+(I22-$I$76)^2+(J22-$J$76)^2+(K22-$K$76)^2+(L22-$L$76)^2+(M22-$M$76)^2+(N22-$N$76)^2+(O22-$O$76)^2+(P22-$P$76)^2+(Q22-$Q$76)^2+(R22-$R$76)^2+(S22-$S$76)^2+(T22-$T$76)^2+(U22-$U$76)^2+(V22-$V$76)^2+(W22-$W$76)^2+(X22-$X$76)^2+(Y22-$Y$76)^2+(Z22-$Z$76)^2+(AA22-$AA$76)^2+(AB22-$AB$76)^2+(AC22-$AC$76)^2+(AD22-$AD$76)^2+(AE22-$AE$76)^2+(AF22-$AF$76)^2+(AG22-$AG$76)^2)</f>
        <v>1.5881602836048232</v>
      </c>
      <c r="DF22" s="36" t="s">
        <v>150</v>
      </c>
      <c r="DG22" s="37" t="s">
        <v>120</v>
      </c>
      <c r="DI22" s="44"/>
      <c r="DJ22" s="36">
        <f>SQRT((A22-$A$77)^2+(B22-$B$77)^2+(C22-$C$77)^2+(D22-$D$77)^2+(E22-$E$77)^2+(F22-$F$77)^2+(G22-$G$77)^2+(H22-$H$77)^2+(I22-$I$77)^2+(J22-$J$77)^2+(K22-$K$77)^2+(L22-$L$77)^2+(M22-$M$77)^2+(N22-$N$77)^2+(O22-$O$77)^2+(P22-$P$77)^2+(Q22-$Q$77)^2+(R22-$R$77)^2+(S22-$S$77)^2+(T22-$T$77)^2+(U22-$U$77)^2+(V22-$V$77)^2+(W22-$W$77)^2+(X22-$X$77)^2+(Y22-$Y$77)^2+(Z22-$Z$77)^2+(AA22-$AA$77)^2+(AB22-$AB$77)^2+(AC22-$AC$77)^2+(AD22-$AD$77)^2+(AE22-$AE$77)^2+(AF22-$AF$77)^2+(AG22-$AG$77)^2)</f>
        <v>2.4158683227954332</v>
      </c>
      <c r="DK22" s="36" t="s">
        <v>316</v>
      </c>
      <c r="DL22" s="37" t="s">
        <v>120</v>
      </c>
      <c r="DN22" s="44"/>
      <c r="DO22" s="36">
        <f>SQRT((A22-$A$78)^2+(B22-$B$78)^2+(C22-$C$78)^2+(D22-$D$78)^2+(E22-$E$78)^2+(F22-$F$78)^2+(G22-$G$78)^2+(H22-$H$78)^2+(I22-$I$78)^2+(J22-$J$78)^2+(K22-$K$78)^2+(L22-$L$78)^2+(M22-$M$78)^2+(N22-$N$78)^2+(O22-$O$78)^2+(P22-$P$78)^2+(Q22-$Q$78)^2+(R22-$R$78)^2+(S22-$S$78)^2+(T22-$T$78)^2+(U22-$U$78)^2+(V22-$V$78)^2+(W22-$W$78)^2+(X22-$X$78)^2+(Y22-$Y$78)^2+(Z22-$Z$78)^2+(AA22-$AA$78)^2+(AB22-$AB$78)^2+(AC22-$AC$78)^2+(AD22-$AD$78)^2+(AE22-$AE$78)^2+(AF22-$AF$78)^2+(AG22-$AG$78)^2)</f>
        <v>1.6540286083845195</v>
      </c>
      <c r="DP22" s="36" t="s">
        <v>151</v>
      </c>
      <c r="DQ22" s="37" t="s">
        <v>120</v>
      </c>
      <c r="DS22" s="44"/>
      <c r="DT22" s="36">
        <f>SQRT((A22-$A$79)^2+(B22-$B$79)^2+(C22-$C$79)^2+(D22-$D$79)^2+(E22-$E$79)^2+(F22-$F$79)^2+(G22-$G$79)^2+(H22-$H$79)^2+(I22-$I$79)^2+(J22-$J$79)^2+(K22-$K$79)^2+(L22-$L$79)^2+(M22-$M$79)^2+(N22-$N$79)^2+(O22-$O$79)^2+(P22-$P$79)^2+(Q22-$Q$79)^2+(R22-$R$79)^2+(S22-$S$79)^2+(T22-$T$79)^2+(U22-$U$79)^2+(V22-$V$79)^2+(W22-$W$79)^2+(X22-$X$79)^2+(Y22-$Y$79)^2+(Z22-$Z$79)^2+(AA22-$AA$79)^2+(AB22-$AB$79)^2+(AC22-$AC$79)^2+(AD22-$AD$79)^2+(AE22-$AE$79)^2+(AF22-$AF$79)^2+(AG22-$AG$79)^2)</f>
        <v>1.5420605813802128</v>
      </c>
      <c r="DU22" s="36" t="s">
        <v>125</v>
      </c>
      <c r="DV22" s="37" t="s">
        <v>120</v>
      </c>
      <c r="DX22" s="44"/>
      <c r="DY22" s="36">
        <f>SQRT((A22-$A$80)^2+(B22-$B$80)^2+(C22-$C$80)^2+(D22-$D$80)^2+(E22-$E$80)^2+(F22-$F$80)^2+(G22-$G$80)^2+(H22-$H$80)^2+(I22-$I$80)^2+(J22-$J$80)^2+(K22-$K$80)^2+(L22-$L$80)^2+(M22-$M$80)^2+(N22-$N$80)^2+(O22-$O$80)^2+(P22-$P$80)^2+(Q22-$Q$80)^2+(R22-$R$80)^2+(S22-$S$80)^2+(T22-$T$80)^2+(U22-$U$80)^2+(V22-$V$80)^2+(W22-$W$80)^2+(X22-$X$80)^2+(Y22-$Y$80)^2+(Z22-$Z$80)^2+(AA22-$AA$80)^2+(AB22-$AB$80)^2+(AC22-$AC$80)^2+(AD22-$AD$80)^2+(AE22-$AE$80)^2+(AF22-$AF$80)^2+(AG22-$AG$80)^2)</f>
        <v>0.99723382846851705</v>
      </c>
      <c r="DZ22" s="36" t="s">
        <v>314</v>
      </c>
      <c r="EA22" s="37" t="s">
        <v>120</v>
      </c>
      <c r="EC22" s="44"/>
      <c r="ED22" s="36">
        <f>SQRT((A22-$A$81)^2+(B22-$B$81)^2+(C22-$C$81)^2+(D22-$D$81)^2+(E22-$E$81)^2+(F22-$F$81)^2+(G22-$G$81)^2+(H22-$H$81)^2+(I22-$I$81)^2+(J22-$J$81)^2+(K22-$K$81)^2+(L22-$L$81)^2+(M22-$M$81)^2+(N22-$N$81)^2+(O22-$O$81)^2+(P22-$P$81)^2+(Q22-$Q$81)^2+(R22-$R$81)^2+(S22-$S$81)^2+(T22-$T$81)^2+(U22-$U$81)^2+(V22-$V$81)^2+(W22-$W$81)^2+(X22-$X$81)^2+(Y22-$Y$81)^2+(Z22-$Z$81)^2+(AA22-$AA$81)^2+(AB22-$AB$81)^2+(AC22-$AC$81)^2+(AD22-$AD$81)^2+(AE22-$AE$81)^2+(AF22-$AF$81)^2+(AG22-$AG$81)^2)</f>
        <v>0.88366520669927084</v>
      </c>
      <c r="EE22" s="36" t="s">
        <v>131</v>
      </c>
      <c r="EF22" s="37" t="s">
        <v>120</v>
      </c>
      <c r="EH22" s="44"/>
      <c r="EI22" s="36">
        <f>SQRT((A22-$A$82)^2+(B22-$B$82)^2+(C22-$C$82)^2+(D22-$D$82)^2+(E22-$E$82)^2+(F22-$F$82)^2+(G22-$G$82)^2+(H22-$H$82)^2+(I22-$I$82)^2+(J22-$J$82)^2+(K22-$K$82)^2+(L22-$L$82)^2+(M22-$M$82)^2+(N22-$N$82)^2+(O22-$O$82)^2+(P22-$P$82)^2+(Q22-$Q$82)^2+(R22-$R$82)^2+(S22-$S$82)^2+(T22-$T$82)^2+(U22-$U$82)^2+(V22-$V$82)^2+(W22-$W$82)^2+(X22-$X$82)^2+(Y22-$Y$82)^2+(Z22-$Z$82)^2+(AA22-$AA$82)^2+(AB22-$AB$82)^2+(AC22-$AC$82)^2+(AD22-$AD$82)^2+(AE22-$AE$82)^2+(AF22-$AF$82)^2+(AG22-$AG$82)^2)</f>
        <v>1.859578677974302</v>
      </c>
      <c r="EJ22" s="36" t="s">
        <v>326</v>
      </c>
      <c r="EK22" s="37" t="s">
        <v>120</v>
      </c>
      <c r="EM22" s="44"/>
      <c r="EN22" s="36">
        <f>SQRT((A22-$A$83)^2+(B22-$B$83)^2+(C22-$C$83)^2+(D22-$D$83)^2+(E22-$E$83)^2+(F22-$F$83)^2+(G22-$G$83)^2+(H22-$H$83)^2+(I22-$I$83)^2+(J22-$J$83)^2+(K22-$K$83)^2+(L22-$L$83)^2+(M22-$M$83)^2+(N22-$N$83)^2+(O22-$O$83)^2+(P22-$P$83)^2+(Q22-$Q$83)^2+(R22-$R$83)^2+(S22-$S$83)^2+(T22-$T$83)^2+(U22-$U$83)^2+(V22-$V$83)^2+(W22-$W$83)^2+(X22-$X$83)^2+(Y22-$Y$83)^2+(Z22-$Z$83)^2+(AA22-$AA$83)^2+(AB22-$AB$83)^2+(AC22-$AC$83)^2+(AD22-$AD$83)^2+(AE22-$AE$83)^2+(AF22-$AF$83)^2+(AG22-$AG$83)^2)</f>
        <v>1.6660764200223321</v>
      </c>
      <c r="EO22" s="36" t="s">
        <v>316</v>
      </c>
      <c r="EP22" s="37" t="s">
        <v>120</v>
      </c>
      <c r="ER22" s="44"/>
      <c r="ES22" s="36">
        <f>SQRT((A22-$A$84)^2+(B22-$B$84)^2+(C22-$C$84)^2+(D22-$D$84)^2+(E22-$E$84)^2+(F22-$F$84)^2+(G22-$G$84)^2+(H22-$H$84)^2+(I22-$I$84)^2+(J22-$J$84)^2+(K22-$K$84)^2+(L22-$L$84)^2+(M22-$M$84)^2+(N22-$N$84)^2+(O22-$O$84)^2+(P22-$P$84)^2+(Q22-$Q$84)^2+(R22-$R$84)^2+(S22-$S$84)^2+(T22-$T$84)^2+(U22-$U$84)^2+(V22-$V$84)^2+(W22-$W$84)^2+(X22-$X$84)^2+(Y22-$Y$84)^2+(Z22-$Z$84)^2+(AA22-$AA$84)^2+(AB22-$AB$84)^2+(AC22-$AC$84)^2+(AD22-$AD$84)^2+(AE22-$AE$84)^2+(AF22-$AF$84)^2+(AG22-$AG$84)^2)</f>
        <v>1.3067900546897311</v>
      </c>
      <c r="ET22" s="36" t="s">
        <v>331</v>
      </c>
      <c r="EU22" s="37" t="s">
        <v>120</v>
      </c>
      <c r="EW22" s="44"/>
      <c r="EX22" s="36">
        <f>SQRT((A22-$A$85)^2+(B22-$B$85)^2+(C22-$C$85)^2+(D22-$D$85)^2+(E22-$E$85)^2+(F22-$F$85)^2+(G22-$G$85)^2+(H22-$H$85)^2+(I22-$I$85)^2+(J22-$J$85)^2+(K22-$K$85)^2+(L22-$L$85)^2+(M22-$M$85)^2+(N22-$N$85)^2+(O22-$O$85)^2+(P22-$P$85)^2+(Q22-$Q$85)^2+(R22-$R$85)^2+(S22-$S$85)^2+(T22-$T$85)^2+(U22-$U$85)^2+(V22-$V$85)^2+(W22-$W$85)^2+(X22-$X$85)^2+(Y22-$Y$85)^2+(Z22-$Z$85)^2+(AA22-$AA$85)^2+(AB22-$AB$85)^2+(AC22-$AC$85)^2+(AD22-$AD$85)^2+(AE22-$AE$85)^2+(AF22-$AF$85)^2+(AG22-$AG$85)^2)</f>
        <v>1.3067900546897311</v>
      </c>
      <c r="EY22" s="36" t="s">
        <v>331</v>
      </c>
      <c r="EZ22" s="37" t="s">
        <v>120</v>
      </c>
      <c r="FB22" s="44"/>
      <c r="FC22" s="36">
        <f>SQRT((A22-$A$86)^2+(B22-$B$86)^2+(C22-$C$86)^2+(D22-$D$86)^2+(E22-$E$86)^2+(F22-$F$86)^2+(G22-$G$86)^2+(H22-$H$86)^2+(I22-$I$86)^2+(J22-$J$86)^2+(K22-$K$86)^2+(L22-$L$86)^2+(M22-$M$86)^2+(N22-$N$86)^2+(O22-$O$86)^2+(P22-$P$86)^2+(Q22-$Q$86)^2+(R22-$R$86)^2+(S22-$S$86)^2+(T22-$T$86)^2+(U22-$U$86)^2+(V22-$V$86)^2+(W22-$W$86)^2+(X22-$X$86)^2+(Y22-$Y$86)^2+(Z22-$Z$86)^2+(AA22-$AA$86)^2+(AB22-$AB$86)^2+(AC22-$AC$86)^2+(AD22-$AD$86)^2+(AE22-$AE$86)^2+(AF22-$AF$86)^2+(AG22-$AG$86)^2)</f>
        <v>1.3067900546897311</v>
      </c>
      <c r="FD22" s="36" t="s">
        <v>331</v>
      </c>
      <c r="FE22" s="37" t="s">
        <v>120</v>
      </c>
      <c r="FG22" s="44"/>
      <c r="FH22" s="36">
        <f>SQRT((A22-$A$87)^2+(B22-$B$87)^2+(C22-$C$87)^2+(D22-$D$87)^2+(E22-$E$87)^2+(F22-$F$87)^2+(G22-$G$87)^2+(H22-$H$87)^2+(I22-$I$87)^2+(J22-$J$87)^2+(K22-$K$87)^2+(L22-$L$87)^2+(M22-$M$87)^2+(N22-$N$87)^2+(O22-$O$87)^2+(P22-$P$87)^2+(Q22-$Q$87)^2+(R22-$R$87)^2+(S22-$S$87)^2+(T22-$T$87)^2+(U22-$U$87)^2+(V22-$V$87)^2+(W22-$W$87)^2+(X22-$X$87)^2+(Y22-$Y$87)^2+(Z22-$Z$87)^2+(AA22-$AA$87)^2+(AB22-$AB$87)^2+(AC22-$AC$87)^2+(AD22-$AD$87)^2+(AE22-$AE$87)^2+(AF22-$AF$87)^2+(AG22-$AG$87)^2)</f>
        <v>1.6593264288652982</v>
      </c>
      <c r="FI22" s="36" t="s">
        <v>134</v>
      </c>
      <c r="FJ22" s="37" t="s">
        <v>120</v>
      </c>
      <c r="FL22" s="44"/>
      <c r="FM22" s="36">
        <f>SQRT((A22-$A$88)^2+(B22-$B$88)^2+(C22-$C$88)^2+(D22-$D$88)^2+(E22-$E$88)^2+(F22-$F$88)^2+(G22-$G$88)^2+(H22-$H$88)^2+(I22-$I$88)^2+(J22-$J$88)^2+(K22-$K$88)^2+(L22-$L$88)^2+(M22-$M$88)^2+(N22-$N$88)^2+(O22-$O$88)^2+(P22-$P$88)^2+(Q22-$Q$88)^2+(R22-$R$88)^2+(S22-$S$88)^2+(T22-$T$88)^2+(U22-$U$88)^2+(V22-$V$88)^2+(W22-$W$88)^2+(X22-$X$88)^2+(Y22-$Y$88)^2+(Z22-$Z$88)^2+(AA22-$AA$88)^2+(AB22-$AB$88)^2+(AC22-$AC$88)^2+(AD22-$AD$88)^2+(AE22-$AE$88)^2+(AF22-$AF$88)^2+(AG22-$AG$88)^2)</f>
        <v>1.4023336772023225</v>
      </c>
      <c r="FN22" s="36" t="s">
        <v>125</v>
      </c>
      <c r="FO22" s="37" t="s">
        <v>120</v>
      </c>
      <c r="FQ22" s="44"/>
      <c r="FR22" s="36">
        <f>SQRT((A22-$A$89)^2+(B22-$B$89)^2+(C22-$C$89)^2+(D22-$D$89)^2+(E22-$E$89)^2+(F22-$F$89)^2+(G22-$G$89)^2+(H22-$H$89)^2+(I22-$I$89)^2+(J22-$J$89)^2+(K22-$K$89)^2+(L22-$L$89)^2+(M22-$M$89)^2+(N22-$N$89)^2+(O22-$O$89)^2+(P22-$P$89)^2+(Q22-$Q$89)^2+(R22-$R$89)^2+(S22-$S$89)^2+(T22-$T$89)^2+(U22-$U$89)^2+(V22-$V$89)^2+(W22-$W$89)^2+(X22-$X$89)^2+(Y22-$Y$89)^2+(Z22-$Z$89)^2+(AA22-$AA$89)^2+(AB22-$AB$89)^2+(AC22-$AC$89)^2+(AD22-$AD$89)^2+(AE22-$AE$89)^2+(AF22-$AF$89)^2+(AG22-$AG$89)^2)</f>
        <v>1.0974859036188007</v>
      </c>
      <c r="FS22" s="36" t="s">
        <v>128</v>
      </c>
      <c r="FT22" s="37" t="s">
        <v>120</v>
      </c>
      <c r="FV22" s="44"/>
      <c r="FW22" s="36">
        <f>SQRT((A22-$A$90)^2+(B22-$B$90)^2+(C22-$C$90)^2+(D22-$D$90)^2+(E22-$E$90)^2+(F22-$F$90)^2+(G22-$G$90)^2+(H22-$H$90)^2+(I22-$I$90)^2+(J22-$J$90)^2+(K22-$K$90)^2+(L22-$L$90)^2+(M22-$M$90)^2+(N22-$N$90)^2+(O22-$O$90)^2+(P22-$P$90)^2+(Q22-$Q$90)^2+(R22-$R$90)^2+(S22-$S$90)^2+(T22-$T$90)^2+(U22-$U$90)^2+(V22-$V$90)^2+(W22-$W$90)^2+(X22-$X$90)^2+(Y22-$Y$90)^2+(Z22-$Z$90)^2+(AA22-$AA$90)^2+(AB22-$AB$90)^2+(AC22-$AC$90)^2+(AD22-$AD$90)^2+(AE22-$AE$90)^2+(AF22-$AF$90)^2+(AG22-$AG$90)^2)</f>
        <v>1.9476560778358341</v>
      </c>
      <c r="FX22" s="36" t="s">
        <v>152</v>
      </c>
      <c r="FY22" s="37" t="s">
        <v>120</v>
      </c>
      <c r="GA22" s="44"/>
      <c r="GB22" s="36">
        <f>SQRT((A22-$A$91)^2+(B22-$B$91)^2+(C22-$C$91)^2+(D22-$D$91)^2+(E22-$E$91)^2+(F22-$F$91)^2+(G22-$G$91)^2+(H22-$H$91)^2+(I22-$I$91)^2+(J22-$J$91)^2+(K22-$K$91)^2+(L22-$L$91)^2+(M22-$M$91)^2+(N22-$N$91)^2+(O22-$O$91)^2+(P22-$P$91)^2+(Q22-$Q$91)^2+(R22-$R$91)^2+(S22-$S$91)^2+(T22-$T$91)^2+(U22-$U$91)^2+(V22-$V$91)^2+(W22-$W$91)^2+(X22-$X$91)^2+(Y22-$Y$91)^2+(Z22-$Z$91)^2+(AA22-$AA$91)^2+(AB22-$AB$91)^2+(AC22-$AC$91)^2+(AD22-$AD$91)^2+(AE22-$AE$91)^2+(AF22-$AF$91)^2+(AG22-$AG$91)^2)</f>
        <v>2.5614906925267626</v>
      </c>
      <c r="GC22" s="36" t="s">
        <v>133</v>
      </c>
      <c r="GD22" s="37" t="s">
        <v>120</v>
      </c>
      <c r="GF22" s="44"/>
      <c r="GG22" s="36">
        <f>SQRT((A22-$A$92)^2+(B22-$B$92)^2+(C22-$C$92)^2+(D22-$D$92)^2+(E22-$E$92)^2+(F22-$F$92)^2+(G22-$G$92)^2+(H22-$H$92)^2+(I22-$I$92)^2+(J22-$J$92)^2+(K22-$K$92)^2+(L22-$L$92)^2+(M22-$M$92)^2+(N22-$N$92)^2+(O22-$O$92)^2+(P22-$P$92)^2+(Q22-$Q$92)^2+(R22-$R$92)^2+(S22-$S$92)^2+(T22-$T$92)^2+(U22-$U$92)^2+(V22-$V$92)^2+(W22-$W$92)^2+(X22-$X$92)^2+(Y22-$Y$92)^2+(Z22-$Z$92)^2+(AA22-$AA$92)^2+(AB22-$AB$92)^2+(AC22-$AC$92)^2+(AD22-$AD$92)^2+(AE22-$AE$92)^2+(AF22-$AF$92)^2+(AG22-$AG$92)^2)</f>
        <v>2.0669047626272827</v>
      </c>
      <c r="GH22" s="36" t="s">
        <v>129</v>
      </c>
      <c r="GI22" s="37" t="s">
        <v>120</v>
      </c>
      <c r="GK22" s="44"/>
      <c r="GL22" s="36">
        <f>SQRT((A22-$A$93)^2+(B22-$B$93)^2+(C22-$C$93)^2+(D22-$D$93)^2+(E22-$E$93)^2+(F22-$F$93)^2+(G22-$G$93)^2+(H22-$H$93)^2+(I22-$I$93)^2+(J22-$J$93)^2+(K22-$K$93)^2+(L22-$L$93)^2+(M22-$M$93)^2+(N22-$N$93)^2+(O22-$O$93)^2+(P22-$P$93)^2+(Q22-$Q$93)^2+(R22-$R$93)^2+(S22-$S$93)^2+(T22-$T$93)^2+(U22-$U$93)^2+(V22-$V$93)^2+(W22-$W$93)^2+(X22-$X$93)^2+(Y22-$Y$93)^2+(Z22-$Z$93)^2+(AA22-$AA$93)^2+(AB22-$AB$93)^2+(AC22-$AC$93)^2+(AD22-$AD$93)^2+(AE22-$AE$93)^2+(AF22-$AF$93)^2+(AG22-$AG$93)^2)</f>
        <v>2.5943909107015588</v>
      </c>
      <c r="GM22" s="36" t="s">
        <v>331</v>
      </c>
      <c r="GN22" s="37" t="s">
        <v>120</v>
      </c>
      <c r="GP22" s="44"/>
      <c r="GQ22" s="36">
        <f>SQRT((A22-$A$94)^2+(B22-$B$94)^2+(C22-$C$94)^2+(D22-$D$94)^2+(E22-$E$94)^2+(F22-$F$94)^2+(G22-$G$94)^2+(H22-$H$94)^2+(I22-$I$94)^2+(J22-$J$94)^2+(K22-$K$94)^2+(L22-$L$94)^2+(M22-$M$94)^2+(N22-$N$94)^2+(O22-$O$94)^2+(P22-$P$94)^2+(Q22-$Q$94)^2+(R22-$R$94)^2+(S22-$S$94)^2+(T22-$T$94)^2+(U22-$U$94)^2+(V22-$V$94)^2+(W22-$W$94)^2+(X22-$X$94)^2+(Y22-$Y$94)^2+(Z22-$Z$94)^2+(AA22-$AA$94)^2+(AB22-$AB$94)^2+(AC22-$AC$94)^2+(AD22-$AD$94)^2+(AE22-$AE$94)^2+(AF22-$AF$94)^2+(AG22-$AG$94)^2)</f>
        <v>1.6028549437449924</v>
      </c>
      <c r="GR22" s="36" t="s">
        <v>317</v>
      </c>
      <c r="GS22" s="37" t="s">
        <v>120</v>
      </c>
      <c r="GU22" s="44"/>
      <c r="GV22" s="36">
        <f>SQRT((A22-$A$95)^2+(B22-$B$95)^2+(C22-$C$95)^2+(D22-$D$95)^2+(E22-$E$95)^2+(F22-$F$95)^2+(G22-$G$95)^2+(H22-$H$95)^2+(I22-$I$95)^2+(J22-$J$95)^2+(K22-$K$95)^2+(L22-$L$95)^2+(M22-$M$95)^2+(N22-$N$95)^2+(O22-$O$95)^2+(P22-$P$95)^2+(Q22-$Q$95)^2+(R22-$R$95)^2+(S22-$S$95)^2+(T22-$T$95)^2+(U22-$U$95)^2+(V22-$V$95)^2+(W22-$W$95)^2+(X22-$X$95)^2+(Y22-$Y$95)^2+(Z22-$Z$95)^2+(AA22-$AA$95)^2+(AB22-$AB$95)^2+(AC22-$AC$95)^2+(AD22-$AD$95)^2+(AE22-$AE$95)^2+(AF22-$AF$95)^2+(AG22-$AG$95)^2)</f>
        <v>2.7531351376966136</v>
      </c>
      <c r="GW22" s="36" t="s">
        <v>338</v>
      </c>
      <c r="GX22" s="37" t="s">
        <v>120</v>
      </c>
      <c r="GZ22" s="44"/>
      <c r="HA22" s="36">
        <f>SQRT((A22-$A$96)^2+(B22-$B$96)^2+(C22-$C$96)^2+(D22-$D$96)^2+(E22-$E$96)^2+(F22-$F$96)^2+(G22-$G$96)^2+(H22-$H$96)^2+(I22-$I$96)^2+(J22-$J$96)^2+(K22-$K$96)^2+(L22-$L$96)^2+(M22-$M$96)^2+(N22-$N$96)^2+(O22-$O$96)^2+(P22-$P$96)^2+(Q22-$Q$96)^2+(R22-$R$96)^2+(S22-$S$96)^2+(T22-$T$96)^2+(U22-$U$96)^2+(V22-$V$96)^2+(W22-$W$96)^2+(X22-$X$96)^2+(Y22-$Y$96)^2+(Z22-$Z$96)^2+(AA22-$AA$96)^2+(AB22-$AB$96)^2+(AC22-$AC$96)^2+(AD22-$AD$96)^2+(AE22-$AE$96)^2+(AF22-$AF$96)^2+(AG22-$AG$96)^2)</f>
        <v>2.6050757672448643</v>
      </c>
      <c r="HB22" s="36" t="s">
        <v>330</v>
      </c>
      <c r="HC22" s="37" t="s">
        <v>120</v>
      </c>
      <c r="HE22" s="44"/>
      <c r="HF22" s="36">
        <f>SQRT((A22-$A$97)^2+(B22-$B$97)^2+(C22-$C$97)^2+(D22-$D$97)^2+(E22-$E$97)^2+(F22-$F$97)^2+(G22-$G$97)^2+(H22-$H$97)^2+(I22-$I$97)^2+(J22-$J$97)^2+(K22-$K$97)^2+(L22-$L$97)^2+(M22-$M$97)^2+(N22-$N$97)^2+(O22-$O$97)^2+(P22-$P$97)^2+(Q22-$Q$97)^2+(R22-$R$97)^2+(S22-$S$97)^2+(T22-$T$97)^2+(U22-$U$97)^2+(V22-$V$97)^2+(W22-$W$97)^2+(X22-$X$97)^2+(Y22-$Y$97)^2+(Z22-$Z$97)^2+(AA22-$AA$97)^2+(AB22-$AB$97)^2+(AC22-$AC$97)^2+(AD22-$AD$97)^2+(AE22-$AE$97)^2+(AF22-$AF$97)^2+(AG22-$AG$97)^2)</f>
        <v>1.3067900546897311</v>
      </c>
      <c r="HG22" s="36" t="s">
        <v>331</v>
      </c>
      <c r="HH22" s="37" t="s">
        <v>120</v>
      </c>
      <c r="HJ22" s="44"/>
      <c r="HK22" s="36">
        <f>SQRT((A22-$A$98)^2+(B22-$B$98)^2+(C22-$C$98)^2+(D22-$D$98)^2+(E22-$E$98)^2+(F22-$F$98)^2+(G22-$G$98)^2+(H22-$H$98)^2+(I22-$I$98)^2+(J22-$J$98)^2+(K22-$K$98)^2+(L22-$L$98)^2+(M22-$M$98)^2+(N22-$N$98)^2+(O22-$O$98)^2+(P22-$P$98)^2+(Q22-$Q$98)^2+(R22-$R$98)^2+(S22-$S$98)^2+(T22-$T$98)^2+(U22-$U$98)^2+(V22-$V$98)^2+(W22-$W$98)^2+(X22-$X$98)^2+(Y22-$Y$98)^2+(Z22-$Z$98)^2+(AA22-$AA$98)^2+(AB22-$AB$98)^2+(AC22-$AC$98)^2+(AD22-$AD$98)^2+(AE22-$AE$98)^2+(AF22-$AF$98)^2+(AG22-$AG$98)^2)</f>
        <v>1.3067900546897311</v>
      </c>
      <c r="HL22" s="36" t="s">
        <v>331</v>
      </c>
      <c r="HM22" s="37" t="s">
        <v>120</v>
      </c>
      <c r="HO22" s="44"/>
      <c r="HP22" s="36">
        <f>SQRT((A22-$A$99)^2+(B22-$B$99)^2+(C22-$C$99)^2+(D22-$D$99)^2+(E22-$E$99)^2+(F22-$F$99)^2+(G22-$G$99)^2+(H22-$H$99)^2+(I22-$I$99)^2+(J22-$J$99)^2+(K22-$K$99)^2+(L22-$L$99)^2+(M22-$M$99)^2+(N22-$N$99)^2+(O22-$O$99)^2+(P22-$P$99)^2+(Q22-$Q$99)^2+(R22-$R$99)^2+(S22-$S$99)^2+(T22-$T$99)^2+(U22-$U$99)^2+(V22-$V$99)^2+(W22-$W$99)^2+(X22-$X$99)^2+(Y22-$Y$99)^2+(Z22-$Z$99)^2+(AA22-$AA$99)^2+(AB22-$AB$99)^2+(AC22-$AC$99)^2+(AD22-$AD$99)^2+(AE22-$AE$99)^2+(AF22-$AF$99)^2+(AG22-$AG$99)^2)</f>
        <v>1.3067900546897311</v>
      </c>
      <c r="HQ22" s="36" t="s">
        <v>331</v>
      </c>
      <c r="HR22" s="37" t="s">
        <v>120</v>
      </c>
      <c r="HT22" s="44"/>
      <c r="HU22" s="36">
        <f>SQRT((A22-$A$100)^2+(B22-$B$100)^2+(C22-$C$100)^2+(D22-$D$100)^2+(E22-$E$100)^2+(F22-$F$100)^2+(G22-$G$100)^2+(H22-$H$100)^2+(I22-$I$100)^2+(J22-$J$100)^2+(K22-$K$100)^2+(L22-$L$100)^2+(M22-$M$100)^2+(N22-$N$100)^2+(O22-$O$100)^2+(P22-$P$100)^2+(Q22-$Q$100)^2+(R22-$R$100)^2+(S22-$S$100)^2+(T22-$T$100)^2+(U22-$U$100)^2+(V22-$V$100)^2+(W22-$W$100)^2+(X22-$X$100)^2+(Y22-$Y$100)^2+(Z22-$Z$100)^2+(AA22-$AA$100)^2+(AB22-$AB$100)^2+(AC22-$AC$100)^2+(AD22-$AD$100)^2+(AE22-$AE$100)^2+(AF22-$AF$100)^2+(AG22-$AG$100)^2)</f>
        <v>1.3067900546897311</v>
      </c>
      <c r="HV22" s="36" t="s">
        <v>331</v>
      </c>
      <c r="HW22" s="37" t="s">
        <v>120</v>
      </c>
      <c r="HY22" s="44"/>
      <c r="HZ22" s="36">
        <f>SQRT((A22-$A$101)^2+(B22-$B$101)^2+(C22-$C$101)^2+(D22-$D$101)^2+(E22-$E$101)^2+(F22-$F$101)^2+(G22-$G$101)^2+(H22-$H$101)^2+(I22-$I$101)^2+(J22-$J$101)^2+(K22-$K$101)^2+(L22-$L$101)^2+(M22-$M$101)^2+(N22-$N$101)^2+(O22-$O$101)^2+(P22-$P$101)^2+(Q22-$Q$101)^2+(R22-$R$101)^2+(S22-$S$101)^2+(T22-$T$101)^2+(U22-$U$101)^2+(V22-$V$101)^2+(W22-$W$101)^2+(X22-$X$101)^2+(Y22-$Y$101)^2+(Z22-$Z$101)^2+(AA22-$AA$101)^2+(AB22-$AB$101)^2+(AC22-$AC$101)^2+(AD22-$AD$101)^2+(AE22-$AE$101)^2+(AF22-$AF$101)^2+(AG22-$AG$101)^2)</f>
        <v>0.92121765902996178</v>
      </c>
      <c r="IA22" s="36" t="s">
        <v>131</v>
      </c>
      <c r="IB22" s="37" t="s">
        <v>120</v>
      </c>
    </row>
    <row r="23" spans="1:236" x14ac:dyDescent="0.35">
      <c r="A23" s="2">
        <v>0.66666666666666596</v>
      </c>
      <c r="B23" s="2">
        <v>0.25</v>
      </c>
      <c r="C23" s="2">
        <v>0.33333333333333298</v>
      </c>
      <c r="D23" s="2">
        <v>0.66666666666666596</v>
      </c>
      <c r="E23" s="2">
        <v>1</v>
      </c>
      <c r="F23" s="2">
        <v>0.94805194805194803</v>
      </c>
      <c r="G23" s="2">
        <v>0.55555555555555503</v>
      </c>
      <c r="H23" s="2">
        <v>1</v>
      </c>
      <c r="I23" s="2">
        <v>0.5</v>
      </c>
      <c r="J23" s="2">
        <v>1</v>
      </c>
      <c r="K23" s="2">
        <v>0</v>
      </c>
      <c r="L23" s="2">
        <v>0.2</v>
      </c>
      <c r="M23" s="2">
        <v>1</v>
      </c>
      <c r="N23" s="2">
        <v>0.33333333333333298</v>
      </c>
      <c r="O23" s="2">
        <v>0</v>
      </c>
      <c r="P23" s="2">
        <v>0.4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0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0</v>
      </c>
      <c r="AH23" s="2" t="s">
        <v>120</v>
      </c>
      <c r="AI23" s="42"/>
      <c r="AJ23" s="42"/>
      <c r="AL23" s="44"/>
      <c r="AM23" s="36">
        <f>SQRT((A23-$A$62)^2+(B23-$B$62)^2+(C23-$C$62)^2+(D23-$D$62)^2+(E23-$E$62)^2+(F23-$F$62)^2+(G23-$G$62)^2+(H23-$H$62)^2+(I23-$I$62)^2+(J23-$J$62)^2+(K23-$K$62)^2+(L23-$L$62)^2+(M23-$M$62)^2+(N23-$N$62)^2+(O23-$O$62)^2+(P23-$P$62)^2+(Q23-$Q$62)^2+(R23-$R$62)^2+(S23-$S$62)^2+(T23-$T$62)^2+(U23-$U$62)^2+(V23-$V$62)^2+(W23-$W$62)^2+(X23-$X$62)^2+(Y23-$Y$62)^2+(Z23-$Z$62)^2+(AA23-$AA$62)^2+(AB23-$AB$62)^2+(AC23-$AC$62)^2+(AD23-$AD$62)^2+(AE23-$AE$62)^2+(AF23-$AF$62)^2+(AG23-$AG$62)^2)</f>
        <v>2.1785389446678547</v>
      </c>
      <c r="AN23" s="36" t="s">
        <v>335</v>
      </c>
      <c r="AO23" s="37" t="s">
        <v>120</v>
      </c>
      <c r="AQ23" s="44"/>
      <c r="AR23" s="36">
        <f>SQRT((A23-$A$63)^2+(B23-$B$63)^2+(C23-$C$63)^2+(D23-$D$63)^2+(E23-$E$63)^2+(F23-$F$63)^2+(G23-$G$63)^2+(H23-$H$63)^2+(I23-$I$63)^2+(J23-$J$63)^2+(K23-$K$63)^2+(L23-$L$63)^2+(M23-$M$63)^2+(N23-$N$63)^2+(O23-$O$63)^2+(P23-$P$63)^2+(Q23-$Q$63)^2+(R23-$R$63)^2+(S23-$S$63)^2+(T23-$T$63)^2+(U23-$U$63)^2+(V23-$V$63)^2+(W23-$W$63)^2+(X23-$X$63)^2+(Y23-$Y$63)^2+(Z23-$Z$63)^2+(AA23-$AA$63)^2+(AB23-$AB$63)^2+(AC23-$AC$63)^2+(AD23-$AD$63)^2+(AE23-$AE$63)^2+(AF23-$AF$63)^2+(AG23-$AG$63)^2)</f>
        <v>1.5275433815609514</v>
      </c>
      <c r="AS23" s="36" t="s">
        <v>336</v>
      </c>
      <c r="AT23" s="37" t="s">
        <v>120</v>
      </c>
      <c r="AU23" s="30"/>
      <c r="AV23" s="44"/>
      <c r="AW23" s="36">
        <f>SQRT((A23-$A$64)^2+(B23-$B$64)^2+(C23-$C$64)^2+(D23-$D$64)^2+(E23-$E$64)^2+(F23-$F$64)^2+(G23-$G$64)^2+(H23-$H$64)^2+(I23-$I$64)^2+(J23-$J$64)^2+(K23-$K$64)^2+(L23-$L$64)^2+(M23-$M$64)^2+(N23-$N$64)^2+(O23-$O$64)^2+(P23-$P$64)^2+(Q23-$Q$64)^2+(R23-$R$64)^2+(S23-$S$64)^2+(T23-$T$64)^2+(U23-$U$64)^2+(V23-$V$64)^2+(W23-$W$64)^2+(X23-$X$64)^2+(Y23-$Y$64)^2+(Z23-$Z$64)^2+(AA23-$AA$64)^2+(AB23-$AB$64)^2+(AC23-$AC$64)^2+(AD23-$AD$64)^2+(AE23-$AE$64)^2+(AF23-$AF$64)^2+(AG23-$AG$64)^2)</f>
        <v>1.5275433815609514</v>
      </c>
      <c r="AX23" s="36" t="s">
        <v>336</v>
      </c>
      <c r="AY23" s="37" t="s">
        <v>120</v>
      </c>
      <c r="AZ23" s="30"/>
      <c r="BA23" s="44"/>
      <c r="BB23" s="36">
        <f>SQRT((A23-$A$65)^2+(B23-$B$65)^2+(C23-$C$65)^2+(D23-$D$65)^2+(E23-$E$65)^2+(F23-$F$65)^2+(G23-$G$65)^2+(H23-$H$65)^2+(I23-$I$65)^2+(J23-$J$65)^2+(K23-$K$65)^2+(L23-$L$65)^2+(M23-$M$65)^2+(N23-$N$65)^2+(O23-$O$65)^2+(P23-$P$65)^2+(Q23-$Q$65)^2+(R23-$R$65)^2+(S23-$S$65)^2+(T23-$T$65)^2+(U23-$U$65)^2+(V23-$V$65)^2+(W23-$W$65)^2+(X23-$X$65)^2+(Y23-$Y$65)^2+(Z23-$Z$65)^2+(AA23-$AA$65)^2+(AB23-$AB$65)^2+(AC23-$AC$65)^2+(AD23-$AD$65)^2+(AE23-$AE$65)^2+(AF23-$AF$65)^2+(AG23-$AG$65)^2)</f>
        <v>1.5275433815609514</v>
      </c>
      <c r="BC23" s="36" t="s">
        <v>336</v>
      </c>
      <c r="BD23" s="37" t="s">
        <v>120</v>
      </c>
      <c r="BE23" s="30"/>
      <c r="BF23" s="44"/>
      <c r="BG23" s="36">
        <f>SQRT((A23-$A$66)^2+(B23-$B$66)^2+(C23-$C$66)^2+(D23-$D$66)^2+(E23-$E$66)^2+(F23-$F$66)^2+(G23-$G$66)^2+(H23-$H$66)^2+(I23-$I$66)^2+(J23-$J$66)^2+(K23-$K$66)^2+(L23-$L$66)^2+(M23-$M$66)^2+(N23-$N$66)^2+(O23-$O$66)^2+(P23-$P$66)^2+(Q23-$Q$66)^2+(R23-$R$66)^2+(S23-$S$66)^2+(T23-$T$66)^2+(U23-$U$66)^2+(V23-$V$66)^2+(W23-$W$66)^2+(X23-$X$66)^2+(Y23-$Y$66)^2+(Z23-$Z$66)^2+(AA23-$AA$66)^2+(AB23-$AB$66)^2+(AC23-$AC$66)^2+(AD23-$AD$66)^2+(AE23-$AE$66)^2+(AF23-$AF$66)^2+(AG23-$AG$66)^2)</f>
        <v>1.5275433815609514</v>
      </c>
      <c r="BH23" s="36" t="s">
        <v>336</v>
      </c>
      <c r="BI23" s="37" t="s">
        <v>120</v>
      </c>
      <c r="BJ23" s="30"/>
      <c r="BK23" s="44"/>
      <c r="BL23" s="36">
        <f>SQRT((A23-$A$67)^2+(B23-$B$67)^2+(C23-$C$67)^2+(D23-$D$67)^2+(E23-$E$67)^2+(F23-$F$67)^2+(G23-$G$67)^2+(H23-$H$67)^2+(I23-$I$67)^2+(J23-$J$67)^2+(K23-$K$67)^2+(L23-$L$67)^2+(M23-$M$67)^2+(N23-$N$67)^2+(O23-$O$67)^2+(P23-$P$67)^2+(Q23-$Q$67)^2+(R23-$R$67)^2+(S23-$S$67)^2+(T23-$T$67)^2+(U23-$U$67)^2+(V23-$V$67)^2+(W23-$W$67)^2+(X23-$X$67)^2+(Y23-$Y$67)^2+(Z23-$Z$67)^2+(AA23-$AA$67)^2+(AB23-$AB$67)^2+(AC23-$AC$67)^2+(AD23-$AD$67)^2+(AE23-$AE$67)^2+(AF23-$AF$67)^2+(AG23-$AG$67)^2)</f>
        <v>1.5275433815609514</v>
      </c>
      <c r="BM23" s="36" t="s">
        <v>336</v>
      </c>
      <c r="BN23" s="37" t="s">
        <v>120</v>
      </c>
      <c r="BO23" s="30"/>
      <c r="BP23" s="44"/>
      <c r="BQ23" s="36">
        <f>SQRT((A23-$A$68)^2+(B23-$B$68)^2+(C23-$C$68)^2+(D23-$D$68)^2+(E23-$E$68)^2+(F23-$F$68)^2+(G23-$G$68)^2+(H23-$H$68)^2+(I23-$I$68)^2+(J23-$J$68)^2+(K23-$K$68)^2+(L23-$L$68)^2+(M23-$M$68)^2+(N23-$N$68)^2+(O23-$O$68)^2+(P23-$P$68)^2+(Q23-$Q$68)^2+(R23-$R$68)^2+(S23-$S$68)^2+(T23-$T$68)^2+(U23-$U$68)^2+(V23-$V$68)^2+(W23-$W$68)^2+(X23-$X$68)^2+(Y23-$Y$68)^2+(Z23-$Z$68)^2+(AA23-$AA$68)^2+(AB23-$AB$68)^2+(AC23-$AC$68)^2+(AD23-$AD$68)^2+(AE23-$AE$68)^2+(AF23-$AF$68)^2+(AG23-$AG$68)^2)</f>
        <v>1.5275433815609514</v>
      </c>
      <c r="BR23" s="36" t="s">
        <v>336</v>
      </c>
      <c r="BS23" s="37" t="s">
        <v>120</v>
      </c>
      <c r="BT23" s="30"/>
      <c r="BU23" s="44"/>
      <c r="BV23" s="36">
        <f>SQRT((A23-$A$69)^2+(B23-$B$69)^2+(C23-$C$69)^2+(D23-$D$69)^2+(E23-$E$69)^2+(F23-$F$69)^2+(G23-$G$69)^2+(H23-$H$69)^2+(I23-$I$69)^2+(J23-$J$69)^2+(K23-$K$69)^2+(L23-$L$69)^2+(M23-$M$69)^2+(N23-$N$69)^2+(O23-$O$69)^2+(P23-$P$69)^2+(Q23-$Q$69)^2+(R23-$R$69)^2+(S23-$S$69)^2+(T23-$T$69)^2+(U23-$U$69)^2+(V23-$V$69)^2+(W23-$W$69)^2+(X23-$X$69)^2+(Y23-$Y$69)^2+(Z23-$Z$69)^2+(AA23-$AA$69)^2+(AB23-$AB$69)^2+(AC23-$AC$69)^2+(AD23-$AD$69)^2+(AE23-$AE$69)^2+(AF23-$AF$69)^2+(AG23-$AG$69)^2)</f>
        <v>2.1411672370359991</v>
      </c>
      <c r="BW23" s="36" t="s">
        <v>132</v>
      </c>
      <c r="BX23" s="37" t="s">
        <v>120</v>
      </c>
      <c r="BZ23" s="44"/>
      <c r="CA23" s="36">
        <f>SQRT((A23-$A$70)^2+(B23-$B$70)^2+(C23-$C$70)^2+(D23-$D$70)^2+(E23-$E$70)^2+(F23-$F$70)^2+(G23-$G$70)^2+(H23-$H$70)^2+(I23-$I$70)^2+(J23-$J$70)^2+(K23-$K$70)^2+(L23-$L$70)^2+(M23-$M$70)^2+(N23-$N$70)^2+(O23-$O$70)^2+(P23-$P$70)^2+(Q23-$Q$70)^2+(R23-$R$70)^2+(S23-$S$70)^2+(T23-$T$70)^2+(U23-$U$70)^2+(V23-$V$70)^2+(W23-$W$70)^2+(X23-$X$70)^2+(Y23-$Y$70)^2+(Z23-$Z$70)^2+(AA23-$AA$70)^2+(AB23-$AB$70)^2+(AC23-$AC$70)^2+(AD23-$AD$70)^2+(AE23-$AE$70)^2+(AF23-$AF$70)^2+(AG23-$AG$70)^2)</f>
        <v>1.8468864201052946</v>
      </c>
      <c r="CB23" s="36" t="s">
        <v>314</v>
      </c>
      <c r="CC23" s="37" t="s">
        <v>120</v>
      </c>
      <c r="CE23" s="44"/>
      <c r="CF23" s="36">
        <f>SQRT((A23-$A$71)^2+(B23-$B$71)^2+(C23-$C$71)^2+(D23-$D$71)^2+(E23-$E$71)^2+(F23-$F$71)^2+(G23-$G$71)^2+(H23-$H$71)^2+(I23-$I$71)^2+(J23-$J$71)^2+(K23-$K$71)^2+(L23-$L$71)^2+(M23-$M$71)^2+(N23-$N$71)^2+(O23-$O$71)^2+(P23-$P$71)^2+(Q23-$Q$71)^2+(R23-$R$71)^2+(S23-$S$71)^2+(T23-$T$71)^2+(U23-$U$71)^2+(V23-$V$71)^2+(W23-$W$71)^2+(X23-$X$71)^2+(Y23-$Y$71)^2+(Z23-$Z$71)^2+(AA23-$AA$71)^2+(AB23-$AB$71)^2+(AC23-$AC$71)^2+(AD23-$AD$71)^2+(AE23-$AE$71)^2+(AF23-$AF$71)^2+(AG23-$AG$71)^2)</f>
        <v>1.5815395115352409</v>
      </c>
      <c r="CG23" s="36" t="s">
        <v>325</v>
      </c>
      <c r="CH23" s="37" t="s">
        <v>120</v>
      </c>
      <c r="CJ23" s="44"/>
      <c r="CK23" s="36">
        <f>SQRT((A23-$A$72)^2+(B23-$B$72)^2+(C23-$C$72)^2+(D23-$D$72)^2+(E23-$E$72)^2+(F23-$F$72)^2+(G23-$G$72)^2+(H23-$H$72)^2+(I23-$I$72)^2+(J23-$J$72)^2+(K23-$K$72)^2+(L23-$L$72)^2+(M23-$M$72)^2+(N23-$N$72)^2+(O23-$O$72)^2+(P23-$P$72)^2+(Q23-$Q$72)^2+(R23-$R$72)^2+(S23-$S$72)^2+(T23-$T$72)^2+(U23-$U$72)^2+(V23-$V$72)^2+(W23-$W$72)^2+(X23-$X$72)^2+(Y23-$Y$72)^2+(Z23-$Z$72)^2+(AA23-$AA$72)^2+(AB23-$AB$72)^2+(AC23-$AC$72)^2+(AD23-$AD$72)^2+(AE23-$AE$72)^2+(AF23-$AF$72)^2+(AG23-$AG$72)^2)</f>
        <v>1.6934519692705017</v>
      </c>
      <c r="CL23" s="36" t="s">
        <v>125</v>
      </c>
      <c r="CM23" s="37" t="s">
        <v>120</v>
      </c>
      <c r="CO23" s="44"/>
      <c r="CP23" s="36">
        <f>SQRT((A23-$A$73)^2+(B23-$B$73)^2+(C23-$C$73)^2+(D23-$D$73)^2+(E23-$E$73)^2+(F23-$F$73)^2+(G23-$G$73)^2+(H23-$H$73)^2+(I23-$I$73)^2+(J23-$J$73)^2+(K23-$K$73)^2+(L23-$L$73)^2+(M23-$M$73)^2+(N23-$N$73)^2+(O23-$O$73)^2+(P23-$P$73)^2+(Q23-$Q$73)^2+(R23-$R$73)^2+(S23-$S$73)^2+(T23-$T$73)^2+(U23-$U$73)^2+(V23-$V$73)^2+(W23-$W$73)^2+(X23-$X$73)^2+(Y23-$Y$73)^2+(Z23-$Z$73)^2+(AA23-$AA$73)^2+(AB23-$AB$73)^2+(AC23-$AC$73)^2+(AD23-$AD$73)^2+(AE23-$AE$73)^2+(AF23-$AF$73)^2+(AG23-$AG$73)^2)</f>
        <v>2.0554612188809154</v>
      </c>
      <c r="CQ23" s="36" t="s">
        <v>133</v>
      </c>
      <c r="CR23" s="37" t="s">
        <v>120</v>
      </c>
      <c r="CT23" s="44"/>
      <c r="CU23" s="36">
        <f>SQRT((A23-$A$74)^2+(B23-$B$74)^2+(C23-$C$74)^2+(D23-$D$74)^2+(E23-$E$74)^2+(F23-$F$74)^2+(G23-$G$74)^2+(H23-$H$74)^2+(I23-$I$74)^2+(J23-$J$74)^2+(K23-$K$74)^2+(L23-$L$74)^2+(M23-$M$74)^2+(N23-$N$74)^2+(O23-$O$74)^2+(P23-$P$74)^2+(Q23-$Q$74)^2+(R23-$R$74)^2+(S23-$S$74)^2+(T23-$T$74)^2+(U23-$U$74)^2+(V23-$V$74)^2+(W23-$W$74)^2+(X23-$X$74)^2+(Y23-$Y$74)^2+(Z23-$Z$74)^2+(AA23-$AA$74)^2+(AB23-$AB$74)^2+(AC23-$AC$74)^2+(AD23-$AD$74)^2+(AE23-$AE$74)^2+(AF23-$AF$74)^2+(AG23-$AG$74)^2)</f>
        <v>1.7837005042859875</v>
      </c>
      <c r="CV23" s="36" t="s">
        <v>321</v>
      </c>
      <c r="CW23" s="37" t="s">
        <v>120</v>
      </c>
      <c r="CY23" s="44"/>
      <c r="CZ23" s="36">
        <f>SQRT((A23-$A$75)^2+(B23-$B$75)^2+(C23-$C$75)^2+(D23-$D$75)^2+(E23-$E$75)^2+(F23-$F$75)^2+(G23-$G$75)^2+(H23-$H$75)^2+(I23-$I$75)^2+(J23-$J$75)^2+(K23-$K$75)^2+(L23-$L$75)^2+(M23-$M$75)^2+(N23-$N$75)^2+(O23-$O$75)^2+(P23-$P$75)^2+(Q23-$Q$75)^2+(R23-$R$75)^2+(S23-$S$75)^2+(T23-$T$75)^2+(U23-$U$75)^2+(V23-$V$75)^2+(W23-$W$75)^2+(X23-$X$75)^2+(Y23-$Y$75)^2+(Z23-$Z$75)^2+(AA23-$AA$75)^2+(AB23-$AB$75)^2+(AC23-$AC$75)^2+(AD23-$AD$75)^2+(AE23-$AE$75)^2+(AF23-$AF$75)^2+(AG23-$AG$75)^2)</f>
        <v>1.8340691675104046</v>
      </c>
      <c r="DA23" s="36" t="s">
        <v>152</v>
      </c>
      <c r="DB23" s="37" t="s">
        <v>120</v>
      </c>
      <c r="DD23" s="44"/>
      <c r="DE23" s="36">
        <f>SQRT((A23-$A$76)^2+(B23-$B$76)^2+(C23-$C$76)^2+(D23-$D$76)^2+(E23-$E$76)^2+(F23-$F$76)^2+(G23-$G$76)^2+(H23-$H$76)^2+(I23-$I$76)^2+(J23-$J$76)^2+(K23-$K$76)^2+(L23-$L$76)^2+(M23-$M$76)^2+(N23-$N$76)^2+(O23-$O$76)^2+(P23-$P$76)^2+(Q23-$Q$76)^2+(R23-$R$76)^2+(S23-$S$76)^2+(T23-$T$76)^2+(U23-$U$76)^2+(V23-$V$76)^2+(W23-$W$76)^2+(X23-$X$76)^2+(Y23-$Y$76)^2+(Z23-$Z$76)^2+(AA23-$AA$76)^2+(AB23-$AB$76)^2+(AC23-$AC$76)^2+(AD23-$AD$76)^2+(AE23-$AE$76)^2+(AF23-$AF$76)^2+(AG23-$AG$76)^2)</f>
        <v>1.7202805779197365</v>
      </c>
      <c r="DF23" s="36" t="s">
        <v>325</v>
      </c>
      <c r="DG23" s="37" t="s">
        <v>120</v>
      </c>
      <c r="DI23" s="44"/>
      <c r="DJ23" s="36">
        <f>SQRT((A23-$A$77)^2+(B23-$B$77)^2+(C23-$C$77)^2+(D23-$D$77)^2+(E23-$E$77)^2+(F23-$F$77)^2+(G23-$G$77)^2+(H23-$H$77)^2+(I23-$I$77)^2+(J23-$J$77)^2+(K23-$K$77)^2+(L23-$L$77)^2+(M23-$M$77)^2+(N23-$N$77)^2+(O23-$O$77)^2+(P23-$P$77)^2+(Q23-$Q$77)^2+(R23-$R$77)^2+(S23-$S$77)^2+(T23-$T$77)^2+(U23-$U$77)^2+(V23-$V$77)^2+(W23-$W$77)^2+(X23-$X$77)^2+(Y23-$Y$77)^2+(Z23-$Z$77)^2+(AA23-$AA$77)^2+(AB23-$AB$77)^2+(AC23-$AC$77)^2+(AD23-$AD$77)^2+(AE23-$AE$77)^2+(AF23-$AF$77)^2+(AG23-$AG$77)^2)</f>
        <v>2.3054714485547629</v>
      </c>
      <c r="DK23" s="36" t="s">
        <v>125</v>
      </c>
      <c r="DL23" s="37" t="s">
        <v>120</v>
      </c>
      <c r="DN23" s="44"/>
      <c r="DO23" s="36">
        <f>SQRT((A23-$A$78)^2+(B23-$B$78)^2+(C23-$C$78)^2+(D23-$D$78)^2+(E23-$E$78)^2+(F23-$F$78)^2+(G23-$G$78)^2+(H23-$H$78)^2+(I23-$I$78)^2+(J23-$J$78)^2+(K23-$K$78)^2+(L23-$L$78)^2+(M23-$M$78)^2+(N23-$N$78)^2+(O23-$O$78)^2+(P23-$P$78)^2+(Q23-$Q$78)^2+(R23-$R$78)^2+(S23-$S$78)^2+(T23-$T$78)^2+(U23-$U$78)^2+(V23-$V$78)^2+(W23-$W$78)^2+(X23-$X$78)^2+(Y23-$Y$78)^2+(Z23-$Z$78)^2+(AA23-$AA$78)^2+(AB23-$AB$78)^2+(AC23-$AC$78)^2+(AD23-$AD$78)^2+(AE23-$AE$78)^2+(AF23-$AF$78)^2+(AG23-$AG$78)^2)</f>
        <v>1.8909522985734777</v>
      </c>
      <c r="DP23" s="36" t="s">
        <v>124</v>
      </c>
      <c r="DQ23" s="37" t="s">
        <v>120</v>
      </c>
      <c r="DS23" s="44"/>
      <c r="DT23" s="36">
        <f>SQRT((A23-$A$79)^2+(B23-$B$79)^2+(C23-$C$79)^2+(D23-$D$79)^2+(E23-$E$79)^2+(F23-$F$79)^2+(G23-$G$79)^2+(H23-$H$79)^2+(I23-$I$79)^2+(J23-$J$79)^2+(K23-$K$79)^2+(L23-$L$79)^2+(M23-$M$79)^2+(N23-$N$79)^2+(O23-$O$79)^2+(P23-$P$79)^2+(Q23-$Q$79)^2+(R23-$R$79)^2+(S23-$S$79)^2+(T23-$T$79)^2+(U23-$U$79)^2+(V23-$V$79)^2+(W23-$W$79)^2+(X23-$X$79)^2+(Y23-$Y$79)^2+(Z23-$Z$79)^2+(AA23-$AA$79)^2+(AB23-$AB$79)^2+(AC23-$AC$79)^2+(AD23-$AD$79)^2+(AE23-$AE$79)^2+(AF23-$AF$79)^2+(AG23-$AG$79)^2)</f>
        <v>1.573269945361577</v>
      </c>
      <c r="DU23" s="36" t="s">
        <v>331</v>
      </c>
      <c r="DV23" s="37" t="s">
        <v>120</v>
      </c>
      <c r="DX23" s="44"/>
      <c r="DY23" s="36">
        <f>SQRT((A23-$A$80)^2+(B23-$B$80)^2+(C23-$C$80)^2+(D23-$D$80)^2+(E23-$E$80)^2+(F23-$F$80)^2+(G23-$G$80)^2+(H23-$H$80)^2+(I23-$I$80)^2+(J23-$J$80)^2+(K23-$K$80)^2+(L23-$L$80)^2+(M23-$M$80)^2+(N23-$N$80)^2+(O23-$O$80)^2+(P23-$P$80)^2+(Q23-$Q$80)^2+(R23-$R$80)^2+(S23-$S$80)^2+(T23-$T$80)^2+(U23-$U$80)^2+(V23-$V$80)^2+(W23-$W$80)^2+(X23-$X$80)^2+(Y23-$Y$80)^2+(Z23-$Z$80)^2+(AA23-$AA$80)^2+(AB23-$AB$80)^2+(AC23-$AC$80)^2+(AD23-$AD$80)^2+(AE23-$AE$80)^2+(AF23-$AF$80)^2+(AG23-$AG$80)^2)</f>
        <v>1.5049653890782404</v>
      </c>
      <c r="DZ23" s="36" t="s">
        <v>153</v>
      </c>
      <c r="EA23" s="37" t="s">
        <v>120</v>
      </c>
      <c r="EC23" s="44"/>
      <c r="ED23" s="36">
        <f>SQRT((A23-$A$81)^2+(B23-$B$81)^2+(C23-$C$81)^2+(D23-$D$81)^2+(E23-$E$81)^2+(F23-$F$81)^2+(G23-$G$81)^2+(H23-$H$81)^2+(I23-$I$81)^2+(J23-$J$81)^2+(K23-$K$81)^2+(L23-$L$81)^2+(M23-$M$81)^2+(N23-$N$81)^2+(O23-$O$81)^2+(P23-$P$81)^2+(Q23-$Q$81)^2+(R23-$R$81)^2+(S23-$S$81)^2+(T23-$T$81)^2+(U23-$U$81)^2+(V23-$V$81)^2+(W23-$W$81)^2+(X23-$X$81)^2+(Y23-$Y$81)^2+(Z23-$Z$81)^2+(AA23-$AA$81)^2+(AB23-$AB$81)^2+(AC23-$AC$81)^2+(AD23-$AD$81)^2+(AE23-$AE$81)^2+(AF23-$AF$81)^2+(AG23-$AG$81)^2)</f>
        <v>1.5487194495564813</v>
      </c>
      <c r="EE23" s="36" t="s">
        <v>314</v>
      </c>
      <c r="EF23" s="37" t="s">
        <v>120</v>
      </c>
      <c r="EH23" s="44"/>
      <c r="EI23" s="36">
        <f>SQRT((A23-$A$82)^2+(B23-$B$82)^2+(C23-$C$82)^2+(D23-$D$82)^2+(E23-$E$82)^2+(F23-$F$82)^2+(G23-$G$82)^2+(H23-$H$82)^2+(I23-$I$82)^2+(J23-$J$82)^2+(K23-$K$82)^2+(L23-$L$82)^2+(M23-$M$82)^2+(N23-$N$82)^2+(O23-$O$82)^2+(P23-$P$82)^2+(Q23-$Q$82)^2+(R23-$R$82)^2+(S23-$S$82)^2+(T23-$T$82)^2+(U23-$U$82)^2+(V23-$V$82)^2+(W23-$W$82)^2+(X23-$X$82)^2+(Y23-$Y$82)^2+(Z23-$Z$82)^2+(AA23-$AA$82)^2+(AB23-$AB$82)^2+(AC23-$AC$82)^2+(AD23-$AD$82)^2+(AE23-$AE$82)^2+(AF23-$AF$82)^2+(AG23-$AG$82)^2)</f>
        <v>2.0050299349198664</v>
      </c>
      <c r="EJ23" s="36" t="s">
        <v>314</v>
      </c>
      <c r="EK23" s="37" t="s">
        <v>120</v>
      </c>
      <c r="EM23" s="44"/>
      <c r="EN23" s="36">
        <f>SQRT((A23-$A$83)^2+(B23-$B$83)^2+(C23-$C$83)^2+(D23-$D$83)^2+(E23-$E$83)^2+(F23-$F$83)^2+(G23-$G$83)^2+(H23-$H$83)^2+(I23-$I$83)^2+(J23-$J$83)^2+(K23-$K$83)^2+(L23-$L$83)^2+(M23-$M$83)^2+(N23-$N$83)^2+(O23-$O$83)^2+(P23-$P$83)^2+(Q23-$Q$83)^2+(R23-$R$83)^2+(S23-$S$83)^2+(T23-$T$83)^2+(U23-$U$83)^2+(V23-$V$83)^2+(W23-$W$83)^2+(X23-$X$83)^2+(Y23-$Y$83)^2+(Z23-$Z$83)^2+(AA23-$AA$83)^2+(AB23-$AB$83)^2+(AC23-$AC$83)^2+(AD23-$AD$83)^2+(AE23-$AE$83)^2+(AF23-$AF$83)^2+(AG23-$AG$83)^2)</f>
        <v>1.8421396182857848</v>
      </c>
      <c r="EO23" s="36" t="s">
        <v>328</v>
      </c>
      <c r="EP23" s="37" t="s">
        <v>120</v>
      </c>
      <c r="ER23" s="44"/>
      <c r="ES23" s="36">
        <f>SQRT((A23-$A$84)^2+(B23-$B$84)^2+(C23-$C$84)^2+(D23-$D$84)^2+(E23-$E$84)^2+(F23-$F$84)^2+(G23-$G$84)^2+(H23-$H$84)^2+(I23-$I$84)^2+(J23-$J$84)^2+(K23-$K$84)^2+(L23-$L$84)^2+(M23-$M$84)^2+(N23-$N$84)^2+(O23-$O$84)^2+(P23-$P$84)^2+(Q23-$Q$84)^2+(R23-$R$84)^2+(S23-$S$84)^2+(T23-$T$84)^2+(U23-$U$84)^2+(V23-$V$84)^2+(W23-$W$84)^2+(X23-$X$84)^2+(Y23-$Y$84)^2+(Z23-$Z$84)^2+(AA23-$AA$84)^2+(AB23-$AB$84)^2+(AC23-$AC$84)^2+(AD23-$AD$84)^2+(AE23-$AE$84)^2+(AF23-$AF$84)^2+(AG23-$AG$84)^2)</f>
        <v>1.5275433815609514</v>
      </c>
      <c r="ET23" s="36" t="s">
        <v>336</v>
      </c>
      <c r="EU23" s="37" t="s">
        <v>120</v>
      </c>
      <c r="EW23" s="44"/>
      <c r="EX23" s="36">
        <f>SQRT((A23-$A$85)^2+(B23-$B$85)^2+(C23-$C$85)^2+(D23-$D$85)^2+(E23-$E$85)^2+(F23-$F$85)^2+(G23-$G$85)^2+(H23-$H$85)^2+(I23-$I$85)^2+(J23-$J$85)^2+(K23-$K$85)^2+(L23-$L$85)^2+(M23-$M$85)^2+(N23-$N$85)^2+(O23-$O$85)^2+(P23-$P$85)^2+(Q23-$Q$85)^2+(R23-$R$85)^2+(S23-$S$85)^2+(T23-$T$85)^2+(U23-$U$85)^2+(V23-$V$85)^2+(W23-$W$85)^2+(X23-$X$85)^2+(Y23-$Y$85)^2+(Z23-$Z$85)^2+(AA23-$AA$85)^2+(AB23-$AB$85)^2+(AC23-$AC$85)^2+(AD23-$AD$85)^2+(AE23-$AE$85)^2+(AF23-$AF$85)^2+(AG23-$AG$85)^2)</f>
        <v>1.5275433815609514</v>
      </c>
      <c r="EY23" s="36" t="s">
        <v>336</v>
      </c>
      <c r="EZ23" s="37" t="s">
        <v>120</v>
      </c>
      <c r="FB23" s="44"/>
      <c r="FC23" s="36">
        <f>SQRT((A23-$A$86)^2+(B23-$B$86)^2+(C23-$C$86)^2+(D23-$D$86)^2+(E23-$E$86)^2+(F23-$F$86)^2+(G23-$G$86)^2+(H23-$H$86)^2+(I23-$I$86)^2+(J23-$J$86)^2+(K23-$K$86)^2+(L23-$L$86)^2+(M23-$M$86)^2+(N23-$N$86)^2+(O23-$O$86)^2+(P23-$P$86)^2+(Q23-$Q$86)^2+(R23-$R$86)^2+(S23-$S$86)^2+(T23-$T$86)^2+(U23-$U$86)^2+(V23-$V$86)^2+(W23-$W$86)^2+(X23-$X$86)^2+(Y23-$Y$86)^2+(Z23-$Z$86)^2+(AA23-$AA$86)^2+(AB23-$AB$86)^2+(AC23-$AC$86)^2+(AD23-$AD$86)^2+(AE23-$AE$86)^2+(AF23-$AF$86)^2+(AG23-$AG$86)^2)</f>
        <v>1.5275433815609514</v>
      </c>
      <c r="FD23" s="36" t="s">
        <v>336</v>
      </c>
      <c r="FE23" s="37" t="s">
        <v>120</v>
      </c>
      <c r="FG23" s="44"/>
      <c r="FH23" s="36">
        <f>SQRT((A23-$A$87)^2+(B23-$B$87)^2+(C23-$C$87)^2+(D23-$D$87)^2+(E23-$E$87)^2+(F23-$F$87)^2+(G23-$G$87)^2+(H23-$H$87)^2+(I23-$I$87)^2+(J23-$J$87)^2+(K23-$K$87)^2+(L23-$L$87)^2+(M23-$M$87)^2+(N23-$N$87)^2+(O23-$O$87)^2+(P23-$P$87)^2+(Q23-$Q$87)^2+(R23-$R$87)^2+(S23-$S$87)^2+(T23-$T$87)^2+(U23-$U$87)^2+(V23-$V$87)^2+(W23-$W$87)^2+(X23-$X$87)^2+(Y23-$Y$87)^2+(Z23-$Z$87)^2+(AA23-$AA$87)^2+(AB23-$AB$87)^2+(AC23-$AC$87)^2+(AD23-$AD$87)^2+(AE23-$AE$87)^2+(AF23-$AF$87)^2+(AG23-$AG$87)^2)</f>
        <v>1.9065468319250434</v>
      </c>
      <c r="FI23" s="36" t="s">
        <v>338</v>
      </c>
      <c r="FJ23" s="37" t="s">
        <v>120</v>
      </c>
      <c r="FL23" s="44"/>
      <c r="FM23" s="36">
        <f>SQRT((A23-$A$88)^2+(B23-$B$88)^2+(C23-$C$88)^2+(D23-$D$88)^2+(E23-$E$88)^2+(F23-$F$88)^2+(G23-$G$88)^2+(H23-$H$88)^2+(I23-$I$88)^2+(J23-$J$88)^2+(K23-$K$88)^2+(L23-$L$88)^2+(M23-$M$88)^2+(N23-$N$88)^2+(O23-$O$88)^2+(P23-$P$88)^2+(Q23-$Q$88)^2+(R23-$R$88)^2+(S23-$S$88)^2+(T23-$T$88)^2+(U23-$U$88)^2+(V23-$V$88)^2+(W23-$W$88)^2+(X23-$X$88)^2+(Y23-$Y$88)^2+(Z23-$Z$88)^2+(AA23-$AA$88)^2+(AB23-$AB$88)^2+(AC23-$AC$88)^2+(AD23-$AD$88)^2+(AE23-$AE$88)^2+(AF23-$AF$88)^2+(AG23-$AG$88)^2)</f>
        <v>1.4023355533982966</v>
      </c>
      <c r="FN23" s="36" t="s">
        <v>145</v>
      </c>
      <c r="FO23" s="37" t="s">
        <v>120</v>
      </c>
      <c r="FQ23" s="44"/>
      <c r="FR23" s="36">
        <f>SQRT((A23-$A$89)^2+(B23-$B$89)^2+(C23-$C$89)^2+(D23-$D$89)^2+(E23-$E$89)^2+(F23-$F$89)^2+(G23-$G$89)^2+(H23-$H$89)^2+(I23-$I$89)^2+(J23-$J$89)^2+(K23-$K$89)^2+(L23-$L$89)^2+(M23-$M$89)^2+(N23-$N$89)^2+(O23-$O$89)^2+(P23-$P$89)^2+(Q23-$Q$89)^2+(R23-$R$89)^2+(S23-$S$89)^2+(T23-$T$89)^2+(U23-$U$89)^2+(V23-$V$89)^2+(W23-$W$89)^2+(X23-$X$89)^2+(Y23-$Y$89)^2+(Z23-$Z$89)^2+(AA23-$AA$89)^2+(AB23-$AB$89)^2+(AC23-$AC$89)^2+(AD23-$AD$89)^2+(AE23-$AE$89)^2+(AF23-$AF$89)^2+(AG23-$AG$89)^2)</f>
        <v>1.4634163758104137</v>
      </c>
      <c r="FS23" s="36" t="s">
        <v>137</v>
      </c>
      <c r="FT23" s="37" t="s">
        <v>120</v>
      </c>
      <c r="FV23" s="44"/>
      <c r="FW23" s="36">
        <f>SQRT((A23-$A$90)^2+(B23-$B$90)^2+(C23-$C$90)^2+(D23-$D$90)^2+(E23-$E$90)^2+(F23-$F$90)^2+(G23-$G$90)^2+(H23-$H$90)^2+(I23-$I$90)^2+(J23-$J$90)^2+(K23-$K$90)^2+(L23-$L$90)^2+(M23-$M$90)^2+(N23-$N$90)^2+(O23-$O$90)^2+(P23-$P$90)^2+(Q23-$Q$90)^2+(R23-$R$90)^2+(S23-$S$90)^2+(T23-$T$90)^2+(U23-$U$90)^2+(V23-$V$90)^2+(W23-$W$90)^2+(X23-$X$90)^2+(Y23-$Y$90)^2+(Z23-$Z$90)^2+(AA23-$AA$90)^2+(AB23-$AB$90)^2+(AC23-$AC$90)^2+(AD23-$AD$90)^2+(AE23-$AE$90)^2+(AF23-$AF$90)^2+(AG23-$AG$90)^2)</f>
        <v>2.0020624754629295</v>
      </c>
      <c r="FX23" s="36" t="s">
        <v>149</v>
      </c>
      <c r="FY23" s="37" t="s">
        <v>120</v>
      </c>
      <c r="GA23" s="44"/>
      <c r="GB23" s="36">
        <f>SQRT((A23-$A$91)^2+(B23-$B$91)^2+(C23-$C$91)^2+(D23-$D$91)^2+(E23-$E$91)^2+(F23-$F$91)^2+(G23-$G$91)^2+(H23-$H$91)^2+(I23-$I$91)^2+(J23-$J$91)^2+(K23-$K$91)^2+(L23-$L$91)^2+(M23-$M$91)^2+(N23-$N$91)^2+(O23-$O$91)^2+(P23-$P$91)^2+(Q23-$Q$91)^2+(R23-$R$91)^2+(S23-$S$91)^2+(T23-$T$91)^2+(U23-$U$91)^2+(V23-$V$91)^2+(W23-$W$91)^2+(X23-$X$91)^2+(Y23-$Y$91)^2+(Z23-$Z$91)^2+(AA23-$AA$91)^2+(AB23-$AB$91)^2+(AC23-$AC$91)^2+(AD23-$AD$91)^2+(AE23-$AE$91)^2+(AF23-$AF$91)^2+(AG23-$AG$91)^2)</f>
        <v>2.4670447323087412</v>
      </c>
      <c r="GC23" s="36" t="s">
        <v>154</v>
      </c>
      <c r="GD23" s="37" t="s">
        <v>120</v>
      </c>
      <c r="GF23" s="44"/>
      <c r="GG23" s="36">
        <f>SQRT((A23-$A$92)^2+(B23-$B$92)^2+(C23-$C$92)^2+(D23-$D$92)^2+(E23-$E$92)^2+(F23-$F$92)^2+(G23-$G$92)^2+(H23-$H$92)^2+(I23-$I$92)^2+(J23-$J$92)^2+(K23-$K$92)^2+(L23-$L$92)^2+(M23-$M$92)^2+(N23-$N$92)^2+(O23-$O$92)^2+(P23-$P$92)^2+(Q23-$Q$92)^2+(R23-$R$92)^2+(S23-$S$92)^2+(T23-$T$92)^2+(U23-$U$92)^2+(V23-$V$92)^2+(W23-$W$92)^2+(X23-$X$92)^2+(Y23-$Y$92)^2+(Z23-$Z$92)^2+(AA23-$AA$92)^2+(AB23-$AB$92)^2+(AC23-$AC$92)^2+(AD23-$AD$92)^2+(AE23-$AE$92)^2+(AF23-$AF$92)^2+(AG23-$AG$92)^2)</f>
        <v>2.0669060355711535</v>
      </c>
      <c r="GH23" s="36" t="s">
        <v>318</v>
      </c>
      <c r="GI23" s="37" t="s">
        <v>120</v>
      </c>
      <c r="GK23" s="44"/>
      <c r="GL23" s="36">
        <f>SQRT((A23-$A$93)^2+(B23-$B$93)^2+(C23-$C$93)^2+(D23-$D$93)^2+(E23-$E$93)^2+(F23-$F$93)^2+(G23-$G$93)^2+(H23-$H$93)^2+(I23-$I$93)^2+(J23-$J$93)^2+(K23-$K$93)^2+(L23-$L$93)^2+(M23-$M$93)^2+(N23-$N$93)^2+(O23-$O$93)^2+(P23-$P$93)^2+(Q23-$Q$93)^2+(R23-$R$93)^2+(S23-$S$93)^2+(T23-$T$93)^2+(U23-$U$93)^2+(V23-$V$93)^2+(W23-$W$93)^2+(X23-$X$93)^2+(Y23-$Y$93)^2+(Z23-$Z$93)^2+(AA23-$AA$93)^2+(AB23-$AB$93)^2+(AC23-$AC$93)^2+(AD23-$AD$93)^2+(AE23-$AE$93)^2+(AF23-$AF$93)^2+(AG23-$AG$93)^2)</f>
        <v>2.6799002344803551</v>
      </c>
      <c r="GM23" s="36" t="s">
        <v>335</v>
      </c>
      <c r="GN23" s="37" t="s">
        <v>120</v>
      </c>
      <c r="GP23" s="44"/>
      <c r="GQ23" s="36">
        <f>SQRT((A23-$A$94)^2+(B23-$B$94)^2+(C23-$C$94)^2+(D23-$D$94)^2+(E23-$E$94)^2+(F23-$F$94)^2+(G23-$G$94)^2+(H23-$H$94)^2+(I23-$I$94)^2+(J23-$J$94)^2+(K23-$K$94)^2+(L23-$L$94)^2+(M23-$M$94)^2+(N23-$N$94)^2+(O23-$O$94)^2+(P23-$P$94)^2+(Q23-$Q$94)^2+(R23-$R$94)^2+(S23-$S$94)^2+(T23-$T$94)^2+(U23-$U$94)^2+(V23-$V$94)^2+(W23-$W$94)^2+(X23-$X$94)^2+(Y23-$Y$94)^2+(Z23-$Z$94)^2+(AA23-$AA$94)^2+(AB23-$AB$94)^2+(AC23-$AC$94)^2+(AD23-$AD$94)^2+(AE23-$AE$94)^2+(AF23-$AF$94)^2+(AG23-$AG$94)^2)</f>
        <v>1.8312504944048744</v>
      </c>
      <c r="GR23" s="36" t="s">
        <v>314</v>
      </c>
      <c r="GS23" s="37" t="s">
        <v>120</v>
      </c>
      <c r="GU23" s="44"/>
      <c r="GV23" s="36">
        <f>SQRT((A23-$A$95)^2+(B23-$B$95)^2+(C23-$C$95)^2+(D23-$D$95)^2+(E23-$E$95)^2+(F23-$F$95)^2+(G23-$G$95)^2+(H23-$H$95)^2+(I23-$I$95)^2+(J23-$J$95)^2+(K23-$K$95)^2+(L23-$L$95)^2+(M23-$M$95)^2+(N23-$N$95)^2+(O23-$O$95)^2+(P23-$P$95)^2+(Q23-$Q$95)^2+(R23-$R$95)^2+(S23-$S$95)^2+(T23-$T$95)^2+(U23-$U$95)^2+(V23-$V$95)^2+(W23-$W$95)^2+(X23-$X$95)^2+(Y23-$Y$95)^2+(Z23-$Z$95)^2+(AA23-$AA$95)^2+(AB23-$AB$95)^2+(AC23-$AC$95)^2+(AD23-$AD$95)^2+(AE23-$AE$95)^2+(AF23-$AF$95)^2+(AG23-$AG$95)^2)</f>
        <v>2.652917104410117</v>
      </c>
      <c r="GW23" s="36" t="s">
        <v>138</v>
      </c>
      <c r="GX23" s="37" t="s">
        <v>120</v>
      </c>
      <c r="GZ23" s="44"/>
      <c r="HA23" s="36">
        <f>SQRT((A23-$A$96)^2+(B23-$B$96)^2+(C23-$C$96)^2+(D23-$D$96)^2+(E23-$E$96)^2+(F23-$F$96)^2+(G23-$G$96)^2+(H23-$H$96)^2+(I23-$I$96)^2+(J23-$J$96)^2+(K23-$K$96)^2+(L23-$L$96)^2+(M23-$M$96)^2+(N23-$N$96)^2+(O23-$O$96)^2+(P23-$P$96)^2+(Q23-$Q$96)^2+(R23-$R$96)^2+(S23-$S$96)^2+(T23-$T$96)^2+(U23-$U$96)^2+(V23-$V$96)^2+(W23-$W$96)^2+(X23-$X$96)^2+(Y23-$Y$96)^2+(Z23-$Z$96)^2+(AA23-$AA$96)^2+(AB23-$AB$96)^2+(AC23-$AC$96)^2+(AD23-$AD$96)^2+(AE23-$AE$96)^2+(AF23-$AF$96)^2+(AG23-$AG$96)^2)</f>
        <v>2.6183481320576023</v>
      </c>
      <c r="HB23" s="36" t="s">
        <v>331</v>
      </c>
      <c r="HC23" s="37" t="s">
        <v>120</v>
      </c>
      <c r="HE23" s="44"/>
      <c r="HF23" s="36">
        <f>SQRT((A23-$A$97)^2+(B23-$B$97)^2+(C23-$C$97)^2+(D23-$D$97)^2+(E23-$E$97)^2+(F23-$F$97)^2+(G23-$G$97)^2+(H23-$H$97)^2+(I23-$I$97)^2+(J23-$J$97)^2+(K23-$K$97)^2+(L23-$L$97)^2+(M23-$M$97)^2+(N23-$N$97)^2+(O23-$O$97)^2+(P23-$P$97)^2+(Q23-$Q$97)^2+(R23-$R$97)^2+(S23-$S$97)^2+(T23-$T$97)^2+(U23-$U$97)^2+(V23-$V$97)^2+(W23-$W$97)^2+(X23-$X$97)^2+(Y23-$Y$97)^2+(Z23-$Z$97)^2+(AA23-$AA$97)^2+(AB23-$AB$97)^2+(AC23-$AC$97)^2+(AD23-$AD$97)^2+(AE23-$AE$97)^2+(AF23-$AF$97)^2+(AG23-$AG$97)^2)</f>
        <v>1.5275433815609514</v>
      </c>
      <c r="HG23" s="36" t="s">
        <v>336</v>
      </c>
      <c r="HH23" s="37" t="s">
        <v>120</v>
      </c>
      <c r="HJ23" s="44"/>
      <c r="HK23" s="36">
        <f>SQRT((A23-$A$98)^2+(B23-$B$98)^2+(C23-$C$98)^2+(D23-$D$98)^2+(E23-$E$98)^2+(F23-$F$98)^2+(G23-$G$98)^2+(H23-$H$98)^2+(I23-$I$98)^2+(J23-$J$98)^2+(K23-$K$98)^2+(L23-$L$98)^2+(M23-$M$98)^2+(N23-$N$98)^2+(O23-$O$98)^2+(P23-$P$98)^2+(Q23-$Q$98)^2+(R23-$R$98)^2+(S23-$S$98)^2+(T23-$T$98)^2+(U23-$U$98)^2+(V23-$V$98)^2+(W23-$W$98)^2+(X23-$X$98)^2+(Y23-$Y$98)^2+(Z23-$Z$98)^2+(AA23-$AA$98)^2+(AB23-$AB$98)^2+(AC23-$AC$98)^2+(AD23-$AD$98)^2+(AE23-$AE$98)^2+(AF23-$AF$98)^2+(AG23-$AG$98)^2)</f>
        <v>1.5275433815609514</v>
      </c>
      <c r="HL23" s="36" t="s">
        <v>336</v>
      </c>
      <c r="HM23" s="37" t="s">
        <v>120</v>
      </c>
      <c r="HO23" s="44"/>
      <c r="HP23" s="36">
        <f>SQRT((A23-$A$99)^2+(B23-$B$99)^2+(C23-$C$99)^2+(D23-$D$99)^2+(E23-$E$99)^2+(F23-$F$99)^2+(G23-$G$99)^2+(H23-$H$99)^2+(I23-$I$99)^2+(J23-$J$99)^2+(K23-$K$99)^2+(L23-$L$99)^2+(M23-$M$99)^2+(N23-$N$99)^2+(O23-$O$99)^2+(P23-$P$99)^2+(Q23-$Q$99)^2+(R23-$R$99)^2+(S23-$S$99)^2+(T23-$T$99)^2+(U23-$U$99)^2+(V23-$V$99)^2+(W23-$W$99)^2+(X23-$X$99)^2+(Y23-$Y$99)^2+(Z23-$Z$99)^2+(AA23-$AA$99)^2+(AB23-$AB$99)^2+(AC23-$AC$99)^2+(AD23-$AD$99)^2+(AE23-$AE$99)^2+(AF23-$AF$99)^2+(AG23-$AG$99)^2)</f>
        <v>1.5275433815609514</v>
      </c>
      <c r="HQ23" s="36" t="s">
        <v>336</v>
      </c>
      <c r="HR23" s="37" t="s">
        <v>120</v>
      </c>
      <c r="HT23" s="44"/>
      <c r="HU23" s="36">
        <f>SQRT((A23-$A$100)^2+(B23-$B$100)^2+(C23-$C$100)^2+(D23-$D$100)^2+(E23-$E$100)^2+(F23-$F$100)^2+(G23-$G$100)^2+(H23-$H$100)^2+(I23-$I$100)^2+(J23-$J$100)^2+(K23-$K$100)^2+(L23-$L$100)^2+(M23-$M$100)^2+(N23-$N$100)^2+(O23-$O$100)^2+(P23-$P$100)^2+(Q23-$Q$100)^2+(R23-$R$100)^2+(S23-$S$100)^2+(T23-$T$100)^2+(U23-$U$100)^2+(V23-$V$100)^2+(W23-$W$100)^2+(X23-$X$100)^2+(Y23-$Y$100)^2+(Z23-$Z$100)^2+(AA23-$AA$100)^2+(AB23-$AB$100)^2+(AC23-$AC$100)^2+(AD23-$AD$100)^2+(AE23-$AE$100)^2+(AF23-$AF$100)^2+(AG23-$AG$100)^2)</f>
        <v>1.5275433815609514</v>
      </c>
      <c r="HV23" s="36" t="s">
        <v>336</v>
      </c>
      <c r="HW23" s="37" t="s">
        <v>120</v>
      </c>
      <c r="HY23" s="44"/>
      <c r="HZ23" s="36">
        <f>SQRT((A23-$A$101)^2+(B23-$B$101)^2+(C23-$C$101)^2+(D23-$D$101)^2+(E23-$E$101)^2+(F23-$F$101)^2+(G23-$G$101)^2+(H23-$H$101)^2+(I23-$I$101)^2+(J23-$J$101)^2+(K23-$K$101)^2+(L23-$L$101)^2+(M23-$M$101)^2+(N23-$N$101)^2+(O23-$O$101)^2+(P23-$P$101)^2+(Q23-$Q$101)^2+(R23-$R$101)^2+(S23-$S$101)^2+(T23-$T$101)^2+(U23-$U$101)^2+(V23-$V$101)^2+(W23-$W$101)^2+(X23-$X$101)^2+(Y23-$Y$101)^2+(Z23-$Z$101)^2+(AA23-$AA$101)^2+(AB23-$AB$101)^2+(AC23-$AC$101)^2+(AD23-$AD$101)^2+(AE23-$AE$101)^2+(AF23-$AF$101)^2+(AG23-$AG$101)^2)</f>
        <v>1.5346656313676921</v>
      </c>
      <c r="IA23" s="36" t="s">
        <v>128</v>
      </c>
      <c r="IB23" s="37" t="s">
        <v>120</v>
      </c>
    </row>
    <row r="24" spans="1:236" x14ac:dyDescent="0.35">
      <c r="A24" s="2">
        <v>0.33333333333333298</v>
      </c>
      <c r="B24" s="2">
        <v>0</v>
      </c>
      <c r="C24" s="2">
        <v>0</v>
      </c>
      <c r="D24" s="2">
        <v>0.66666666666666596</v>
      </c>
      <c r="E24" s="2">
        <v>0</v>
      </c>
      <c r="F24" s="2">
        <v>1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0.4</v>
      </c>
      <c r="Q24" s="2">
        <v>1</v>
      </c>
      <c r="R24" s="2">
        <v>0</v>
      </c>
      <c r="S24" s="2">
        <v>1</v>
      </c>
      <c r="T24" s="2">
        <v>1</v>
      </c>
      <c r="U24" s="2">
        <v>1</v>
      </c>
      <c r="V24" s="2">
        <v>0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0</v>
      </c>
      <c r="AH24" s="2" t="s">
        <v>120</v>
      </c>
      <c r="AI24" s="42"/>
      <c r="AJ24" s="42"/>
      <c r="AL24" s="44"/>
      <c r="AM24" s="36">
        <f>SQRT((A24-$A$62)^2+(B24-$B$62)^2+(C24-$C$62)^2+(D24-$D$62)^2+(E24-$E$62)^2+(F24-$F$62)^2+(G24-$G$62)^2+(H24-$H$62)^2+(I24-$I$62)^2+(J24-$J$62)^2+(K24-$K$62)^2+(L24-$L$62)^2+(M24-$M$62)^2+(N24-$N$62)^2+(O24-$O$62)^2+(P24-$P$62)^2+(Q24-$Q$62)^2+(R24-$R$62)^2+(S24-$S$62)^2+(T24-$T$62)^2+(U24-$U$62)^2+(V24-$V$62)^2+(W24-$W$62)^2+(X24-$X$62)^2+(Y24-$Y$62)^2+(Z24-$Z$62)^2+(AA24-$AA$62)^2+(AB24-$AB$62)^2+(AC24-$AC$62)^2+(AD24-$AD$62)^2+(AE24-$AE$62)^2+(AF24-$AF$62)^2+(AG24-$AG$62)^2)</f>
        <v>2.0986841850650073</v>
      </c>
      <c r="AN24" s="36" t="s">
        <v>149</v>
      </c>
      <c r="AO24" s="37" t="s">
        <v>120</v>
      </c>
      <c r="AQ24" s="44"/>
      <c r="AR24" s="36">
        <f>SQRT((A24-$A$63)^2+(B24-$B$63)^2+(C24-$C$63)^2+(D24-$D$63)^2+(E24-$E$63)^2+(F24-$F$63)^2+(G24-$G$63)^2+(H24-$H$63)^2+(I24-$I$63)^2+(J24-$J$63)^2+(K24-$K$63)^2+(L24-$L$63)^2+(M24-$M$63)^2+(N24-$N$63)^2+(O24-$O$63)^2+(P24-$P$63)^2+(Q24-$Q$63)^2+(R24-$R$63)^2+(S24-$S$63)^2+(T24-$T$63)^2+(U24-$U$63)^2+(V24-$V$63)^2+(W24-$W$63)^2+(X24-$X$63)^2+(Y24-$Y$63)^2+(Z24-$Z$63)^2+(AA24-$AA$63)^2+(AB24-$AB$63)^2+(AC24-$AC$63)^2+(AD24-$AD$63)^2+(AE24-$AE$63)^2+(AF24-$AF$63)^2+(AG24-$AG$63)^2)</f>
        <v>1.6952205119374142</v>
      </c>
      <c r="AS24" s="36" t="s">
        <v>337</v>
      </c>
      <c r="AT24" s="37" t="s">
        <v>120</v>
      </c>
      <c r="AU24" s="30"/>
      <c r="AV24" s="44"/>
      <c r="AW24" s="36">
        <f>SQRT((A24-$A$64)^2+(B24-$B$64)^2+(C24-$C$64)^2+(D24-$D$64)^2+(E24-$E$64)^2+(F24-$F$64)^2+(G24-$G$64)^2+(H24-$H$64)^2+(I24-$I$64)^2+(J24-$J$64)^2+(K24-$K$64)^2+(L24-$L$64)^2+(M24-$M$64)^2+(N24-$N$64)^2+(O24-$O$64)^2+(P24-$P$64)^2+(Q24-$Q$64)^2+(R24-$R$64)^2+(S24-$S$64)^2+(T24-$T$64)^2+(U24-$U$64)^2+(V24-$V$64)^2+(W24-$W$64)^2+(X24-$X$64)^2+(Y24-$Y$64)^2+(Z24-$Z$64)^2+(AA24-$AA$64)^2+(AB24-$AB$64)^2+(AC24-$AC$64)^2+(AD24-$AD$64)^2+(AE24-$AE$64)^2+(AF24-$AF$64)^2+(AG24-$AG$64)^2)</f>
        <v>1.6952205119374142</v>
      </c>
      <c r="AX24" s="36" t="s">
        <v>337</v>
      </c>
      <c r="AY24" s="37" t="s">
        <v>120</v>
      </c>
      <c r="AZ24" s="30"/>
      <c r="BA24" s="44"/>
      <c r="BB24" s="36">
        <f>SQRT((A24-$A$65)^2+(B24-$B$65)^2+(C24-$C$65)^2+(D24-$D$65)^2+(E24-$E$65)^2+(F24-$F$65)^2+(G24-$G$65)^2+(H24-$H$65)^2+(I24-$I$65)^2+(J24-$J$65)^2+(K24-$K$65)^2+(L24-$L$65)^2+(M24-$M$65)^2+(N24-$N$65)^2+(O24-$O$65)^2+(P24-$P$65)^2+(Q24-$Q$65)^2+(R24-$R$65)^2+(S24-$S$65)^2+(T24-$T$65)^2+(U24-$U$65)^2+(V24-$V$65)^2+(W24-$W$65)^2+(X24-$X$65)^2+(Y24-$Y$65)^2+(Z24-$Z$65)^2+(AA24-$AA$65)^2+(AB24-$AB$65)^2+(AC24-$AC$65)^2+(AD24-$AD$65)^2+(AE24-$AE$65)^2+(AF24-$AF$65)^2+(AG24-$AG$65)^2)</f>
        <v>1.6952205119374142</v>
      </c>
      <c r="BC24" s="36" t="s">
        <v>337</v>
      </c>
      <c r="BD24" s="37" t="s">
        <v>120</v>
      </c>
      <c r="BE24" s="30"/>
      <c r="BF24" s="44"/>
      <c r="BG24" s="36">
        <f>SQRT((A24-$A$66)^2+(B24-$B$66)^2+(C24-$C$66)^2+(D24-$D$66)^2+(E24-$E$66)^2+(F24-$F$66)^2+(G24-$G$66)^2+(H24-$H$66)^2+(I24-$I$66)^2+(J24-$J$66)^2+(K24-$K$66)^2+(L24-$L$66)^2+(M24-$M$66)^2+(N24-$N$66)^2+(O24-$O$66)^2+(P24-$P$66)^2+(Q24-$Q$66)^2+(R24-$R$66)^2+(S24-$S$66)^2+(T24-$T$66)^2+(U24-$U$66)^2+(V24-$V$66)^2+(W24-$W$66)^2+(X24-$X$66)^2+(Y24-$Y$66)^2+(Z24-$Z$66)^2+(AA24-$AA$66)^2+(AB24-$AB$66)^2+(AC24-$AC$66)^2+(AD24-$AD$66)^2+(AE24-$AE$66)^2+(AF24-$AF$66)^2+(AG24-$AG$66)^2)</f>
        <v>1.6952205119374142</v>
      </c>
      <c r="BH24" s="36" t="s">
        <v>337</v>
      </c>
      <c r="BI24" s="37" t="s">
        <v>120</v>
      </c>
      <c r="BJ24" s="30"/>
      <c r="BK24" s="44"/>
      <c r="BL24" s="36">
        <f>SQRT((A24-$A$67)^2+(B24-$B$67)^2+(C24-$C$67)^2+(D24-$D$67)^2+(E24-$E$67)^2+(F24-$F$67)^2+(G24-$G$67)^2+(H24-$H$67)^2+(I24-$I$67)^2+(J24-$J$67)^2+(K24-$K$67)^2+(L24-$L$67)^2+(M24-$M$67)^2+(N24-$N$67)^2+(O24-$O$67)^2+(P24-$P$67)^2+(Q24-$Q$67)^2+(R24-$R$67)^2+(S24-$S$67)^2+(T24-$T$67)^2+(U24-$U$67)^2+(V24-$V$67)^2+(W24-$W$67)^2+(X24-$X$67)^2+(Y24-$Y$67)^2+(Z24-$Z$67)^2+(AA24-$AA$67)^2+(AB24-$AB$67)^2+(AC24-$AC$67)^2+(AD24-$AD$67)^2+(AE24-$AE$67)^2+(AF24-$AF$67)^2+(AG24-$AG$67)^2)</f>
        <v>1.6952205119374142</v>
      </c>
      <c r="BM24" s="36" t="s">
        <v>337</v>
      </c>
      <c r="BN24" s="37" t="s">
        <v>120</v>
      </c>
      <c r="BO24" s="30"/>
      <c r="BP24" s="44"/>
      <c r="BQ24" s="36">
        <f>SQRT((A24-$A$68)^2+(B24-$B$68)^2+(C24-$C$68)^2+(D24-$D$68)^2+(E24-$E$68)^2+(F24-$F$68)^2+(G24-$G$68)^2+(H24-$H$68)^2+(I24-$I$68)^2+(J24-$J$68)^2+(K24-$K$68)^2+(L24-$L$68)^2+(M24-$M$68)^2+(N24-$N$68)^2+(O24-$O$68)^2+(P24-$P$68)^2+(Q24-$Q$68)^2+(R24-$R$68)^2+(S24-$S$68)^2+(T24-$T$68)^2+(U24-$U$68)^2+(V24-$V$68)^2+(W24-$W$68)^2+(X24-$X$68)^2+(Y24-$Y$68)^2+(Z24-$Z$68)^2+(AA24-$AA$68)^2+(AB24-$AB$68)^2+(AC24-$AC$68)^2+(AD24-$AD$68)^2+(AE24-$AE$68)^2+(AF24-$AF$68)^2+(AG24-$AG$68)^2)</f>
        <v>1.6952205119374142</v>
      </c>
      <c r="BR24" s="36" t="s">
        <v>337</v>
      </c>
      <c r="BS24" s="37" t="s">
        <v>120</v>
      </c>
      <c r="BT24" s="30"/>
      <c r="BU24" s="44"/>
      <c r="BV24" s="36">
        <f>SQRT((A24-$A$69)^2+(B24-$B$69)^2+(C24-$C$69)^2+(D24-$D$69)^2+(E24-$E$69)^2+(F24-$F$69)^2+(G24-$G$69)^2+(H24-$H$69)^2+(I24-$I$69)^2+(J24-$J$69)^2+(K24-$K$69)^2+(L24-$L$69)^2+(M24-$M$69)^2+(N24-$N$69)^2+(O24-$O$69)^2+(P24-$P$69)^2+(Q24-$Q$69)^2+(R24-$R$69)^2+(S24-$S$69)^2+(T24-$T$69)^2+(U24-$U$69)^2+(V24-$V$69)^2+(W24-$W$69)^2+(X24-$X$69)^2+(Y24-$Y$69)^2+(Z24-$Z$69)^2+(AA24-$AA$69)^2+(AB24-$AB$69)^2+(AC24-$AC$69)^2+(AD24-$AD$69)^2+(AE24-$AE$69)^2+(AF24-$AF$69)^2+(AG24-$AG$69)^2)</f>
        <v>2.8250301946878515</v>
      </c>
      <c r="BW24" s="36" t="s">
        <v>333</v>
      </c>
      <c r="BX24" s="37" t="s">
        <v>120</v>
      </c>
      <c r="BZ24" s="44"/>
      <c r="CA24" s="36">
        <f>SQRT((A24-$A$70)^2+(B24-$B$70)^2+(C24-$C$70)^2+(D24-$D$70)^2+(E24-$E$70)^2+(F24-$F$70)^2+(G24-$G$70)^2+(H24-$H$70)^2+(I24-$I$70)^2+(J24-$J$70)^2+(K24-$K$70)^2+(L24-$L$70)^2+(M24-$M$70)^2+(N24-$N$70)^2+(O24-$O$70)^2+(P24-$P$70)^2+(Q24-$Q$70)^2+(R24-$R$70)^2+(S24-$S$70)^2+(T24-$T$70)^2+(U24-$U$70)^2+(V24-$V$70)^2+(W24-$W$70)^2+(X24-$X$70)^2+(Y24-$Y$70)^2+(Z24-$Z$70)^2+(AA24-$AA$70)^2+(AB24-$AB$70)^2+(AC24-$AC$70)^2+(AD24-$AD$70)^2+(AE24-$AE$70)^2+(AF24-$AF$70)^2+(AG24-$AG$70)^2)</f>
        <v>1.9020123168178746</v>
      </c>
      <c r="CB24" s="36" t="s">
        <v>338</v>
      </c>
      <c r="CC24" s="37" t="s">
        <v>120</v>
      </c>
      <c r="CE24" s="44"/>
      <c r="CF24" s="36">
        <f>SQRT((A24-$A$71)^2+(B24-$B$71)^2+(C24-$C$71)^2+(D24-$D$71)^2+(E24-$E$71)^2+(F24-$F$71)^2+(G24-$G$71)^2+(H24-$H$71)^2+(I24-$I$71)^2+(J24-$J$71)^2+(K24-$K$71)^2+(L24-$L$71)^2+(M24-$M$71)^2+(N24-$N$71)^2+(O24-$O$71)^2+(P24-$P$71)^2+(Q24-$Q$71)^2+(R24-$R$71)^2+(S24-$S$71)^2+(T24-$T$71)^2+(U24-$U$71)^2+(V24-$V$71)^2+(W24-$W$71)^2+(X24-$X$71)^2+(Y24-$Y$71)^2+(Z24-$Z$71)^2+(AA24-$AA$71)^2+(AB24-$AB$71)^2+(AC24-$AC$71)^2+(AD24-$AD$71)^2+(AE24-$AE$71)^2+(AF24-$AF$71)^2+(AG24-$AG$71)^2)</f>
        <v>2.1729743486736255</v>
      </c>
      <c r="CG24" s="36" t="s">
        <v>133</v>
      </c>
      <c r="CH24" s="37" t="s">
        <v>120</v>
      </c>
      <c r="CJ24" s="44"/>
      <c r="CK24" s="36">
        <f>SQRT((A24-$A$72)^2+(B24-$B$72)^2+(C24-$C$72)^2+(D24-$D$72)^2+(E24-$E$72)^2+(F24-$F$72)^2+(G24-$G$72)^2+(H24-$H$72)^2+(I24-$I$72)^2+(J24-$J$72)^2+(K24-$K$72)^2+(L24-$L$72)^2+(M24-$M$72)^2+(N24-$N$72)^2+(O24-$O$72)^2+(P24-$P$72)^2+(Q24-$Q$72)^2+(R24-$R$72)^2+(S24-$S$72)^2+(T24-$T$72)^2+(U24-$U$72)^2+(V24-$V$72)^2+(W24-$W$72)^2+(X24-$X$72)^2+(Y24-$Y$72)^2+(Z24-$Z$72)^2+(AA24-$AA$72)^2+(AB24-$AB$72)^2+(AC24-$AC$72)^2+(AD24-$AD$72)^2+(AE24-$AE$72)^2+(AF24-$AF$72)^2+(AG24-$AG$72)^2)</f>
        <v>2.0488771966389652</v>
      </c>
      <c r="CL24" s="36" t="s">
        <v>145</v>
      </c>
      <c r="CM24" s="37" t="s">
        <v>120</v>
      </c>
      <c r="CO24" s="44"/>
      <c r="CP24" s="36">
        <f>SQRT((A24-$A$73)^2+(B24-$B$73)^2+(C24-$C$73)^2+(D24-$D$73)^2+(E24-$E$73)^2+(F24-$F$73)^2+(G24-$G$73)^2+(H24-$H$73)^2+(I24-$I$73)^2+(J24-$J$73)^2+(K24-$K$73)^2+(L24-$L$73)^2+(M24-$M$73)^2+(N24-$N$73)^2+(O24-$O$73)^2+(P24-$P$73)^2+(Q24-$Q$73)^2+(R24-$R$73)^2+(S24-$S$73)^2+(T24-$T$73)^2+(U24-$U$73)^2+(V24-$V$73)^2+(W24-$W$73)^2+(X24-$X$73)^2+(Y24-$Y$73)^2+(Z24-$Z$73)^2+(AA24-$AA$73)^2+(AB24-$AB$73)^2+(AC24-$AC$73)^2+(AD24-$AD$73)^2+(AE24-$AE$73)^2+(AF24-$AF$73)^2+(AG24-$AG$73)^2)</f>
        <v>1.3312599619983139</v>
      </c>
      <c r="CQ24" s="36" t="s">
        <v>146</v>
      </c>
      <c r="CR24" s="37" t="s">
        <v>120</v>
      </c>
      <c r="CT24" s="44"/>
      <c r="CU24" s="36">
        <f>SQRT((A24-$A$74)^2+(B24-$B$74)^2+(C24-$C$74)^2+(D24-$D$74)^2+(E24-$E$74)^2+(F24-$F$74)^2+(G24-$G$74)^2+(H24-$H$74)^2+(I24-$I$74)^2+(J24-$J$74)^2+(K24-$K$74)^2+(L24-$L$74)^2+(M24-$M$74)^2+(N24-$N$74)^2+(O24-$O$74)^2+(P24-$P$74)^2+(Q24-$Q$74)^2+(R24-$R$74)^2+(S24-$S$74)^2+(T24-$T$74)^2+(U24-$U$74)^2+(V24-$V$74)^2+(W24-$W$74)^2+(X24-$X$74)^2+(Y24-$Y$74)^2+(Z24-$Z$74)^2+(AA24-$AA$74)^2+(AB24-$AB$74)^2+(AC24-$AC$74)^2+(AD24-$AD$74)^2+(AE24-$AE$74)^2+(AF24-$AF$74)^2+(AG24-$AG$74)^2)</f>
        <v>1.6613340615895196</v>
      </c>
      <c r="CV24" s="36" t="s">
        <v>125</v>
      </c>
      <c r="CW24" s="37" t="s">
        <v>120</v>
      </c>
      <c r="CY24" s="44"/>
      <c r="CZ24" s="36">
        <f>SQRT((A24-$A$75)^2+(B24-$B$75)^2+(C24-$C$75)^2+(D24-$D$75)^2+(E24-$E$75)^2+(F24-$F$75)^2+(G24-$G$75)^2+(H24-$H$75)^2+(I24-$I$75)^2+(J24-$J$75)^2+(K24-$K$75)^2+(L24-$L$75)^2+(M24-$M$75)^2+(N24-$N$75)^2+(O24-$O$75)^2+(P24-$P$75)^2+(Q24-$Q$75)^2+(R24-$R$75)^2+(S24-$S$75)^2+(T24-$T$75)^2+(U24-$U$75)^2+(V24-$V$75)^2+(W24-$W$75)^2+(X24-$X$75)^2+(Y24-$Y$75)^2+(Z24-$Z$75)^2+(AA24-$AA$75)^2+(AB24-$AB$75)^2+(AC24-$AC$75)^2+(AD24-$AD$75)^2+(AE24-$AE$75)^2+(AF24-$AF$75)^2+(AG24-$AG$75)^2)</f>
        <v>1.6733292754857096</v>
      </c>
      <c r="DA24" s="36" t="s">
        <v>132</v>
      </c>
      <c r="DB24" s="37" t="s">
        <v>120</v>
      </c>
      <c r="DD24" s="44"/>
      <c r="DE24" s="36">
        <f>SQRT((A24-$A$76)^2+(B24-$B$76)^2+(C24-$C$76)^2+(D24-$D$76)^2+(E24-$E$76)^2+(F24-$F$76)^2+(G24-$G$76)^2+(H24-$H$76)^2+(I24-$I$76)^2+(J24-$J$76)^2+(K24-$K$76)^2+(L24-$L$76)^2+(M24-$M$76)^2+(N24-$N$76)^2+(O24-$O$76)^2+(P24-$P$76)^2+(Q24-$Q$76)^2+(R24-$R$76)^2+(S24-$S$76)^2+(T24-$T$76)^2+(U24-$U$76)^2+(V24-$V$76)^2+(W24-$W$76)^2+(X24-$X$76)^2+(Y24-$Y$76)^2+(Z24-$Z$76)^2+(AA24-$AA$76)^2+(AB24-$AB$76)^2+(AC24-$AC$76)^2+(AD24-$AD$76)^2+(AE24-$AE$76)^2+(AF24-$AF$76)^2+(AG24-$AG$76)^2)</f>
        <v>2.2553708189262793</v>
      </c>
      <c r="DF24" s="36" t="s">
        <v>152</v>
      </c>
      <c r="DG24" s="37" t="s">
        <v>120</v>
      </c>
      <c r="DI24" s="44"/>
      <c r="DJ24" s="36">
        <f>SQRT((A24-$A$77)^2+(B24-$B$77)^2+(C24-$C$77)^2+(D24-$D$77)^2+(E24-$E$77)^2+(F24-$F$77)^2+(G24-$G$77)^2+(H24-$H$77)^2+(I24-$I$77)^2+(J24-$J$77)^2+(K24-$K$77)^2+(L24-$L$77)^2+(M24-$M$77)^2+(N24-$N$77)^2+(O24-$O$77)^2+(P24-$P$77)^2+(Q24-$Q$77)^2+(R24-$R$77)^2+(S24-$S$77)^2+(T24-$T$77)^2+(U24-$U$77)^2+(V24-$V$77)^2+(W24-$W$77)^2+(X24-$X$77)^2+(Y24-$Y$77)^2+(Z24-$Z$77)^2+(AA24-$AA$77)^2+(AB24-$AB$77)^2+(AC24-$AC$77)^2+(AD24-$AD$77)^2+(AE24-$AE$77)^2+(AF24-$AF$77)^2+(AG24-$AG$77)^2)</f>
        <v>2.3066998499004727</v>
      </c>
      <c r="DK24" s="36" t="s">
        <v>334</v>
      </c>
      <c r="DL24" s="37" t="s">
        <v>120</v>
      </c>
      <c r="DN24" s="44"/>
      <c r="DO24" s="36">
        <f>SQRT((A24-$A$78)^2+(B24-$B$78)^2+(C24-$C$78)^2+(D24-$D$78)^2+(E24-$E$78)^2+(F24-$F$78)^2+(G24-$G$78)^2+(H24-$H$78)^2+(I24-$I$78)^2+(J24-$J$78)^2+(K24-$K$78)^2+(L24-$L$78)^2+(M24-$M$78)^2+(N24-$N$78)^2+(O24-$O$78)^2+(P24-$P$78)^2+(Q24-$Q$78)^2+(R24-$R$78)^2+(S24-$S$78)^2+(T24-$T$78)^2+(U24-$U$78)^2+(V24-$V$78)^2+(W24-$W$78)^2+(X24-$X$78)^2+(Y24-$Y$78)^2+(Z24-$Z$78)^2+(AA24-$AA$78)^2+(AB24-$AB$78)^2+(AC24-$AC$78)^2+(AD24-$AD$78)^2+(AE24-$AE$78)^2+(AF24-$AF$78)^2+(AG24-$AG$78)^2)</f>
        <v>1.6323907394503678</v>
      </c>
      <c r="DP24" s="36" t="s">
        <v>134</v>
      </c>
      <c r="DQ24" s="37" t="s">
        <v>120</v>
      </c>
      <c r="DS24" s="44"/>
      <c r="DT24" s="36">
        <f>SQRT((A24-$A$79)^2+(B24-$B$79)^2+(C24-$C$79)^2+(D24-$D$79)^2+(E24-$E$79)^2+(F24-$F$79)^2+(G24-$G$79)^2+(H24-$H$79)^2+(I24-$I$79)^2+(J24-$J$79)^2+(K24-$K$79)^2+(L24-$L$79)^2+(M24-$M$79)^2+(N24-$N$79)^2+(O24-$O$79)^2+(P24-$P$79)^2+(Q24-$Q$79)^2+(R24-$R$79)^2+(S24-$S$79)^2+(T24-$T$79)^2+(U24-$U$79)^2+(V24-$V$79)^2+(W24-$W$79)^2+(X24-$X$79)^2+(Y24-$Y$79)^2+(Z24-$Z$79)^2+(AA24-$AA$79)^2+(AB24-$AB$79)^2+(AC24-$AC$79)^2+(AD24-$AD$79)^2+(AE24-$AE$79)^2+(AF24-$AF$79)^2+(AG24-$AG$79)^2)</f>
        <v>2.0713284069338656</v>
      </c>
      <c r="DU24" s="36" t="s">
        <v>150</v>
      </c>
      <c r="DV24" s="37" t="s">
        <v>120</v>
      </c>
      <c r="DX24" s="44"/>
      <c r="DY24" s="36">
        <f>SQRT((A24-$A$80)^2+(B24-$B$80)^2+(C24-$C$80)^2+(D24-$D$80)^2+(E24-$E$80)^2+(F24-$F$80)^2+(G24-$G$80)^2+(H24-$H$80)^2+(I24-$I$80)^2+(J24-$J$80)^2+(K24-$K$80)^2+(L24-$L$80)^2+(M24-$M$80)^2+(N24-$N$80)^2+(O24-$O$80)^2+(P24-$P$80)^2+(Q24-$Q$80)^2+(R24-$R$80)^2+(S24-$S$80)^2+(T24-$T$80)^2+(U24-$U$80)^2+(V24-$V$80)^2+(W24-$W$80)^2+(X24-$X$80)^2+(Y24-$Y$80)^2+(Z24-$Z$80)^2+(AA24-$AA$80)^2+(AB24-$AB$80)^2+(AC24-$AC$80)^2+(AD24-$AD$80)^2+(AE24-$AE$80)^2+(AF24-$AF$80)^2+(AG24-$AG$80)^2)</f>
        <v>2.3942124146407213</v>
      </c>
      <c r="DZ24" s="36" t="s">
        <v>319</v>
      </c>
      <c r="EA24" s="37" t="s">
        <v>120</v>
      </c>
      <c r="EC24" s="44"/>
      <c r="ED24" s="36">
        <f>SQRT((A24-$A$81)^2+(B24-$B$81)^2+(C24-$C$81)^2+(D24-$D$81)^2+(E24-$E$81)^2+(F24-$F$81)^2+(G24-$G$81)^2+(H24-$H$81)^2+(I24-$I$81)^2+(J24-$J$81)^2+(K24-$K$81)^2+(L24-$L$81)^2+(M24-$M$81)^2+(N24-$N$81)^2+(O24-$O$81)^2+(P24-$P$81)^2+(Q24-$Q$81)^2+(R24-$R$81)^2+(S24-$S$81)^2+(T24-$T$81)^2+(U24-$U$81)^2+(V24-$V$81)^2+(W24-$W$81)^2+(X24-$X$81)^2+(Y24-$Y$81)^2+(Z24-$Z$81)^2+(AA24-$AA$81)^2+(AB24-$AB$81)^2+(AC24-$AC$81)^2+(AD24-$AD$81)^2+(AE24-$AE$81)^2+(AF24-$AF$81)^2+(AG24-$AG$81)^2)</f>
        <v>2.366144960755499</v>
      </c>
      <c r="EE24" s="36" t="s">
        <v>153</v>
      </c>
      <c r="EF24" s="37" t="s">
        <v>120</v>
      </c>
      <c r="EH24" s="44"/>
      <c r="EI24" s="36">
        <f>SQRT((A24-$A$82)^2+(B24-$B$82)^2+(C24-$C$82)^2+(D24-$D$82)^2+(E24-$E$82)^2+(F24-$F$82)^2+(G24-$G$82)^2+(H24-$H$82)^2+(I24-$I$82)^2+(J24-$J$82)^2+(K24-$K$82)^2+(L24-$L$82)^2+(M24-$M$82)^2+(N24-$N$82)^2+(O24-$O$82)^2+(P24-$P$82)^2+(Q24-$Q$82)^2+(R24-$R$82)^2+(S24-$S$82)^2+(T24-$T$82)^2+(U24-$U$82)^2+(V24-$V$82)^2+(W24-$W$82)^2+(X24-$X$82)^2+(Y24-$Y$82)^2+(Z24-$Z$82)^2+(AA24-$AA$82)^2+(AB24-$AB$82)^2+(AC24-$AC$82)^2+(AD24-$AD$82)^2+(AE24-$AE$82)^2+(AF24-$AF$82)^2+(AG24-$AG$82)^2)</f>
        <v>2.1468916998041059</v>
      </c>
      <c r="EJ24" s="36" t="s">
        <v>134</v>
      </c>
      <c r="EK24" s="37" t="s">
        <v>120</v>
      </c>
      <c r="EM24" s="44"/>
      <c r="EN24" s="36">
        <f>SQRT((A24-$A$83)^2+(B24-$B$83)^2+(C24-$C$83)^2+(D24-$D$83)^2+(E24-$E$83)^2+(F24-$F$83)^2+(G24-$G$83)^2+(H24-$H$83)^2+(I24-$I$83)^2+(J24-$J$83)^2+(K24-$K$83)^2+(L24-$L$83)^2+(M24-$M$83)^2+(N24-$N$83)^2+(O24-$O$83)^2+(P24-$P$83)^2+(Q24-$Q$83)^2+(R24-$R$83)^2+(S24-$S$83)^2+(T24-$T$83)^2+(U24-$U$83)^2+(V24-$V$83)^2+(W24-$W$83)^2+(X24-$X$83)^2+(Y24-$Y$83)^2+(Z24-$Z$83)^2+(AA24-$AA$83)^2+(AB24-$AB$83)^2+(AC24-$AC$83)^2+(AD24-$AD$83)^2+(AE24-$AE$83)^2+(AF24-$AF$83)^2+(AG24-$AG$83)^2)</f>
        <v>1.6200924437337885</v>
      </c>
      <c r="EO24" s="36" t="s">
        <v>339</v>
      </c>
      <c r="EP24" s="37" t="s">
        <v>120</v>
      </c>
      <c r="ER24" s="44"/>
      <c r="ES24" s="36">
        <f>SQRT((A24-$A$84)^2+(B24-$B$84)^2+(C24-$C$84)^2+(D24-$D$84)^2+(E24-$E$84)^2+(F24-$F$84)^2+(G24-$G$84)^2+(H24-$H$84)^2+(I24-$I$84)^2+(J24-$J$84)^2+(K24-$K$84)^2+(L24-$L$84)^2+(M24-$M$84)^2+(N24-$N$84)^2+(O24-$O$84)^2+(P24-$P$84)^2+(Q24-$Q$84)^2+(R24-$R$84)^2+(S24-$S$84)^2+(T24-$T$84)^2+(U24-$U$84)^2+(V24-$V$84)^2+(W24-$W$84)^2+(X24-$X$84)^2+(Y24-$Y$84)^2+(Z24-$Z$84)^2+(AA24-$AA$84)^2+(AB24-$AB$84)^2+(AC24-$AC$84)^2+(AD24-$AD$84)^2+(AE24-$AE$84)^2+(AF24-$AF$84)^2+(AG24-$AG$84)^2)</f>
        <v>1.6952205119374142</v>
      </c>
      <c r="ET24" s="36" t="s">
        <v>337</v>
      </c>
      <c r="EU24" s="37" t="s">
        <v>120</v>
      </c>
      <c r="EW24" s="44"/>
      <c r="EX24" s="36">
        <f>SQRT((A24-$A$85)^2+(B24-$B$85)^2+(C24-$C$85)^2+(D24-$D$85)^2+(E24-$E$85)^2+(F24-$F$85)^2+(G24-$G$85)^2+(H24-$H$85)^2+(I24-$I$85)^2+(J24-$J$85)^2+(K24-$K$85)^2+(L24-$L$85)^2+(M24-$M$85)^2+(N24-$N$85)^2+(O24-$O$85)^2+(P24-$P$85)^2+(Q24-$Q$85)^2+(R24-$R$85)^2+(S24-$S$85)^2+(T24-$T$85)^2+(U24-$U$85)^2+(V24-$V$85)^2+(W24-$W$85)^2+(X24-$X$85)^2+(Y24-$Y$85)^2+(Z24-$Z$85)^2+(AA24-$AA$85)^2+(AB24-$AB$85)^2+(AC24-$AC$85)^2+(AD24-$AD$85)^2+(AE24-$AE$85)^2+(AF24-$AF$85)^2+(AG24-$AG$85)^2)</f>
        <v>1.6952205119374142</v>
      </c>
      <c r="EY24" s="36" t="s">
        <v>337</v>
      </c>
      <c r="EZ24" s="37" t="s">
        <v>120</v>
      </c>
      <c r="FB24" s="44"/>
      <c r="FC24" s="36">
        <f>SQRT((A24-$A$86)^2+(B24-$B$86)^2+(C24-$C$86)^2+(D24-$D$86)^2+(E24-$E$86)^2+(F24-$F$86)^2+(G24-$G$86)^2+(H24-$H$86)^2+(I24-$I$86)^2+(J24-$J$86)^2+(K24-$K$86)^2+(L24-$L$86)^2+(M24-$M$86)^2+(N24-$N$86)^2+(O24-$O$86)^2+(P24-$P$86)^2+(Q24-$Q$86)^2+(R24-$R$86)^2+(S24-$S$86)^2+(T24-$T$86)^2+(U24-$U$86)^2+(V24-$V$86)^2+(W24-$W$86)^2+(X24-$X$86)^2+(Y24-$Y$86)^2+(Z24-$Z$86)^2+(AA24-$AA$86)^2+(AB24-$AB$86)^2+(AC24-$AC$86)^2+(AD24-$AD$86)^2+(AE24-$AE$86)^2+(AF24-$AF$86)^2+(AG24-$AG$86)^2)</f>
        <v>1.6952205119374142</v>
      </c>
      <c r="FD24" s="36" t="s">
        <v>337</v>
      </c>
      <c r="FE24" s="37" t="s">
        <v>120</v>
      </c>
      <c r="FG24" s="44"/>
      <c r="FH24" s="36">
        <f>SQRT((A24-$A$87)^2+(B24-$B$87)^2+(C24-$C$87)^2+(D24-$D$87)^2+(E24-$E$87)^2+(F24-$F$87)^2+(G24-$G$87)^2+(H24-$H$87)^2+(I24-$I$87)^2+(J24-$J$87)^2+(K24-$K$87)^2+(L24-$L$87)^2+(M24-$M$87)^2+(N24-$N$87)^2+(O24-$O$87)^2+(P24-$P$87)^2+(Q24-$Q$87)^2+(R24-$R$87)^2+(S24-$S$87)^2+(T24-$T$87)^2+(U24-$U$87)^2+(V24-$V$87)^2+(W24-$W$87)^2+(X24-$X$87)^2+(Y24-$Y$87)^2+(Z24-$Z$87)^2+(AA24-$AA$87)^2+(AB24-$AB$87)^2+(AC24-$AC$87)^2+(AD24-$AD$87)^2+(AE24-$AE$87)^2+(AF24-$AF$87)^2+(AG24-$AG$87)^2)</f>
        <v>1.9189197707094876</v>
      </c>
      <c r="FI24" s="36" t="s">
        <v>326</v>
      </c>
      <c r="FJ24" s="37" t="s">
        <v>120</v>
      </c>
      <c r="FL24" s="44"/>
      <c r="FM24" s="36">
        <f>SQRT((A24-$A$88)^2+(B24-$B$88)^2+(C24-$C$88)^2+(D24-$D$88)^2+(E24-$E$88)^2+(F24-$F$88)^2+(G24-$G$88)^2+(H24-$H$88)^2+(I24-$I$88)^2+(J24-$J$88)^2+(K24-$K$88)^2+(L24-$L$88)^2+(M24-$M$88)^2+(N24-$N$88)^2+(O24-$O$88)^2+(P24-$P$88)^2+(Q24-$Q$88)^2+(R24-$R$88)^2+(S24-$S$88)^2+(T24-$T$88)^2+(U24-$U$88)^2+(V24-$V$88)^2+(W24-$W$88)^2+(X24-$X$88)^2+(Y24-$Y$88)^2+(Z24-$Z$88)^2+(AA24-$AA$88)^2+(AB24-$AB$88)^2+(AC24-$AC$88)^2+(AD24-$AD$88)^2+(AE24-$AE$88)^2+(AF24-$AF$88)^2+(AG24-$AG$88)^2)</f>
        <v>2.0832362025342017</v>
      </c>
      <c r="FN24" s="36" t="s">
        <v>142</v>
      </c>
      <c r="FO24" s="37" t="s">
        <v>120</v>
      </c>
      <c r="FQ24" s="44"/>
      <c r="FR24" s="36">
        <f>SQRT((A24-$A$89)^2+(B24-$B$89)^2+(C24-$C$89)^2+(D24-$D$89)^2+(E24-$E$89)^2+(F24-$F$89)^2+(G24-$G$89)^2+(H24-$H$89)^2+(I24-$I$89)^2+(J24-$J$89)^2+(K24-$K$89)^2+(L24-$L$89)^2+(M24-$M$89)^2+(N24-$N$89)^2+(O24-$O$89)^2+(P24-$P$89)^2+(Q24-$Q$89)^2+(R24-$R$89)^2+(S24-$S$89)^2+(T24-$T$89)^2+(U24-$U$89)^2+(V24-$V$89)^2+(W24-$W$89)^2+(X24-$X$89)^2+(Y24-$Y$89)^2+(Z24-$Z$89)^2+(AA24-$AA$89)^2+(AB24-$AB$89)^2+(AC24-$AC$89)^2+(AD24-$AD$89)^2+(AE24-$AE$89)^2+(AF24-$AF$89)^2+(AG24-$AG$89)^2)</f>
        <v>2.4540279310594149</v>
      </c>
      <c r="FS24" s="36" t="s">
        <v>131</v>
      </c>
      <c r="FT24" s="37" t="s">
        <v>120</v>
      </c>
      <c r="FV24" s="44"/>
      <c r="FW24" s="36">
        <f>SQRT((A24-$A$90)^2+(B24-$B$90)^2+(C24-$C$90)^2+(D24-$D$90)^2+(E24-$E$90)^2+(F24-$F$90)^2+(G24-$G$90)^2+(H24-$H$90)^2+(I24-$I$90)^2+(J24-$J$90)^2+(K24-$K$90)^2+(L24-$L$90)^2+(M24-$M$90)^2+(N24-$N$90)^2+(O24-$O$90)^2+(P24-$P$90)^2+(Q24-$Q$90)^2+(R24-$R$90)^2+(S24-$S$90)^2+(T24-$T$90)^2+(U24-$U$90)^2+(V24-$V$90)^2+(W24-$W$90)^2+(X24-$X$90)^2+(Y24-$Y$90)^2+(Z24-$Z$90)^2+(AA24-$AA$90)^2+(AB24-$AB$90)^2+(AC24-$AC$90)^2+(AD24-$AD$90)^2+(AE24-$AE$90)^2+(AF24-$AF$90)^2+(AG24-$AG$90)^2)</f>
        <v>2.2055555555555553</v>
      </c>
      <c r="FX24" s="36" t="s">
        <v>321</v>
      </c>
      <c r="FY24" s="37" t="s">
        <v>120</v>
      </c>
      <c r="GA24" s="44"/>
      <c r="GB24" s="36">
        <f>SQRT((A24-$A$91)^2+(B24-$B$91)^2+(C24-$C$91)^2+(D24-$D$91)^2+(E24-$E$91)^2+(F24-$F$91)^2+(G24-$G$91)^2+(H24-$H$91)^2+(I24-$I$91)^2+(J24-$J$91)^2+(K24-$K$91)^2+(L24-$L$91)^2+(M24-$M$91)^2+(N24-$N$91)^2+(O24-$O$91)^2+(P24-$P$91)^2+(Q24-$Q$91)^2+(R24-$R$91)^2+(S24-$S$91)^2+(T24-$T$91)^2+(U24-$U$91)^2+(V24-$V$91)^2+(W24-$W$91)^2+(X24-$X$91)^2+(Y24-$Y$91)^2+(Z24-$Z$91)^2+(AA24-$AA$91)^2+(AB24-$AB$91)^2+(AC24-$AC$91)^2+(AD24-$AD$91)^2+(AE24-$AE$91)^2+(AF24-$AF$91)^2+(AG24-$AG$91)^2)</f>
        <v>1.8281070287710111</v>
      </c>
      <c r="GC24" s="36" t="s">
        <v>325</v>
      </c>
      <c r="GD24" s="37" t="s">
        <v>120</v>
      </c>
      <c r="GF24" s="44"/>
      <c r="GG24" s="36">
        <f>SQRT((A24-$A$92)^2+(B24-$B$92)^2+(C24-$C$92)^2+(D24-$D$92)^2+(E24-$E$92)^2+(F24-$F$92)^2+(G24-$G$92)^2+(H24-$H$92)^2+(I24-$I$92)^2+(J24-$J$92)^2+(K24-$K$92)^2+(L24-$L$92)^2+(M24-$M$92)^2+(N24-$N$92)^2+(O24-$O$92)^2+(P24-$P$92)^2+(Q24-$Q$92)^2+(R24-$R$92)^2+(S24-$S$92)^2+(T24-$T$92)^2+(U24-$U$92)^2+(V24-$V$92)^2+(W24-$W$92)^2+(X24-$X$92)^2+(Y24-$Y$92)^2+(Z24-$Z$92)^2+(AA24-$AA$92)^2+(AB24-$AB$92)^2+(AC24-$AC$92)^2+(AD24-$AD$92)^2+(AE24-$AE$92)^2+(AF24-$AF$92)^2+(AG24-$AG$92)^2)</f>
        <v>2.0496302560852855</v>
      </c>
      <c r="GH24" s="36" t="s">
        <v>335</v>
      </c>
      <c r="GI24" s="37" t="s">
        <v>120</v>
      </c>
      <c r="GK24" s="44"/>
      <c r="GL24" s="36">
        <f>SQRT((A24-$A$93)^2+(B24-$B$93)^2+(C24-$C$93)^2+(D24-$D$93)^2+(E24-$E$93)^2+(F24-$F$93)^2+(G24-$G$93)^2+(H24-$H$93)^2+(I24-$I$93)^2+(J24-$J$93)^2+(K24-$K$93)^2+(L24-$L$93)^2+(M24-$M$93)^2+(N24-$N$93)^2+(O24-$O$93)^2+(P24-$P$93)^2+(Q24-$Q$93)^2+(R24-$R$93)^2+(S24-$S$93)^2+(T24-$T$93)^2+(U24-$U$93)^2+(V24-$V$93)^2+(W24-$W$93)^2+(X24-$X$93)^2+(Y24-$Y$93)^2+(Z24-$Z$93)^2+(AA24-$AA$93)^2+(AB24-$AB$93)^2+(AC24-$AC$93)^2+(AD24-$AD$93)^2+(AE24-$AE$93)^2+(AF24-$AF$93)^2+(AG24-$AG$93)^2)</f>
        <v>1.8920235427762924</v>
      </c>
      <c r="GM24" s="36" t="s">
        <v>124</v>
      </c>
      <c r="GN24" s="37" t="s">
        <v>120</v>
      </c>
      <c r="GP24" s="44"/>
      <c r="GQ24" s="36">
        <f>SQRT((A24-$A$94)^2+(B24-$B$94)^2+(C24-$C$94)^2+(D24-$D$94)^2+(E24-$E$94)^2+(F24-$F$94)^2+(G24-$G$94)^2+(H24-$H$94)^2+(I24-$I$94)^2+(J24-$J$94)^2+(K24-$K$94)^2+(L24-$L$94)^2+(M24-$M$94)^2+(N24-$N$94)^2+(O24-$O$94)^2+(P24-$P$94)^2+(Q24-$Q$94)^2+(R24-$R$94)^2+(S24-$S$94)^2+(T24-$T$94)^2+(U24-$U$94)^2+(V24-$V$94)^2+(W24-$W$94)^2+(X24-$X$94)^2+(Y24-$Y$94)^2+(Z24-$Z$94)^2+(AA24-$AA$94)^2+(AB24-$AB$94)^2+(AC24-$AC$94)^2+(AD24-$AD$94)^2+(AE24-$AE$94)^2+(AF24-$AF$94)^2+(AG24-$AG$94)^2)</f>
        <v>1.9855672499366763</v>
      </c>
      <c r="GR24" s="36" t="s">
        <v>124</v>
      </c>
      <c r="GS24" s="37" t="s">
        <v>120</v>
      </c>
      <c r="GU24" s="44"/>
      <c r="GV24" s="36">
        <f>SQRT((A24-$A$95)^2+(B24-$B$95)^2+(C24-$C$95)^2+(D24-$D$95)^2+(E24-$E$95)^2+(F24-$F$95)^2+(G24-$G$95)^2+(H24-$H$95)^2+(I24-$I$95)^2+(J24-$J$95)^2+(K24-$K$95)^2+(L24-$L$95)^2+(M24-$M$95)^2+(N24-$N$95)^2+(O24-$O$95)^2+(P24-$P$95)^2+(Q24-$Q$95)^2+(R24-$R$95)^2+(S24-$S$95)^2+(T24-$T$95)^2+(U24-$U$95)^2+(V24-$V$95)^2+(W24-$W$95)^2+(X24-$X$95)^2+(Y24-$Y$95)^2+(Z24-$Z$95)^2+(AA24-$AA$95)^2+(AB24-$AB$95)^2+(AC24-$AC$95)^2+(AD24-$AD$95)^2+(AE24-$AE$95)^2+(AF24-$AF$95)^2+(AG24-$AG$95)^2)</f>
        <v>2.4625591426124562</v>
      </c>
      <c r="GW24" s="36" t="s">
        <v>152</v>
      </c>
      <c r="GX24" s="37" t="s">
        <v>120</v>
      </c>
      <c r="GZ24" s="44"/>
      <c r="HA24" s="36">
        <f>SQRT((A24-$A$96)^2+(B24-$B$96)^2+(C24-$C$96)^2+(D24-$D$96)^2+(E24-$E$96)^2+(F24-$F$96)^2+(G24-$G$96)^2+(H24-$H$96)^2+(I24-$I$96)^2+(J24-$J$96)^2+(K24-$K$96)^2+(L24-$L$96)^2+(M24-$M$96)^2+(N24-$N$96)^2+(O24-$O$96)^2+(P24-$P$96)^2+(Q24-$Q$96)^2+(R24-$R$96)^2+(S24-$S$96)^2+(T24-$T$96)^2+(U24-$U$96)^2+(V24-$V$96)^2+(W24-$W$96)^2+(X24-$X$96)^2+(Y24-$Y$96)^2+(Z24-$Z$96)^2+(AA24-$AA$96)^2+(AB24-$AB$96)^2+(AC24-$AC$96)^2+(AD24-$AD$96)^2+(AE24-$AE$96)^2+(AF24-$AF$96)^2+(AG24-$AG$96)^2)</f>
        <v>2.0471600322228998</v>
      </c>
      <c r="HB24" s="36" t="s">
        <v>140</v>
      </c>
      <c r="HC24" s="37" t="s">
        <v>120</v>
      </c>
      <c r="HE24" s="44"/>
      <c r="HF24" s="36">
        <f>SQRT((A24-$A$97)^2+(B24-$B$97)^2+(C24-$C$97)^2+(D24-$D$97)^2+(E24-$E$97)^2+(F24-$F$97)^2+(G24-$G$97)^2+(H24-$H$97)^2+(I24-$I$97)^2+(J24-$J$97)^2+(K24-$K$97)^2+(L24-$L$97)^2+(M24-$M$97)^2+(N24-$N$97)^2+(O24-$O$97)^2+(P24-$P$97)^2+(Q24-$Q$97)^2+(R24-$R$97)^2+(S24-$S$97)^2+(T24-$T$97)^2+(U24-$U$97)^2+(V24-$V$97)^2+(W24-$W$97)^2+(X24-$X$97)^2+(Y24-$Y$97)^2+(Z24-$Z$97)^2+(AA24-$AA$97)^2+(AB24-$AB$97)^2+(AC24-$AC$97)^2+(AD24-$AD$97)^2+(AE24-$AE$97)^2+(AF24-$AF$97)^2+(AG24-$AG$97)^2)</f>
        <v>1.6952205119374142</v>
      </c>
      <c r="HG24" s="36" t="s">
        <v>337</v>
      </c>
      <c r="HH24" s="37" t="s">
        <v>120</v>
      </c>
      <c r="HJ24" s="44"/>
      <c r="HK24" s="36">
        <f>SQRT((A24-$A$98)^2+(B24-$B$98)^2+(C24-$C$98)^2+(D24-$D$98)^2+(E24-$E$98)^2+(F24-$F$98)^2+(G24-$G$98)^2+(H24-$H$98)^2+(I24-$I$98)^2+(J24-$J$98)^2+(K24-$K$98)^2+(L24-$L$98)^2+(M24-$M$98)^2+(N24-$N$98)^2+(O24-$O$98)^2+(P24-$P$98)^2+(Q24-$Q$98)^2+(R24-$R$98)^2+(S24-$S$98)^2+(T24-$T$98)^2+(U24-$U$98)^2+(V24-$V$98)^2+(W24-$W$98)^2+(X24-$X$98)^2+(Y24-$Y$98)^2+(Z24-$Z$98)^2+(AA24-$AA$98)^2+(AB24-$AB$98)^2+(AC24-$AC$98)^2+(AD24-$AD$98)^2+(AE24-$AE$98)^2+(AF24-$AF$98)^2+(AG24-$AG$98)^2)</f>
        <v>1.6952205119374142</v>
      </c>
      <c r="HL24" s="36" t="s">
        <v>337</v>
      </c>
      <c r="HM24" s="37" t="s">
        <v>120</v>
      </c>
      <c r="HO24" s="44"/>
      <c r="HP24" s="36">
        <f>SQRT((A24-$A$99)^2+(B24-$B$99)^2+(C24-$C$99)^2+(D24-$D$99)^2+(E24-$E$99)^2+(F24-$F$99)^2+(G24-$G$99)^2+(H24-$H$99)^2+(I24-$I$99)^2+(J24-$J$99)^2+(K24-$K$99)^2+(L24-$L$99)^2+(M24-$M$99)^2+(N24-$N$99)^2+(O24-$O$99)^2+(P24-$P$99)^2+(Q24-$Q$99)^2+(R24-$R$99)^2+(S24-$S$99)^2+(T24-$T$99)^2+(U24-$U$99)^2+(V24-$V$99)^2+(W24-$W$99)^2+(X24-$X$99)^2+(Y24-$Y$99)^2+(Z24-$Z$99)^2+(AA24-$AA$99)^2+(AB24-$AB$99)^2+(AC24-$AC$99)^2+(AD24-$AD$99)^2+(AE24-$AE$99)^2+(AF24-$AF$99)^2+(AG24-$AG$99)^2)</f>
        <v>1.6952205119374142</v>
      </c>
      <c r="HQ24" s="36" t="s">
        <v>337</v>
      </c>
      <c r="HR24" s="37" t="s">
        <v>120</v>
      </c>
      <c r="HT24" s="44"/>
      <c r="HU24" s="36">
        <f>SQRT((A24-$A$100)^2+(B24-$B$100)^2+(C24-$C$100)^2+(D24-$D$100)^2+(E24-$E$100)^2+(F24-$F$100)^2+(G24-$G$100)^2+(H24-$H$100)^2+(I24-$I$100)^2+(J24-$J$100)^2+(K24-$K$100)^2+(L24-$L$100)^2+(M24-$M$100)^2+(N24-$N$100)^2+(O24-$O$100)^2+(P24-$P$100)^2+(Q24-$Q$100)^2+(R24-$R$100)^2+(S24-$S$100)^2+(T24-$T$100)^2+(U24-$U$100)^2+(V24-$V$100)^2+(W24-$W$100)^2+(X24-$X$100)^2+(Y24-$Y$100)^2+(Z24-$Z$100)^2+(AA24-$AA$100)^2+(AB24-$AB$100)^2+(AC24-$AC$100)^2+(AD24-$AD$100)^2+(AE24-$AE$100)^2+(AF24-$AF$100)^2+(AG24-$AG$100)^2)</f>
        <v>1.6952205119374142</v>
      </c>
      <c r="HV24" s="36" t="s">
        <v>337</v>
      </c>
      <c r="HW24" s="37" t="s">
        <v>120</v>
      </c>
      <c r="HY24" s="44"/>
      <c r="HZ24" s="36">
        <f>SQRT((A24-$A$101)^2+(B24-$B$101)^2+(C24-$C$101)^2+(D24-$D$101)^2+(E24-$E$101)^2+(F24-$F$101)^2+(G24-$G$101)^2+(H24-$H$101)^2+(I24-$I$101)^2+(J24-$J$101)^2+(K24-$K$101)^2+(L24-$L$101)^2+(M24-$M$101)^2+(N24-$N$101)^2+(O24-$O$101)^2+(P24-$P$101)^2+(Q24-$Q$101)^2+(R24-$R$101)^2+(S24-$S$101)^2+(T24-$T$101)^2+(U24-$U$101)^2+(V24-$V$101)^2+(W24-$W$101)^2+(X24-$X$101)^2+(Y24-$Y$101)^2+(Z24-$Z$101)^2+(AA24-$AA$101)^2+(AB24-$AB$101)^2+(AC24-$AC$101)^2+(AD24-$AD$101)^2+(AE24-$AE$101)^2+(AF24-$AF$101)^2+(AG24-$AG$101)^2)</f>
        <v>2.3635608206869607</v>
      </c>
      <c r="IA24" s="36" t="s">
        <v>153</v>
      </c>
      <c r="IB24" s="37" t="s">
        <v>120</v>
      </c>
    </row>
    <row r="25" spans="1:236" x14ac:dyDescent="0.35">
      <c r="A25" s="2">
        <v>0.66666666666666596</v>
      </c>
      <c r="B25" s="2">
        <v>0</v>
      </c>
      <c r="C25" s="2">
        <v>0</v>
      </c>
      <c r="D25" s="2">
        <v>0.66666666666666596</v>
      </c>
      <c r="E25" s="2">
        <v>0</v>
      </c>
      <c r="F25" s="2">
        <v>1</v>
      </c>
      <c r="G25" s="2">
        <v>0.55555555555555503</v>
      </c>
      <c r="H25" s="2">
        <v>1</v>
      </c>
      <c r="I25" s="2">
        <v>0.5</v>
      </c>
      <c r="J25" s="2">
        <v>0.44444444444444398</v>
      </c>
      <c r="K25" s="2">
        <v>0</v>
      </c>
      <c r="L25" s="2">
        <v>0</v>
      </c>
      <c r="M25" s="2">
        <v>1</v>
      </c>
      <c r="N25" s="2">
        <v>0</v>
      </c>
      <c r="O25" s="2">
        <v>1</v>
      </c>
      <c r="P25" s="2">
        <v>0.4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0</v>
      </c>
      <c r="W25" s="2">
        <v>1</v>
      </c>
      <c r="X25" s="2">
        <v>1</v>
      </c>
      <c r="Y25" s="2">
        <v>1</v>
      </c>
      <c r="Z25" s="2">
        <v>0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0</v>
      </c>
      <c r="AH25" s="2" t="s">
        <v>120</v>
      </c>
      <c r="AI25" s="42"/>
      <c r="AJ25" s="42"/>
      <c r="AL25" s="44"/>
      <c r="AM25" s="36">
        <f>SQRT((A25-$A$62)^2+(B25-$B$62)^2+(C25-$C$62)^2+(D25-$D$62)^2+(E25-$E$62)^2+(F25-$F$62)^2+(G25-$G$62)^2+(H25-$H$62)^2+(I25-$I$62)^2+(J25-$J$62)^2+(K25-$K$62)^2+(L25-$L$62)^2+(M25-$M$62)^2+(N25-$N$62)^2+(O25-$O$62)^2+(P25-$P$62)^2+(Q25-$Q$62)^2+(R25-$R$62)^2+(S25-$S$62)^2+(T25-$T$62)^2+(U25-$U$62)^2+(V25-$V$62)^2+(W25-$W$62)^2+(X25-$X$62)^2+(Y25-$Y$62)^2+(Z25-$Z$62)^2+(AA25-$AA$62)^2+(AB25-$AB$62)^2+(AC25-$AC$62)^2+(AD25-$AD$62)^2+(AE25-$AE$62)^2+(AF25-$AF$62)^2+(AG25-$AG$62)^2)</f>
        <v>2.0108118254901086</v>
      </c>
      <c r="AN25" s="36" t="s">
        <v>133</v>
      </c>
      <c r="AO25" s="37" t="s">
        <v>120</v>
      </c>
      <c r="AQ25" s="44"/>
      <c r="AR25" s="36">
        <f>SQRT((A25-$A$63)^2+(B25-$B$63)^2+(C25-$C$63)^2+(D25-$D$63)^2+(E25-$E$63)^2+(F25-$F$63)^2+(G25-$G$63)^2+(H25-$H$63)^2+(I25-$I$63)^2+(J25-$J$63)^2+(K25-$K$63)^2+(L25-$L$63)^2+(M25-$M$63)^2+(N25-$N$63)^2+(O25-$O$63)^2+(P25-$P$63)^2+(Q25-$Q$63)^2+(R25-$R$63)^2+(S25-$S$63)^2+(T25-$T$63)^2+(U25-$U$63)^2+(V25-$V$63)^2+(W25-$W$63)^2+(X25-$X$63)^2+(Y25-$Y$63)^2+(Z25-$Z$63)^2+(AA25-$AA$63)^2+(AB25-$AB$63)^2+(AC25-$AC$63)^2+(AD25-$AD$63)^2+(AE25-$AE$63)^2+(AF25-$AF$63)^2+(AG25-$AG$63)^2)</f>
        <v>1.2975337577353534</v>
      </c>
      <c r="AS25" s="36" t="s">
        <v>134</v>
      </c>
      <c r="AT25" s="37" t="s">
        <v>120</v>
      </c>
      <c r="AV25" s="44"/>
      <c r="AW25" s="36">
        <f>SQRT((A25-$A$64)^2+(B25-$B$64)^2+(C25-$C$64)^2+(D25-$D$64)^2+(E25-$E$64)^2+(F25-$F$64)^2+(G25-$G$64)^2+(H25-$H$64)^2+(I25-$I$64)^2+(J25-$J$64)^2+(K25-$K$64)^2+(L25-$L$64)^2+(M25-$M$64)^2+(N25-$N$64)^2+(O25-$O$64)^2+(P25-$P$64)^2+(Q25-$Q$64)^2+(R25-$R$64)^2+(S25-$S$64)^2+(T25-$T$64)^2+(U25-$U$64)^2+(V25-$V$64)^2+(W25-$W$64)^2+(X25-$X$64)^2+(Y25-$Y$64)^2+(Z25-$Z$64)^2+(AA25-$AA$64)^2+(AB25-$AB$64)^2+(AC25-$AC$64)^2+(AD25-$AD$64)^2+(AE25-$AE$64)^2+(AF25-$AF$64)^2+(AG25-$AG$64)^2)</f>
        <v>1.2975337577353534</v>
      </c>
      <c r="AX25" s="36" t="s">
        <v>134</v>
      </c>
      <c r="AY25" s="37" t="s">
        <v>120</v>
      </c>
      <c r="BA25" s="44"/>
      <c r="BB25" s="36">
        <f>SQRT((A25-$A$65)^2+(B25-$B$65)^2+(C25-$C$65)^2+(D25-$D$65)^2+(E25-$E$65)^2+(F25-$F$65)^2+(G25-$G$65)^2+(H25-$H$65)^2+(I25-$I$65)^2+(J25-$J$65)^2+(K25-$K$65)^2+(L25-$L$65)^2+(M25-$M$65)^2+(N25-$N$65)^2+(O25-$O$65)^2+(P25-$P$65)^2+(Q25-$Q$65)^2+(R25-$R$65)^2+(S25-$S$65)^2+(T25-$T$65)^2+(U25-$U$65)^2+(V25-$V$65)^2+(W25-$W$65)^2+(X25-$X$65)^2+(Y25-$Y$65)^2+(Z25-$Z$65)^2+(AA25-$AA$65)^2+(AB25-$AB$65)^2+(AC25-$AC$65)^2+(AD25-$AD$65)^2+(AE25-$AE$65)^2+(AF25-$AF$65)^2+(AG25-$AG$65)^2)</f>
        <v>1.2975337577353534</v>
      </c>
      <c r="BC25" s="36" t="s">
        <v>134</v>
      </c>
      <c r="BD25" s="37" t="s">
        <v>120</v>
      </c>
      <c r="BF25" s="44"/>
      <c r="BG25" s="36">
        <f>SQRT((A25-$A$66)^2+(B25-$B$66)^2+(C25-$C$66)^2+(D25-$D$66)^2+(E25-$E$66)^2+(F25-$F$66)^2+(G25-$G$66)^2+(H25-$H$66)^2+(I25-$I$66)^2+(J25-$J$66)^2+(K25-$K$66)^2+(L25-$L$66)^2+(M25-$M$66)^2+(N25-$N$66)^2+(O25-$O$66)^2+(P25-$P$66)^2+(Q25-$Q$66)^2+(R25-$R$66)^2+(S25-$S$66)^2+(T25-$T$66)^2+(U25-$U$66)^2+(V25-$V$66)^2+(W25-$W$66)^2+(X25-$X$66)^2+(Y25-$Y$66)^2+(Z25-$Z$66)^2+(AA25-$AA$66)^2+(AB25-$AB$66)^2+(AC25-$AC$66)^2+(AD25-$AD$66)^2+(AE25-$AE$66)^2+(AF25-$AF$66)^2+(AG25-$AG$66)^2)</f>
        <v>1.2975337577353534</v>
      </c>
      <c r="BH25" s="36" t="s">
        <v>134</v>
      </c>
      <c r="BI25" s="37" t="s">
        <v>120</v>
      </c>
      <c r="BK25" s="44"/>
      <c r="BL25" s="36">
        <f>SQRT((A25-$A$67)^2+(B25-$B$67)^2+(C25-$C$67)^2+(D25-$D$67)^2+(E25-$E$67)^2+(F25-$F$67)^2+(G25-$G$67)^2+(H25-$H$67)^2+(I25-$I$67)^2+(J25-$J$67)^2+(K25-$K$67)^2+(L25-$L$67)^2+(M25-$M$67)^2+(N25-$N$67)^2+(O25-$O$67)^2+(P25-$P$67)^2+(Q25-$Q$67)^2+(R25-$R$67)^2+(S25-$S$67)^2+(T25-$T$67)^2+(U25-$U$67)^2+(V25-$V$67)^2+(W25-$W$67)^2+(X25-$X$67)^2+(Y25-$Y$67)^2+(Z25-$Z$67)^2+(AA25-$AA$67)^2+(AB25-$AB$67)^2+(AC25-$AC$67)^2+(AD25-$AD$67)^2+(AE25-$AE$67)^2+(AF25-$AF$67)^2+(AG25-$AG$67)^2)</f>
        <v>1.2975337577353534</v>
      </c>
      <c r="BM25" s="36" t="s">
        <v>134</v>
      </c>
      <c r="BN25" s="37" t="s">
        <v>120</v>
      </c>
      <c r="BP25" s="44"/>
      <c r="BQ25" s="36">
        <f>SQRT((A25-$A$68)^2+(B25-$B$68)^2+(C25-$C$68)^2+(D25-$D$68)^2+(E25-$E$68)^2+(F25-$F$68)^2+(G25-$G$68)^2+(H25-$H$68)^2+(I25-$I$68)^2+(J25-$J$68)^2+(K25-$K$68)^2+(L25-$L$68)^2+(M25-$M$68)^2+(N25-$N$68)^2+(O25-$O$68)^2+(P25-$P$68)^2+(Q25-$Q$68)^2+(R25-$R$68)^2+(S25-$S$68)^2+(T25-$T$68)^2+(U25-$U$68)^2+(V25-$V$68)^2+(W25-$W$68)^2+(X25-$X$68)^2+(Y25-$Y$68)^2+(Z25-$Z$68)^2+(AA25-$AA$68)^2+(AB25-$AB$68)^2+(AC25-$AC$68)^2+(AD25-$AD$68)^2+(AE25-$AE$68)^2+(AF25-$AF$68)^2+(AG25-$AG$68)^2)</f>
        <v>1.2975337577353534</v>
      </c>
      <c r="BR25" s="36" t="s">
        <v>134</v>
      </c>
      <c r="BS25" s="37" t="s">
        <v>120</v>
      </c>
      <c r="BU25" s="44"/>
      <c r="BV25" s="36">
        <f>SQRT((A25-$A$69)^2+(B25-$B$69)^2+(C25-$C$69)^2+(D25-$D$69)^2+(E25-$E$69)^2+(F25-$F$69)^2+(G25-$G$69)^2+(H25-$H$69)^2+(I25-$I$69)^2+(J25-$J$69)^2+(K25-$K$69)^2+(L25-$L$69)^2+(M25-$M$69)^2+(N25-$N$69)^2+(O25-$O$69)^2+(P25-$P$69)^2+(Q25-$Q$69)^2+(R25-$R$69)^2+(S25-$S$69)^2+(T25-$T$69)^2+(U25-$U$69)^2+(V25-$V$69)^2+(W25-$W$69)^2+(X25-$X$69)^2+(Y25-$Y$69)^2+(Z25-$Z$69)^2+(AA25-$AA$69)^2+(AB25-$AB$69)^2+(AC25-$AC$69)^2+(AD25-$AD$69)^2+(AE25-$AE$69)^2+(AF25-$AF$69)^2+(AG25-$AG$69)^2)</f>
        <v>2.5907911813132731</v>
      </c>
      <c r="BW25" s="36" t="s">
        <v>335</v>
      </c>
      <c r="BX25" s="37" t="s">
        <v>120</v>
      </c>
      <c r="BZ25" s="44"/>
      <c r="CA25" s="36">
        <f>SQRT((A25-$A$70)^2+(B25-$B$70)^2+(C25-$C$70)^2+(D25-$D$70)^2+(E25-$E$70)^2+(F25-$F$70)^2+(G25-$G$70)^2+(H25-$H$70)^2+(I25-$I$70)^2+(J25-$J$70)^2+(K25-$K$70)^2+(L25-$L$70)^2+(M25-$M$70)^2+(N25-$N$70)^2+(O25-$O$70)^2+(P25-$P$70)^2+(Q25-$Q$70)^2+(R25-$R$70)^2+(S25-$S$70)^2+(T25-$T$70)^2+(U25-$U$70)^2+(V25-$V$70)^2+(W25-$W$70)^2+(X25-$X$70)^2+(Y25-$Y$70)^2+(Z25-$Z$70)^2+(AA25-$AA$70)^2+(AB25-$AB$70)^2+(AC25-$AC$70)^2+(AD25-$AD$70)^2+(AE25-$AE$70)^2+(AF25-$AF$70)^2+(AG25-$AG$70)^2)</f>
        <v>1.6264773687649874</v>
      </c>
      <c r="CB25" s="36" t="s">
        <v>153</v>
      </c>
      <c r="CC25" s="37" t="s">
        <v>120</v>
      </c>
      <c r="CE25" s="44"/>
      <c r="CF25" s="36">
        <f>SQRT((A25-$A$71)^2+(B25-$B$71)^2+(C25-$C$71)^2+(D25-$D$71)^2+(E25-$E$71)^2+(F25-$F$71)^2+(G25-$G$71)^2+(H25-$H$71)^2+(I25-$I$71)^2+(J25-$J$71)^2+(K25-$K$71)^2+(L25-$L$71)^2+(M25-$M$71)^2+(N25-$N$71)^2+(O25-$O$71)^2+(P25-$P$71)^2+(Q25-$Q$71)^2+(R25-$R$71)^2+(S25-$S$71)^2+(T25-$T$71)^2+(U25-$U$71)^2+(V25-$V$71)^2+(W25-$W$71)^2+(X25-$X$71)^2+(Y25-$Y$71)^2+(Z25-$Z$71)^2+(AA25-$AA$71)^2+(AB25-$AB$71)^2+(AC25-$AC$71)^2+(AD25-$AD$71)^2+(AE25-$AE$71)^2+(AF25-$AF$71)^2+(AG25-$AG$71)^2)</f>
        <v>1.3640771271751662</v>
      </c>
      <c r="CG25" s="36" t="s">
        <v>131</v>
      </c>
      <c r="CH25" s="37" t="s">
        <v>120</v>
      </c>
      <c r="CJ25" s="44"/>
      <c r="CK25" s="36">
        <f>SQRT((A25-$A$72)^2+(B25-$B$72)^2+(C25-$C$72)^2+(D25-$D$72)^2+(E25-$E$72)^2+(F25-$F$72)^2+(G25-$G$72)^2+(H25-$H$72)^2+(I25-$I$72)^2+(J25-$J$72)^2+(K25-$K$72)^2+(L25-$L$72)^2+(M25-$M$72)^2+(N25-$N$72)^2+(O25-$O$72)^2+(P25-$P$72)^2+(Q25-$Q$72)^2+(R25-$R$72)^2+(S25-$S$72)^2+(T25-$T$72)^2+(U25-$U$72)^2+(V25-$V$72)^2+(W25-$W$72)^2+(X25-$X$72)^2+(Y25-$Y$72)^2+(Z25-$Z$72)^2+(AA25-$AA$72)^2+(AB25-$AB$72)^2+(AC25-$AC$72)^2+(AD25-$AD$72)^2+(AE25-$AE$72)^2+(AF25-$AF$72)^2+(AG25-$AG$72)^2)</f>
        <v>1.4499030155708574</v>
      </c>
      <c r="CL25" s="36" t="s">
        <v>335</v>
      </c>
      <c r="CM25" s="37" t="s">
        <v>120</v>
      </c>
      <c r="CO25" s="44"/>
      <c r="CP25" s="36">
        <f>SQRT((A25-$A$73)^2+(B25-$B$73)^2+(C25-$C$73)^2+(D25-$D$73)^2+(E25-$E$73)^2+(F25-$F$73)^2+(G25-$G$73)^2+(H25-$H$73)^2+(I25-$I$73)^2+(J25-$J$73)^2+(K25-$K$73)^2+(L25-$L$73)^2+(M25-$M$73)^2+(N25-$N$73)^2+(O25-$O$73)^2+(P25-$P$73)^2+(Q25-$Q$73)^2+(R25-$R$73)^2+(S25-$S$73)^2+(T25-$T$73)^2+(U25-$U$73)^2+(V25-$V$73)^2+(W25-$W$73)^2+(X25-$X$73)^2+(Y25-$Y$73)^2+(Z25-$Z$73)^2+(AA25-$AA$73)^2+(AB25-$AB$73)^2+(AC25-$AC$73)^2+(AD25-$AD$73)^2+(AE25-$AE$73)^2+(AF25-$AF$73)^2+(AG25-$AG$73)^2)</f>
        <v>1.876766657424346</v>
      </c>
      <c r="CQ25" s="36" t="s">
        <v>333</v>
      </c>
      <c r="CR25" s="37" t="s">
        <v>120</v>
      </c>
      <c r="CT25" s="44"/>
      <c r="CU25" s="36">
        <f>SQRT((A25-$A$74)^2+(B25-$B$74)^2+(C25-$C$74)^2+(D25-$D$74)^2+(E25-$E$74)^2+(F25-$F$74)^2+(G25-$G$74)^2+(H25-$H$74)^2+(I25-$I$74)^2+(J25-$J$74)^2+(K25-$K$74)^2+(L25-$L$74)^2+(M25-$M$74)^2+(N25-$N$74)^2+(O25-$O$74)^2+(P25-$P$74)^2+(Q25-$Q$74)^2+(R25-$R$74)^2+(S25-$S$74)^2+(T25-$T$74)^2+(U25-$U$74)^2+(V25-$V$74)^2+(W25-$W$74)^2+(X25-$X$74)^2+(Y25-$Y$74)^2+(Z25-$Z$74)^2+(AA25-$AA$74)^2+(AB25-$AB$74)^2+(AC25-$AC$74)^2+(AD25-$AD$74)^2+(AE25-$AE$74)^2+(AF25-$AF$74)^2+(AG25-$AG$74)^2)</f>
        <v>1.5488446510500717</v>
      </c>
      <c r="CV25" s="36" t="s">
        <v>145</v>
      </c>
      <c r="CW25" s="37" t="s">
        <v>120</v>
      </c>
      <c r="CY25" s="44"/>
      <c r="CZ25" s="36">
        <f>SQRT((A25-$A$75)^2+(B25-$B$75)^2+(C25-$C$75)^2+(D25-$D$75)^2+(E25-$E$75)^2+(F25-$F$75)^2+(G25-$G$75)^2+(H25-$H$75)^2+(I25-$I$75)^2+(J25-$J$75)^2+(K25-$K$75)^2+(L25-$L$75)^2+(M25-$M$75)^2+(N25-$N$75)^2+(O25-$O$75)^2+(P25-$P$75)^2+(Q25-$Q$75)^2+(R25-$R$75)^2+(S25-$S$75)^2+(T25-$T$75)^2+(U25-$U$75)^2+(V25-$V$75)^2+(W25-$W$75)^2+(X25-$X$75)^2+(Y25-$Y$75)^2+(Z25-$Z$75)^2+(AA25-$AA$75)^2+(AB25-$AB$75)^2+(AC25-$AC$75)^2+(AD25-$AD$75)^2+(AE25-$AE$75)^2+(AF25-$AF$75)^2+(AG25-$AG$75)^2)</f>
        <v>1.6313007004561242</v>
      </c>
      <c r="DA25" s="36" t="s">
        <v>338</v>
      </c>
      <c r="DB25" s="37" t="s">
        <v>120</v>
      </c>
      <c r="DD25" s="44"/>
      <c r="DE25" s="36">
        <f>SQRT((A25-$A$76)^2+(B25-$B$76)^2+(C25-$C$76)^2+(D25-$D$76)^2+(E25-$E$76)^2+(F25-$F$76)^2+(G25-$G$76)^2+(H25-$H$76)^2+(I25-$I$76)^2+(J25-$J$76)^2+(K25-$K$76)^2+(L25-$L$76)^2+(M25-$M$76)^2+(N25-$N$76)^2+(O25-$O$76)^2+(P25-$P$76)^2+(Q25-$Q$76)^2+(R25-$R$76)^2+(S25-$S$76)^2+(T25-$T$76)^2+(U25-$U$76)^2+(V25-$V$76)^2+(W25-$W$76)^2+(X25-$X$76)^2+(Y25-$Y$76)^2+(Z25-$Z$76)^2+(AA25-$AA$76)^2+(AB25-$AB$76)^2+(AC25-$AC$76)^2+(AD25-$AD$76)^2+(AE25-$AE$76)^2+(AF25-$AF$76)^2+(AG25-$AG$76)^2)</f>
        <v>1.5286260271447021</v>
      </c>
      <c r="DF25" s="36" t="s">
        <v>132</v>
      </c>
      <c r="DG25" s="37" t="s">
        <v>120</v>
      </c>
      <c r="DI25" s="44"/>
      <c r="DJ25" s="36">
        <f>SQRT((A25-$A$77)^2+(B25-$B$77)^2+(C25-$C$77)^2+(D25-$D$77)^2+(E25-$E$77)^2+(F25-$F$77)^2+(G25-$G$77)^2+(H25-$H$77)^2+(I25-$I$77)^2+(J25-$J$77)^2+(K25-$K$77)^2+(L25-$L$77)^2+(M25-$M$77)^2+(N25-$N$77)^2+(O25-$O$77)^2+(P25-$P$77)^2+(Q25-$Q$77)^2+(R25-$R$77)^2+(S25-$S$77)^2+(T25-$T$77)^2+(U25-$U$77)^2+(V25-$V$77)^2+(W25-$W$77)^2+(X25-$X$77)^2+(Y25-$Y$77)^2+(Z25-$Z$77)^2+(AA25-$AA$77)^2+(AB25-$AB$77)^2+(AC25-$AC$77)^2+(AD25-$AD$77)^2+(AE25-$AE$77)^2+(AF25-$AF$77)^2+(AG25-$AG$77)^2)</f>
        <v>2.2763952443813387</v>
      </c>
      <c r="DK25" s="36" t="s">
        <v>321</v>
      </c>
      <c r="DL25" s="37" t="s">
        <v>120</v>
      </c>
      <c r="DN25" s="44"/>
      <c r="DO25" s="36">
        <f>SQRT((A25-$A$78)^2+(B25-$B$78)^2+(C25-$C$78)^2+(D25-$D$78)^2+(E25-$E$78)^2+(F25-$F$78)^2+(G25-$G$78)^2+(H25-$H$78)^2+(I25-$I$78)^2+(J25-$J$78)^2+(K25-$K$78)^2+(L25-$L$78)^2+(M25-$M$78)^2+(N25-$N$78)^2+(O25-$O$78)^2+(P25-$P$78)^2+(Q25-$Q$78)^2+(R25-$R$78)^2+(S25-$S$78)^2+(T25-$T$78)^2+(U25-$U$78)^2+(V25-$V$78)^2+(W25-$W$78)^2+(X25-$X$78)^2+(Y25-$Y$78)^2+(Z25-$Z$78)^2+(AA25-$AA$78)^2+(AB25-$AB$78)^2+(AC25-$AC$78)^2+(AD25-$AD$78)^2+(AE25-$AE$78)^2+(AF25-$AF$78)^2+(AG25-$AG$78)^2)</f>
        <v>1.5892799115808487</v>
      </c>
      <c r="DP25" s="36" t="s">
        <v>328</v>
      </c>
      <c r="DQ25" s="37" t="s">
        <v>120</v>
      </c>
      <c r="DS25" s="44"/>
      <c r="DT25" s="36">
        <f>SQRT((A25-$A$79)^2+(B25-$B$79)^2+(C25-$C$79)^2+(D25-$D$79)^2+(E25-$E$79)^2+(F25-$F$79)^2+(G25-$G$79)^2+(H25-$H$79)^2+(I25-$I$79)^2+(J25-$J$79)^2+(K25-$K$79)^2+(L25-$L$79)^2+(M25-$M$79)^2+(N25-$N$79)^2+(O25-$O$79)^2+(P25-$P$79)^2+(Q25-$Q$79)^2+(R25-$R$79)^2+(S25-$S$79)^2+(T25-$T$79)^2+(U25-$U$79)^2+(V25-$V$79)^2+(W25-$W$79)^2+(X25-$X$79)^2+(Y25-$Y$79)^2+(Z25-$Z$79)^2+(AA25-$AA$79)^2+(AB25-$AB$79)^2+(AC25-$AC$79)^2+(AD25-$AD$79)^2+(AE25-$AE$79)^2+(AF25-$AF$79)^2+(AG25-$AG$79)^2)</f>
        <v>1.3483987344806294</v>
      </c>
      <c r="DU25" s="36" t="s">
        <v>313</v>
      </c>
      <c r="DV25" s="37" t="s">
        <v>120</v>
      </c>
      <c r="DX25" s="44"/>
      <c r="DY25" s="36">
        <f>SQRT((A25-$A$80)^2+(B25-$B$80)^2+(C25-$C$80)^2+(D25-$D$80)^2+(E25-$E$80)^2+(F25-$F$80)^2+(G25-$G$80)^2+(H25-$H$80)^2+(I25-$I$80)^2+(J25-$J$80)^2+(K25-$K$80)^2+(L25-$L$80)^2+(M25-$M$80)^2+(N25-$N$80)^2+(O25-$O$80)^2+(P25-$P$80)^2+(Q25-$Q$80)^2+(R25-$R$80)^2+(S25-$S$80)^2+(T25-$T$80)^2+(U25-$U$80)^2+(V25-$V$80)^2+(W25-$W$80)^2+(X25-$X$80)^2+(Y25-$Y$80)^2+(Z25-$Z$80)^2+(AA25-$AA$80)^2+(AB25-$AB$80)^2+(AC25-$AC$80)^2+(AD25-$AD$80)^2+(AE25-$AE$80)^2+(AF25-$AF$80)^2+(AG25-$AG$80)^2)</f>
        <v>0.77030136799233606</v>
      </c>
      <c r="DZ25" s="36" t="s">
        <v>128</v>
      </c>
      <c r="EA25" s="37" t="s">
        <v>120</v>
      </c>
      <c r="EC25" s="44"/>
      <c r="ED25" s="36">
        <f>SQRT((A25-$A$81)^2+(B25-$B$81)^2+(C25-$C$81)^2+(D25-$D$81)^2+(E25-$E$81)^2+(F25-$F$81)^2+(G25-$G$81)^2+(H25-$H$81)^2+(I25-$I$81)^2+(J25-$J$81)^2+(K25-$K$81)^2+(L25-$L$81)^2+(M25-$M$81)^2+(N25-$N$81)^2+(O25-$O$81)^2+(P25-$P$81)^2+(Q25-$Q$81)^2+(R25-$R$81)^2+(S25-$S$81)^2+(T25-$T$81)^2+(U25-$U$81)^2+(V25-$V$81)^2+(W25-$W$81)^2+(X25-$X$81)^2+(Y25-$Y$81)^2+(Z25-$Z$81)^2+(AA25-$AA$81)^2+(AB25-$AB$81)^2+(AC25-$AC$81)^2+(AD25-$AD$81)^2+(AE25-$AE$81)^2+(AF25-$AF$81)^2+(AG25-$AG$81)^2)</f>
        <v>0.67805094677299393</v>
      </c>
      <c r="EE25" s="36" t="s">
        <v>128</v>
      </c>
      <c r="EF25" s="37" t="s">
        <v>120</v>
      </c>
      <c r="EH25" s="44"/>
      <c r="EI25" s="36">
        <f>SQRT((A25-$A$82)^2+(B25-$B$82)^2+(C25-$C$82)^2+(D25-$D$82)^2+(E25-$E$82)^2+(F25-$F$82)^2+(G25-$G$82)^2+(H25-$H$82)^2+(I25-$I$82)^2+(J25-$J$82)^2+(K25-$K$82)^2+(L25-$L$82)^2+(M25-$M$82)^2+(N25-$N$82)^2+(O25-$O$82)^2+(P25-$P$82)^2+(Q25-$Q$82)^2+(R25-$R$82)^2+(S25-$S$82)^2+(T25-$T$82)^2+(U25-$U$82)^2+(V25-$V$82)^2+(W25-$W$82)^2+(X25-$X$82)^2+(Y25-$Y$82)^2+(Z25-$Z$82)^2+(AA25-$AA$82)^2+(AB25-$AB$82)^2+(AC25-$AC$82)^2+(AD25-$AD$82)^2+(AE25-$AE$82)^2+(AF25-$AF$82)^2+(AG25-$AG$82)^2)</f>
        <v>1.9644704046352448</v>
      </c>
      <c r="EJ25" s="36" t="s">
        <v>151</v>
      </c>
      <c r="EK25" s="37" t="s">
        <v>120</v>
      </c>
      <c r="EM25" s="44"/>
      <c r="EN25" s="36">
        <f>SQRT((A25-$A$83)^2+(B25-$B$83)^2+(C25-$C$83)^2+(D25-$D$83)^2+(E25-$E$83)^2+(F25-$F$83)^2+(G25-$G$83)^2+(H25-$H$83)^2+(I25-$I$83)^2+(J25-$J$83)^2+(K25-$K$83)^2+(L25-$L$83)^2+(M25-$M$83)^2+(N25-$N$83)^2+(O25-$O$83)^2+(P25-$P$83)^2+(Q25-$Q$83)^2+(R25-$R$83)^2+(S25-$S$83)^2+(T25-$T$83)^2+(U25-$U$83)^2+(V25-$V$83)^2+(W25-$W$83)^2+(X25-$X$83)^2+(Y25-$Y$83)^2+(Z25-$Z$83)^2+(AA25-$AA$83)^2+(AB25-$AB$83)^2+(AC25-$AC$83)^2+(AD25-$AD$83)^2+(AE25-$AE$83)^2+(AF25-$AF$83)^2+(AG25-$AG$83)^2)</f>
        <v>1.5045226535789376</v>
      </c>
      <c r="EO25" s="36" t="s">
        <v>153</v>
      </c>
      <c r="EP25" s="37" t="s">
        <v>120</v>
      </c>
      <c r="ER25" s="44"/>
      <c r="ES25" s="36">
        <f>SQRT((A25-$A$84)^2+(B25-$B$84)^2+(C25-$C$84)^2+(D25-$D$84)^2+(E25-$E$84)^2+(F25-$F$84)^2+(G25-$G$84)^2+(H25-$H$84)^2+(I25-$I$84)^2+(J25-$J$84)^2+(K25-$K$84)^2+(L25-$L$84)^2+(M25-$M$84)^2+(N25-$N$84)^2+(O25-$O$84)^2+(P25-$P$84)^2+(Q25-$Q$84)^2+(R25-$R$84)^2+(S25-$S$84)^2+(T25-$T$84)^2+(U25-$U$84)^2+(V25-$V$84)^2+(W25-$W$84)^2+(X25-$X$84)^2+(Y25-$Y$84)^2+(Z25-$Z$84)^2+(AA25-$AA$84)^2+(AB25-$AB$84)^2+(AC25-$AC$84)^2+(AD25-$AD$84)^2+(AE25-$AE$84)^2+(AF25-$AF$84)^2+(AG25-$AG$84)^2)</f>
        <v>1.2975337577353534</v>
      </c>
      <c r="ET25" s="36" t="s">
        <v>134</v>
      </c>
      <c r="EU25" s="37" t="s">
        <v>120</v>
      </c>
      <c r="EW25" s="44"/>
      <c r="EX25" s="36">
        <f>SQRT((A25-$A$85)^2+(B25-$B$85)^2+(C25-$C$85)^2+(D25-$D$85)^2+(E25-$E$85)^2+(F25-$F$85)^2+(G25-$G$85)^2+(H25-$H$85)^2+(I25-$I$85)^2+(J25-$J$85)^2+(K25-$K$85)^2+(L25-$L$85)^2+(M25-$M$85)^2+(N25-$N$85)^2+(O25-$O$85)^2+(P25-$P$85)^2+(Q25-$Q$85)^2+(R25-$R$85)^2+(S25-$S$85)^2+(T25-$T$85)^2+(U25-$U$85)^2+(V25-$V$85)^2+(W25-$W$85)^2+(X25-$X$85)^2+(Y25-$Y$85)^2+(Z25-$Z$85)^2+(AA25-$AA$85)^2+(AB25-$AB$85)^2+(AC25-$AC$85)^2+(AD25-$AD$85)^2+(AE25-$AE$85)^2+(AF25-$AF$85)^2+(AG25-$AG$85)^2)</f>
        <v>1.2975337577353534</v>
      </c>
      <c r="EY25" s="36" t="s">
        <v>134</v>
      </c>
      <c r="EZ25" s="37" t="s">
        <v>120</v>
      </c>
      <c r="FB25" s="44"/>
      <c r="FC25" s="36">
        <f>SQRT((A25-$A$86)^2+(B25-$B$86)^2+(C25-$C$86)^2+(D25-$D$86)^2+(E25-$E$86)^2+(F25-$F$86)^2+(G25-$G$86)^2+(H25-$H$86)^2+(I25-$I$86)^2+(J25-$J$86)^2+(K25-$K$86)^2+(L25-$L$86)^2+(M25-$M$86)^2+(N25-$N$86)^2+(O25-$O$86)^2+(P25-$P$86)^2+(Q25-$Q$86)^2+(R25-$R$86)^2+(S25-$S$86)^2+(T25-$T$86)^2+(U25-$U$86)^2+(V25-$V$86)^2+(W25-$W$86)^2+(X25-$X$86)^2+(Y25-$Y$86)^2+(Z25-$Z$86)^2+(AA25-$AA$86)^2+(AB25-$AB$86)^2+(AC25-$AC$86)^2+(AD25-$AD$86)^2+(AE25-$AE$86)^2+(AF25-$AF$86)^2+(AG25-$AG$86)^2)</f>
        <v>1.2975337577353534</v>
      </c>
      <c r="FD25" s="36" t="s">
        <v>134</v>
      </c>
      <c r="FE25" s="37" t="s">
        <v>120</v>
      </c>
      <c r="FG25" s="44"/>
      <c r="FH25" s="36">
        <f>SQRT((A25-$A$87)^2+(B25-$B$87)^2+(C25-$C$87)^2+(D25-$D$87)^2+(E25-$E$87)^2+(F25-$F$87)^2+(G25-$G$87)^2+(H25-$H$87)^2+(I25-$I$87)^2+(J25-$J$87)^2+(K25-$K$87)^2+(L25-$L$87)^2+(M25-$M$87)^2+(N25-$N$87)^2+(O25-$O$87)^2+(P25-$P$87)^2+(Q25-$Q$87)^2+(R25-$R$87)^2+(S25-$S$87)^2+(T25-$T$87)^2+(U25-$U$87)^2+(V25-$V$87)^2+(W25-$W$87)^2+(X25-$X$87)^2+(Y25-$Y$87)^2+(Z25-$Z$87)^2+(AA25-$AA$87)^2+(AB25-$AB$87)^2+(AC25-$AC$87)^2+(AD25-$AD$87)^2+(AE25-$AE$87)^2+(AF25-$AF$87)^2+(AG25-$AG$87)^2)</f>
        <v>1.7123822839599083</v>
      </c>
      <c r="FI25" s="36" t="s">
        <v>319</v>
      </c>
      <c r="FJ25" s="37" t="s">
        <v>120</v>
      </c>
      <c r="FL25" s="44"/>
      <c r="FM25" s="36">
        <f>SQRT((A25-$A$88)^2+(B25-$B$88)^2+(C25-$C$88)^2+(D25-$D$88)^2+(E25-$E$88)^2+(F25-$F$88)^2+(G25-$G$88)^2+(H25-$H$88)^2+(I25-$I$88)^2+(J25-$J$88)^2+(K25-$K$88)^2+(L25-$L$88)^2+(M25-$M$88)^2+(N25-$N$88)^2+(O25-$O$88)^2+(P25-$P$88)^2+(Q25-$Q$88)^2+(R25-$R$88)^2+(S25-$S$88)^2+(T25-$T$88)^2+(U25-$U$88)^2+(V25-$V$88)^2+(W25-$W$88)^2+(X25-$X$88)^2+(Y25-$Y$88)^2+(Z25-$Z$88)^2+(AA25-$AA$88)^2+(AB25-$AB$88)^2+(AC25-$AC$88)^2+(AD25-$AD$88)^2+(AE25-$AE$88)^2+(AF25-$AF$88)^2+(AG25-$AG$88)^2)</f>
        <v>1.3666202301030448</v>
      </c>
      <c r="FN25" s="36" t="s">
        <v>143</v>
      </c>
      <c r="FO25" s="37" t="s">
        <v>120</v>
      </c>
      <c r="FQ25" s="44"/>
      <c r="FR25" s="36">
        <f>SQRT((A25-$A$89)^2+(B25-$B$89)^2+(C25-$C$89)^2+(D25-$D$89)^2+(E25-$E$89)^2+(F25-$F$89)^2+(G25-$G$89)^2+(H25-$H$89)^2+(I25-$I$89)^2+(J25-$J$89)^2+(K25-$K$89)^2+(L25-$L$89)^2+(M25-$M$89)^2+(N25-$N$89)^2+(O25-$O$89)^2+(P25-$P$89)^2+(Q25-$Q$89)^2+(R25-$R$89)^2+(S25-$S$89)^2+(T25-$T$89)^2+(U25-$U$89)^2+(V25-$V$89)^2+(W25-$W$89)^2+(X25-$X$89)^2+(Y25-$Y$89)^2+(Z25-$Z$89)^2+(AA25-$AA$89)^2+(AB25-$AB$89)^2+(AC25-$AC$89)^2+(AD25-$AD$89)^2+(AE25-$AE$89)^2+(AF25-$AF$89)^2+(AG25-$AG$89)^2)</f>
        <v>0.74164065705537696</v>
      </c>
      <c r="FS25" s="36" t="s">
        <v>314</v>
      </c>
      <c r="FT25" s="37" t="s">
        <v>120</v>
      </c>
      <c r="FV25" s="44"/>
      <c r="FW25" s="36">
        <f>SQRT((A25-$A$90)^2+(B25-$B$90)^2+(C25-$C$90)^2+(D25-$D$90)^2+(E25-$E$90)^2+(F25-$F$90)^2+(G25-$G$90)^2+(H25-$H$90)^2+(I25-$I$90)^2+(J25-$J$90)^2+(K25-$K$90)^2+(L25-$L$90)^2+(M25-$M$90)^2+(N25-$N$90)^2+(O25-$O$90)^2+(P25-$P$90)^2+(Q25-$Q$90)^2+(R25-$R$90)^2+(S25-$S$90)^2+(T25-$T$90)^2+(U25-$U$90)^2+(V25-$V$90)^2+(W25-$W$90)^2+(X25-$X$90)^2+(Y25-$Y$90)^2+(Z25-$Z$90)^2+(AA25-$AA$90)^2+(AB25-$AB$90)^2+(AC25-$AC$90)^2+(AD25-$AD$90)^2+(AE25-$AE$90)^2+(AF25-$AF$90)^2+(AG25-$AG$90)^2)</f>
        <v>1.972879389729578</v>
      </c>
      <c r="FX25" s="36" t="s">
        <v>334</v>
      </c>
      <c r="FY25" s="37" t="s">
        <v>120</v>
      </c>
      <c r="GA25" s="44"/>
      <c r="GB25" s="36">
        <f>SQRT((A25-$A$91)^2+(B25-$B$91)^2+(C25-$C$91)^2+(D25-$D$91)^2+(E25-$E$91)^2+(F25-$F$91)^2+(G25-$G$91)^2+(H25-$H$91)^2+(I25-$I$91)^2+(J25-$J$91)^2+(K25-$K$91)^2+(L25-$L$91)^2+(M25-$M$91)^2+(N25-$N$91)^2+(O25-$O$91)^2+(P25-$P$91)^2+(Q25-$Q$91)^2+(R25-$R$91)^2+(S25-$S$91)^2+(T25-$T$91)^2+(U25-$U$91)^2+(V25-$V$91)^2+(W25-$W$91)^2+(X25-$X$91)^2+(Y25-$Y$91)^2+(Z25-$Z$91)^2+(AA25-$AA$91)^2+(AB25-$AB$91)^2+(AC25-$AC$91)^2+(AD25-$AD$91)^2+(AE25-$AE$91)^2+(AF25-$AF$91)^2+(AG25-$AG$91)^2)</f>
        <v>2.325250550684117</v>
      </c>
      <c r="GC25" s="36" t="s">
        <v>148</v>
      </c>
      <c r="GD25" s="37" t="s">
        <v>120</v>
      </c>
      <c r="GF25" s="44"/>
      <c r="GG25" s="36">
        <f>SQRT((A25-$A$92)^2+(B25-$B$92)^2+(C25-$C$92)^2+(D25-$D$92)^2+(E25-$E$92)^2+(F25-$F$92)^2+(G25-$G$92)^2+(H25-$H$92)^2+(I25-$I$92)^2+(J25-$J$92)^2+(K25-$K$92)^2+(L25-$L$92)^2+(M25-$M$92)^2+(N25-$N$92)^2+(O25-$O$92)^2+(P25-$P$92)^2+(Q25-$Q$92)^2+(R25-$R$92)^2+(S25-$S$92)^2+(T25-$T$92)^2+(U25-$U$92)^2+(V25-$V$92)^2+(W25-$W$92)^2+(X25-$X$92)^2+(Y25-$Y$92)^2+(Z25-$Z$92)^2+(AA25-$AA$92)^2+(AB25-$AB$92)^2+(AC25-$AC$92)^2+(AD25-$AD$92)^2+(AE25-$AE$92)^2+(AF25-$AF$92)^2+(AG25-$AG$92)^2)</f>
        <v>1.8725756973259555</v>
      </c>
      <c r="GH25" s="36" t="s">
        <v>313</v>
      </c>
      <c r="GI25" s="37" t="s">
        <v>120</v>
      </c>
      <c r="GK25" s="44"/>
      <c r="GL25" s="36">
        <f>SQRT((A25-$A$93)^2+(B25-$B$93)^2+(C25-$C$93)^2+(D25-$D$93)^2+(E25-$E$93)^2+(F25-$F$93)^2+(G25-$G$93)^2+(H25-$H$93)^2+(I25-$I$93)^2+(J25-$J$93)^2+(K25-$K$93)^2+(L25-$L$93)^2+(M25-$M$93)^2+(N25-$N$93)^2+(O25-$O$93)^2+(P25-$P$93)^2+(Q25-$Q$93)^2+(R25-$R$93)^2+(S25-$S$93)^2+(T25-$T$93)^2+(U25-$U$93)^2+(V25-$V$93)^2+(W25-$W$93)^2+(X25-$X$93)^2+(Y25-$Y$93)^2+(Z25-$Z$93)^2+(AA25-$AA$93)^2+(AB25-$AB$93)^2+(AC25-$AC$93)^2+(AD25-$AD$93)^2+(AE25-$AE$93)^2+(AF25-$AF$93)^2+(AG25-$AG$93)^2)</f>
        <v>2.4600762810616206</v>
      </c>
      <c r="GM25" s="36" t="s">
        <v>316</v>
      </c>
      <c r="GN25" s="37" t="s">
        <v>120</v>
      </c>
      <c r="GP25" s="44"/>
      <c r="GQ25" s="36">
        <f>SQRT((A25-$A$94)^2+(B25-$B$94)^2+(C25-$C$94)^2+(D25-$D$94)^2+(E25-$E$94)^2+(F25-$F$94)^2+(G25-$G$94)^2+(H25-$H$94)^2+(I25-$I$94)^2+(J25-$J$94)^2+(K25-$K$94)^2+(L25-$L$94)^2+(M25-$M$94)^2+(N25-$N$94)^2+(O25-$O$94)^2+(P25-$P$94)^2+(Q25-$Q$94)^2+(R25-$R$94)^2+(S25-$S$94)^2+(T25-$T$94)^2+(U25-$U$94)^2+(V25-$V$94)^2+(W25-$W$94)^2+(X25-$X$94)^2+(Y25-$Y$94)^2+(Z25-$Z$94)^2+(AA25-$AA$94)^2+(AB25-$AB$94)^2+(AC25-$AC$94)^2+(AD25-$AD$94)^2+(AE25-$AE$94)^2+(AF25-$AF$94)^2+(AG25-$AG$94)^2)</f>
        <v>1.8478905612192833</v>
      </c>
      <c r="GR25" s="36" t="s">
        <v>339</v>
      </c>
      <c r="GS25" s="37" t="s">
        <v>120</v>
      </c>
      <c r="GU25" s="44"/>
      <c r="GV25" s="36">
        <f>SQRT((A25-$A$95)^2+(B25-$B$95)^2+(C25-$C$95)^2+(D25-$D$95)^2+(E25-$E$95)^2+(F25-$F$95)^2+(G25-$G$95)^2+(H25-$H$95)^2+(I25-$I$95)^2+(J25-$J$95)^2+(K25-$K$95)^2+(L25-$L$95)^2+(M25-$M$95)^2+(N25-$N$95)^2+(O25-$O$95)^2+(P25-$P$95)^2+(Q25-$Q$95)^2+(R25-$R$95)^2+(S25-$S$95)^2+(T25-$T$95)^2+(U25-$U$95)^2+(V25-$V$95)^2+(W25-$W$95)^2+(X25-$X$95)^2+(Y25-$Y$95)^2+(Z25-$Z$95)^2+(AA25-$AA$95)^2+(AB25-$AB$95)^2+(AC25-$AC$95)^2+(AD25-$AD$95)^2+(AE25-$AE$95)^2+(AF25-$AF$95)^2+(AG25-$AG$95)^2)</f>
        <v>2.4681927211305794</v>
      </c>
      <c r="GW25" s="36" t="s">
        <v>149</v>
      </c>
      <c r="GX25" s="37" t="s">
        <v>120</v>
      </c>
      <c r="GZ25" s="44"/>
      <c r="HA25" s="36">
        <f>SQRT((A25-$A$96)^2+(B25-$B$96)^2+(C25-$C$96)^2+(D25-$D$96)^2+(E25-$E$96)^2+(F25-$F$96)^2+(G25-$G$96)^2+(H25-$H$96)^2+(I25-$I$96)^2+(J25-$J$96)^2+(K25-$K$96)^2+(L25-$L$96)^2+(M25-$M$96)^2+(N25-$N$96)^2+(O25-$O$96)^2+(P25-$P$96)^2+(Q25-$Q$96)^2+(R25-$R$96)^2+(S25-$S$96)^2+(T25-$T$96)^2+(U25-$U$96)^2+(V25-$V$96)^2+(W25-$W$96)^2+(X25-$X$96)^2+(Y25-$Y$96)^2+(Z25-$Z$96)^2+(AA25-$AA$96)^2+(AB25-$AB$96)^2+(AC25-$AC$96)^2+(AD25-$AD$96)^2+(AE25-$AE$96)^2+(AF25-$AF$96)^2+(AG25-$AG$96)^2)</f>
        <v>2.4144881624103589</v>
      </c>
      <c r="HB25" s="36" t="s">
        <v>335</v>
      </c>
      <c r="HC25" s="37" t="s">
        <v>120</v>
      </c>
      <c r="HE25" s="44"/>
      <c r="HF25" s="36">
        <f>SQRT((A25-$A$97)^2+(B25-$B$97)^2+(C25-$C$97)^2+(D25-$D$97)^2+(E25-$E$97)^2+(F25-$F$97)^2+(G25-$G$97)^2+(H25-$H$97)^2+(I25-$I$97)^2+(J25-$J$97)^2+(K25-$K$97)^2+(L25-$L$97)^2+(M25-$M$97)^2+(N25-$N$97)^2+(O25-$O$97)^2+(P25-$P$97)^2+(Q25-$Q$97)^2+(R25-$R$97)^2+(S25-$S$97)^2+(T25-$T$97)^2+(U25-$U$97)^2+(V25-$V$97)^2+(W25-$W$97)^2+(X25-$X$97)^2+(Y25-$Y$97)^2+(Z25-$Z$97)^2+(AA25-$AA$97)^2+(AB25-$AB$97)^2+(AC25-$AC$97)^2+(AD25-$AD$97)^2+(AE25-$AE$97)^2+(AF25-$AF$97)^2+(AG25-$AG$97)^2)</f>
        <v>1.2975337577353534</v>
      </c>
      <c r="HG25" s="36" t="s">
        <v>134</v>
      </c>
      <c r="HH25" s="37" t="s">
        <v>120</v>
      </c>
      <c r="HJ25" s="44"/>
      <c r="HK25" s="36">
        <f>SQRT((A25-$A$98)^2+(B25-$B$98)^2+(C25-$C$98)^2+(D25-$D$98)^2+(E25-$E$98)^2+(F25-$F$98)^2+(G25-$G$98)^2+(H25-$H$98)^2+(I25-$I$98)^2+(J25-$J$98)^2+(K25-$K$98)^2+(L25-$L$98)^2+(M25-$M$98)^2+(N25-$N$98)^2+(O25-$O$98)^2+(P25-$P$98)^2+(Q25-$Q$98)^2+(R25-$R$98)^2+(S25-$S$98)^2+(T25-$T$98)^2+(U25-$U$98)^2+(V25-$V$98)^2+(W25-$W$98)^2+(X25-$X$98)^2+(Y25-$Y$98)^2+(Z25-$Z$98)^2+(AA25-$AA$98)^2+(AB25-$AB$98)^2+(AC25-$AC$98)^2+(AD25-$AD$98)^2+(AE25-$AE$98)^2+(AF25-$AF$98)^2+(AG25-$AG$98)^2)</f>
        <v>1.2975337577353534</v>
      </c>
      <c r="HL25" s="36" t="s">
        <v>134</v>
      </c>
      <c r="HM25" s="37" t="s">
        <v>120</v>
      </c>
      <c r="HO25" s="44"/>
      <c r="HP25" s="36">
        <f>SQRT((A25-$A$99)^2+(B25-$B$99)^2+(C25-$C$99)^2+(D25-$D$99)^2+(E25-$E$99)^2+(F25-$F$99)^2+(G25-$G$99)^2+(H25-$H$99)^2+(I25-$I$99)^2+(J25-$J$99)^2+(K25-$K$99)^2+(L25-$L$99)^2+(M25-$M$99)^2+(N25-$N$99)^2+(O25-$O$99)^2+(P25-$P$99)^2+(Q25-$Q$99)^2+(R25-$R$99)^2+(S25-$S$99)^2+(T25-$T$99)^2+(U25-$U$99)^2+(V25-$V$99)^2+(W25-$W$99)^2+(X25-$X$99)^2+(Y25-$Y$99)^2+(Z25-$Z$99)^2+(AA25-$AA$99)^2+(AB25-$AB$99)^2+(AC25-$AC$99)^2+(AD25-$AD$99)^2+(AE25-$AE$99)^2+(AF25-$AF$99)^2+(AG25-$AG$99)^2)</f>
        <v>1.2975337577353534</v>
      </c>
      <c r="HQ25" s="36" t="s">
        <v>134</v>
      </c>
      <c r="HR25" s="37" t="s">
        <v>120</v>
      </c>
      <c r="HT25" s="44"/>
      <c r="HU25" s="36">
        <f>SQRT((A25-$A$100)^2+(B25-$B$100)^2+(C25-$C$100)^2+(D25-$D$100)^2+(E25-$E$100)^2+(F25-$F$100)^2+(G25-$G$100)^2+(H25-$H$100)^2+(I25-$I$100)^2+(J25-$J$100)^2+(K25-$K$100)^2+(L25-$L$100)^2+(M25-$M$100)^2+(N25-$N$100)^2+(O25-$O$100)^2+(P25-$P$100)^2+(Q25-$Q$100)^2+(R25-$R$100)^2+(S25-$S$100)^2+(T25-$T$100)^2+(U25-$U$100)^2+(V25-$V$100)^2+(W25-$W$100)^2+(X25-$X$100)^2+(Y25-$Y$100)^2+(Z25-$Z$100)^2+(AA25-$AA$100)^2+(AB25-$AB$100)^2+(AC25-$AC$100)^2+(AD25-$AD$100)^2+(AE25-$AE$100)^2+(AF25-$AF$100)^2+(AG25-$AG$100)^2)</f>
        <v>1.2975337577353534</v>
      </c>
      <c r="HV25" s="36" t="s">
        <v>134</v>
      </c>
      <c r="HW25" s="37" t="s">
        <v>120</v>
      </c>
      <c r="HY25" s="44"/>
      <c r="HZ25" s="36">
        <f>SQRT((A25-$A$101)^2+(B25-$B$101)^2+(C25-$C$101)^2+(D25-$D$101)^2+(E25-$E$101)^2+(F25-$F$101)^2+(G25-$G$101)^2+(H25-$H$101)^2+(I25-$I$101)^2+(J25-$J$101)^2+(K25-$K$101)^2+(L25-$L$101)^2+(M25-$M$101)^2+(N25-$N$101)^2+(O25-$O$101)^2+(P25-$P$101)^2+(Q25-$Q$101)^2+(R25-$R$101)^2+(S25-$S$101)^2+(T25-$T$101)^2+(U25-$U$101)^2+(V25-$V$101)^2+(W25-$W$101)^2+(X25-$X$101)^2+(Y25-$Y$101)^2+(Z25-$Z$101)^2+(AA25-$AA$101)^2+(AB25-$AB$101)^2+(AC25-$AC$101)^2+(AD25-$AD$101)^2+(AE25-$AE$101)^2+(AF25-$AF$101)^2+(AG25-$AG$101)^2)</f>
        <v>0.58001702827280865</v>
      </c>
      <c r="IA25" s="36" t="s">
        <v>314</v>
      </c>
      <c r="IB25" s="37" t="s">
        <v>120</v>
      </c>
    </row>
    <row r="26" spans="1:236" x14ac:dyDescent="0.35">
      <c r="A26" s="2">
        <v>0.5</v>
      </c>
      <c r="B26" s="2">
        <v>0.25</v>
      </c>
      <c r="C26" s="2">
        <v>0.33333333333333298</v>
      </c>
      <c r="D26" s="2">
        <v>0.66666666666666596</v>
      </c>
      <c r="E26" s="2">
        <v>0</v>
      </c>
      <c r="F26" s="2">
        <v>1</v>
      </c>
      <c r="G26" s="2">
        <v>0.55555555555555503</v>
      </c>
      <c r="H26" s="2">
        <v>0</v>
      </c>
      <c r="I26" s="2">
        <v>0.5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  <c r="T26" s="2">
        <v>1</v>
      </c>
      <c r="U26" s="2">
        <v>1</v>
      </c>
      <c r="V26" s="2">
        <v>0</v>
      </c>
      <c r="W26" s="2">
        <v>1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0</v>
      </c>
      <c r="AH26" s="2" t="s">
        <v>120</v>
      </c>
      <c r="AI26" s="42"/>
      <c r="AJ26" s="42"/>
      <c r="AL26" s="44"/>
      <c r="AM26" s="36">
        <f>SQRT((A26-$A$62)^2+(B26-$B$62)^2+(C26-$C$62)^2+(D26-$D$62)^2+(E26-$E$62)^2+(F26-$F$62)^2+(G26-$G$62)^2+(H26-$H$62)^2+(I26-$I$62)^2+(J26-$J$62)^2+(K26-$K$62)^2+(L26-$L$62)^2+(M26-$M$62)^2+(N26-$N$62)^2+(O26-$O$62)^2+(P26-$P$62)^2+(Q26-$Q$62)^2+(R26-$R$62)^2+(S26-$S$62)^2+(T26-$T$62)^2+(U26-$U$62)^2+(V26-$V$62)^2+(W26-$W$62)^2+(X26-$X$62)^2+(Y26-$Y$62)^2+(Z26-$Z$62)^2+(AA26-$AA$62)^2+(AB26-$AB$62)^2+(AC26-$AC$62)^2+(AD26-$AD$62)^2+(AE26-$AE$62)^2+(AF26-$AF$62)^2+(AG26-$AG$62)^2)</f>
        <v>1.5762120556715851</v>
      </c>
      <c r="AN26" s="36" t="s">
        <v>152</v>
      </c>
      <c r="AO26" s="37" t="s">
        <v>120</v>
      </c>
      <c r="AQ26" s="44"/>
      <c r="AR26" s="36">
        <f>SQRT((A26-$A$63)^2+(B26-$B$63)^2+(C26-$C$63)^2+(D26-$D$63)^2+(E26-$E$63)^2+(F26-$F$63)^2+(G26-$G$63)^2+(H26-$H$63)^2+(I26-$I$63)^2+(J26-$J$63)^2+(K26-$K$63)^2+(L26-$L$63)^2+(M26-$M$63)^2+(N26-$N$63)^2+(O26-$O$63)^2+(P26-$P$63)^2+(Q26-$Q$63)^2+(R26-$R$63)^2+(S26-$S$63)^2+(T26-$T$63)^2+(U26-$U$63)^2+(V26-$V$63)^2+(W26-$W$63)^2+(X26-$X$63)^2+(Y26-$Y$63)^2+(Z26-$Z$63)^2+(AA26-$AA$63)^2+(AB26-$AB$63)^2+(AC26-$AC$63)^2+(AD26-$AD$63)^2+(AE26-$AE$63)^2+(AF26-$AF$63)^2+(AG26-$AG$63)^2)</f>
        <v>1.497668814632249</v>
      </c>
      <c r="AS26" s="36" t="s">
        <v>128</v>
      </c>
      <c r="AT26" s="37" t="s">
        <v>120</v>
      </c>
      <c r="AV26" s="44"/>
      <c r="AW26" s="36">
        <f>SQRT((A26-$A$64)^2+(B26-$B$64)^2+(C26-$C$64)^2+(D26-$D$64)^2+(E26-$E$64)^2+(F26-$F$64)^2+(G26-$G$64)^2+(H26-$H$64)^2+(I26-$I$64)^2+(J26-$J$64)^2+(K26-$K$64)^2+(L26-$L$64)^2+(M26-$M$64)^2+(N26-$N$64)^2+(O26-$O$64)^2+(P26-$P$64)^2+(Q26-$Q$64)^2+(R26-$R$64)^2+(S26-$S$64)^2+(T26-$T$64)^2+(U26-$U$64)^2+(V26-$V$64)^2+(W26-$W$64)^2+(X26-$X$64)^2+(Y26-$Y$64)^2+(Z26-$Z$64)^2+(AA26-$AA$64)^2+(AB26-$AB$64)^2+(AC26-$AC$64)^2+(AD26-$AD$64)^2+(AE26-$AE$64)^2+(AF26-$AF$64)^2+(AG26-$AG$64)^2)</f>
        <v>1.497668814632249</v>
      </c>
      <c r="AX26" s="36" t="s">
        <v>128</v>
      </c>
      <c r="AY26" s="37" t="s">
        <v>120</v>
      </c>
      <c r="BA26" s="44"/>
      <c r="BB26" s="36">
        <f>SQRT((A26-$A$65)^2+(B26-$B$65)^2+(C26-$C$65)^2+(D26-$D$65)^2+(E26-$E$65)^2+(F26-$F$65)^2+(G26-$G$65)^2+(H26-$H$65)^2+(I26-$I$65)^2+(J26-$J$65)^2+(K26-$K$65)^2+(L26-$L$65)^2+(M26-$M$65)^2+(N26-$N$65)^2+(O26-$O$65)^2+(P26-$P$65)^2+(Q26-$Q$65)^2+(R26-$R$65)^2+(S26-$S$65)^2+(T26-$T$65)^2+(U26-$U$65)^2+(V26-$V$65)^2+(W26-$W$65)^2+(X26-$X$65)^2+(Y26-$Y$65)^2+(Z26-$Z$65)^2+(AA26-$AA$65)^2+(AB26-$AB$65)^2+(AC26-$AC$65)^2+(AD26-$AD$65)^2+(AE26-$AE$65)^2+(AF26-$AF$65)^2+(AG26-$AG$65)^2)</f>
        <v>1.497668814632249</v>
      </c>
      <c r="BC26" s="36" t="s">
        <v>128</v>
      </c>
      <c r="BD26" s="37" t="s">
        <v>120</v>
      </c>
      <c r="BF26" s="44"/>
      <c r="BG26" s="36">
        <f>SQRT((A26-$A$66)^2+(B26-$B$66)^2+(C26-$C$66)^2+(D26-$D$66)^2+(E26-$E$66)^2+(F26-$F$66)^2+(G26-$G$66)^2+(H26-$H$66)^2+(I26-$I$66)^2+(J26-$J$66)^2+(K26-$K$66)^2+(L26-$L$66)^2+(M26-$M$66)^2+(N26-$N$66)^2+(O26-$O$66)^2+(P26-$P$66)^2+(Q26-$Q$66)^2+(R26-$R$66)^2+(S26-$S$66)^2+(T26-$T$66)^2+(U26-$U$66)^2+(V26-$V$66)^2+(W26-$W$66)^2+(X26-$X$66)^2+(Y26-$Y$66)^2+(Z26-$Z$66)^2+(AA26-$AA$66)^2+(AB26-$AB$66)^2+(AC26-$AC$66)^2+(AD26-$AD$66)^2+(AE26-$AE$66)^2+(AF26-$AF$66)^2+(AG26-$AG$66)^2)</f>
        <v>1.497668814632249</v>
      </c>
      <c r="BH26" s="36" t="s">
        <v>128</v>
      </c>
      <c r="BI26" s="37" t="s">
        <v>120</v>
      </c>
      <c r="BK26" s="44"/>
      <c r="BL26" s="36">
        <f>SQRT((A26-$A$67)^2+(B26-$B$67)^2+(C26-$C$67)^2+(D26-$D$67)^2+(E26-$E$67)^2+(F26-$F$67)^2+(G26-$G$67)^2+(H26-$H$67)^2+(I26-$I$67)^2+(J26-$J$67)^2+(K26-$K$67)^2+(L26-$L$67)^2+(M26-$M$67)^2+(N26-$N$67)^2+(O26-$O$67)^2+(P26-$P$67)^2+(Q26-$Q$67)^2+(R26-$R$67)^2+(S26-$S$67)^2+(T26-$T$67)^2+(U26-$U$67)^2+(V26-$V$67)^2+(W26-$W$67)^2+(X26-$X$67)^2+(Y26-$Y$67)^2+(Z26-$Z$67)^2+(AA26-$AA$67)^2+(AB26-$AB$67)^2+(AC26-$AC$67)^2+(AD26-$AD$67)^2+(AE26-$AE$67)^2+(AF26-$AF$67)^2+(AG26-$AG$67)^2)</f>
        <v>1.497668814632249</v>
      </c>
      <c r="BM26" s="36" t="s">
        <v>128</v>
      </c>
      <c r="BN26" s="37" t="s">
        <v>120</v>
      </c>
      <c r="BP26" s="44"/>
      <c r="BQ26" s="36">
        <f>SQRT((A26-$A$68)^2+(B26-$B$68)^2+(C26-$C$68)^2+(D26-$D$68)^2+(E26-$E$68)^2+(F26-$F$68)^2+(G26-$G$68)^2+(H26-$H$68)^2+(I26-$I$68)^2+(J26-$J$68)^2+(K26-$K$68)^2+(L26-$L$68)^2+(M26-$M$68)^2+(N26-$N$68)^2+(O26-$O$68)^2+(P26-$P$68)^2+(Q26-$Q$68)^2+(R26-$R$68)^2+(S26-$S$68)^2+(T26-$T$68)^2+(U26-$U$68)^2+(V26-$V$68)^2+(W26-$W$68)^2+(X26-$X$68)^2+(Y26-$Y$68)^2+(Z26-$Z$68)^2+(AA26-$AA$68)^2+(AB26-$AB$68)^2+(AC26-$AC$68)^2+(AD26-$AD$68)^2+(AE26-$AE$68)^2+(AF26-$AF$68)^2+(AG26-$AG$68)^2)</f>
        <v>1.497668814632249</v>
      </c>
      <c r="BR26" s="36" t="s">
        <v>128</v>
      </c>
      <c r="BS26" s="37" t="s">
        <v>120</v>
      </c>
      <c r="BU26" s="44"/>
      <c r="BV26" s="36">
        <f>SQRT((A26-$A$69)^2+(B26-$B$69)^2+(C26-$C$69)^2+(D26-$D$69)^2+(E26-$E$69)^2+(F26-$F$69)^2+(G26-$G$69)^2+(H26-$H$69)^2+(I26-$I$69)^2+(J26-$J$69)^2+(K26-$K$69)^2+(L26-$L$69)^2+(M26-$M$69)^2+(N26-$N$69)^2+(O26-$O$69)^2+(P26-$P$69)^2+(Q26-$Q$69)^2+(R26-$R$69)^2+(S26-$S$69)^2+(T26-$T$69)^2+(U26-$U$69)^2+(V26-$V$69)^2+(W26-$W$69)^2+(X26-$X$69)^2+(Y26-$Y$69)^2+(Z26-$Z$69)^2+(AA26-$AA$69)^2+(AB26-$AB$69)^2+(AC26-$AC$69)^2+(AD26-$AD$69)^2+(AE26-$AE$69)^2+(AF26-$AF$69)^2+(AG26-$AG$69)^2)</f>
        <v>2.8489467044215475</v>
      </c>
      <c r="BW26" s="36" t="s">
        <v>325</v>
      </c>
      <c r="BX26" s="37" t="s">
        <v>120</v>
      </c>
      <c r="BZ26" s="44"/>
      <c r="CA26" s="36">
        <f>SQRT((A26-$A$70)^2+(B26-$B$70)^2+(C26-$C$70)^2+(D26-$D$70)^2+(E26-$E$70)^2+(F26-$F$70)^2+(G26-$G$70)^2+(H26-$H$70)^2+(I26-$I$70)^2+(J26-$J$70)^2+(K26-$K$70)^2+(L26-$L$70)^2+(M26-$M$70)^2+(N26-$N$70)^2+(O26-$O$70)^2+(P26-$P$70)^2+(Q26-$Q$70)^2+(R26-$R$70)^2+(S26-$S$70)^2+(T26-$T$70)^2+(U26-$U$70)^2+(V26-$V$70)^2+(W26-$W$70)^2+(X26-$X$70)^2+(Y26-$Y$70)^2+(Z26-$Z$70)^2+(AA26-$AA$70)^2+(AB26-$AB$70)^2+(AC26-$AC$70)^2+(AD26-$AD$70)^2+(AE26-$AE$70)^2+(AF26-$AF$70)^2+(AG26-$AG$70)^2)</f>
        <v>1.8774870213492343</v>
      </c>
      <c r="CB26" s="36" t="s">
        <v>134</v>
      </c>
      <c r="CC26" s="37" t="s">
        <v>120</v>
      </c>
      <c r="CE26" s="44"/>
      <c r="CF26" s="36">
        <f>SQRT((A26-$A$71)^2+(B26-$B$71)^2+(C26-$C$71)^2+(D26-$D$71)^2+(E26-$E$71)^2+(F26-$F$71)^2+(G26-$G$71)^2+(H26-$H$71)^2+(I26-$I$71)^2+(J26-$J$71)^2+(K26-$K$71)^2+(L26-$L$71)^2+(M26-$M$71)^2+(N26-$N$71)^2+(O26-$O$71)^2+(P26-$P$71)^2+(Q26-$Q$71)^2+(R26-$R$71)^2+(S26-$S$71)^2+(T26-$T$71)^2+(U26-$U$71)^2+(V26-$V$71)^2+(W26-$W$71)^2+(X26-$X$71)^2+(Y26-$Y$71)^2+(Z26-$Z$71)^2+(AA26-$AA$71)^2+(AB26-$AB$71)^2+(AC26-$AC$71)^2+(AD26-$AD$71)^2+(AE26-$AE$71)^2+(AF26-$AF$71)^2+(AG26-$AG$71)^2)</f>
        <v>1.5998999148562518</v>
      </c>
      <c r="CG26" s="36" t="s">
        <v>335</v>
      </c>
      <c r="CH26" s="37" t="s">
        <v>120</v>
      </c>
      <c r="CJ26" s="44"/>
      <c r="CK26" s="36">
        <f>SQRT((A26-$A$72)^2+(B26-$B$72)^2+(C26-$C$72)^2+(D26-$D$72)^2+(E26-$E$72)^2+(F26-$F$72)^2+(G26-$G$72)^2+(H26-$H$72)^2+(I26-$I$72)^2+(J26-$J$72)^2+(K26-$K$72)^2+(L26-$L$72)^2+(M26-$M$72)^2+(N26-$N$72)^2+(O26-$O$72)^2+(P26-$P$72)^2+(Q26-$Q$72)^2+(R26-$R$72)^2+(S26-$S$72)^2+(T26-$T$72)^2+(U26-$U$72)^2+(V26-$V$72)^2+(W26-$W$72)^2+(X26-$X$72)^2+(Y26-$Y$72)^2+(Z26-$Z$72)^2+(AA26-$AA$72)^2+(AB26-$AB$72)^2+(AC26-$AC$72)^2+(AD26-$AD$72)^2+(AE26-$AE$72)^2+(AF26-$AF$72)^2+(AG26-$AG$72)^2)</f>
        <v>1.7267737659553462</v>
      </c>
      <c r="CL26" s="36" t="s">
        <v>313</v>
      </c>
      <c r="CM26" s="37" t="s">
        <v>120</v>
      </c>
      <c r="CO26" s="44"/>
      <c r="CP26" s="36">
        <f>SQRT((A26-$A$73)^2+(B26-$B$73)^2+(C26-$C$73)^2+(D26-$D$73)^2+(E26-$E$73)^2+(F26-$F$73)^2+(G26-$G$73)^2+(H26-$H$73)^2+(I26-$I$73)^2+(J26-$J$73)^2+(K26-$K$73)^2+(L26-$L$73)^2+(M26-$M$73)^2+(N26-$N$73)^2+(O26-$O$73)^2+(P26-$P$73)^2+(Q26-$Q$73)^2+(R26-$R$73)^2+(S26-$S$73)^2+(T26-$T$73)^2+(U26-$U$73)^2+(V26-$V$73)^2+(W26-$W$73)^2+(X26-$X$73)^2+(Y26-$Y$73)^2+(Z26-$Z$73)^2+(AA26-$AA$73)^2+(AB26-$AB$73)^2+(AC26-$AC$73)^2+(AD26-$AD$73)^2+(AE26-$AE$73)^2+(AF26-$AF$73)^2+(AG26-$AG$73)^2)</f>
        <v>1.492574211815874</v>
      </c>
      <c r="CQ26" s="36" t="s">
        <v>134</v>
      </c>
      <c r="CR26" s="37" t="s">
        <v>120</v>
      </c>
      <c r="CT26" s="44"/>
      <c r="CU26" s="36">
        <f>SQRT((A26-$A$74)^2+(B26-$B$74)^2+(C26-$C$74)^2+(D26-$D$74)^2+(E26-$E$74)^2+(F26-$F$74)^2+(G26-$G$74)^2+(H26-$H$74)^2+(I26-$I$74)^2+(J26-$J$74)^2+(K26-$K$74)^2+(L26-$L$74)^2+(M26-$M$74)^2+(N26-$N$74)^2+(O26-$O$74)^2+(P26-$P$74)^2+(Q26-$Q$74)^2+(R26-$R$74)^2+(S26-$S$74)^2+(T26-$T$74)^2+(U26-$U$74)^2+(V26-$V$74)^2+(W26-$W$74)^2+(X26-$X$74)^2+(Y26-$Y$74)^2+(Z26-$Z$74)^2+(AA26-$AA$74)^2+(AB26-$AB$74)^2+(AC26-$AC$74)^2+(AD26-$AD$74)^2+(AE26-$AE$74)^2+(AF26-$AF$74)^2+(AG26-$AG$74)^2)</f>
        <v>1.077032961426901</v>
      </c>
      <c r="CV26" s="36" t="s">
        <v>150</v>
      </c>
      <c r="CW26" s="37" t="s">
        <v>120</v>
      </c>
      <c r="CY26" s="44"/>
      <c r="CZ26" s="36">
        <f>SQRT((A26-$A$75)^2+(B26-$B$75)^2+(C26-$C$75)^2+(D26-$D$75)^2+(E26-$E$75)^2+(F26-$F$75)^2+(G26-$G$75)^2+(H26-$H$75)^2+(I26-$I$75)^2+(J26-$J$75)^2+(K26-$K$75)^2+(L26-$L$75)^2+(M26-$M$75)^2+(N26-$N$75)^2+(O26-$O$75)^2+(P26-$P$75)^2+(Q26-$Q$75)^2+(R26-$R$75)^2+(S26-$S$75)^2+(T26-$T$75)^2+(U26-$U$75)^2+(V26-$V$75)^2+(W26-$W$75)^2+(X26-$X$75)^2+(Y26-$Y$75)^2+(Z26-$Z$75)^2+(AA26-$AA$75)^2+(AB26-$AB$75)^2+(AC26-$AC$75)^2+(AD26-$AD$75)^2+(AE26-$AE$75)^2+(AF26-$AF$75)^2+(AG26-$AG$75)^2)</f>
        <v>1.1450376024878448</v>
      </c>
      <c r="DA26" s="36" t="s">
        <v>325</v>
      </c>
      <c r="DB26" s="37" t="s">
        <v>120</v>
      </c>
      <c r="DD26" s="44"/>
      <c r="DE26" s="36">
        <f>SQRT((A26-$A$76)^2+(B26-$B$76)^2+(C26-$C$76)^2+(D26-$D$76)^2+(E26-$E$76)^2+(F26-$F$76)^2+(G26-$G$76)^2+(H26-$H$76)^2+(I26-$I$76)^2+(J26-$J$76)^2+(K26-$K$76)^2+(L26-$L$76)^2+(M26-$M$76)^2+(N26-$N$76)^2+(O26-$O$76)^2+(P26-$P$76)^2+(Q26-$Q$76)^2+(R26-$R$76)^2+(S26-$S$76)^2+(T26-$T$76)^2+(U26-$U$76)^2+(V26-$V$76)^2+(W26-$W$76)^2+(X26-$X$76)^2+(Y26-$Y$76)^2+(Z26-$Z$76)^2+(AA26-$AA$76)^2+(AB26-$AB$76)^2+(AC26-$AC$76)^2+(AD26-$AD$76)^2+(AE26-$AE$76)^2+(AF26-$AF$76)^2+(AG26-$AG$76)^2)</f>
        <v>1.744196726926817</v>
      </c>
      <c r="DF26" s="36" t="s">
        <v>154</v>
      </c>
      <c r="DG26" s="37" t="s">
        <v>120</v>
      </c>
      <c r="DI26" s="44"/>
      <c r="DJ26" s="36">
        <f>SQRT((A26-$A$77)^2+(B26-$B$77)^2+(C26-$C$77)^2+(D26-$D$77)^2+(E26-$E$77)^2+(F26-$F$77)^2+(G26-$G$77)^2+(H26-$H$77)^2+(I26-$I$77)^2+(J26-$J$77)^2+(K26-$K$77)^2+(L26-$L$77)^2+(M26-$M$77)^2+(N26-$N$77)^2+(O26-$O$77)^2+(P26-$P$77)^2+(Q26-$Q$77)^2+(R26-$R$77)^2+(S26-$S$77)^2+(T26-$T$77)^2+(U26-$U$77)^2+(V26-$V$77)^2+(W26-$W$77)^2+(X26-$X$77)^2+(Y26-$Y$77)^2+(Z26-$Z$77)^2+(AA26-$AA$77)^2+(AB26-$AB$77)^2+(AC26-$AC$77)^2+(AD26-$AD$77)^2+(AE26-$AE$77)^2+(AF26-$AF$77)^2+(AG26-$AG$77)^2)</f>
        <v>1.8062391868188443</v>
      </c>
      <c r="DK26" s="36" t="s">
        <v>128</v>
      </c>
      <c r="DL26" s="37" t="s">
        <v>120</v>
      </c>
      <c r="DN26" s="44"/>
      <c r="DO26" s="36">
        <f>SQRT((A26-$A$78)^2+(B26-$B$78)^2+(C26-$C$78)^2+(D26-$D$78)^2+(E26-$E$78)^2+(F26-$F$78)^2+(G26-$G$78)^2+(H26-$H$78)^2+(I26-$I$78)^2+(J26-$J$78)^2+(K26-$K$78)^2+(L26-$L$78)^2+(M26-$M$78)^2+(N26-$N$78)^2+(O26-$O$78)^2+(P26-$P$78)^2+(Q26-$Q$78)^2+(R26-$R$78)^2+(S26-$S$78)^2+(T26-$T$78)^2+(U26-$U$78)^2+(V26-$V$78)^2+(W26-$W$78)^2+(X26-$X$78)^2+(Y26-$Y$78)^2+(Z26-$Z$78)^2+(AA26-$AA$78)^2+(AB26-$AB$78)^2+(AC26-$AC$78)^2+(AD26-$AD$78)^2+(AE26-$AE$78)^2+(AF26-$AF$78)^2+(AG26-$AG$78)^2)</f>
        <v>1.8769661678834604</v>
      </c>
      <c r="DP26" s="36" t="s">
        <v>339</v>
      </c>
      <c r="DQ26" s="37" t="s">
        <v>120</v>
      </c>
      <c r="DS26" s="44"/>
      <c r="DT26" s="36">
        <f>SQRT((A26-$A$79)^2+(B26-$B$79)^2+(C26-$C$79)^2+(D26-$D$79)^2+(E26-$E$79)^2+(F26-$F$79)^2+(G26-$G$79)^2+(H26-$H$79)^2+(I26-$I$79)^2+(J26-$J$79)^2+(K26-$K$79)^2+(L26-$L$79)^2+(M26-$M$79)^2+(N26-$N$79)^2+(O26-$O$79)^2+(P26-$P$79)^2+(Q26-$Q$79)^2+(R26-$R$79)^2+(S26-$S$79)^2+(T26-$T$79)^2+(U26-$U$79)^2+(V26-$V$79)^2+(W26-$W$79)^2+(X26-$X$79)^2+(Y26-$Y$79)^2+(Z26-$Z$79)^2+(AA26-$AA$79)^2+(AB26-$AB$79)^2+(AC26-$AC$79)^2+(AD26-$AD$79)^2+(AE26-$AE$79)^2+(AF26-$AF$79)^2+(AG26-$AG$79)^2)</f>
        <v>1.6039663435930025</v>
      </c>
      <c r="DU26" s="36" t="s">
        <v>145</v>
      </c>
      <c r="DV26" s="37" t="s">
        <v>120</v>
      </c>
      <c r="DX26" s="44"/>
      <c r="DY26" s="36">
        <f>SQRT((A26-$A$80)^2+(B26-$B$80)^2+(C26-$C$80)^2+(D26-$D$80)^2+(E26-$E$80)^2+(F26-$F$80)^2+(G26-$G$80)^2+(H26-$H$80)^2+(I26-$I$80)^2+(J26-$J$80)^2+(K26-$K$80)^2+(L26-$L$80)^2+(M26-$M$80)^2+(N26-$N$80)^2+(O26-$O$80)^2+(P26-$P$80)^2+(Q26-$Q$80)^2+(R26-$R$80)^2+(S26-$S$80)^2+(T26-$T$80)^2+(U26-$U$80)^2+(V26-$V$80)^2+(W26-$W$80)^2+(X26-$X$80)^2+(Y26-$Y$80)^2+(Z26-$Z$80)^2+(AA26-$AA$80)^2+(AB26-$AB$80)^2+(AC26-$AC$80)^2+(AD26-$AD$80)^2+(AE26-$AE$80)^2+(AF26-$AF$80)^2+(AG26-$AG$80)^2)</f>
        <v>2.0464060637561103</v>
      </c>
      <c r="DZ26" s="36" t="s">
        <v>131</v>
      </c>
      <c r="EA26" s="37" t="s">
        <v>120</v>
      </c>
      <c r="EC26" s="44"/>
      <c r="ED26" s="36">
        <f>SQRT((A26-$A$81)^2+(B26-$B$81)^2+(C26-$C$81)^2+(D26-$D$81)^2+(E26-$E$81)^2+(F26-$F$81)^2+(G26-$G$81)^2+(H26-$H$81)^2+(I26-$I$81)^2+(J26-$J$81)^2+(K26-$K$81)^2+(L26-$L$81)^2+(M26-$M$81)^2+(N26-$N$81)^2+(O26-$O$81)^2+(P26-$P$81)^2+(Q26-$Q$81)^2+(R26-$R$81)^2+(S26-$S$81)^2+(T26-$T$81)^2+(U26-$U$81)^2+(V26-$V$81)^2+(W26-$W$81)^2+(X26-$X$81)^2+(Y26-$Y$81)^2+(Z26-$Z$81)^2+(AA26-$AA$81)^2+(AB26-$AB$81)^2+(AC26-$AC$81)^2+(AD26-$AD$81)^2+(AE26-$AE$81)^2+(AF26-$AF$81)^2+(AG26-$AG$81)^2)</f>
        <v>2.0979487336178853</v>
      </c>
      <c r="EE26" s="36" t="s">
        <v>319</v>
      </c>
      <c r="EF26" s="37" t="s">
        <v>120</v>
      </c>
      <c r="EH26" s="44"/>
      <c r="EI26" s="36">
        <f>SQRT((A26-$A$82)^2+(B26-$B$82)^2+(C26-$C$82)^2+(D26-$D$82)^2+(E26-$E$82)^2+(F26-$F$82)^2+(G26-$G$82)^2+(H26-$H$82)^2+(I26-$I$82)^2+(J26-$J$82)^2+(K26-$K$82)^2+(L26-$L$82)^2+(M26-$M$82)^2+(N26-$N$82)^2+(O26-$O$82)^2+(P26-$P$82)^2+(Q26-$Q$82)^2+(R26-$R$82)^2+(S26-$S$82)^2+(T26-$T$82)^2+(U26-$U$82)^2+(V26-$V$82)^2+(W26-$W$82)^2+(X26-$X$82)^2+(Y26-$Y$82)^2+(Z26-$Z$82)^2+(AA26-$AA$82)^2+(AB26-$AB$82)^2+(AC26-$AC$82)^2+(AD26-$AD$82)^2+(AE26-$AE$82)^2+(AF26-$AF$82)^2+(AG26-$AG$82)^2)</f>
        <v>2.1655642825937513</v>
      </c>
      <c r="EJ26" s="36" t="s">
        <v>317</v>
      </c>
      <c r="EK26" s="37" t="s">
        <v>120</v>
      </c>
      <c r="EM26" s="44"/>
      <c r="EN26" s="36">
        <f>SQRT((A26-$A$83)^2+(B26-$B$83)^2+(C26-$C$83)^2+(D26-$D$83)^2+(E26-$E$83)^2+(F26-$F$83)^2+(G26-$G$83)^2+(H26-$H$83)^2+(I26-$I$83)^2+(J26-$J$83)^2+(K26-$K$83)^2+(L26-$L$83)^2+(M26-$M$83)^2+(N26-$N$83)^2+(O26-$O$83)^2+(P26-$P$83)^2+(Q26-$Q$83)^2+(R26-$R$83)^2+(S26-$S$83)^2+(T26-$T$83)^2+(U26-$U$83)^2+(V26-$V$83)^2+(W26-$W$83)^2+(X26-$X$83)^2+(Y26-$Y$83)^2+(Z26-$Z$83)^2+(AA26-$AA$83)^2+(AB26-$AB$83)^2+(AC26-$AC$83)^2+(AD26-$AD$83)^2+(AE26-$AE$83)^2+(AF26-$AF$83)^2+(AG26-$AG$83)^2)</f>
        <v>1.8362709179933145</v>
      </c>
      <c r="EO26" s="36" t="s">
        <v>131</v>
      </c>
      <c r="EP26" s="37" t="s">
        <v>120</v>
      </c>
      <c r="ER26" s="44"/>
      <c r="ES26" s="36">
        <f>SQRT((A26-$A$84)^2+(B26-$B$84)^2+(C26-$C$84)^2+(D26-$D$84)^2+(E26-$E$84)^2+(F26-$F$84)^2+(G26-$G$84)^2+(H26-$H$84)^2+(I26-$I$84)^2+(J26-$J$84)^2+(K26-$K$84)^2+(L26-$L$84)^2+(M26-$M$84)^2+(N26-$N$84)^2+(O26-$O$84)^2+(P26-$P$84)^2+(Q26-$Q$84)^2+(R26-$R$84)^2+(S26-$S$84)^2+(T26-$T$84)^2+(U26-$U$84)^2+(V26-$V$84)^2+(W26-$W$84)^2+(X26-$X$84)^2+(Y26-$Y$84)^2+(Z26-$Z$84)^2+(AA26-$AA$84)^2+(AB26-$AB$84)^2+(AC26-$AC$84)^2+(AD26-$AD$84)^2+(AE26-$AE$84)^2+(AF26-$AF$84)^2+(AG26-$AG$84)^2)</f>
        <v>1.497668814632249</v>
      </c>
      <c r="ET26" s="36" t="s">
        <v>128</v>
      </c>
      <c r="EU26" s="37" t="s">
        <v>120</v>
      </c>
      <c r="EW26" s="44"/>
      <c r="EX26" s="36">
        <f>SQRT((A26-$A$85)^2+(B26-$B$85)^2+(C26-$C$85)^2+(D26-$D$85)^2+(E26-$E$85)^2+(F26-$F$85)^2+(G26-$G$85)^2+(H26-$H$85)^2+(I26-$I$85)^2+(J26-$J$85)^2+(K26-$K$85)^2+(L26-$L$85)^2+(M26-$M$85)^2+(N26-$N$85)^2+(O26-$O$85)^2+(P26-$P$85)^2+(Q26-$Q$85)^2+(R26-$R$85)^2+(S26-$S$85)^2+(T26-$T$85)^2+(U26-$U$85)^2+(V26-$V$85)^2+(W26-$W$85)^2+(X26-$X$85)^2+(Y26-$Y$85)^2+(Z26-$Z$85)^2+(AA26-$AA$85)^2+(AB26-$AB$85)^2+(AC26-$AC$85)^2+(AD26-$AD$85)^2+(AE26-$AE$85)^2+(AF26-$AF$85)^2+(AG26-$AG$85)^2)</f>
        <v>1.497668814632249</v>
      </c>
      <c r="EY26" s="36" t="s">
        <v>128</v>
      </c>
      <c r="EZ26" s="37" t="s">
        <v>120</v>
      </c>
      <c r="FB26" s="44"/>
      <c r="FC26" s="36">
        <f>SQRT((A26-$A$86)^2+(B26-$B$86)^2+(C26-$C$86)^2+(D26-$D$86)^2+(E26-$E$86)^2+(F26-$F$86)^2+(G26-$G$86)^2+(H26-$H$86)^2+(I26-$I$86)^2+(J26-$J$86)^2+(K26-$K$86)^2+(L26-$L$86)^2+(M26-$M$86)^2+(N26-$N$86)^2+(O26-$O$86)^2+(P26-$P$86)^2+(Q26-$Q$86)^2+(R26-$R$86)^2+(S26-$S$86)^2+(T26-$T$86)^2+(U26-$U$86)^2+(V26-$V$86)^2+(W26-$W$86)^2+(X26-$X$86)^2+(Y26-$Y$86)^2+(Z26-$Z$86)^2+(AA26-$AA$86)^2+(AB26-$AB$86)^2+(AC26-$AC$86)^2+(AD26-$AD$86)^2+(AE26-$AE$86)^2+(AF26-$AF$86)^2+(AG26-$AG$86)^2)</f>
        <v>1.497668814632249</v>
      </c>
      <c r="FD26" s="36" t="s">
        <v>128</v>
      </c>
      <c r="FE26" s="37" t="s">
        <v>120</v>
      </c>
      <c r="FG26" s="44"/>
      <c r="FH26" s="36">
        <f>SQRT((A26-$A$87)^2+(B26-$B$87)^2+(C26-$C$87)^2+(D26-$D$87)^2+(E26-$E$87)^2+(F26-$F$87)^2+(G26-$G$87)^2+(H26-$H$87)^2+(I26-$I$87)^2+(J26-$J$87)^2+(K26-$K$87)^2+(L26-$L$87)^2+(M26-$M$87)^2+(N26-$N$87)^2+(O26-$O$87)^2+(P26-$P$87)^2+(Q26-$Q$87)^2+(R26-$R$87)^2+(S26-$S$87)^2+(T26-$T$87)^2+(U26-$U$87)^2+(V26-$V$87)^2+(W26-$W$87)^2+(X26-$X$87)^2+(Y26-$Y$87)^2+(Z26-$Z$87)^2+(AA26-$AA$87)^2+(AB26-$AB$87)^2+(AC26-$AC$87)^2+(AD26-$AD$87)^2+(AE26-$AE$87)^2+(AF26-$AF$87)^2+(AG26-$AG$87)^2)</f>
        <v>1.8214768123085667</v>
      </c>
      <c r="FI26" s="36" t="s">
        <v>151</v>
      </c>
      <c r="FJ26" s="37" t="s">
        <v>120</v>
      </c>
      <c r="FL26" s="44"/>
      <c r="FM26" s="36">
        <f>SQRT((A26-$A$88)^2+(B26-$B$88)^2+(C26-$C$88)^2+(D26-$D$88)^2+(E26-$E$88)^2+(F26-$F$88)^2+(G26-$G$88)^2+(H26-$H$88)^2+(I26-$I$88)^2+(J26-$J$88)^2+(K26-$K$88)^2+(L26-$L$88)^2+(M26-$M$88)^2+(N26-$N$88)^2+(O26-$O$88)^2+(P26-$P$88)^2+(Q26-$Q$88)^2+(R26-$R$88)^2+(S26-$S$88)^2+(T26-$T$88)^2+(U26-$U$88)^2+(V26-$V$88)^2+(W26-$W$88)^2+(X26-$X$88)^2+(Y26-$Y$88)^2+(Z26-$Z$88)^2+(AA26-$AA$88)^2+(AB26-$AB$88)^2+(AC26-$AC$88)^2+(AD26-$AD$88)^2+(AE26-$AE$88)^2+(AF26-$AF$88)^2+(AG26-$AG$88)^2)</f>
        <v>1.6574618359277664</v>
      </c>
      <c r="FN26" s="36" t="s">
        <v>338</v>
      </c>
      <c r="FO26" s="37" t="s">
        <v>120</v>
      </c>
      <c r="FQ26" s="44"/>
      <c r="FR26" s="36">
        <f>SQRT((A26-$A$89)^2+(B26-$B$89)^2+(C26-$C$89)^2+(D26-$D$89)^2+(E26-$E$89)^2+(F26-$F$89)^2+(G26-$G$89)^2+(H26-$H$89)^2+(I26-$I$89)^2+(J26-$J$89)^2+(K26-$K$89)^2+(L26-$L$89)^2+(M26-$M$89)^2+(N26-$N$89)^2+(O26-$O$89)^2+(P26-$P$89)^2+(Q26-$Q$89)^2+(R26-$R$89)^2+(S26-$S$89)^2+(T26-$T$89)^2+(U26-$U$89)^2+(V26-$V$89)^2+(W26-$W$89)^2+(X26-$X$89)^2+(Y26-$Y$89)^2+(Z26-$Z$89)^2+(AA26-$AA$89)^2+(AB26-$AB$89)^2+(AC26-$AC$89)^2+(AD26-$AD$89)^2+(AE26-$AE$89)^2+(AF26-$AF$89)^2+(AG26-$AG$89)^2)</f>
        <v>2.0763215336529917</v>
      </c>
      <c r="FS26" s="36" t="s">
        <v>319</v>
      </c>
      <c r="FT26" s="37" t="s">
        <v>120</v>
      </c>
      <c r="FV26" s="44"/>
      <c r="FW26" s="36">
        <f>SQRT((A26-$A$90)^2+(B26-$B$90)^2+(C26-$C$90)^2+(D26-$D$90)^2+(E26-$E$90)^2+(F26-$F$90)^2+(G26-$G$90)^2+(H26-$H$90)^2+(I26-$I$90)^2+(J26-$J$90)^2+(K26-$K$90)^2+(L26-$L$90)^2+(M26-$M$90)^2+(N26-$N$90)^2+(O26-$O$90)^2+(P26-$P$90)^2+(Q26-$Q$90)^2+(R26-$R$90)^2+(S26-$S$90)^2+(T26-$T$90)^2+(U26-$U$90)^2+(V26-$V$90)^2+(W26-$W$90)^2+(X26-$X$90)^2+(Y26-$Y$90)^2+(Z26-$Z$90)^2+(AA26-$AA$90)^2+(AB26-$AB$90)^2+(AC26-$AC$90)^2+(AD26-$AD$90)^2+(AE26-$AE$90)^2+(AF26-$AF$90)^2+(AG26-$AG$90)^2)</f>
        <v>1.545603082582617</v>
      </c>
      <c r="FX26" s="36" t="s">
        <v>131</v>
      </c>
      <c r="FY26" s="37" t="s">
        <v>120</v>
      </c>
      <c r="GA26" s="44"/>
      <c r="GB26" s="36">
        <f>SQRT((A26-$A$91)^2+(B26-$B$91)^2+(C26-$C$91)^2+(D26-$D$91)^2+(E26-$E$91)^2+(F26-$F$91)^2+(G26-$G$91)^2+(H26-$H$91)^2+(I26-$I$91)^2+(J26-$J$91)^2+(K26-$K$91)^2+(L26-$L$91)^2+(M26-$M$91)^2+(N26-$N$91)^2+(O26-$O$91)^2+(P26-$P$91)^2+(Q26-$Q$91)^2+(R26-$R$91)^2+(S26-$S$91)^2+(T26-$T$91)^2+(U26-$U$91)^2+(V26-$V$91)^2+(W26-$W$91)^2+(X26-$X$91)^2+(Y26-$Y$91)^2+(Z26-$Z$91)^2+(AA26-$AA$91)^2+(AB26-$AB$91)^2+(AC26-$AC$91)^2+(AD26-$AD$91)^2+(AE26-$AE$91)^2+(AF26-$AF$91)^2+(AG26-$AG$91)^2)</f>
        <v>2.0929113162716133</v>
      </c>
      <c r="GC26" s="36" t="s">
        <v>313</v>
      </c>
      <c r="GD26" s="37" t="s">
        <v>120</v>
      </c>
      <c r="GF26" s="44"/>
      <c r="GG26" s="36">
        <f>SQRT((A26-$A$92)^2+(B26-$B$92)^2+(C26-$C$92)^2+(D26-$D$92)^2+(E26-$E$92)^2+(F26-$F$92)^2+(G26-$G$92)^2+(H26-$H$92)^2+(I26-$I$92)^2+(J26-$J$92)^2+(K26-$K$92)^2+(L26-$L$92)^2+(M26-$M$92)^2+(N26-$N$92)^2+(O26-$O$92)^2+(P26-$P$92)^2+(Q26-$Q$92)^2+(R26-$R$92)^2+(S26-$S$92)^2+(T26-$T$92)^2+(U26-$U$92)^2+(V26-$V$92)^2+(W26-$W$92)^2+(X26-$X$92)^2+(Y26-$Y$92)^2+(Z26-$Z$92)^2+(AA26-$AA$92)^2+(AB26-$AB$92)^2+(AC26-$AC$92)^2+(AD26-$AD$92)^2+(AE26-$AE$92)^2+(AF26-$AF$92)^2+(AG26-$AG$92)^2)</f>
        <v>2.1206554971416365</v>
      </c>
      <c r="GH26" s="36" t="s">
        <v>133</v>
      </c>
      <c r="GI26" s="37" t="s">
        <v>120</v>
      </c>
      <c r="GK26" s="44"/>
      <c r="GL26" s="36">
        <f>SQRT((A26-$A$93)^2+(B26-$B$93)^2+(C26-$C$93)^2+(D26-$D$93)^2+(E26-$E$93)^2+(F26-$F$93)^2+(G26-$G$93)^2+(H26-$H$93)^2+(I26-$I$93)^2+(J26-$J$93)^2+(K26-$K$93)^2+(L26-$L$93)^2+(M26-$M$93)^2+(N26-$N$93)^2+(O26-$O$93)^2+(P26-$P$93)^2+(Q26-$Q$93)^2+(R26-$R$93)^2+(S26-$S$93)^2+(T26-$T$93)^2+(U26-$U$93)^2+(V26-$V$93)^2+(W26-$W$93)^2+(X26-$X$93)^2+(Y26-$Y$93)^2+(Z26-$Z$93)^2+(AA26-$AA$93)^2+(AB26-$AB$93)^2+(AC26-$AC$93)^2+(AD26-$AD$93)^2+(AE26-$AE$93)^2+(AF26-$AF$93)^2+(AG26-$AG$93)^2)</f>
        <v>2.1618536285121412</v>
      </c>
      <c r="GM26" s="36" t="s">
        <v>333</v>
      </c>
      <c r="GN26" s="37" t="s">
        <v>120</v>
      </c>
      <c r="GP26" s="44"/>
      <c r="GQ26" s="36">
        <f>SQRT((A26-$A$94)^2+(B26-$B$94)^2+(C26-$C$94)^2+(D26-$D$94)^2+(E26-$E$94)^2+(F26-$F$94)^2+(G26-$G$94)^2+(H26-$H$94)^2+(I26-$I$94)^2+(J26-$J$94)^2+(K26-$K$94)^2+(L26-$L$94)^2+(M26-$M$94)^2+(N26-$N$94)^2+(O26-$O$94)^2+(P26-$P$94)^2+(Q26-$Q$94)^2+(R26-$R$94)^2+(S26-$S$94)^2+(T26-$T$94)^2+(U26-$U$94)^2+(V26-$V$94)^2+(W26-$W$94)^2+(X26-$X$94)^2+(Y26-$Y$94)^2+(Z26-$Z$94)^2+(AA26-$AA$94)^2+(AB26-$AB$94)^2+(AC26-$AC$94)^2+(AD26-$AD$94)^2+(AE26-$AE$94)^2+(AF26-$AF$94)^2+(AG26-$AG$94)^2)</f>
        <v>2.03325185515475</v>
      </c>
      <c r="GR26" s="36" t="s">
        <v>316</v>
      </c>
      <c r="GS26" s="37" t="s">
        <v>120</v>
      </c>
      <c r="GU26" s="44"/>
      <c r="GV26" s="36">
        <f>SQRT((A26-$A$95)^2+(B26-$B$95)^2+(C26-$C$95)^2+(D26-$D$95)^2+(E26-$E$95)^2+(F26-$F$95)^2+(G26-$G$95)^2+(H26-$H$95)^2+(I26-$I$95)^2+(J26-$J$95)^2+(K26-$K$95)^2+(L26-$L$95)^2+(M26-$M$95)^2+(N26-$N$95)^2+(O26-$O$95)^2+(P26-$P$95)^2+(Q26-$Q$95)^2+(R26-$R$95)^2+(S26-$S$95)^2+(T26-$T$95)^2+(U26-$U$95)^2+(V26-$V$95)^2+(W26-$W$95)^2+(X26-$X$95)^2+(Y26-$Y$95)^2+(Z26-$Z$95)^2+(AA26-$AA$95)^2+(AB26-$AB$95)^2+(AC26-$AC$95)^2+(AD26-$AD$95)^2+(AE26-$AE$95)^2+(AF26-$AF$95)^2+(AG26-$AG$95)^2)</f>
        <v>2.2216735433752035</v>
      </c>
      <c r="GW26" s="36" t="s">
        <v>132</v>
      </c>
      <c r="GX26" s="37" t="s">
        <v>120</v>
      </c>
      <c r="GZ26" s="44"/>
      <c r="HA26" s="36">
        <f>SQRT((A26-$A$96)^2+(B26-$B$96)^2+(C26-$C$96)^2+(D26-$D$96)^2+(E26-$E$96)^2+(F26-$F$96)^2+(G26-$G$96)^2+(H26-$H$96)^2+(I26-$I$96)^2+(J26-$J$96)^2+(K26-$K$96)^2+(L26-$L$96)^2+(M26-$M$96)^2+(N26-$N$96)^2+(O26-$O$96)^2+(P26-$P$96)^2+(Q26-$Q$96)^2+(R26-$R$96)^2+(S26-$S$96)^2+(T26-$T$96)^2+(U26-$U$96)^2+(V26-$V$96)^2+(W26-$W$96)^2+(X26-$X$96)^2+(Y26-$Y$96)^2+(Z26-$Z$96)^2+(AA26-$AA$96)^2+(AB26-$AB$96)^2+(AC26-$AC$96)^2+(AD26-$AD$96)^2+(AE26-$AE$96)^2+(AF26-$AF$96)^2+(AG26-$AG$96)^2)</f>
        <v>1.6180406532456328</v>
      </c>
      <c r="HB26" s="36" t="s">
        <v>132</v>
      </c>
      <c r="HC26" s="37" t="s">
        <v>120</v>
      </c>
      <c r="HE26" s="44"/>
      <c r="HF26" s="36">
        <f>SQRT((A26-$A$97)^2+(B26-$B$97)^2+(C26-$C$97)^2+(D26-$D$97)^2+(E26-$E$97)^2+(F26-$F$97)^2+(G26-$G$97)^2+(H26-$H$97)^2+(I26-$I$97)^2+(J26-$J$97)^2+(K26-$K$97)^2+(L26-$L$97)^2+(M26-$M$97)^2+(N26-$N$97)^2+(O26-$O$97)^2+(P26-$P$97)^2+(Q26-$Q$97)^2+(R26-$R$97)^2+(S26-$S$97)^2+(T26-$T$97)^2+(U26-$U$97)^2+(V26-$V$97)^2+(W26-$W$97)^2+(X26-$X$97)^2+(Y26-$Y$97)^2+(Z26-$Z$97)^2+(AA26-$AA$97)^2+(AB26-$AB$97)^2+(AC26-$AC$97)^2+(AD26-$AD$97)^2+(AE26-$AE$97)^2+(AF26-$AF$97)^2+(AG26-$AG$97)^2)</f>
        <v>1.497668814632249</v>
      </c>
      <c r="HG26" s="36" t="s">
        <v>128</v>
      </c>
      <c r="HH26" s="37" t="s">
        <v>120</v>
      </c>
      <c r="HJ26" s="44"/>
      <c r="HK26" s="36">
        <f>SQRT((A26-$A$98)^2+(B26-$B$98)^2+(C26-$C$98)^2+(D26-$D$98)^2+(E26-$E$98)^2+(F26-$F$98)^2+(G26-$G$98)^2+(H26-$H$98)^2+(I26-$I$98)^2+(J26-$J$98)^2+(K26-$K$98)^2+(L26-$L$98)^2+(M26-$M$98)^2+(N26-$N$98)^2+(O26-$O$98)^2+(P26-$P$98)^2+(Q26-$Q$98)^2+(R26-$R$98)^2+(S26-$S$98)^2+(T26-$T$98)^2+(U26-$U$98)^2+(V26-$V$98)^2+(W26-$W$98)^2+(X26-$X$98)^2+(Y26-$Y$98)^2+(Z26-$Z$98)^2+(AA26-$AA$98)^2+(AB26-$AB$98)^2+(AC26-$AC$98)^2+(AD26-$AD$98)^2+(AE26-$AE$98)^2+(AF26-$AF$98)^2+(AG26-$AG$98)^2)</f>
        <v>1.497668814632249</v>
      </c>
      <c r="HL26" s="36" t="s">
        <v>128</v>
      </c>
      <c r="HM26" s="37" t="s">
        <v>120</v>
      </c>
      <c r="HO26" s="44"/>
      <c r="HP26" s="36">
        <f>SQRT((A26-$A$99)^2+(B26-$B$99)^2+(C26-$C$99)^2+(D26-$D$99)^2+(E26-$E$99)^2+(F26-$F$99)^2+(G26-$G$99)^2+(H26-$H$99)^2+(I26-$I$99)^2+(J26-$J$99)^2+(K26-$K$99)^2+(L26-$L$99)^2+(M26-$M$99)^2+(N26-$N$99)^2+(O26-$O$99)^2+(P26-$P$99)^2+(Q26-$Q$99)^2+(R26-$R$99)^2+(S26-$S$99)^2+(T26-$T$99)^2+(U26-$U$99)^2+(V26-$V$99)^2+(W26-$W$99)^2+(X26-$X$99)^2+(Y26-$Y$99)^2+(Z26-$Z$99)^2+(AA26-$AA$99)^2+(AB26-$AB$99)^2+(AC26-$AC$99)^2+(AD26-$AD$99)^2+(AE26-$AE$99)^2+(AF26-$AF$99)^2+(AG26-$AG$99)^2)</f>
        <v>1.497668814632249</v>
      </c>
      <c r="HQ26" s="36" t="s">
        <v>128</v>
      </c>
      <c r="HR26" s="37" t="s">
        <v>120</v>
      </c>
      <c r="HT26" s="44"/>
      <c r="HU26" s="36">
        <f>SQRT((A26-$A$100)^2+(B26-$B$100)^2+(C26-$C$100)^2+(D26-$D$100)^2+(E26-$E$100)^2+(F26-$F$100)^2+(G26-$G$100)^2+(H26-$H$100)^2+(I26-$I$100)^2+(J26-$J$100)^2+(K26-$K$100)^2+(L26-$L$100)^2+(M26-$M$100)^2+(N26-$N$100)^2+(O26-$O$100)^2+(P26-$P$100)^2+(Q26-$Q$100)^2+(R26-$R$100)^2+(S26-$S$100)^2+(T26-$T$100)^2+(U26-$U$100)^2+(V26-$V$100)^2+(W26-$W$100)^2+(X26-$X$100)^2+(Y26-$Y$100)^2+(Z26-$Z$100)^2+(AA26-$AA$100)^2+(AB26-$AB$100)^2+(AC26-$AC$100)^2+(AD26-$AD$100)^2+(AE26-$AE$100)^2+(AF26-$AF$100)^2+(AG26-$AG$100)^2)</f>
        <v>1.497668814632249</v>
      </c>
      <c r="HV26" s="36" t="s">
        <v>128</v>
      </c>
      <c r="HW26" s="37" t="s">
        <v>120</v>
      </c>
      <c r="HY26" s="44"/>
      <c r="HZ26" s="36">
        <f>SQRT((A26-$A$101)^2+(B26-$B$101)^2+(C26-$C$101)^2+(D26-$D$101)^2+(E26-$E$101)^2+(F26-$F$101)^2+(G26-$G$101)^2+(H26-$H$101)^2+(I26-$I$101)^2+(J26-$J$101)^2+(K26-$K$101)^2+(L26-$L$101)^2+(M26-$M$101)^2+(N26-$N$101)^2+(O26-$O$101)^2+(P26-$P$101)^2+(Q26-$Q$101)^2+(R26-$R$101)^2+(S26-$S$101)^2+(T26-$T$101)^2+(U26-$U$101)^2+(V26-$V$101)^2+(W26-$W$101)^2+(X26-$X$101)^2+(Y26-$Y$101)^2+(Z26-$Z$101)^2+(AA26-$AA$101)^2+(AB26-$AB$101)^2+(AC26-$AC$101)^2+(AD26-$AD$101)^2+(AE26-$AE$101)^2+(AF26-$AF$101)^2+(AG26-$AG$101)^2)</f>
        <v>2.0817327184610206</v>
      </c>
      <c r="IA26" s="36" t="s">
        <v>319</v>
      </c>
      <c r="IB26" s="37" t="s">
        <v>120</v>
      </c>
    </row>
    <row r="27" spans="1:236" x14ac:dyDescent="0.35">
      <c r="A27" s="2">
        <v>0.33333333333333298</v>
      </c>
      <c r="B27" s="2">
        <v>1</v>
      </c>
      <c r="C27" s="2">
        <v>1</v>
      </c>
      <c r="D27" s="2">
        <v>0</v>
      </c>
      <c r="E27" s="2">
        <v>0</v>
      </c>
      <c r="F27" s="2">
        <v>0</v>
      </c>
      <c r="G27" s="2">
        <v>0.55555555555555503</v>
      </c>
      <c r="H27" s="2">
        <v>1</v>
      </c>
      <c r="I27" s="2">
        <v>1</v>
      </c>
      <c r="J27" s="2">
        <v>0</v>
      </c>
      <c r="K27" s="2">
        <v>0</v>
      </c>
      <c r="L27" s="2">
        <v>0.2</v>
      </c>
      <c r="M27" s="2">
        <v>1</v>
      </c>
      <c r="N27" s="2">
        <v>0</v>
      </c>
      <c r="O27" s="2">
        <v>0</v>
      </c>
      <c r="P27" s="2">
        <v>0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0</v>
      </c>
      <c r="AF27" s="2">
        <v>1</v>
      </c>
      <c r="AG27" s="2">
        <v>1</v>
      </c>
      <c r="AH27" s="2" t="s">
        <v>120</v>
      </c>
      <c r="AI27" s="42"/>
      <c r="AJ27" s="42"/>
      <c r="AL27" s="44"/>
      <c r="AM27" s="36">
        <f>SQRT((A27-$A$62)^2+(B27-$B$62)^2+(C27-$C$62)^2+(D27-$D$62)^2+(E27-$E$62)^2+(F27-$F$62)^2+(G27-$G$62)^2+(H27-$H$62)^2+(I27-$I$62)^2+(J27-$J$62)^2+(K27-$K$62)^2+(L27-$L$62)^2+(M27-$M$62)^2+(N27-$N$62)^2+(O27-$O$62)^2+(P27-$P$62)^2+(Q27-$Q$62)^2+(R27-$R$62)^2+(S27-$S$62)^2+(T27-$T$62)^2+(U27-$U$62)^2+(V27-$V$62)^2+(W27-$W$62)^2+(X27-$X$62)^2+(Y27-$Y$62)^2+(Z27-$Z$62)^2+(AA27-$AA$62)^2+(AB27-$AB$62)^2+(AC27-$AC$62)^2+(AD27-$AD$62)^2+(AE27-$AE$62)^2+(AF27-$AF$62)^2+(AG27-$AG$62)^2)</f>
        <v>2.2988523706889539</v>
      </c>
      <c r="AN27" s="36" t="s">
        <v>334</v>
      </c>
      <c r="AO27" s="37" t="s">
        <v>120</v>
      </c>
      <c r="AQ27" s="44"/>
      <c r="AR27" s="36">
        <f>SQRT((A27-$A$63)^2+(B27-$B$63)^2+(C27-$C$63)^2+(D27-$D$63)^2+(E27-$E$63)^2+(F27-$F$63)^2+(G27-$G$63)^2+(H27-$H$63)^2+(I27-$I$63)^2+(J27-$J$63)^2+(K27-$K$63)^2+(L27-$L$63)^2+(M27-$M$63)^2+(N27-$N$63)^2+(O27-$O$63)^2+(P27-$P$63)^2+(Q27-$Q$63)^2+(R27-$R$63)^2+(S27-$S$63)^2+(T27-$T$63)^2+(U27-$U$63)^2+(V27-$V$63)^2+(W27-$W$63)^2+(X27-$X$63)^2+(Y27-$Y$63)^2+(Z27-$Z$63)^2+(AA27-$AA$63)^2+(AB27-$AB$63)^2+(AC27-$AC$63)^2+(AD27-$AD$63)^2+(AE27-$AE$63)^2+(AF27-$AF$63)^2+(AG27-$AG$63)^2)</f>
        <v>2.3718216581045053</v>
      </c>
      <c r="AS27" s="36" t="s">
        <v>328</v>
      </c>
      <c r="AT27" s="37" t="s">
        <v>120</v>
      </c>
      <c r="AV27" s="44"/>
      <c r="AW27" s="36">
        <f>SQRT((A27-$A$64)^2+(B27-$B$64)^2+(C27-$C$64)^2+(D27-$D$64)^2+(E27-$E$64)^2+(F27-$F$64)^2+(G27-$G$64)^2+(H27-$H$64)^2+(I27-$I$64)^2+(J27-$J$64)^2+(K27-$K$64)^2+(L27-$L$64)^2+(M27-$M$64)^2+(N27-$N$64)^2+(O27-$O$64)^2+(P27-$P$64)^2+(Q27-$Q$64)^2+(R27-$R$64)^2+(S27-$S$64)^2+(T27-$T$64)^2+(U27-$U$64)^2+(V27-$V$64)^2+(W27-$W$64)^2+(X27-$X$64)^2+(Y27-$Y$64)^2+(Z27-$Z$64)^2+(AA27-$AA$64)^2+(AB27-$AB$64)^2+(AC27-$AC$64)^2+(AD27-$AD$64)^2+(AE27-$AE$64)^2+(AF27-$AF$64)^2+(AG27-$AG$64)^2)</f>
        <v>2.3718216581045053</v>
      </c>
      <c r="AX27" s="36" t="s">
        <v>328</v>
      </c>
      <c r="AY27" s="37" t="s">
        <v>120</v>
      </c>
      <c r="BA27" s="44"/>
      <c r="BB27" s="36">
        <f>SQRT((A27-$A$65)^2+(B27-$B$65)^2+(C27-$C$65)^2+(D27-$D$65)^2+(E27-$E$65)^2+(F27-$F$65)^2+(G27-$G$65)^2+(H27-$H$65)^2+(I27-$I$65)^2+(J27-$J$65)^2+(K27-$K$65)^2+(L27-$L$65)^2+(M27-$M$65)^2+(N27-$N$65)^2+(O27-$O$65)^2+(P27-$P$65)^2+(Q27-$Q$65)^2+(R27-$R$65)^2+(S27-$S$65)^2+(T27-$T$65)^2+(U27-$U$65)^2+(V27-$V$65)^2+(W27-$W$65)^2+(X27-$X$65)^2+(Y27-$Y$65)^2+(Z27-$Z$65)^2+(AA27-$AA$65)^2+(AB27-$AB$65)^2+(AC27-$AC$65)^2+(AD27-$AD$65)^2+(AE27-$AE$65)^2+(AF27-$AF$65)^2+(AG27-$AG$65)^2)</f>
        <v>2.3718216581045053</v>
      </c>
      <c r="BC27" s="36" t="s">
        <v>328</v>
      </c>
      <c r="BD27" s="37" t="s">
        <v>120</v>
      </c>
      <c r="BF27" s="44"/>
      <c r="BG27" s="36">
        <f>SQRT((A27-$A$66)^2+(B27-$B$66)^2+(C27-$C$66)^2+(D27-$D$66)^2+(E27-$E$66)^2+(F27-$F$66)^2+(G27-$G$66)^2+(H27-$H$66)^2+(I27-$I$66)^2+(J27-$J$66)^2+(K27-$K$66)^2+(L27-$L$66)^2+(M27-$M$66)^2+(N27-$N$66)^2+(O27-$O$66)^2+(P27-$P$66)^2+(Q27-$Q$66)^2+(R27-$R$66)^2+(S27-$S$66)^2+(T27-$T$66)^2+(U27-$U$66)^2+(V27-$V$66)^2+(W27-$W$66)^2+(X27-$X$66)^2+(Y27-$Y$66)^2+(Z27-$Z$66)^2+(AA27-$AA$66)^2+(AB27-$AB$66)^2+(AC27-$AC$66)^2+(AD27-$AD$66)^2+(AE27-$AE$66)^2+(AF27-$AF$66)^2+(AG27-$AG$66)^2)</f>
        <v>2.3718216581045053</v>
      </c>
      <c r="BH27" s="36" t="s">
        <v>328</v>
      </c>
      <c r="BI27" s="37" t="s">
        <v>120</v>
      </c>
      <c r="BK27" s="44"/>
      <c r="BL27" s="36">
        <f>SQRT((A27-$A$67)^2+(B27-$B$67)^2+(C27-$C$67)^2+(D27-$D$67)^2+(E27-$E$67)^2+(F27-$F$67)^2+(G27-$G$67)^2+(H27-$H$67)^2+(I27-$I$67)^2+(J27-$J$67)^2+(K27-$K$67)^2+(L27-$L$67)^2+(M27-$M$67)^2+(N27-$N$67)^2+(O27-$O$67)^2+(P27-$P$67)^2+(Q27-$Q$67)^2+(R27-$R$67)^2+(S27-$S$67)^2+(T27-$T$67)^2+(U27-$U$67)^2+(V27-$V$67)^2+(W27-$W$67)^2+(X27-$X$67)^2+(Y27-$Y$67)^2+(Z27-$Z$67)^2+(AA27-$AA$67)^2+(AB27-$AB$67)^2+(AC27-$AC$67)^2+(AD27-$AD$67)^2+(AE27-$AE$67)^2+(AF27-$AF$67)^2+(AG27-$AG$67)^2)</f>
        <v>2.3718216581045053</v>
      </c>
      <c r="BM27" s="36" t="s">
        <v>328</v>
      </c>
      <c r="BN27" s="37" t="s">
        <v>120</v>
      </c>
      <c r="BP27" s="44"/>
      <c r="BQ27" s="36">
        <f>SQRT((A27-$A$68)^2+(B27-$B$68)^2+(C27-$C$68)^2+(D27-$D$68)^2+(E27-$E$68)^2+(F27-$F$68)^2+(G27-$G$68)^2+(H27-$H$68)^2+(I27-$I$68)^2+(J27-$J$68)^2+(K27-$K$68)^2+(L27-$L$68)^2+(M27-$M$68)^2+(N27-$N$68)^2+(O27-$O$68)^2+(P27-$P$68)^2+(Q27-$Q$68)^2+(R27-$R$68)^2+(S27-$S$68)^2+(T27-$T$68)^2+(U27-$U$68)^2+(V27-$V$68)^2+(W27-$W$68)^2+(X27-$X$68)^2+(Y27-$Y$68)^2+(Z27-$Z$68)^2+(AA27-$AA$68)^2+(AB27-$AB$68)^2+(AC27-$AC$68)^2+(AD27-$AD$68)^2+(AE27-$AE$68)^2+(AF27-$AF$68)^2+(AG27-$AG$68)^2)</f>
        <v>2.3718216581045053</v>
      </c>
      <c r="BR27" s="36" t="s">
        <v>328</v>
      </c>
      <c r="BS27" s="37" t="s">
        <v>120</v>
      </c>
      <c r="BU27" s="44"/>
      <c r="BV27" s="36">
        <f>SQRT((A27-$A$69)^2+(B27-$B$69)^2+(C27-$C$69)^2+(D27-$D$69)^2+(E27-$E$69)^2+(F27-$F$69)^2+(G27-$G$69)^2+(H27-$H$69)^2+(I27-$I$69)^2+(J27-$J$69)^2+(K27-$K$69)^2+(L27-$L$69)^2+(M27-$M$69)^2+(N27-$N$69)^2+(O27-$O$69)^2+(P27-$P$69)^2+(Q27-$Q$69)^2+(R27-$R$69)^2+(S27-$S$69)^2+(T27-$T$69)^2+(U27-$U$69)^2+(V27-$V$69)^2+(W27-$W$69)^2+(X27-$X$69)^2+(Y27-$Y$69)^2+(Z27-$Z$69)^2+(AA27-$AA$69)^2+(AB27-$AB$69)^2+(AC27-$AC$69)^2+(AD27-$AD$69)^2+(AE27-$AE$69)^2+(AF27-$AF$69)^2+(AG27-$AG$69)^2)</f>
        <v>3.1311192917079516</v>
      </c>
      <c r="BW27" s="36" t="s">
        <v>133</v>
      </c>
      <c r="BX27" s="37" t="s">
        <v>120</v>
      </c>
      <c r="BZ27" s="44"/>
      <c r="CA27" s="36">
        <f>SQRT((A27-$A$70)^2+(B27-$B$70)^2+(C27-$C$70)^2+(D27-$D$70)^2+(E27-$E$70)^2+(F27-$F$70)^2+(G27-$G$70)^2+(H27-$H$70)^2+(I27-$I$70)^2+(J27-$J$70)^2+(K27-$K$70)^2+(L27-$L$70)^2+(M27-$M$70)^2+(N27-$N$70)^2+(O27-$O$70)^2+(P27-$P$70)^2+(Q27-$Q$70)^2+(R27-$R$70)^2+(S27-$S$70)^2+(T27-$T$70)^2+(U27-$U$70)^2+(V27-$V$70)^2+(W27-$W$70)^2+(X27-$X$70)^2+(Y27-$Y$70)^2+(Z27-$Z$70)^2+(AA27-$AA$70)^2+(AB27-$AB$70)^2+(AC27-$AC$70)^2+(AD27-$AD$70)^2+(AE27-$AE$70)^2+(AF27-$AF$70)^2+(AG27-$AG$70)^2)</f>
        <v>2.739372474354842</v>
      </c>
      <c r="CB27" s="36" t="s">
        <v>328</v>
      </c>
      <c r="CC27" s="37" t="s">
        <v>120</v>
      </c>
      <c r="CE27" s="44"/>
      <c r="CF27" s="36">
        <f>SQRT((A27-$A$71)^2+(B27-$B$71)^2+(C27-$C$71)^2+(D27-$D$71)^2+(E27-$E$71)^2+(F27-$F$71)^2+(G27-$G$71)^2+(H27-$H$71)^2+(I27-$I$71)^2+(J27-$J$71)^2+(K27-$K$71)^2+(L27-$L$71)^2+(M27-$M$71)^2+(N27-$N$71)^2+(O27-$O$71)^2+(P27-$P$71)^2+(Q27-$Q$71)^2+(R27-$R$71)^2+(S27-$S$71)^2+(T27-$T$71)^2+(U27-$U$71)^2+(V27-$V$71)^2+(W27-$W$71)^2+(X27-$X$71)^2+(Y27-$Y$71)^2+(Z27-$Z$71)^2+(AA27-$AA$71)^2+(AB27-$AB$71)^2+(AC27-$AC$71)^2+(AD27-$AD$71)^2+(AE27-$AE$71)^2+(AF27-$AF$71)^2+(AG27-$AG$71)^2)</f>
        <v>2.4715032308131093</v>
      </c>
      <c r="CG27" s="36" t="s">
        <v>331</v>
      </c>
      <c r="CH27" s="37" t="s">
        <v>120</v>
      </c>
      <c r="CJ27" s="44"/>
      <c r="CK27" s="36">
        <f>SQRT((A27-$A$72)^2+(B27-$B$72)^2+(C27-$C$72)^2+(D27-$D$72)^2+(E27-$E$72)^2+(F27-$F$72)^2+(G27-$G$72)^2+(H27-$H$72)^2+(I27-$I$72)^2+(J27-$J$72)^2+(K27-$K$72)^2+(L27-$L$72)^2+(M27-$M$72)^2+(N27-$N$72)^2+(O27-$O$72)^2+(P27-$P$72)^2+(Q27-$Q$72)^2+(R27-$R$72)^2+(S27-$S$72)^2+(T27-$T$72)^2+(U27-$U$72)^2+(V27-$V$72)^2+(W27-$W$72)^2+(X27-$X$72)^2+(Y27-$Y$72)^2+(Z27-$Z$72)^2+(AA27-$AA$72)^2+(AB27-$AB$72)^2+(AC27-$AC$72)^2+(AD27-$AD$72)^2+(AE27-$AE$72)^2+(AF27-$AF$72)^2+(AG27-$AG$72)^2)</f>
        <v>2.2521240613742552</v>
      </c>
      <c r="CL27" s="36" t="s">
        <v>327</v>
      </c>
      <c r="CM27" s="37" t="s">
        <v>120</v>
      </c>
      <c r="CO27" s="44"/>
      <c r="CP27" s="36">
        <f>SQRT((A27-$A$73)^2+(B27-$B$73)^2+(C27-$C$73)^2+(D27-$D$73)^2+(E27-$E$73)^2+(F27-$F$73)^2+(G27-$G$73)^2+(H27-$H$73)^2+(I27-$I$73)^2+(J27-$J$73)^2+(K27-$K$73)^2+(L27-$L$73)^2+(M27-$M$73)^2+(N27-$N$73)^2+(O27-$O$73)^2+(P27-$P$73)^2+(Q27-$Q$73)^2+(R27-$R$73)^2+(S27-$S$73)^2+(T27-$T$73)^2+(U27-$U$73)^2+(V27-$V$73)^2+(W27-$W$73)^2+(X27-$X$73)^2+(Y27-$Y$73)^2+(Z27-$Z$73)^2+(AA27-$AA$73)^2+(AB27-$AB$73)^2+(AC27-$AC$73)^2+(AD27-$AD$73)^2+(AE27-$AE$73)^2+(AF27-$AF$73)^2+(AG27-$AG$73)^2)</f>
        <v>2.8038168429640495</v>
      </c>
      <c r="CQ27" s="36" t="s">
        <v>316</v>
      </c>
      <c r="CR27" s="37" t="s">
        <v>120</v>
      </c>
      <c r="CT27" s="44"/>
      <c r="CU27" s="36">
        <f>SQRT((A27-$A$74)^2+(B27-$B$74)^2+(C27-$C$74)^2+(D27-$D$74)^2+(E27-$E$74)^2+(F27-$F$74)^2+(G27-$G$74)^2+(H27-$H$74)^2+(I27-$I$74)^2+(J27-$J$74)^2+(K27-$K$74)^2+(L27-$L$74)^2+(M27-$M$74)^2+(N27-$N$74)^2+(O27-$O$74)^2+(P27-$P$74)^2+(Q27-$Q$74)^2+(R27-$R$74)^2+(S27-$S$74)^2+(T27-$T$74)^2+(U27-$U$74)^2+(V27-$V$74)^2+(W27-$W$74)^2+(X27-$X$74)^2+(Y27-$Y$74)^2+(Z27-$Z$74)^2+(AA27-$AA$74)^2+(AB27-$AB$74)^2+(AC27-$AC$74)^2+(AD27-$AD$74)^2+(AE27-$AE$74)^2+(AF27-$AF$74)^2+(AG27-$AG$74)^2)</f>
        <v>2.6323310328806797</v>
      </c>
      <c r="CV27" s="36" t="s">
        <v>140</v>
      </c>
      <c r="CW27" s="37" t="s">
        <v>120</v>
      </c>
      <c r="CY27" s="44"/>
      <c r="CZ27" s="36">
        <f>SQRT((A27-$A$75)^2+(B27-$B$75)^2+(C27-$C$75)^2+(D27-$D$75)^2+(E27-$E$75)^2+(F27-$F$75)^2+(G27-$G$75)^2+(H27-$H$75)^2+(I27-$I$75)^2+(J27-$J$75)^2+(K27-$K$75)^2+(L27-$L$75)^2+(M27-$M$75)^2+(N27-$N$75)^2+(O27-$O$75)^2+(P27-$P$75)^2+(Q27-$Q$75)^2+(R27-$R$75)^2+(S27-$S$75)^2+(T27-$T$75)^2+(U27-$U$75)^2+(V27-$V$75)^2+(W27-$W$75)^2+(X27-$X$75)^2+(Y27-$Y$75)^2+(Z27-$Z$75)^2+(AA27-$AA$75)^2+(AB27-$AB$75)^2+(AC27-$AC$75)^2+(AD27-$AD$75)^2+(AE27-$AE$75)^2+(AF27-$AF$75)^2+(AG27-$AG$75)^2)</f>
        <v>2.6247222075234298</v>
      </c>
      <c r="DA27" s="36" t="s">
        <v>140</v>
      </c>
      <c r="DB27" s="37" t="s">
        <v>120</v>
      </c>
      <c r="DD27" s="44"/>
      <c r="DE27" s="36">
        <f>SQRT((A27-$A$76)^2+(B27-$B$76)^2+(C27-$C$76)^2+(D27-$D$76)^2+(E27-$E$76)^2+(F27-$F$76)^2+(G27-$G$76)^2+(H27-$H$76)^2+(I27-$I$76)^2+(J27-$J$76)^2+(K27-$K$76)^2+(L27-$L$76)^2+(M27-$M$76)^2+(N27-$N$76)^2+(O27-$O$76)^2+(P27-$P$76)^2+(Q27-$Q$76)^2+(R27-$R$76)^2+(S27-$S$76)^2+(T27-$T$76)^2+(U27-$U$76)^2+(V27-$V$76)^2+(W27-$W$76)^2+(X27-$X$76)^2+(Y27-$Y$76)^2+(Z27-$Z$76)^2+(AA27-$AA$76)^2+(AB27-$AB$76)^2+(AC27-$AC$76)^2+(AD27-$AD$76)^2+(AE27-$AE$76)^2+(AF27-$AF$76)^2+(AG27-$AG$76)^2)</f>
        <v>2.4913740073390116</v>
      </c>
      <c r="DF27" s="36" t="s">
        <v>131</v>
      </c>
      <c r="DG27" s="37" t="s">
        <v>120</v>
      </c>
      <c r="DI27" s="44"/>
      <c r="DJ27" s="36">
        <f>SQRT((A27-$A$77)^2+(B27-$B$77)^2+(C27-$C$77)^2+(D27-$D$77)^2+(E27-$E$77)^2+(F27-$F$77)^2+(G27-$G$77)^2+(H27-$H$77)^2+(I27-$I$77)^2+(J27-$J$77)^2+(K27-$K$77)^2+(L27-$L$77)^2+(M27-$M$77)^2+(N27-$N$77)^2+(O27-$O$77)^2+(P27-$P$77)^2+(Q27-$Q$77)^2+(R27-$R$77)^2+(S27-$S$77)^2+(T27-$T$77)^2+(U27-$U$77)^2+(V27-$V$77)^2+(W27-$W$77)^2+(X27-$X$77)^2+(Y27-$Y$77)^2+(Z27-$Z$77)^2+(AA27-$AA$77)^2+(AB27-$AB$77)^2+(AC27-$AC$77)^2+(AD27-$AD$77)^2+(AE27-$AE$77)^2+(AF27-$AF$77)^2+(AG27-$AG$77)^2)</f>
        <v>2.1651276585406638</v>
      </c>
      <c r="DK27" s="36" t="s">
        <v>149</v>
      </c>
      <c r="DL27" s="37" t="s">
        <v>120</v>
      </c>
      <c r="DN27" s="44"/>
      <c r="DO27" s="36">
        <f>SQRT((A27-$A$78)^2+(B27-$B$78)^2+(C27-$C$78)^2+(D27-$D$78)^2+(E27-$E$78)^2+(F27-$F$78)^2+(G27-$G$78)^2+(H27-$H$78)^2+(I27-$I$78)^2+(J27-$J$78)^2+(K27-$K$78)^2+(L27-$L$78)^2+(M27-$M$78)^2+(N27-$N$78)^2+(O27-$O$78)^2+(P27-$P$78)^2+(Q27-$Q$78)^2+(R27-$R$78)^2+(S27-$S$78)^2+(T27-$T$78)^2+(U27-$U$78)^2+(V27-$V$78)^2+(W27-$W$78)^2+(X27-$X$78)^2+(Y27-$Y$78)^2+(Z27-$Z$78)^2+(AA27-$AA$78)^2+(AB27-$AB$78)^2+(AC27-$AC$78)^2+(AD27-$AD$78)^2+(AE27-$AE$78)^2+(AF27-$AF$78)^2+(AG27-$AG$78)^2)</f>
        <v>2.7439383461646938</v>
      </c>
      <c r="DP27" s="36" t="s">
        <v>326</v>
      </c>
      <c r="DQ27" s="37" t="s">
        <v>120</v>
      </c>
      <c r="DS27" s="44"/>
      <c r="DT27" s="36">
        <f>SQRT((A27-$A$79)^2+(B27-$B$79)^2+(C27-$C$79)^2+(D27-$D$79)^2+(E27-$E$79)^2+(F27-$F$79)^2+(G27-$G$79)^2+(H27-$H$79)^2+(I27-$I$79)^2+(J27-$J$79)^2+(K27-$K$79)^2+(L27-$L$79)^2+(M27-$M$79)^2+(N27-$N$79)^2+(O27-$O$79)^2+(P27-$P$79)^2+(Q27-$Q$79)^2+(R27-$R$79)^2+(S27-$S$79)^2+(T27-$T$79)^2+(U27-$U$79)^2+(V27-$V$79)^2+(W27-$W$79)^2+(X27-$X$79)^2+(Y27-$Y$79)^2+(Z27-$Z$79)^2+(AA27-$AA$79)^2+(AB27-$AB$79)^2+(AC27-$AC$79)^2+(AD27-$AD$79)^2+(AE27-$AE$79)^2+(AF27-$AF$79)^2+(AG27-$AG$79)^2)</f>
        <v>2.3860742707345968</v>
      </c>
      <c r="DU27" s="36" t="s">
        <v>338</v>
      </c>
      <c r="DV27" s="37" t="s">
        <v>120</v>
      </c>
      <c r="DX27" s="44"/>
      <c r="DY27" s="36">
        <f>SQRT((A27-$A$80)^2+(B27-$B$80)^2+(C27-$C$80)^2+(D27-$D$80)^2+(E27-$E$80)^2+(F27-$F$80)^2+(G27-$G$80)^2+(H27-$H$80)^2+(I27-$I$80)^2+(J27-$J$80)^2+(K27-$K$80)^2+(L27-$L$80)^2+(M27-$M$80)^2+(N27-$N$80)^2+(O27-$O$80)^2+(P27-$P$80)^2+(Q27-$Q$80)^2+(R27-$R$80)^2+(S27-$S$80)^2+(T27-$T$80)^2+(U27-$U$80)^2+(V27-$V$80)^2+(W27-$W$80)^2+(X27-$X$80)^2+(Y27-$Y$80)^2+(Z27-$Z$80)^2+(AA27-$AA$80)^2+(AB27-$AB$80)^2+(AC27-$AC$80)^2+(AD27-$AD$80)^2+(AE27-$AE$80)^2+(AF27-$AF$80)^2+(AG27-$AG$80)^2)</f>
        <v>2.8109409258981035</v>
      </c>
      <c r="DZ27" s="36" t="s">
        <v>322</v>
      </c>
      <c r="EA27" s="37" t="s">
        <v>120</v>
      </c>
      <c r="EC27" s="44"/>
      <c r="ED27" s="36">
        <f>SQRT((A27-$A$81)^2+(B27-$B$81)^2+(C27-$C$81)^2+(D27-$D$81)^2+(E27-$E$81)^2+(F27-$F$81)^2+(G27-$G$81)^2+(H27-$H$81)^2+(I27-$I$81)^2+(J27-$J$81)^2+(K27-$K$81)^2+(L27-$L$81)^2+(M27-$M$81)^2+(N27-$N$81)^2+(O27-$O$81)^2+(P27-$P$81)^2+(Q27-$Q$81)^2+(R27-$R$81)^2+(S27-$S$81)^2+(T27-$T$81)^2+(U27-$U$81)^2+(V27-$V$81)^2+(W27-$W$81)^2+(X27-$X$81)^2+(Y27-$Y$81)^2+(Z27-$Z$81)^2+(AA27-$AA$81)^2+(AB27-$AB$81)^2+(AC27-$AC$81)^2+(AD27-$AD$81)^2+(AE27-$AE$81)^2+(AF27-$AF$81)^2+(AG27-$AG$81)^2)</f>
        <v>2.9756418541962408</v>
      </c>
      <c r="EE27" s="36" t="s">
        <v>322</v>
      </c>
      <c r="EF27" s="37" t="s">
        <v>120</v>
      </c>
      <c r="EH27" s="44"/>
      <c r="EI27" s="36">
        <f>SQRT((A27-$A$82)^2+(B27-$B$82)^2+(C27-$C$82)^2+(D27-$D$82)^2+(E27-$E$82)^2+(F27-$F$82)^2+(G27-$G$82)^2+(H27-$H$82)^2+(I27-$I$82)^2+(J27-$J$82)^2+(K27-$K$82)^2+(L27-$L$82)^2+(M27-$M$82)^2+(N27-$N$82)^2+(O27-$O$82)^2+(P27-$P$82)^2+(Q27-$Q$82)^2+(R27-$R$82)^2+(S27-$S$82)^2+(T27-$T$82)^2+(U27-$U$82)^2+(V27-$V$82)^2+(W27-$W$82)^2+(X27-$X$82)^2+(Y27-$Y$82)^2+(Z27-$Z$82)^2+(AA27-$AA$82)^2+(AB27-$AB$82)^2+(AC27-$AC$82)^2+(AD27-$AD$82)^2+(AE27-$AE$82)^2+(AF27-$AF$82)^2+(AG27-$AG$82)^2)</f>
        <v>2.6090180960144398</v>
      </c>
      <c r="EJ27" s="36" t="s">
        <v>319</v>
      </c>
      <c r="EK27" s="37" t="s">
        <v>120</v>
      </c>
      <c r="EM27" s="44"/>
      <c r="EN27" s="36">
        <f>SQRT((A27-$A$83)^2+(B27-$B$83)^2+(C27-$C$83)^2+(D27-$D$83)^2+(E27-$E$83)^2+(F27-$F$83)^2+(G27-$G$83)^2+(H27-$H$83)^2+(I27-$I$83)^2+(J27-$J$83)^2+(K27-$K$83)^2+(L27-$L$83)^2+(M27-$M$83)^2+(N27-$N$83)^2+(O27-$O$83)^2+(P27-$P$83)^2+(Q27-$Q$83)^2+(R27-$R$83)^2+(S27-$S$83)^2+(T27-$T$83)^2+(U27-$U$83)^2+(V27-$V$83)^2+(W27-$W$83)^2+(X27-$X$83)^2+(Y27-$Y$83)^2+(Z27-$Z$83)^2+(AA27-$AA$83)^2+(AB27-$AB$83)^2+(AC27-$AC$83)^2+(AD27-$AD$83)^2+(AE27-$AE$83)^2+(AF27-$AF$83)^2+(AG27-$AG$83)^2)</f>
        <v>2.7512174845971438</v>
      </c>
      <c r="EO27" s="36" t="s">
        <v>124</v>
      </c>
      <c r="EP27" s="37" t="s">
        <v>120</v>
      </c>
      <c r="ER27" s="44"/>
      <c r="ES27" s="36">
        <f>SQRT((A27-$A$84)^2+(B27-$B$84)^2+(C27-$C$84)^2+(D27-$D$84)^2+(E27-$E$84)^2+(F27-$F$84)^2+(G27-$G$84)^2+(H27-$H$84)^2+(I27-$I$84)^2+(J27-$J$84)^2+(K27-$K$84)^2+(L27-$L$84)^2+(M27-$M$84)^2+(N27-$N$84)^2+(O27-$O$84)^2+(P27-$P$84)^2+(Q27-$Q$84)^2+(R27-$R$84)^2+(S27-$S$84)^2+(T27-$T$84)^2+(U27-$U$84)^2+(V27-$V$84)^2+(W27-$W$84)^2+(X27-$X$84)^2+(Y27-$Y$84)^2+(Z27-$Z$84)^2+(AA27-$AA$84)^2+(AB27-$AB$84)^2+(AC27-$AC$84)^2+(AD27-$AD$84)^2+(AE27-$AE$84)^2+(AF27-$AF$84)^2+(AG27-$AG$84)^2)</f>
        <v>2.3718216581045053</v>
      </c>
      <c r="ET27" s="36" t="s">
        <v>328</v>
      </c>
      <c r="EU27" s="37" t="s">
        <v>120</v>
      </c>
      <c r="EW27" s="44"/>
      <c r="EX27" s="36">
        <f>SQRT((A27-$A$85)^2+(B27-$B$85)^2+(C27-$C$85)^2+(D27-$D$85)^2+(E27-$E$85)^2+(F27-$F$85)^2+(G27-$G$85)^2+(H27-$H$85)^2+(I27-$I$85)^2+(J27-$J$85)^2+(K27-$K$85)^2+(L27-$L$85)^2+(M27-$M$85)^2+(N27-$N$85)^2+(O27-$O$85)^2+(P27-$P$85)^2+(Q27-$Q$85)^2+(R27-$R$85)^2+(S27-$S$85)^2+(T27-$T$85)^2+(U27-$U$85)^2+(V27-$V$85)^2+(W27-$W$85)^2+(X27-$X$85)^2+(Y27-$Y$85)^2+(Z27-$Z$85)^2+(AA27-$AA$85)^2+(AB27-$AB$85)^2+(AC27-$AC$85)^2+(AD27-$AD$85)^2+(AE27-$AE$85)^2+(AF27-$AF$85)^2+(AG27-$AG$85)^2)</f>
        <v>2.3718216581045053</v>
      </c>
      <c r="EY27" s="36" t="s">
        <v>328</v>
      </c>
      <c r="EZ27" s="37" t="s">
        <v>120</v>
      </c>
      <c r="FB27" s="44"/>
      <c r="FC27" s="36">
        <f>SQRT((A27-$A$86)^2+(B27-$B$86)^2+(C27-$C$86)^2+(D27-$D$86)^2+(E27-$E$86)^2+(F27-$F$86)^2+(G27-$G$86)^2+(H27-$H$86)^2+(I27-$I$86)^2+(J27-$J$86)^2+(K27-$K$86)^2+(L27-$L$86)^2+(M27-$M$86)^2+(N27-$N$86)^2+(O27-$O$86)^2+(P27-$P$86)^2+(Q27-$Q$86)^2+(R27-$R$86)^2+(S27-$S$86)^2+(T27-$T$86)^2+(U27-$U$86)^2+(V27-$V$86)^2+(W27-$W$86)^2+(X27-$X$86)^2+(Y27-$Y$86)^2+(Z27-$Z$86)^2+(AA27-$AA$86)^2+(AB27-$AB$86)^2+(AC27-$AC$86)^2+(AD27-$AD$86)^2+(AE27-$AE$86)^2+(AF27-$AF$86)^2+(AG27-$AG$86)^2)</f>
        <v>2.3718216581045053</v>
      </c>
      <c r="FD27" s="36" t="s">
        <v>328</v>
      </c>
      <c r="FE27" s="37" t="s">
        <v>120</v>
      </c>
      <c r="FG27" s="44"/>
      <c r="FH27" s="36">
        <f>SQRT((A27-$A$87)^2+(B27-$B$87)^2+(C27-$C$87)^2+(D27-$D$87)^2+(E27-$E$87)^2+(F27-$F$87)^2+(G27-$G$87)^2+(H27-$H$87)^2+(I27-$I$87)^2+(J27-$J$87)^2+(K27-$K$87)^2+(L27-$L$87)^2+(M27-$M$87)^2+(N27-$N$87)^2+(O27-$O$87)^2+(P27-$P$87)^2+(Q27-$Q$87)^2+(R27-$R$87)^2+(S27-$S$87)^2+(T27-$T$87)^2+(U27-$U$87)^2+(V27-$V$87)^2+(W27-$W$87)^2+(X27-$X$87)^2+(Y27-$Y$87)^2+(Z27-$Z$87)^2+(AA27-$AA$87)^2+(AB27-$AB$87)^2+(AC27-$AC$87)^2+(AD27-$AD$87)^2+(AE27-$AE$87)^2+(AF27-$AF$87)^2+(AG27-$AG$87)^2)</f>
        <v>2.7297232256932</v>
      </c>
      <c r="FI27" s="36" t="s">
        <v>317</v>
      </c>
      <c r="FJ27" s="37" t="s">
        <v>120</v>
      </c>
      <c r="FL27" s="44"/>
      <c r="FM27" s="36">
        <f>SQRT((A27-$A$88)^2+(B27-$B$88)^2+(C27-$C$88)^2+(D27-$D$88)^2+(E27-$E$88)^2+(F27-$F$88)^2+(G27-$G$88)^2+(H27-$H$88)^2+(I27-$I$88)^2+(J27-$J$88)^2+(K27-$K$88)^2+(L27-$L$88)^2+(M27-$M$88)^2+(N27-$N$88)^2+(O27-$O$88)^2+(P27-$P$88)^2+(Q27-$Q$88)^2+(R27-$R$88)^2+(S27-$S$88)^2+(T27-$T$88)^2+(U27-$U$88)^2+(V27-$V$88)^2+(W27-$W$88)^2+(X27-$X$88)^2+(Y27-$Y$88)^2+(Z27-$Z$88)^2+(AA27-$AA$88)^2+(AB27-$AB$88)^2+(AC27-$AC$88)^2+(AD27-$AD$88)^2+(AE27-$AE$88)^2+(AF27-$AF$88)^2+(AG27-$AG$88)^2)</f>
        <v>2.5827946530685777</v>
      </c>
      <c r="FN27" s="36" t="s">
        <v>339</v>
      </c>
      <c r="FO27" s="37" t="s">
        <v>120</v>
      </c>
      <c r="FQ27" s="44"/>
      <c r="FR27" s="36">
        <f>SQRT((A27-$A$89)^2+(B27-$B$89)^2+(C27-$C$89)^2+(D27-$D$89)^2+(E27-$E$89)^2+(F27-$F$89)^2+(G27-$G$89)^2+(H27-$H$89)^2+(I27-$I$89)^2+(J27-$J$89)^2+(K27-$K$89)^2+(L27-$L$89)^2+(M27-$M$89)^2+(N27-$N$89)^2+(O27-$O$89)^2+(P27-$P$89)^2+(Q27-$Q$89)^2+(R27-$R$89)^2+(S27-$S$89)^2+(T27-$T$89)^2+(U27-$U$89)^2+(V27-$V$89)^2+(W27-$W$89)^2+(X27-$X$89)^2+(Y27-$Y$89)^2+(Z27-$Z$89)^2+(AA27-$AA$89)^2+(AB27-$AB$89)^2+(AC27-$AC$89)^2+(AD27-$AD$89)^2+(AE27-$AE$89)^2+(AF27-$AF$89)^2+(AG27-$AG$89)^2)</f>
        <v>2.8480500151663226</v>
      </c>
      <c r="FS27" s="36" t="s">
        <v>336</v>
      </c>
      <c r="FT27" s="37" t="s">
        <v>120</v>
      </c>
      <c r="FV27" s="44"/>
      <c r="FW27" s="36">
        <f>SQRT((A27-$A$90)^2+(B27-$B$90)^2+(C27-$C$90)^2+(D27-$D$90)^2+(E27-$E$90)^2+(F27-$F$90)^2+(G27-$G$90)^2+(H27-$H$90)^2+(I27-$I$90)^2+(J27-$J$90)^2+(K27-$K$90)^2+(L27-$L$90)^2+(M27-$M$90)^2+(N27-$N$90)^2+(O27-$O$90)^2+(P27-$P$90)^2+(Q27-$Q$90)^2+(R27-$R$90)^2+(S27-$S$90)^2+(T27-$T$90)^2+(U27-$U$90)^2+(V27-$V$90)^2+(W27-$W$90)^2+(X27-$X$90)^2+(Y27-$Y$90)^2+(Z27-$Z$90)^2+(AA27-$AA$90)^2+(AB27-$AB$90)^2+(AC27-$AC$90)^2+(AD27-$AD$90)^2+(AE27-$AE$90)^2+(AF27-$AF$90)^2+(AG27-$AG$90)^2)</f>
        <v>2.5910637026347132</v>
      </c>
      <c r="FX27" s="36" t="s">
        <v>337</v>
      </c>
      <c r="FY27" s="37" t="s">
        <v>120</v>
      </c>
      <c r="GA27" s="44"/>
      <c r="GB27" s="36">
        <f>SQRT((A27-$A$91)^2+(B27-$B$91)^2+(C27-$C$91)^2+(D27-$D$91)^2+(E27-$E$91)^2+(F27-$F$91)^2+(G27-$G$91)^2+(H27-$H$91)^2+(I27-$I$91)^2+(J27-$J$91)^2+(K27-$K$91)^2+(L27-$L$91)^2+(M27-$M$91)^2+(N27-$N$91)^2+(O27-$O$91)^2+(P27-$P$91)^2+(Q27-$Q$91)^2+(R27-$R$91)^2+(S27-$S$91)^2+(T27-$T$91)^2+(U27-$U$91)^2+(V27-$V$91)^2+(W27-$W$91)^2+(X27-$X$91)^2+(Y27-$Y$91)^2+(Z27-$Z$91)^2+(AA27-$AA$91)^2+(AB27-$AB$91)^2+(AC27-$AC$91)^2+(AD27-$AD$91)^2+(AE27-$AE$91)^2+(AF27-$AF$91)^2+(AG27-$AG$91)^2)</f>
        <v>2.5276251480171834</v>
      </c>
      <c r="GC27" s="36" t="s">
        <v>131</v>
      </c>
      <c r="GD27" s="37" t="s">
        <v>120</v>
      </c>
      <c r="GF27" s="44"/>
      <c r="GG27" s="36">
        <f>SQRT((A27-$A$92)^2+(B27-$B$92)^2+(C27-$C$92)^2+(D27-$D$92)^2+(E27-$E$92)^2+(F27-$F$92)^2+(G27-$G$92)^2+(H27-$H$92)^2+(I27-$I$92)^2+(J27-$J$92)^2+(K27-$K$92)^2+(L27-$L$92)^2+(M27-$M$92)^2+(N27-$N$92)^2+(O27-$O$92)^2+(P27-$P$92)^2+(Q27-$Q$92)^2+(R27-$R$92)^2+(S27-$S$92)^2+(T27-$T$92)^2+(U27-$U$92)^2+(V27-$V$92)^2+(W27-$W$92)^2+(X27-$X$92)^2+(Y27-$Y$92)^2+(Z27-$Z$92)^2+(AA27-$AA$92)^2+(AB27-$AB$92)^2+(AC27-$AC$92)^2+(AD27-$AD$92)^2+(AE27-$AE$92)^2+(AF27-$AF$92)^2+(AG27-$AG$92)^2)</f>
        <v>2.8438521210826528</v>
      </c>
      <c r="GH27" s="36" t="s">
        <v>128</v>
      </c>
      <c r="GI27" s="37" t="s">
        <v>120</v>
      </c>
      <c r="GK27" s="44"/>
      <c r="GL27" s="36">
        <f>SQRT((A27-$A$93)^2+(B27-$B$93)^2+(C27-$C$93)^2+(D27-$D$93)^2+(E27-$E$93)^2+(F27-$F$93)^2+(G27-$G$93)^2+(H27-$H$93)^2+(I27-$I$93)^2+(J27-$J$93)^2+(K27-$K$93)^2+(L27-$L$93)^2+(M27-$M$93)^2+(N27-$N$93)^2+(O27-$O$93)^2+(P27-$P$93)^2+(Q27-$Q$93)^2+(R27-$R$93)^2+(S27-$S$93)^2+(T27-$T$93)^2+(U27-$U$93)^2+(V27-$V$93)^2+(W27-$W$93)^2+(X27-$X$93)^2+(Y27-$Y$93)^2+(Z27-$Z$93)^2+(AA27-$AA$93)^2+(AB27-$AB$93)^2+(AC27-$AC$93)^2+(AD27-$AD$93)^2+(AE27-$AE$93)^2+(AF27-$AF$93)^2+(AG27-$AG$93)^2)</f>
        <v>2.5681813712344295</v>
      </c>
      <c r="GM27" s="36" t="s">
        <v>133</v>
      </c>
      <c r="GN27" s="37" t="s">
        <v>120</v>
      </c>
      <c r="GP27" s="44"/>
      <c r="GQ27" s="36">
        <f>SQRT((A27-$A$94)^2+(B27-$B$94)^2+(C27-$C$94)^2+(D27-$D$94)^2+(E27-$E$94)^2+(F27-$F$94)^2+(G27-$G$94)^2+(H27-$H$94)^2+(I27-$I$94)^2+(J27-$J$94)^2+(K27-$K$94)^2+(L27-$L$94)^2+(M27-$M$94)^2+(N27-$N$94)^2+(O27-$O$94)^2+(P27-$P$94)^2+(Q27-$Q$94)^2+(R27-$R$94)^2+(S27-$S$94)^2+(T27-$T$94)^2+(U27-$U$94)^2+(V27-$V$94)^2+(W27-$W$94)^2+(X27-$X$94)^2+(Y27-$Y$94)^2+(Z27-$Z$94)^2+(AA27-$AA$94)^2+(AB27-$AB$94)^2+(AC27-$AC$94)^2+(AD27-$AD$94)^2+(AE27-$AE$94)^2+(AF27-$AF$94)^2+(AG27-$AG$94)^2)</f>
        <v>2.929974949228848</v>
      </c>
      <c r="GR27" s="36" t="s">
        <v>319</v>
      </c>
      <c r="GS27" s="37" t="s">
        <v>120</v>
      </c>
      <c r="GU27" s="44"/>
      <c r="GV27" s="36">
        <f>SQRT((A27-$A$95)^2+(B27-$B$95)^2+(C27-$C$95)^2+(D27-$D$95)^2+(E27-$E$95)^2+(F27-$F$95)^2+(G27-$G$95)^2+(H27-$H$95)^2+(I27-$I$95)^2+(J27-$J$95)^2+(K27-$K$95)^2+(L27-$L$95)^2+(M27-$M$95)^2+(N27-$N$95)^2+(O27-$O$95)^2+(P27-$P$95)^2+(Q27-$Q$95)^2+(R27-$R$95)^2+(S27-$S$95)^2+(T27-$T$95)^2+(U27-$U$95)^2+(V27-$V$95)^2+(W27-$W$95)^2+(X27-$X$95)^2+(Y27-$Y$95)^2+(Z27-$Z$95)^2+(AA27-$AA$95)^2+(AB27-$AB$95)^2+(AC27-$AC$95)^2+(AD27-$AD$95)^2+(AE27-$AE$95)^2+(AF27-$AF$95)^2+(AG27-$AG$95)^2)</f>
        <v>2.8480012484391768</v>
      </c>
      <c r="GW27" s="36" t="s">
        <v>144</v>
      </c>
      <c r="GX27" s="37" t="s">
        <v>120</v>
      </c>
      <c r="GZ27" s="44"/>
      <c r="HA27" s="36">
        <f>SQRT((A27-$A$96)^2+(B27-$B$96)^2+(C27-$C$96)^2+(D27-$D$96)^2+(E27-$E$96)^2+(F27-$F$96)^2+(G27-$G$96)^2+(H27-$H$96)^2+(I27-$I$96)^2+(J27-$J$96)^2+(K27-$K$96)^2+(L27-$L$96)^2+(M27-$M$96)^2+(N27-$N$96)^2+(O27-$O$96)^2+(P27-$P$96)^2+(Q27-$Q$96)^2+(R27-$R$96)^2+(S27-$S$96)^2+(T27-$T$96)^2+(U27-$U$96)^2+(V27-$V$96)^2+(W27-$W$96)^2+(X27-$X$96)^2+(Y27-$Y$96)^2+(Z27-$Z$96)^2+(AA27-$AA$96)^2+(AB27-$AB$96)^2+(AC27-$AC$96)^2+(AD27-$AD$96)^2+(AE27-$AE$96)^2+(AF27-$AF$96)^2+(AG27-$AG$96)^2)</f>
        <v>2.8840557861764355</v>
      </c>
      <c r="HB27" s="36" t="s">
        <v>149</v>
      </c>
      <c r="HC27" s="37" t="s">
        <v>120</v>
      </c>
      <c r="HE27" s="44"/>
      <c r="HF27" s="36">
        <f>SQRT((A27-$A$97)^2+(B27-$B$97)^2+(C27-$C$97)^2+(D27-$D$97)^2+(E27-$E$97)^2+(F27-$F$97)^2+(G27-$G$97)^2+(H27-$H$97)^2+(I27-$I$97)^2+(J27-$J$97)^2+(K27-$K$97)^2+(L27-$L$97)^2+(M27-$M$97)^2+(N27-$N$97)^2+(O27-$O$97)^2+(P27-$P$97)^2+(Q27-$Q$97)^2+(R27-$R$97)^2+(S27-$S$97)^2+(T27-$T$97)^2+(U27-$U$97)^2+(V27-$V$97)^2+(W27-$W$97)^2+(X27-$X$97)^2+(Y27-$Y$97)^2+(Z27-$Z$97)^2+(AA27-$AA$97)^2+(AB27-$AB$97)^2+(AC27-$AC$97)^2+(AD27-$AD$97)^2+(AE27-$AE$97)^2+(AF27-$AF$97)^2+(AG27-$AG$97)^2)</f>
        <v>2.3718216581045053</v>
      </c>
      <c r="HG27" s="36" t="s">
        <v>328</v>
      </c>
      <c r="HH27" s="37" t="s">
        <v>120</v>
      </c>
      <c r="HJ27" s="44"/>
      <c r="HK27" s="36">
        <f>SQRT((A27-$A$98)^2+(B27-$B$98)^2+(C27-$C$98)^2+(D27-$D$98)^2+(E27-$E$98)^2+(F27-$F$98)^2+(G27-$G$98)^2+(H27-$H$98)^2+(I27-$I$98)^2+(J27-$J$98)^2+(K27-$K$98)^2+(L27-$L$98)^2+(M27-$M$98)^2+(N27-$N$98)^2+(O27-$O$98)^2+(P27-$P$98)^2+(Q27-$Q$98)^2+(R27-$R$98)^2+(S27-$S$98)^2+(T27-$T$98)^2+(U27-$U$98)^2+(V27-$V$98)^2+(W27-$W$98)^2+(X27-$X$98)^2+(Y27-$Y$98)^2+(Z27-$Z$98)^2+(AA27-$AA$98)^2+(AB27-$AB$98)^2+(AC27-$AC$98)^2+(AD27-$AD$98)^2+(AE27-$AE$98)^2+(AF27-$AF$98)^2+(AG27-$AG$98)^2)</f>
        <v>2.3718216581045053</v>
      </c>
      <c r="HL27" s="36" t="s">
        <v>328</v>
      </c>
      <c r="HM27" s="37" t="s">
        <v>120</v>
      </c>
      <c r="HO27" s="44"/>
      <c r="HP27" s="36">
        <f>SQRT((A27-$A$99)^2+(B27-$B$99)^2+(C27-$C$99)^2+(D27-$D$99)^2+(E27-$E$99)^2+(F27-$F$99)^2+(G27-$G$99)^2+(H27-$H$99)^2+(I27-$I$99)^2+(J27-$J$99)^2+(K27-$K$99)^2+(L27-$L$99)^2+(M27-$M$99)^2+(N27-$N$99)^2+(O27-$O$99)^2+(P27-$P$99)^2+(Q27-$Q$99)^2+(R27-$R$99)^2+(S27-$S$99)^2+(T27-$T$99)^2+(U27-$U$99)^2+(V27-$V$99)^2+(W27-$W$99)^2+(X27-$X$99)^2+(Y27-$Y$99)^2+(Z27-$Z$99)^2+(AA27-$AA$99)^2+(AB27-$AB$99)^2+(AC27-$AC$99)^2+(AD27-$AD$99)^2+(AE27-$AE$99)^2+(AF27-$AF$99)^2+(AG27-$AG$99)^2)</f>
        <v>2.3718216581045053</v>
      </c>
      <c r="HQ27" s="36" t="s">
        <v>328</v>
      </c>
      <c r="HR27" s="37" t="s">
        <v>120</v>
      </c>
      <c r="HT27" s="44"/>
      <c r="HU27" s="36">
        <f>SQRT((A27-$A$100)^2+(B27-$B$100)^2+(C27-$C$100)^2+(D27-$D$100)^2+(E27-$E$100)^2+(F27-$F$100)^2+(G27-$G$100)^2+(H27-$H$100)^2+(I27-$I$100)^2+(J27-$J$100)^2+(K27-$K$100)^2+(L27-$L$100)^2+(M27-$M$100)^2+(N27-$N$100)^2+(O27-$O$100)^2+(P27-$P$100)^2+(Q27-$Q$100)^2+(R27-$R$100)^2+(S27-$S$100)^2+(T27-$T$100)^2+(U27-$U$100)^2+(V27-$V$100)^2+(W27-$W$100)^2+(X27-$X$100)^2+(Y27-$Y$100)^2+(Z27-$Z$100)^2+(AA27-$AA$100)^2+(AB27-$AB$100)^2+(AC27-$AC$100)^2+(AD27-$AD$100)^2+(AE27-$AE$100)^2+(AF27-$AF$100)^2+(AG27-$AG$100)^2)</f>
        <v>2.3718216581045053</v>
      </c>
      <c r="HV27" s="36" t="s">
        <v>328</v>
      </c>
      <c r="HW27" s="37" t="s">
        <v>120</v>
      </c>
      <c r="HY27" s="44"/>
      <c r="HZ27" s="36">
        <f>SQRT((A27-$A$101)^2+(B27-$B$101)^2+(C27-$C$101)^2+(D27-$D$101)^2+(E27-$E$101)^2+(F27-$F$101)^2+(G27-$G$101)^2+(H27-$H$101)^2+(I27-$I$101)^2+(J27-$J$101)^2+(K27-$K$101)^2+(L27-$L$101)^2+(M27-$M$101)^2+(N27-$N$101)^2+(O27-$O$101)^2+(P27-$P$101)^2+(Q27-$Q$101)^2+(R27-$R$101)^2+(S27-$S$101)^2+(T27-$T$101)^2+(U27-$U$101)^2+(V27-$V$101)^2+(W27-$W$101)^2+(X27-$X$101)^2+(Y27-$Y$101)^2+(Z27-$Z$101)^2+(AA27-$AA$101)^2+(AB27-$AB$101)^2+(AC27-$AC$101)^2+(AD27-$AD$101)^2+(AE27-$AE$101)^2+(AF27-$AF$101)^2+(AG27-$AG$101)^2)</f>
        <v>2.9870089089626468</v>
      </c>
      <c r="IA27" s="36" t="s">
        <v>322</v>
      </c>
      <c r="IB27" s="37" t="s">
        <v>120</v>
      </c>
    </row>
    <row r="28" spans="1:236" x14ac:dyDescent="0.35">
      <c r="A28" s="2">
        <v>0.16666666666666599</v>
      </c>
      <c r="B28" s="2">
        <v>0</v>
      </c>
      <c r="C28" s="2">
        <v>0</v>
      </c>
      <c r="D28" s="2">
        <v>1</v>
      </c>
      <c r="E28" s="2">
        <v>0.33333333333333298</v>
      </c>
      <c r="F28" s="2">
        <v>1</v>
      </c>
      <c r="G28" s="2">
        <v>0.55555555555555503</v>
      </c>
      <c r="H28" s="2">
        <v>1</v>
      </c>
      <c r="I28" s="2">
        <v>0.5</v>
      </c>
      <c r="J28" s="2">
        <v>0</v>
      </c>
      <c r="K28" s="2">
        <v>0</v>
      </c>
      <c r="L28" s="2">
        <v>0.2</v>
      </c>
      <c r="M28" s="2">
        <v>1</v>
      </c>
      <c r="N28" s="2">
        <v>0</v>
      </c>
      <c r="O28" s="2">
        <v>0</v>
      </c>
      <c r="P28" s="2">
        <v>0.6</v>
      </c>
      <c r="Q28" s="2">
        <v>0</v>
      </c>
      <c r="R28" s="2">
        <v>0</v>
      </c>
      <c r="S28" s="2">
        <v>1</v>
      </c>
      <c r="T28" s="2">
        <v>1</v>
      </c>
      <c r="U28" s="2">
        <v>1</v>
      </c>
      <c r="V28" s="2">
        <v>0</v>
      </c>
      <c r="W28" s="2">
        <v>1</v>
      </c>
      <c r="X28" s="2">
        <v>1</v>
      </c>
      <c r="Y28" s="2">
        <v>1</v>
      </c>
      <c r="Z28" s="2">
        <v>0</v>
      </c>
      <c r="AA28" s="2">
        <v>1</v>
      </c>
      <c r="AB28" s="2">
        <v>1</v>
      </c>
      <c r="AC28" s="2">
        <v>1</v>
      </c>
      <c r="AD28" s="2">
        <v>1</v>
      </c>
      <c r="AE28" s="2">
        <v>0</v>
      </c>
      <c r="AF28" s="2">
        <v>1</v>
      </c>
      <c r="AG28" s="2">
        <v>1</v>
      </c>
      <c r="AH28" s="2" t="s">
        <v>120</v>
      </c>
      <c r="AI28" s="42"/>
      <c r="AJ28" s="42"/>
      <c r="AL28" s="44"/>
      <c r="AM28" s="36">
        <f>SQRT((A28-$A$62)^2+(B28-$B$62)^2+(C28-$C$62)^2+(D28-$D$62)^2+(E28-$E$62)^2+(F28-$F$62)^2+(G28-$G$62)^2+(H28-$H$62)^2+(I28-$I$62)^2+(J28-$J$62)^2+(K28-$K$62)^2+(L28-$L$62)^2+(M28-$M$62)^2+(N28-$N$62)^2+(O28-$O$62)^2+(P28-$P$62)^2+(Q28-$Q$62)^2+(R28-$R$62)^2+(S28-$S$62)^2+(T28-$T$62)^2+(U28-$U$62)^2+(V28-$V$62)^2+(W28-$W$62)^2+(X28-$X$62)^2+(Y28-$Y$62)^2+(Z28-$Z$62)^2+(AA28-$AA$62)^2+(AB28-$AB$62)^2+(AC28-$AC$62)^2+(AD28-$AD$62)^2+(AE28-$AE$62)^2+(AF28-$AF$62)^2+(AG28-$AG$62)^2)</f>
        <v>2.3991317874042131</v>
      </c>
      <c r="AN28" s="36" t="s">
        <v>321</v>
      </c>
      <c r="AO28" s="37" t="s">
        <v>120</v>
      </c>
      <c r="AQ28" s="44"/>
      <c r="AR28" s="36">
        <f>SQRT((A28-$A$63)^2+(B28-$B$63)^2+(C28-$C$63)^2+(D28-$D$63)^2+(E28-$E$63)^2+(F28-$F$63)^2+(G28-$G$63)^2+(H28-$H$63)^2+(I28-$I$63)^2+(J28-$J$63)^2+(K28-$K$63)^2+(L28-$L$63)^2+(M28-$M$63)^2+(N28-$N$63)^2+(O28-$O$63)^2+(P28-$P$63)^2+(Q28-$Q$63)^2+(R28-$R$63)^2+(S28-$S$63)^2+(T28-$T$63)^2+(U28-$U$63)^2+(V28-$V$63)^2+(W28-$W$63)^2+(X28-$X$63)^2+(Y28-$Y$63)^2+(Z28-$Z$63)^2+(AA28-$AA$63)^2+(AB28-$AB$63)^2+(AC28-$AC$63)^2+(AD28-$AD$63)^2+(AE28-$AE$63)^2+(AF28-$AF$63)^2+(AG28-$AG$63)^2)</f>
        <v>1.9708751357712631</v>
      </c>
      <c r="AS28" s="36" t="s">
        <v>153</v>
      </c>
      <c r="AT28" s="37" t="s">
        <v>120</v>
      </c>
      <c r="AV28" s="44"/>
      <c r="AW28" s="36">
        <f>SQRT((A28-$A$64)^2+(B28-$B$64)^2+(C28-$C$64)^2+(D28-$D$64)^2+(E28-$E$64)^2+(F28-$F$64)^2+(G28-$G$64)^2+(H28-$H$64)^2+(I28-$I$64)^2+(J28-$J$64)^2+(K28-$K$64)^2+(L28-$L$64)^2+(M28-$M$64)^2+(N28-$N$64)^2+(O28-$O$64)^2+(P28-$P$64)^2+(Q28-$Q$64)^2+(R28-$R$64)^2+(S28-$S$64)^2+(T28-$T$64)^2+(U28-$U$64)^2+(V28-$V$64)^2+(W28-$W$64)^2+(X28-$X$64)^2+(Y28-$Y$64)^2+(Z28-$Z$64)^2+(AA28-$AA$64)^2+(AB28-$AB$64)^2+(AC28-$AC$64)^2+(AD28-$AD$64)^2+(AE28-$AE$64)^2+(AF28-$AF$64)^2+(AG28-$AG$64)^2)</f>
        <v>1.9708751357712631</v>
      </c>
      <c r="AX28" s="36" t="s">
        <v>153</v>
      </c>
      <c r="AY28" s="37" t="s">
        <v>120</v>
      </c>
      <c r="BA28" s="44"/>
      <c r="BB28" s="36">
        <f>SQRT((A28-$A$65)^2+(B28-$B$65)^2+(C28-$C$65)^2+(D28-$D$65)^2+(E28-$E$65)^2+(F28-$F$65)^2+(G28-$G$65)^2+(H28-$H$65)^2+(I28-$I$65)^2+(J28-$J$65)^2+(K28-$K$65)^2+(L28-$L$65)^2+(M28-$M$65)^2+(N28-$N$65)^2+(O28-$O$65)^2+(P28-$P$65)^2+(Q28-$Q$65)^2+(R28-$R$65)^2+(S28-$S$65)^2+(T28-$T$65)^2+(U28-$U$65)^2+(V28-$V$65)^2+(W28-$W$65)^2+(X28-$X$65)^2+(Y28-$Y$65)^2+(Z28-$Z$65)^2+(AA28-$AA$65)^2+(AB28-$AB$65)^2+(AC28-$AC$65)^2+(AD28-$AD$65)^2+(AE28-$AE$65)^2+(AF28-$AF$65)^2+(AG28-$AG$65)^2)</f>
        <v>1.9708751357712631</v>
      </c>
      <c r="BC28" s="36" t="s">
        <v>153</v>
      </c>
      <c r="BD28" s="37" t="s">
        <v>120</v>
      </c>
      <c r="BF28" s="44"/>
      <c r="BG28" s="36">
        <f>SQRT((A28-$A$66)^2+(B28-$B$66)^2+(C28-$C$66)^2+(D28-$D$66)^2+(E28-$E$66)^2+(F28-$F$66)^2+(G28-$G$66)^2+(H28-$H$66)^2+(I28-$I$66)^2+(J28-$J$66)^2+(K28-$K$66)^2+(L28-$L$66)^2+(M28-$M$66)^2+(N28-$N$66)^2+(O28-$O$66)^2+(P28-$P$66)^2+(Q28-$Q$66)^2+(R28-$R$66)^2+(S28-$S$66)^2+(T28-$T$66)^2+(U28-$U$66)^2+(V28-$V$66)^2+(W28-$W$66)^2+(X28-$X$66)^2+(Y28-$Y$66)^2+(Z28-$Z$66)^2+(AA28-$AA$66)^2+(AB28-$AB$66)^2+(AC28-$AC$66)^2+(AD28-$AD$66)^2+(AE28-$AE$66)^2+(AF28-$AF$66)^2+(AG28-$AG$66)^2)</f>
        <v>1.9708751357712631</v>
      </c>
      <c r="BH28" s="36" t="s">
        <v>153</v>
      </c>
      <c r="BI28" s="37" t="s">
        <v>120</v>
      </c>
      <c r="BK28" s="44"/>
      <c r="BL28" s="36">
        <f>SQRT((A28-$A$67)^2+(B28-$B$67)^2+(C28-$C$67)^2+(D28-$D$67)^2+(E28-$E$67)^2+(F28-$F$67)^2+(G28-$G$67)^2+(H28-$H$67)^2+(I28-$I$67)^2+(J28-$J$67)^2+(K28-$K$67)^2+(L28-$L$67)^2+(M28-$M$67)^2+(N28-$N$67)^2+(O28-$O$67)^2+(P28-$P$67)^2+(Q28-$Q$67)^2+(R28-$R$67)^2+(S28-$S$67)^2+(T28-$T$67)^2+(U28-$U$67)^2+(V28-$V$67)^2+(W28-$W$67)^2+(X28-$X$67)^2+(Y28-$Y$67)^2+(Z28-$Z$67)^2+(AA28-$AA$67)^2+(AB28-$AB$67)^2+(AC28-$AC$67)^2+(AD28-$AD$67)^2+(AE28-$AE$67)^2+(AF28-$AF$67)^2+(AG28-$AG$67)^2)</f>
        <v>1.9708751357712631</v>
      </c>
      <c r="BM28" s="36" t="s">
        <v>153</v>
      </c>
      <c r="BN28" s="37" t="s">
        <v>120</v>
      </c>
      <c r="BP28" s="44"/>
      <c r="BQ28" s="36">
        <f>SQRT((A28-$A$68)^2+(B28-$B$68)^2+(C28-$C$68)^2+(D28-$D$68)^2+(E28-$E$68)^2+(F28-$F$68)^2+(G28-$G$68)^2+(H28-$H$68)^2+(I28-$I$68)^2+(J28-$J$68)^2+(K28-$K$68)^2+(L28-$L$68)^2+(M28-$M$68)^2+(N28-$N$68)^2+(O28-$O$68)^2+(P28-$P$68)^2+(Q28-$Q$68)^2+(R28-$R$68)^2+(S28-$S$68)^2+(T28-$T$68)^2+(U28-$U$68)^2+(V28-$V$68)^2+(W28-$W$68)^2+(X28-$X$68)^2+(Y28-$Y$68)^2+(Z28-$Z$68)^2+(AA28-$AA$68)^2+(AB28-$AB$68)^2+(AC28-$AC$68)^2+(AD28-$AD$68)^2+(AE28-$AE$68)^2+(AF28-$AF$68)^2+(AG28-$AG$68)^2)</f>
        <v>1.9708751357712631</v>
      </c>
      <c r="BR28" s="36" t="s">
        <v>153</v>
      </c>
      <c r="BS28" s="37" t="s">
        <v>120</v>
      </c>
      <c r="BU28" s="44"/>
      <c r="BV28" s="36">
        <f>SQRT((A28-$A$69)^2+(B28-$B$69)^2+(C28-$C$69)^2+(D28-$D$69)^2+(E28-$E$69)^2+(F28-$F$69)^2+(G28-$G$69)^2+(H28-$H$69)^2+(I28-$I$69)^2+(J28-$J$69)^2+(K28-$K$69)^2+(L28-$L$69)^2+(M28-$M$69)^2+(N28-$N$69)^2+(O28-$O$69)^2+(P28-$P$69)^2+(Q28-$Q$69)^2+(R28-$R$69)^2+(S28-$S$69)^2+(T28-$T$69)^2+(U28-$U$69)^2+(V28-$V$69)^2+(W28-$W$69)^2+(X28-$X$69)^2+(Y28-$Y$69)^2+(Z28-$Z$69)^2+(AA28-$AA$69)^2+(AB28-$AB$69)^2+(AC28-$AC$69)^2+(AD28-$AD$69)^2+(AE28-$AE$69)^2+(AF28-$AF$69)^2+(AG28-$AG$69)^2)</f>
        <v>2.7465559018456611</v>
      </c>
      <c r="BW28" s="36" t="s">
        <v>331</v>
      </c>
      <c r="BX28" s="37" t="s">
        <v>120</v>
      </c>
      <c r="BZ28" s="44"/>
      <c r="CA28" s="36">
        <f>SQRT((A28-$A$70)^2+(B28-$B$70)^2+(C28-$C$70)^2+(D28-$D$70)^2+(E28-$E$70)^2+(F28-$F$70)^2+(G28-$G$70)^2+(H28-$H$70)^2+(I28-$I$70)^2+(J28-$J$70)^2+(K28-$K$70)^2+(L28-$L$70)^2+(M28-$M$70)^2+(N28-$N$70)^2+(O28-$O$70)^2+(P28-$P$70)^2+(Q28-$Q$70)^2+(R28-$R$70)^2+(S28-$S$70)^2+(T28-$T$70)^2+(U28-$U$70)^2+(V28-$V$70)^2+(W28-$W$70)^2+(X28-$X$70)^2+(Y28-$Y$70)^2+(Z28-$Z$70)^2+(AA28-$AA$70)^2+(AB28-$AB$70)^2+(AC28-$AC$70)^2+(AD28-$AD$70)^2+(AE28-$AE$70)^2+(AF28-$AF$70)^2+(AG28-$AG$70)^2)</f>
        <v>2.3513433695024815</v>
      </c>
      <c r="CB28" s="36" t="s">
        <v>336</v>
      </c>
      <c r="CC28" s="37" t="s">
        <v>120</v>
      </c>
      <c r="CE28" s="44"/>
      <c r="CF28" s="36">
        <f>SQRT((A28-$A$71)^2+(B28-$B$71)^2+(C28-$C$71)^2+(D28-$D$71)^2+(E28-$E$71)^2+(F28-$F$71)^2+(G28-$G$71)^2+(H28-$H$71)^2+(I28-$I$71)^2+(J28-$J$71)^2+(K28-$K$71)^2+(L28-$L$71)^2+(M28-$M$71)^2+(N28-$N$71)^2+(O28-$O$71)^2+(P28-$P$71)^2+(Q28-$Q$71)^2+(R28-$R$71)^2+(S28-$S$71)^2+(T28-$T$71)^2+(U28-$U$71)^2+(V28-$V$71)^2+(W28-$W$71)^2+(X28-$X$71)^2+(Y28-$Y$71)^2+(Z28-$Z$71)^2+(AA28-$AA$71)^2+(AB28-$AB$71)^2+(AC28-$AC$71)^2+(AD28-$AD$71)^2+(AE28-$AE$71)^2+(AF28-$AF$71)^2+(AG28-$AG$71)^2)</f>
        <v>2.1394921716179272</v>
      </c>
      <c r="CG28" s="36" t="s">
        <v>142</v>
      </c>
      <c r="CH28" s="37" t="s">
        <v>120</v>
      </c>
      <c r="CJ28" s="44"/>
      <c r="CK28" s="36">
        <f>SQRT((A28-$A$72)^2+(B28-$B$72)^2+(C28-$C$72)^2+(D28-$D$72)^2+(E28-$E$72)^2+(F28-$F$72)^2+(G28-$G$72)^2+(H28-$H$72)^2+(I28-$I$72)^2+(J28-$J$72)^2+(K28-$K$72)^2+(L28-$L$72)^2+(M28-$M$72)^2+(N28-$N$72)^2+(O28-$O$72)^2+(P28-$P$72)^2+(Q28-$Q$72)^2+(R28-$R$72)^2+(S28-$S$72)^2+(T28-$T$72)^2+(U28-$U$72)^2+(V28-$V$72)^2+(W28-$W$72)^2+(X28-$X$72)^2+(Y28-$Y$72)^2+(Z28-$Z$72)^2+(AA28-$AA$72)^2+(AB28-$AB$72)^2+(AC28-$AC$72)^2+(AD28-$AD$72)^2+(AE28-$AE$72)^2+(AF28-$AF$72)^2+(AG28-$AG$72)^2)</f>
        <v>2.3302468129373155</v>
      </c>
      <c r="CL28" s="36" t="s">
        <v>133</v>
      </c>
      <c r="CM28" s="37" t="s">
        <v>120</v>
      </c>
      <c r="CO28" s="44"/>
      <c r="CP28" s="36">
        <f>SQRT((A28-$A$73)^2+(B28-$B$73)^2+(C28-$C$73)^2+(D28-$D$73)^2+(E28-$E$73)^2+(F28-$F$73)^2+(G28-$G$73)^2+(H28-$H$73)^2+(I28-$I$73)^2+(J28-$J$73)^2+(K28-$K$73)^2+(L28-$L$73)^2+(M28-$M$73)^2+(N28-$N$73)^2+(O28-$O$73)^2+(P28-$P$73)^2+(Q28-$Q$73)^2+(R28-$R$73)^2+(S28-$S$73)^2+(T28-$T$73)^2+(U28-$U$73)^2+(V28-$V$73)^2+(W28-$W$73)^2+(X28-$X$73)^2+(Y28-$Y$73)^2+(Z28-$Z$73)^2+(AA28-$AA$73)^2+(AB28-$AB$73)^2+(AC28-$AC$73)^2+(AD28-$AD$73)^2+(AE28-$AE$73)^2+(AF28-$AF$73)^2+(AG28-$AG$73)^2)</f>
        <v>2.1127259905418665</v>
      </c>
      <c r="CQ28" s="36" t="s">
        <v>326</v>
      </c>
      <c r="CR28" s="37" t="s">
        <v>120</v>
      </c>
      <c r="CT28" s="44"/>
      <c r="CU28" s="36">
        <f>SQRT((A28-$A$74)^2+(B28-$B$74)^2+(C28-$C$74)^2+(D28-$D$74)^2+(E28-$E$74)^2+(F28-$F$74)^2+(G28-$G$74)^2+(H28-$H$74)^2+(I28-$I$74)^2+(J28-$J$74)^2+(K28-$K$74)^2+(L28-$L$74)^2+(M28-$M$74)^2+(N28-$N$74)^2+(O28-$O$74)^2+(P28-$P$74)^2+(Q28-$Q$74)^2+(R28-$R$74)^2+(S28-$S$74)^2+(T28-$T$74)^2+(U28-$U$74)^2+(V28-$V$74)^2+(W28-$W$74)^2+(X28-$X$74)^2+(Y28-$Y$74)^2+(Z28-$Z$74)^2+(AA28-$AA$74)^2+(AB28-$AB$74)^2+(AC28-$AC$74)^2+(AD28-$AD$74)^2+(AE28-$AE$74)^2+(AF28-$AF$74)^2+(AG28-$AG$74)^2)</f>
        <v>1.8939230302323389</v>
      </c>
      <c r="CV28" s="36" t="s">
        <v>338</v>
      </c>
      <c r="CW28" s="37" t="s">
        <v>120</v>
      </c>
      <c r="CY28" s="44"/>
      <c r="CZ28" s="36">
        <f>SQRT((A28-$A$75)^2+(B28-$B$75)^2+(C28-$C$75)^2+(D28-$D$75)^2+(E28-$E$75)^2+(F28-$F$75)^2+(G28-$G$75)^2+(H28-$H$75)^2+(I28-$I$75)^2+(J28-$J$75)^2+(K28-$K$75)^2+(L28-$L$75)^2+(M28-$M$75)^2+(N28-$N$75)^2+(O28-$O$75)^2+(P28-$P$75)^2+(Q28-$Q$75)^2+(R28-$R$75)^2+(S28-$S$75)^2+(T28-$T$75)^2+(U28-$U$75)^2+(V28-$V$75)^2+(W28-$W$75)^2+(X28-$X$75)^2+(Y28-$Y$75)^2+(Z28-$Z$75)^2+(AA28-$AA$75)^2+(AB28-$AB$75)^2+(AC28-$AC$75)^2+(AD28-$AD$75)^2+(AE28-$AE$75)^2+(AF28-$AF$75)^2+(AG28-$AG$75)^2)</f>
        <v>1.8536001007049316</v>
      </c>
      <c r="DA28" s="36" t="s">
        <v>145</v>
      </c>
      <c r="DB28" s="37" t="s">
        <v>120</v>
      </c>
      <c r="DD28" s="44"/>
      <c r="DE28" s="36">
        <f>SQRT((A28-$A$76)^2+(B28-$B$76)^2+(C28-$C$76)^2+(D28-$D$76)^2+(E28-$E$76)^2+(F28-$F$76)^2+(G28-$G$76)^2+(H28-$H$76)^2+(I28-$I$76)^2+(J28-$J$76)^2+(K28-$K$76)^2+(L28-$L$76)^2+(M28-$M$76)^2+(N28-$N$76)^2+(O28-$O$76)^2+(P28-$P$76)^2+(Q28-$Q$76)^2+(R28-$R$76)^2+(S28-$S$76)^2+(T28-$T$76)^2+(U28-$U$76)^2+(V28-$V$76)^2+(W28-$W$76)^2+(X28-$X$76)^2+(Y28-$Y$76)^2+(Z28-$Z$76)^2+(AA28-$AA$76)^2+(AB28-$AB$76)^2+(AC28-$AC$76)^2+(AD28-$AD$76)^2+(AE28-$AE$76)^2+(AF28-$AF$76)^2+(AG28-$AG$76)^2)</f>
        <v>2.3753947040439405</v>
      </c>
      <c r="DF28" s="36" t="s">
        <v>337</v>
      </c>
      <c r="DG28" s="37" t="s">
        <v>120</v>
      </c>
      <c r="DI28" s="44"/>
      <c r="DJ28" s="36">
        <f>SQRT((A28-$A$77)^2+(B28-$B$77)^2+(C28-$C$77)^2+(D28-$D$77)^2+(E28-$E$77)^2+(F28-$F$77)^2+(G28-$G$77)^2+(H28-$H$77)^2+(I28-$I$77)^2+(J28-$J$77)^2+(K28-$K$77)^2+(L28-$L$77)^2+(M28-$M$77)^2+(N28-$N$77)^2+(O28-$O$77)^2+(P28-$P$77)^2+(Q28-$Q$77)^2+(R28-$R$77)^2+(S28-$S$77)^2+(T28-$T$77)^2+(U28-$U$77)^2+(V28-$V$77)^2+(W28-$W$77)^2+(X28-$X$77)^2+(Y28-$Y$77)^2+(Z28-$Z$77)^2+(AA28-$AA$77)^2+(AB28-$AB$77)^2+(AC28-$AC$77)^2+(AD28-$AD$77)^2+(AE28-$AE$77)^2+(AF28-$AF$77)^2+(AG28-$AG$77)^2)</f>
        <v>2.5300417212194568</v>
      </c>
      <c r="DK28" s="36" t="s">
        <v>152</v>
      </c>
      <c r="DL28" s="37" t="s">
        <v>120</v>
      </c>
      <c r="DN28" s="44"/>
      <c r="DO28" s="36">
        <f>SQRT((A28-$A$78)^2+(B28-$B$78)^2+(C28-$C$78)^2+(D28-$D$78)^2+(E28-$E$78)^2+(F28-$F$78)^2+(G28-$G$78)^2+(H28-$H$78)^2+(I28-$I$78)^2+(J28-$J$78)^2+(K28-$K$78)^2+(L28-$L$78)^2+(M28-$M$78)^2+(N28-$N$78)^2+(O28-$O$78)^2+(P28-$P$78)^2+(Q28-$Q$78)^2+(R28-$R$78)^2+(S28-$S$78)^2+(T28-$T$78)^2+(U28-$U$78)^2+(V28-$V$78)^2+(W28-$W$78)^2+(X28-$X$78)^2+(Y28-$Y$78)^2+(Z28-$Z$78)^2+(AA28-$AA$78)^2+(AB28-$AB$78)^2+(AC28-$AC$78)^2+(AD28-$AD$78)^2+(AE28-$AE$78)^2+(AF28-$AF$78)^2+(AG28-$AG$78)^2)</f>
        <v>2.2156709249238786</v>
      </c>
      <c r="DP28" s="36" t="s">
        <v>314</v>
      </c>
      <c r="DQ28" s="37" t="s">
        <v>120</v>
      </c>
      <c r="DS28" s="44"/>
      <c r="DT28" s="36">
        <f>SQRT((A28-$A$79)^2+(B28-$B$79)^2+(C28-$C$79)^2+(D28-$D$79)^2+(E28-$E$79)^2+(F28-$F$79)^2+(G28-$G$79)^2+(H28-$H$79)^2+(I28-$I$79)^2+(J28-$J$79)^2+(K28-$K$79)^2+(L28-$L$79)^2+(M28-$M$79)^2+(N28-$N$79)^2+(O28-$O$79)^2+(P28-$P$79)^2+(Q28-$Q$79)^2+(R28-$R$79)^2+(S28-$S$79)^2+(T28-$T$79)^2+(U28-$U$79)^2+(V28-$V$79)^2+(W28-$W$79)^2+(X28-$X$79)^2+(Y28-$Y$79)^2+(Z28-$Z$79)^2+(AA28-$AA$79)^2+(AB28-$AB$79)^2+(AC28-$AC$79)^2+(AD28-$AD$79)^2+(AE28-$AE$79)^2+(AF28-$AF$79)^2+(AG28-$AG$79)^2)</f>
        <v>2.1720968011375441</v>
      </c>
      <c r="DU28" s="36" t="s">
        <v>133</v>
      </c>
      <c r="DV28" s="37" t="s">
        <v>120</v>
      </c>
      <c r="DX28" s="44"/>
      <c r="DY28" s="36">
        <f>SQRT((A28-$A$80)^2+(B28-$B$80)^2+(C28-$C$80)^2+(D28-$D$80)^2+(E28-$E$80)^2+(F28-$F$80)^2+(G28-$G$80)^2+(H28-$H$80)^2+(I28-$I$80)^2+(J28-$J$80)^2+(K28-$K$80)^2+(L28-$L$80)^2+(M28-$M$80)^2+(N28-$N$80)^2+(O28-$O$80)^2+(P28-$P$80)^2+(Q28-$Q$80)^2+(R28-$R$80)^2+(S28-$S$80)^2+(T28-$T$80)^2+(U28-$U$80)^2+(V28-$V$80)^2+(W28-$W$80)^2+(X28-$X$80)^2+(Y28-$Y$80)^2+(Z28-$Z$80)^2+(AA28-$AA$80)^2+(AB28-$AB$80)^2+(AC28-$AC$80)^2+(AD28-$AD$80)^2+(AE28-$AE$80)^2+(AF28-$AF$80)^2+(AG28-$AG$80)^2)</f>
        <v>2.5502178556176549</v>
      </c>
      <c r="DZ28" s="36" t="s">
        <v>336</v>
      </c>
      <c r="EA28" s="37" t="s">
        <v>120</v>
      </c>
      <c r="EC28" s="44"/>
      <c r="ED28" s="36">
        <f>SQRT((A28-$A$81)^2+(B28-$B$81)^2+(C28-$C$81)^2+(D28-$D$81)^2+(E28-$E$81)^2+(F28-$F$81)^2+(G28-$G$81)^2+(H28-$H$81)^2+(I28-$I$81)^2+(J28-$J$81)^2+(K28-$K$81)^2+(L28-$L$81)^2+(M28-$M$81)^2+(N28-$N$81)^2+(O28-$O$81)^2+(P28-$P$81)^2+(Q28-$Q$81)^2+(R28-$R$81)^2+(S28-$S$81)^2+(T28-$T$81)^2+(U28-$U$81)^2+(V28-$V$81)^2+(W28-$W$81)^2+(X28-$X$81)^2+(Y28-$Y$81)^2+(Z28-$Z$81)^2+(AA28-$AA$81)^2+(AB28-$AB$81)^2+(AC28-$AC$81)^2+(AD28-$AD$81)^2+(AE28-$AE$81)^2+(AF28-$AF$81)^2+(AG28-$AG$81)^2)</f>
        <v>2.5079872407968908</v>
      </c>
      <c r="EE28" s="36" t="s">
        <v>334</v>
      </c>
      <c r="EF28" s="37" t="s">
        <v>120</v>
      </c>
      <c r="EH28" s="44"/>
      <c r="EI28" s="36">
        <f>SQRT((A28-$A$82)^2+(B28-$B$82)^2+(C28-$C$82)^2+(D28-$D$82)^2+(E28-$E$82)^2+(F28-$F$82)^2+(G28-$G$82)^2+(H28-$H$82)^2+(I28-$I$82)^2+(J28-$J$82)^2+(K28-$K$82)^2+(L28-$L$82)^2+(M28-$M$82)^2+(N28-$N$82)^2+(O28-$O$82)^2+(P28-$P$82)^2+(Q28-$Q$82)^2+(R28-$R$82)^2+(S28-$S$82)^2+(T28-$T$82)^2+(U28-$U$82)^2+(V28-$V$82)^2+(W28-$W$82)^2+(X28-$X$82)^2+(Y28-$Y$82)^2+(Z28-$Z$82)^2+(AA28-$AA$82)^2+(AB28-$AB$82)^2+(AC28-$AC$82)^2+(AD28-$AD$82)^2+(AE28-$AE$82)^2+(AF28-$AF$82)^2+(AG28-$AG$82)^2)</f>
        <v>2.4873631470556954</v>
      </c>
      <c r="EJ28" s="36" t="s">
        <v>328</v>
      </c>
      <c r="EK28" s="37" t="s">
        <v>120</v>
      </c>
      <c r="EM28" s="44"/>
      <c r="EN28" s="36">
        <f>SQRT((A28-$A$83)^2+(B28-$B$83)^2+(C28-$C$83)^2+(D28-$D$83)^2+(E28-$E$83)^2+(F28-$F$83)^2+(G28-$G$83)^2+(H28-$H$83)^2+(I28-$I$83)^2+(J28-$J$83)^2+(K28-$K$83)^2+(L28-$L$83)^2+(M28-$M$83)^2+(N28-$N$83)^2+(O28-$O$83)^2+(P28-$P$83)^2+(Q28-$Q$83)^2+(R28-$R$83)^2+(S28-$S$83)^2+(T28-$T$83)^2+(U28-$U$83)^2+(V28-$V$83)^2+(W28-$W$83)^2+(X28-$X$83)^2+(Y28-$Y$83)^2+(Z28-$Z$83)^2+(AA28-$AA$83)^2+(AB28-$AB$83)^2+(AC28-$AC$83)^2+(AD28-$AD$83)^2+(AE28-$AE$83)^2+(AF28-$AF$83)^2+(AG28-$AG$83)^2)</f>
        <v>2.2495130047777336</v>
      </c>
      <c r="EO28" s="36" t="s">
        <v>134</v>
      </c>
      <c r="EP28" s="37" t="s">
        <v>120</v>
      </c>
      <c r="ER28" s="44"/>
      <c r="ES28" s="36">
        <f>SQRT((A28-$A$84)^2+(B28-$B$84)^2+(C28-$C$84)^2+(D28-$D$84)^2+(E28-$E$84)^2+(F28-$F$84)^2+(G28-$G$84)^2+(H28-$H$84)^2+(I28-$I$84)^2+(J28-$J$84)^2+(K28-$K$84)^2+(L28-$L$84)^2+(M28-$M$84)^2+(N28-$N$84)^2+(O28-$O$84)^2+(P28-$P$84)^2+(Q28-$Q$84)^2+(R28-$R$84)^2+(S28-$S$84)^2+(T28-$T$84)^2+(U28-$U$84)^2+(V28-$V$84)^2+(W28-$W$84)^2+(X28-$X$84)^2+(Y28-$Y$84)^2+(Z28-$Z$84)^2+(AA28-$AA$84)^2+(AB28-$AB$84)^2+(AC28-$AC$84)^2+(AD28-$AD$84)^2+(AE28-$AE$84)^2+(AF28-$AF$84)^2+(AG28-$AG$84)^2)</f>
        <v>1.9708751357712631</v>
      </c>
      <c r="ET28" s="36" t="s">
        <v>153</v>
      </c>
      <c r="EU28" s="37" t="s">
        <v>120</v>
      </c>
      <c r="EW28" s="44"/>
      <c r="EX28" s="36">
        <f>SQRT((A28-$A$85)^2+(B28-$B$85)^2+(C28-$C$85)^2+(D28-$D$85)^2+(E28-$E$85)^2+(F28-$F$85)^2+(G28-$G$85)^2+(H28-$H$85)^2+(I28-$I$85)^2+(J28-$J$85)^2+(K28-$K$85)^2+(L28-$L$85)^2+(M28-$M$85)^2+(N28-$N$85)^2+(O28-$O$85)^2+(P28-$P$85)^2+(Q28-$Q$85)^2+(R28-$R$85)^2+(S28-$S$85)^2+(T28-$T$85)^2+(U28-$U$85)^2+(V28-$V$85)^2+(W28-$W$85)^2+(X28-$X$85)^2+(Y28-$Y$85)^2+(Z28-$Z$85)^2+(AA28-$AA$85)^2+(AB28-$AB$85)^2+(AC28-$AC$85)^2+(AD28-$AD$85)^2+(AE28-$AE$85)^2+(AF28-$AF$85)^2+(AG28-$AG$85)^2)</f>
        <v>1.9708751357712631</v>
      </c>
      <c r="EY28" s="36" t="s">
        <v>153</v>
      </c>
      <c r="EZ28" s="37" t="s">
        <v>120</v>
      </c>
      <c r="FB28" s="44"/>
      <c r="FC28" s="36">
        <f>SQRT((A28-$A$86)^2+(B28-$B$86)^2+(C28-$C$86)^2+(D28-$D$86)^2+(E28-$E$86)^2+(F28-$F$86)^2+(G28-$G$86)^2+(H28-$H$86)^2+(I28-$I$86)^2+(J28-$J$86)^2+(K28-$K$86)^2+(L28-$L$86)^2+(M28-$M$86)^2+(N28-$N$86)^2+(O28-$O$86)^2+(P28-$P$86)^2+(Q28-$Q$86)^2+(R28-$R$86)^2+(S28-$S$86)^2+(T28-$T$86)^2+(U28-$U$86)^2+(V28-$V$86)^2+(W28-$W$86)^2+(X28-$X$86)^2+(Y28-$Y$86)^2+(Z28-$Z$86)^2+(AA28-$AA$86)^2+(AB28-$AB$86)^2+(AC28-$AC$86)^2+(AD28-$AD$86)^2+(AE28-$AE$86)^2+(AF28-$AF$86)^2+(AG28-$AG$86)^2)</f>
        <v>1.9708751357712631</v>
      </c>
      <c r="FD28" s="36" t="s">
        <v>153</v>
      </c>
      <c r="FE28" s="37" t="s">
        <v>120</v>
      </c>
      <c r="FG28" s="44"/>
      <c r="FH28" s="36">
        <f>SQRT((A28-$A$87)^2+(B28-$B$87)^2+(C28-$C$87)^2+(D28-$D$87)^2+(E28-$E$87)^2+(F28-$F$87)^2+(G28-$G$87)^2+(H28-$H$87)^2+(I28-$I$87)^2+(J28-$J$87)^2+(K28-$K$87)^2+(L28-$L$87)^2+(M28-$M$87)^2+(N28-$N$87)^2+(O28-$O$87)^2+(P28-$P$87)^2+(Q28-$Q$87)^2+(R28-$R$87)^2+(S28-$S$87)^2+(T28-$T$87)^2+(U28-$U$87)^2+(V28-$V$87)^2+(W28-$W$87)^2+(X28-$X$87)^2+(Y28-$Y$87)^2+(Z28-$Z$87)^2+(AA28-$AA$87)^2+(AB28-$AB$87)^2+(AC28-$AC$87)^2+(AD28-$AD$87)^2+(AE28-$AE$87)^2+(AF28-$AF$87)^2+(AG28-$AG$87)^2)</f>
        <v>2.4563410005760828</v>
      </c>
      <c r="FI28" s="36" t="s">
        <v>128</v>
      </c>
      <c r="FJ28" s="37" t="s">
        <v>120</v>
      </c>
      <c r="FL28" s="44"/>
      <c r="FM28" s="36">
        <f>SQRT((A28-$A$88)^2+(B28-$B$88)^2+(C28-$C$88)^2+(D28-$D$88)^2+(E28-$E$88)^2+(F28-$F$88)^2+(G28-$G$88)^2+(H28-$H$88)^2+(I28-$I$88)^2+(J28-$J$88)^2+(K28-$K$88)^2+(L28-$L$88)^2+(M28-$M$88)^2+(N28-$N$88)^2+(O28-$O$88)^2+(P28-$P$88)^2+(Q28-$Q$88)^2+(R28-$R$88)^2+(S28-$S$88)^2+(T28-$T$88)^2+(U28-$U$88)^2+(V28-$V$88)^2+(W28-$W$88)^2+(X28-$X$88)^2+(Y28-$Y$88)^2+(Z28-$Z$88)^2+(AA28-$AA$88)^2+(AB28-$AB$88)^2+(AC28-$AC$88)^2+(AD28-$AD$88)^2+(AE28-$AE$88)^2+(AF28-$AF$88)^2+(AG28-$AG$88)^2)</f>
        <v>2.0752333408754451</v>
      </c>
      <c r="FN28" s="36" t="s">
        <v>337</v>
      </c>
      <c r="FO28" s="37" t="s">
        <v>120</v>
      </c>
      <c r="FQ28" s="44"/>
      <c r="FR28" s="36">
        <f>SQRT((A28-$A$89)^2+(B28-$B$89)^2+(C28-$C$89)^2+(D28-$D$89)^2+(E28-$E$89)^2+(F28-$F$89)^2+(G28-$G$89)^2+(H28-$H$89)^2+(I28-$I$89)^2+(J28-$J$89)^2+(K28-$K$89)^2+(L28-$L$89)^2+(M28-$M$89)^2+(N28-$N$89)^2+(O28-$O$89)^2+(P28-$P$89)^2+(Q28-$Q$89)^2+(R28-$R$89)^2+(S28-$S$89)^2+(T28-$T$89)^2+(U28-$U$89)^2+(V28-$V$89)^2+(W28-$W$89)^2+(X28-$X$89)^2+(Y28-$Y$89)^2+(Z28-$Z$89)^2+(AA28-$AA$89)^2+(AB28-$AB$89)^2+(AC28-$AC$89)^2+(AD28-$AD$89)^2+(AE28-$AE$89)^2+(AF28-$AF$89)^2+(AG28-$AG$89)^2)</f>
        <v>2.6230283600788189</v>
      </c>
      <c r="FS28" s="36" t="s">
        <v>152</v>
      </c>
      <c r="FT28" s="37" t="s">
        <v>120</v>
      </c>
      <c r="FV28" s="44"/>
      <c r="FW28" s="36">
        <f>SQRT((A28-$A$90)^2+(B28-$B$90)^2+(C28-$C$90)^2+(D28-$D$90)^2+(E28-$E$90)^2+(F28-$F$90)^2+(G28-$G$90)^2+(H28-$H$90)^2+(I28-$I$90)^2+(J28-$J$90)^2+(K28-$K$90)^2+(L28-$L$90)^2+(M28-$M$90)^2+(N28-$N$90)^2+(O28-$O$90)^2+(P28-$P$90)^2+(Q28-$Q$90)^2+(R28-$R$90)^2+(S28-$S$90)^2+(T28-$T$90)^2+(U28-$U$90)^2+(V28-$V$90)^2+(W28-$W$90)^2+(X28-$X$90)^2+(Y28-$Y$90)^2+(Z28-$Z$90)^2+(AA28-$AA$90)^2+(AB28-$AB$90)^2+(AC28-$AC$90)^2+(AD28-$AD$90)^2+(AE28-$AE$90)^2+(AF28-$AF$90)^2+(AG28-$AG$90)^2)</f>
        <v>1.784579004197411</v>
      </c>
      <c r="FX28" s="36" t="s">
        <v>125</v>
      </c>
      <c r="FY28" s="37" t="s">
        <v>120</v>
      </c>
      <c r="GA28" s="44"/>
      <c r="GB28" s="36">
        <f>SQRT((A28-$A$91)^2+(B28-$B$91)^2+(C28-$C$91)^2+(D28-$D$91)^2+(E28-$E$91)^2+(F28-$F$91)^2+(G28-$G$91)^2+(H28-$H$91)^2+(I28-$I$91)^2+(J28-$J$91)^2+(K28-$K$91)^2+(L28-$L$91)^2+(M28-$M$91)^2+(N28-$N$91)^2+(O28-$O$91)^2+(P28-$P$91)^2+(Q28-$Q$91)^2+(R28-$R$91)^2+(S28-$S$91)^2+(T28-$T$91)^2+(U28-$U$91)^2+(V28-$V$91)^2+(W28-$W$91)^2+(X28-$X$91)^2+(Y28-$Y$91)^2+(Z28-$Z$91)^2+(AA28-$AA$91)^2+(AB28-$AB$91)^2+(AC28-$AC$91)^2+(AD28-$AD$91)^2+(AE28-$AE$91)^2+(AF28-$AF$91)^2+(AG28-$AG$91)^2)</f>
        <v>2.0204509947588982</v>
      </c>
      <c r="GC28" s="36" t="s">
        <v>316</v>
      </c>
      <c r="GD28" s="37" t="s">
        <v>120</v>
      </c>
      <c r="GF28" s="44"/>
      <c r="GG28" s="36">
        <f>SQRT((A28-$A$92)^2+(B28-$B$92)^2+(C28-$C$92)^2+(D28-$D$92)^2+(E28-$E$92)^2+(F28-$F$92)^2+(G28-$G$92)^2+(H28-$H$92)^2+(I28-$I$92)^2+(J28-$J$92)^2+(K28-$K$92)^2+(L28-$L$92)^2+(M28-$M$92)^2+(N28-$N$92)^2+(O28-$O$92)^2+(P28-$P$92)^2+(Q28-$Q$92)^2+(R28-$R$92)^2+(S28-$S$92)^2+(T28-$T$92)^2+(U28-$U$92)^2+(V28-$V$92)^2+(W28-$W$92)^2+(X28-$X$92)^2+(Y28-$Y$92)^2+(Z28-$Z$92)^2+(AA28-$AA$92)^2+(AB28-$AB$92)^2+(AC28-$AC$92)^2+(AD28-$AD$92)^2+(AE28-$AE$92)^2+(AF28-$AF$92)^2+(AG28-$AG$92)^2)</f>
        <v>2.5929250058086386</v>
      </c>
      <c r="GH28" s="36" t="s">
        <v>325</v>
      </c>
      <c r="GI28" s="37" t="s">
        <v>120</v>
      </c>
      <c r="GK28" s="44"/>
      <c r="GL28" s="36">
        <f>SQRT((A28-$A$93)^2+(B28-$B$93)^2+(C28-$C$93)^2+(D28-$D$93)^2+(E28-$E$93)^2+(F28-$F$93)^2+(G28-$G$93)^2+(H28-$H$93)^2+(I28-$I$93)^2+(J28-$J$93)^2+(K28-$K$93)^2+(L28-$L$93)^2+(M28-$M$93)^2+(N28-$N$93)^2+(O28-$O$93)^2+(P28-$P$93)^2+(Q28-$Q$93)^2+(R28-$R$93)^2+(S28-$S$93)^2+(T28-$T$93)^2+(U28-$U$93)^2+(V28-$V$93)^2+(W28-$W$93)^2+(X28-$X$93)^2+(Y28-$Y$93)^2+(Z28-$Z$93)^2+(AA28-$AA$93)^2+(AB28-$AB$93)^2+(AC28-$AC$93)^2+(AD28-$AD$93)^2+(AE28-$AE$93)^2+(AF28-$AF$93)^2+(AG28-$AG$93)^2)</f>
        <v>1.70293863659264</v>
      </c>
      <c r="GM28" s="36" t="s">
        <v>146</v>
      </c>
      <c r="GN28" s="37" t="s">
        <v>120</v>
      </c>
      <c r="GP28" s="44"/>
      <c r="GQ28" s="36">
        <f>SQRT((A28-$A$94)^2+(B28-$B$94)^2+(C28-$C$94)^2+(D28-$D$94)^2+(E28-$E$94)^2+(F28-$F$94)^2+(G28-$G$94)^2+(H28-$H$94)^2+(I28-$I$94)^2+(J28-$J$94)^2+(K28-$K$94)^2+(L28-$L$94)^2+(M28-$M$94)^2+(N28-$N$94)^2+(O28-$O$94)^2+(P28-$P$94)^2+(Q28-$Q$94)^2+(R28-$R$94)^2+(S28-$S$94)^2+(T28-$T$94)^2+(U28-$U$94)^2+(V28-$V$94)^2+(W28-$W$94)^2+(X28-$X$94)^2+(Y28-$Y$94)^2+(Z28-$Z$94)^2+(AA28-$AA$94)^2+(AB28-$AB$94)^2+(AC28-$AC$94)^2+(AD28-$AD$94)^2+(AE28-$AE$94)^2+(AF28-$AF$94)^2+(AG28-$AG$94)^2)</f>
        <v>2.2774932327738786</v>
      </c>
      <c r="GR28" s="36" t="s">
        <v>151</v>
      </c>
      <c r="GS28" s="37" t="s">
        <v>120</v>
      </c>
      <c r="GU28" s="44"/>
      <c r="GV28" s="36">
        <f>SQRT((A28-$A$95)^2+(B28-$B$95)^2+(C28-$C$95)^2+(D28-$D$95)^2+(E28-$E$95)^2+(F28-$F$95)^2+(G28-$G$95)^2+(H28-$H$95)^2+(I28-$I$95)^2+(J28-$J$95)^2+(K28-$K$95)^2+(L28-$L$95)^2+(M28-$M$95)^2+(N28-$N$95)^2+(O28-$O$95)^2+(P28-$P$95)^2+(Q28-$Q$95)^2+(R28-$R$95)^2+(S28-$S$95)^2+(T28-$T$95)^2+(U28-$U$95)^2+(V28-$V$95)^2+(W28-$W$95)^2+(X28-$X$95)^2+(Y28-$Y$95)^2+(Z28-$Z$95)^2+(AA28-$AA$95)^2+(AB28-$AB$95)^2+(AC28-$AC$95)^2+(AD28-$AD$95)^2+(AE28-$AE$95)^2+(AF28-$AF$95)^2+(AG28-$AG$95)^2)</f>
        <v>2.8233156237146266</v>
      </c>
      <c r="GW28" s="36" t="s">
        <v>145</v>
      </c>
      <c r="GX28" s="37" t="s">
        <v>120</v>
      </c>
      <c r="GZ28" s="44"/>
      <c r="HA28" s="36">
        <f>SQRT((A28-$A$96)^2+(B28-$B$96)^2+(C28-$C$96)^2+(D28-$D$96)^2+(E28-$E$96)^2+(F28-$F$96)^2+(G28-$G$96)^2+(H28-$H$96)^2+(I28-$I$96)^2+(J28-$J$96)^2+(K28-$K$96)^2+(L28-$L$96)^2+(M28-$M$96)^2+(N28-$N$96)^2+(O28-$O$96)^2+(P28-$P$96)^2+(Q28-$Q$96)^2+(R28-$R$96)^2+(S28-$S$96)^2+(T28-$T$96)^2+(U28-$U$96)^2+(V28-$V$96)^2+(W28-$W$96)^2+(X28-$X$96)^2+(Y28-$Y$96)^2+(Z28-$Z$96)^2+(AA28-$AA$96)^2+(AB28-$AB$96)^2+(AC28-$AC$96)^2+(AD28-$AD$96)^2+(AE28-$AE$96)^2+(AF28-$AF$96)^2+(AG28-$AG$96)^2)</f>
        <v>2.760837232113154</v>
      </c>
      <c r="HB28" s="36" t="s">
        <v>145</v>
      </c>
      <c r="HC28" s="37" t="s">
        <v>120</v>
      </c>
      <c r="HE28" s="44"/>
      <c r="HF28" s="36">
        <f>SQRT((A28-$A$97)^2+(B28-$B$97)^2+(C28-$C$97)^2+(D28-$D$97)^2+(E28-$E$97)^2+(F28-$F$97)^2+(G28-$G$97)^2+(H28-$H$97)^2+(I28-$I$97)^2+(J28-$J$97)^2+(K28-$K$97)^2+(L28-$L$97)^2+(M28-$M$97)^2+(N28-$N$97)^2+(O28-$O$97)^2+(P28-$P$97)^2+(Q28-$Q$97)^2+(R28-$R$97)^2+(S28-$S$97)^2+(T28-$T$97)^2+(U28-$U$97)^2+(V28-$V$97)^2+(W28-$W$97)^2+(X28-$X$97)^2+(Y28-$Y$97)^2+(Z28-$Z$97)^2+(AA28-$AA$97)^2+(AB28-$AB$97)^2+(AC28-$AC$97)^2+(AD28-$AD$97)^2+(AE28-$AE$97)^2+(AF28-$AF$97)^2+(AG28-$AG$97)^2)</f>
        <v>1.9708751357712631</v>
      </c>
      <c r="HG28" s="36" t="s">
        <v>153</v>
      </c>
      <c r="HH28" s="37" t="s">
        <v>120</v>
      </c>
      <c r="HJ28" s="44"/>
      <c r="HK28" s="36">
        <f>SQRT((A28-$A$98)^2+(B28-$B$98)^2+(C28-$C$98)^2+(D28-$D$98)^2+(E28-$E$98)^2+(F28-$F$98)^2+(G28-$G$98)^2+(H28-$H$98)^2+(I28-$I$98)^2+(J28-$J$98)^2+(K28-$K$98)^2+(L28-$L$98)^2+(M28-$M$98)^2+(N28-$N$98)^2+(O28-$O$98)^2+(P28-$P$98)^2+(Q28-$Q$98)^2+(R28-$R$98)^2+(S28-$S$98)^2+(T28-$T$98)^2+(U28-$U$98)^2+(V28-$V$98)^2+(W28-$W$98)^2+(X28-$X$98)^2+(Y28-$Y$98)^2+(Z28-$Z$98)^2+(AA28-$AA$98)^2+(AB28-$AB$98)^2+(AC28-$AC$98)^2+(AD28-$AD$98)^2+(AE28-$AE$98)^2+(AF28-$AF$98)^2+(AG28-$AG$98)^2)</f>
        <v>1.9708751357712631</v>
      </c>
      <c r="HL28" s="36" t="s">
        <v>153</v>
      </c>
      <c r="HM28" s="37" t="s">
        <v>120</v>
      </c>
      <c r="HO28" s="44"/>
      <c r="HP28" s="36">
        <f>SQRT((A28-$A$99)^2+(B28-$B$99)^2+(C28-$C$99)^2+(D28-$D$99)^2+(E28-$E$99)^2+(F28-$F$99)^2+(G28-$G$99)^2+(H28-$H$99)^2+(I28-$I$99)^2+(J28-$J$99)^2+(K28-$K$99)^2+(L28-$L$99)^2+(M28-$M$99)^2+(N28-$N$99)^2+(O28-$O$99)^2+(P28-$P$99)^2+(Q28-$Q$99)^2+(R28-$R$99)^2+(S28-$S$99)^2+(T28-$T$99)^2+(U28-$U$99)^2+(V28-$V$99)^2+(W28-$W$99)^2+(X28-$X$99)^2+(Y28-$Y$99)^2+(Z28-$Z$99)^2+(AA28-$AA$99)^2+(AB28-$AB$99)^2+(AC28-$AC$99)^2+(AD28-$AD$99)^2+(AE28-$AE$99)^2+(AF28-$AF$99)^2+(AG28-$AG$99)^2)</f>
        <v>1.9708751357712631</v>
      </c>
      <c r="HQ28" s="36" t="s">
        <v>153</v>
      </c>
      <c r="HR28" s="37" t="s">
        <v>120</v>
      </c>
      <c r="HT28" s="44"/>
      <c r="HU28" s="36">
        <f>SQRT((A28-$A$100)^2+(B28-$B$100)^2+(C28-$C$100)^2+(D28-$D$100)^2+(E28-$E$100)^2+(F28-$F$100)^2+(G28-$G$100)^2+(H28-$H$100)^2+(I28-$I$100)^2+(J28-$J$100)^2+(K28-$K$100)^2+(L28-$L$100)^2+(M28-$M$100)^2+(N28-$N$100)^2+(O28-$O$100)^2+(P28-$P$100)^2+(Q28-$Q$100)^2+(R28-$R$100)^2+(S28-$S$100)^2+(T28-$T$100)^2+(U28-$U$100)^2+(V28-$V$100)^2+(W28-$W$100)^2+(X28-$X$100)^2+(Y28-$Y$100)^2+(Z28-$Z$100)^2+(AA28-$AA$100)^2+(AB28-$AB$100)^2+(AC28-$AC$100)^2+(AD28-$AD$100)^2+(AE28-$AE$100)^2+(AF28-$AF$100)^2+(AG28-$AG$100)^2)</f>
        <v>1.9708751357712631</v>
      </c>
      <c r="HV28" s="36" t="s">
        <v>153</v>
      </c>
      <c r="HW28" s="37" t="s">
        <v>120</v>
      </c>
      <c r="HY28" s="44"/>
      <c r="HZ28" s="36">
        <f>SQRT((A28-$A$101)^2+(B28-$B$101)^2+(C28-$C$101)^2+(D28-$D$101)^2+(E28-$E$101)^2+(F28-$F$101)^2+(G28-$G$101)^2+(H28-$H$101)^2+(I28-$I$101)^2+(J28-$J$101)^2+(K28-$K$101)^2+(L28-$L$101)^2+(M28-$M$101)^2+(N28-$N$101)^2+(O28-$O$101)^2+(P28-$P$101)^2+(Q28-$Q$101)^2+(R28-$R$101)^2+(S28-$S$101)^2+(T28-$T$101)^2+(U28-$U$101)^2+(V28-$V$101)^2+(W28-$W$101)^2+(X28-$X$101)^2+(Y28-$Y$101)^2+(Z28-$Z$101)^2+(AA28-$AA$101)^2+(AB28-$AB$101)^2+(AC28-$AC$101)^2+(AD28-$AD$101)^2+(AE28-$AE$101)^2+(AF28-$AF$101)^2+(AG28-$AG$101)^2)</f>
        <v>2.5324559884296773</v>
      </c>
      <c r="IA28" s="36" t="s">
        <v>132</v>
      </c>
      <c r="IB28" s="37" t="s">
        <v>120</v>
      </c>
    </row>
    <row r="29" spans="1:236" x14ac:dyDescent="0.35">
      <c r="A29" s="2">
        <v>0.5</v>
      </c>
      <c r="B29" s="2">
        <v>0.25</v>
      </c>
      <c r="C29" s="2">
        <v>0.23899371069182301</v>
      </c>
      <c r="D29" s="2">
        <v>0.66666666666666596</v>
      </c>
      <c r="E29" s="2">
        <v>0</v>
      </c>
      <c r="F29" s="2">
        <v>1</v>
      </c>
      <c r="G29" s="2">
        <v>0.55555555555555503</v>
      </c>
      <c r="H29" s="2">
        <v>1</v>
      </c>
      <c r="I29" s="2">
        <v>0.5</v>
      </c>
      <c r="J29" s="2">
        <v>0</v>
      </c>
      <c r="K29" s="2">
        <v>0</v>
      </c>
      <c r="L29" s="2">
        <v>0.2</v>
      </c>
      <c r="M29" s="2">
        <v>1</v>
      </c>
      <c r="N29" s="2">
        <v>0</v>
      </c>
      <c r="O29" s="2">
        <v>0</v>
      </c>
      <c r="P29" s="2">
        <v>0.4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0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0.19565217391304299</v>
      </c>
      <c r="AH29" s="2" t="s">
        <v>120</v>
      </c>
      <c r="AI29" s="42"/>
      <c r="AJ29" s="42"/>
      <c r="AL29" s="44"/>
      <c r="AM29" s="36">
        <f>SQRT((A29-$A$62)^2+(B29-$B$62)^2+(C29-$C$62)^2+(D29-$D$62)^2+(E29-$E$62)^2+(F29-$F$62)^2+(G29-$G$62)^2+(H29-$H$62)^2+(I29-$I$62)^2+(J29-$J$62)^2+(K29-$K$62)^2+(L29-$L$62)^2+(M29-$M$62)^2+(N29-$N$62)^2+(O29-$O$62)^2+(P29-$P$62)^2+(Q29-$Q$62)^2+(R29-$R$62)^2+(S29-$S$62)^2+(T29-$T$62)^2+(U29-$U$62)^2+(V29-$V$62)^2+(W29-$W$62)^2+(X29-$X$62)^2+(Y29-$Y$62)^2+(Z29-$Z$62)^2+(AA29-$AA$62)^2+(AB29-$AB$62)^2+(AC29-$AC$62)^2+(AD29-$AD$62)^2+(AE29-$AE$62)^2+(AF29-$AF$62)^2+(AG29-$AG$62)^2)</f>
        <v>1.9109223380350877</v>
      </c>
      <c r="AN29" s="36" t="s">
        <v>132</v>
      </c>
      <c r="AO29" s="37" t="s">
        <v>120</v>
      </c>
      <c r="AQ29" s="44"/>
      <c r="AR29" s="36">
        <f>SQRT((A29-$A$63)^2+(B29-$B$63)^2+(C29-$C$63)^2+(D29-$D$63)^2+(E29-$E$63)^2+(F29-$F$63)^2+(G29-$G$63)^2+(H29-$H$63)^2+(I29-$I$63)^2+(J29-$J$63)^2+(K29-$K$63)^2+(L29-$L$63)^2+(M29-$M$63)^2+(N29-$N$63)^2+(O29-$O$63)^2+(P29-$P$63)^2+(Q29-$Q$63)^2+(R29-$R$63)^2+(S29-$S$63)^2+(T29-$T$63)^2+(U29-$U$63)^2+(V29-$V$63)^2+(W29-$W$63)^2+(X29-$X$63)^2+(Y29-$Y$63)^2+(Z29-$Z$63)^2+(AA29-$AA$63)^2+(AB29-$AB$63)^2+(AC29-$AC$63)^2+(AD29-$AD$63)^2+(AE29-$AE$63)^2+(AF29-$AF$63)^2+(AG29-$AG$63)^2)</f>
        <v>0.88336530206466923</v>
      </c>
      <c r="AS29" s="36" t="s">
        <v>154</v>
      </c>
      <c r="AT29" s="37" t="s">
        <v>120</v>
      </c>
      <c r="AV29" s="44"/>
      <c r="AW29" s="36">
        <f>SQRT((A29-$A$64)^2+(B29-$B$64)^2+(C29-$C$64)^2+(D29-$D$64)^2+(E29-$E$64)^2+(F29-$F$64)^2+(G29-$G$64)^2+(H29-$H$64)^2+(I29-$I$64)^2+(J29-$J$64)^2+(K29-$K$64)^2+(L29-$L$64)^2+(M29-$M$64)^2+(N29-$N$64)^2+(O29-$O$64)^2+(P29-$P$64)^2+(Q29-$Q$64)^2+(R29-$R$64)^2+(S29-$S$64)^2+(T29-$T$64)^2+(U29-$U$64)^2+(V29-$V$64)^2+(W29-$W$64)^2+(X29-$X$64)^2+(Y29-$Y$64)^2+(Z29-$Z$64)^2+(AA29-$AA$64)^2+(AB29-$AB$64)^2+(AC29-$AC$64)^2+(AD29-$AD$64)^2+(AE29-$AE$64)^2+(AF29-$AF$64)^2+(AG29-$AG$64)^2)</f>
        <v>0.88336530206466923</v>
      </c>
      <c r="AX29" s="36" t="s">
        <v>154</v>
      </c>
      <c r="AY29" s="37" t="s">
        <v>120</v>
      </c>
      <c r="BA29" s="44"/>
      <c r="BB29" s="36">
        <f>SQRT((A29-$A$65)^2+(B29-$B$65)^2+(C29-$C$65)^2+(D29-$D$65)^2+(E29-$E$65)^2+(F29-$F$65)^2+(G29-$G$65)^2+(H29-$H$65)^2+(I29-$I$65)^2+(J29-$J$65)^2+(K29-$K$65)^2+(L29-$L$65)^2+(M29-$M$65)^2+(N29-$N$65)^2+(O29-$O$65)^2+(P29-$P$65)^2+(Q29-$Q$65)^2+(R29-$R$65)^2+(S29-$S$65)^2+(T29-$T$65)^2+(U29-$U$65)^2+(V29-$V$65)^2+(W29-$W$65)^2+(X29-$X$65)^2+(Y29-$Y$65)^2+(Z29-$Z$65)^2+(AA29-$AA$65)^2+(AB29-$AB$65)^2+(AC29-$AC$65)^2+(AD29-$AD$65)^2+(AE29-$AE$65)^2+(AF29-$AF$65)^2+(AG29-$AG$65)^2)</f>
        <v>0.88336530206466923</v>
      </c>
      <c r="BC29" s="36" t="s">
        <v>154</v>
      </c>
      <c r="BD29" s="37" t="s">
        <v>120</v>
      </c>
      <c r="BF29" s="44"/>
      <c r="BG29" s="36">
        <f>SQRT((A29-$A$66)^2+(B29-$B$66)^2+(C29-$C$66)^2+(D29-$D$66)^2+(E29-$E$66)^2+(F29-$F$66)^2+(G29-$G$66)^2+(H29-$H$66)^2+(I29-$I$66)^2+(J29-$J$66)^2+(K29-$K$66)^2+(L29-$L$66)^2+(M29-$M$66)^2+(N29-$N$66)^2+(O29-$O$66)^2+(P29-$P$66)^2+(Q29-$Q$66)^2+(R29-$R$66)^2+(S29-$S$66)^2+(T29-$T$66)^2+(U29-$U$66)^2+(V29-$V$66)^2+(W29-$W$66)^2+(X29-$X$66)^2+(Y29-$Y$66)^2+(Z29-$Z$66)^2+(AA29-$AA$66)^2+(AB29-$AB$66)^2+(AC29-$AC$66)^2+(AD29-$AD$66)^2+(AE29-$AE$66)^2+(AF29-$AF$66)^2+(AG29-$AG$66)^2)</f>
        <v>0.88336530206466923</v>
      </c>
      <c r="BH29" s="36" t="s">
        <v>154</v>
      </c>
      <c r="BI29" s="37" t="s">
        <v>120</v>
      </c>
      <c r="BK29" s="44"/>
      <c r="BL29" s="36">
        <f>SQRT((A29-$A$67)^2+(B29-$B$67)^2+(C29-$C$67)^2+(D29-$D$67)^2+(E29-$E$67)^2+(F29-$F$67)^2+(G29-$G$67)^2+(H29-$H$67)^2+(I29-$I$67)^2+(J29-$J$67)^2+(K29-$K$67)^2+(L29-$L$67)^2+(M29-$M$67)^2+(N29-$N$67)^2+(O29-$O$67)^2+(P29-$P$67)^2+(Q29-$Q$67)^2+(R29-$R$67)^2+(S29-$S$67)^2+(T29-$T$67)^2+(U29-$U$67)^2+(V29-$V$67)^2+(W29-$W$67)^2+(X29-$X$67)^2+(Y29-$Y$67)^2+(Z29-$Z$67)^2+(AA29-$AA$67)^2+(AB29-$AB$67)^2+(AC29-$AC$67)^2+(AD29-$AD$67)^2+(AE29-$AE$67)^2+(AF29-$AF$67)^2+(AG29-$AG$67)^2)</f>
        <v>0.88336530206466923</v>
      </c>
      <c r="BM29" s="36" t="s">
        <v>154</v>
      </c>
      <c r="BN29" s="37" t="s">
        <v>120</v>
      </c>
      <c r="BP29" s="44"/>
      <c r="BQ29" s="36">
        <f>SQRT((A29-$A$68)^2+(B29-$B$68)^2+(C29-$C$68)^2+(D29-$D$68)^2+(E29-$E$68)^2+(F29-$F$68)^2+(G29-$G$68)^2+(H29-$H$68)^2+(I29-$I$68)^2+(J29-$J$68)^2+(K29-$K$68)^2+(L29-$L$68)^2+(M29-$M$68)^2+(N29-$N$68)^2+(O29-$O$68)^2+(P29-$P$68)^2+(Q29-$Q$68)^2+(R29-$R$68)^2+(S29-$S$68)^2+(T29-$T$68)^2+(U29-$U$68)^2+(V29-$V$68)^2+(W29-$W$68)^2+(X29-$X$68)^2+(Y29-$Y$68)^2+(Z29-$Z$68)^2+(AA29-$AA$68)^2+(AB29-$AB$68)^2+(AC29-$AC$68)^2+(AD29-$AD$68)^2+(AE29-$AE$68)^2+(AF29-$AF$68)^2+(AG29-$AG$68)^2)</f>
        <v>0.88336530206466923</v>
      </c>
      <c r="BR29" s="36" t="s">
        <v>154</v>
      </c>
      <c r="BS29" s="37" t="s">
        <v>120</v>
      </c>
      <c r="BU29" s="44"/>
      <c r="BV29" s="36">
        <f>SQRT((A29-$A$69)^2+(B29-$B$69)^2+(C29-$C$69)^2+(D29-$D$69)^2+(E29-$E$69)^2+(F29-$F$69)^2+(G29-$G$69)^2+(H29-$H$69)^2+(I29-$I$69)^2+(J29-$J$69)^2+(K29-$K$69)^2+(L29-$L$69)^2+(M29-$M$69)^2+(N29-$N$69)^2+(O29-$O$69)^2+(P29-$P$69)^2+(Q29-$Q$69)^2+(R29-$R$69)^2+(S29-$S$69)^2+(T29-$T$69)^2+(U29-$U$69)^2+(V29-$V$69)^2+(W29-$W$69)^2+(X29-$X$69)^2+(Y29-$Y$69)^2+(Z29-$Z$69)^2+(AA29-$AA$69)^2+(AB29-$AB$69)^2+(AC29-$AC$69)^2+(AD29-$AD$69)^2+(AE29-$AE$69)^2+(AF29-$AF$69)^2+(AG29-$AG$69)^2)</f>
        <v>2.1673932315596227</v>
      </c>
      <c r="BW29" s="36" t="s">
        <v>150</v>
      </c>
      <c r="BX29" s="37" t="s">
        <v>120</v>
      </c>
      <c r="BZ29" s="44"/>
      <c r="CA29" s="36">
        <f>SQRT((A29-$A$70)^2+(B29-$B$70)^2+(C29-$C$70)^2+(D29-$D$70)^2+(E29-$E$70)^2+(F29-$F$70)^2+(G29-$G$70)^2+(H29-$H$70)^2+(I29-$I$70)^2+(J29-$J$70)^2+(K29-$K$70)^2+(L29-$L$70)^2+(M29-$M$70)^2+(N29-$N$70)^2+(O29-$O$70)^2+(P29-$P$70)^2+(Q29-$Q$70)^2+(R29-$R$70)^2+(S29-$S$70)^2+(T29-$T$70)^2+(U29-$U$70)^2+(V29-$V$70)^2+(W29-$W$70)^2+(X29-$X$70)^2+(Y29-$Y$70)^2+(Z29-$Z$70)^2+(AA29-$AA$70)^2+(AB29-$AB$70)^2+(AC29-$AC$70)^2+(AD29-$AD$70)^2+(AE29-$AE$70)^2+(AF29-$AF$70)^2+(AG29-$AG$70)^2)</f>
        <v>0.5270462766947297</v>
      </c>
      <c r="CB29" s="36" t="s">
        <v>313</v>
      </c>
      <c r="CC29" s="37" t="s">
        <v>120</v>
      </c>
      <c r="CE29" s="44"/>
      <c r="CF29" s="36">
        <f>SQRT((A29-$A$71)^2+(B29-$B$71)^2+(C29-$C$71)^2+(D29-$D$71)^2+(E29-$E$71)^2+(F29-$F$71)^2+(G29-$G$71)^2+(H29-$H$71)^2+(I29-$I$71)^2+(J29-$J$71)^2+(K29-$K$71)^2+(L29-$L$71)^2+(M29-$M$71)^2+(N29-$N$71)^2+(O29-$O$71)^2+(P29-$P$71)^2+(Q29-$Q$71)^2+(R29-$R$71)^2+(S29-$S$71)^2+(T29-$T$71)^2+(U29-$U$71)^2+(V29-$V$71)^2+(W29-$W$71)^2+(X29-$X$71)^2+(Y29-$Y$71)^2+(Z29-$Z$71)^2+(AA29-$AA$71)^2+(AB29-$AB$71)^2+(AC29-$AC$71)^2+(AD29-$AD$71)^2+(AE29-$AE$71)^2+(AF29-$AF$71)^2+(AG29-$AG$71)^2)</f>
        <v>1.14564392373896</v>
      </c>
      <c r="CG29" s="36" t="s">
        <v>145</v>
      </c>
      <c r="CH29" s="37" t="s">
        <v>120</v>
      </c>
      <c r="CJ29" s="44"/>
      <c r="CK29" s="36">
        <f>SQRT((A29-$A$72)^2+(B29-$B$72)^2+(C29-$C$72)^2+(D29-$D$72)^2+(E29-$E$72)^2+(F29-$F$72)^2+(G29-$G$72)^2+(H29-$H$72)^2+(I29-$I$72)^2+(J29-$J$72)^2+(K29-$K$72)^2+(L29-$L$72)^2+(M29-$M$72)^2+(N29-$N$72)^2+(O29-$O$72)^2+(P29-$P$72)^2+(Q29-$Q$72)^2+(R29-$R$72)^2+(S29-$S$72)^2+(T29-$T$72)^2+(U29-$U$72)^2+(V29-$V$72)^2+(W29-$W$72)^2+(X29-$X$72)^2+(Y29-$Y$72)^2+(Z29-$Z$72)^2+(AA29-$AA$72)^2+(AB29-$AB$72)^2+(AC29-$AC$72)^2+(AD29-$AD$72)^2+(AE29-$AE$72)^2+(AF29-$AF$72)^2+(AG29-$AG$72)^2)</f>
        <v>1.317029954569966</v>
      </c>
      <c r="CL29" s="36" t="s">
        <v>136</v>
      </c>
      <c r="CM29" s="37" t="s">
        <v>120</v>
      </c>
      <c r="CO29" s="44"/>
      <c r="CP29" s="36">
        <f>SQRT((A29-$A$73)^2+(B29-$B$73)^2+(C29-$C$73)^2+(D29-$D$73)^2+(E29-$E$73)^2+(F29-$F$73)^2+(G29-$G$73)^2+(H29-$H$73)^2+(I29-$I$73)^2+(J29-$J$73)^2+(K29-$K$73)^2+(L29-$L$73)^2+(M29-$M$73)^2+(N29-$N$73)^2+(O29-$O$73)^2+(P29-$P$73)^2+(Q29-$Q$73)^2+(R29-$R$73)^2+(S29-$S$73)^2+(T29-$T$73)^2+(U29-$U$73)^2+(V29-$V$73)^2+(W29-$W$73)^2+(X29-$X$73)^2+(Y29-$Y$73)^2+(Z29-$Z$73)^2+(AA29-$AA$73)^2+(AB29-$AB$73)^2+(AC29-$AC$73)^2+(AD29-$AD$73)^2+(AE29-$AE$73)^2+(AF29-$AF$73)^2+(AG29-$AG$73)^2)</f>
        <v>1.0368015795391228</v>
      </c>
      <c r="CQ29" s="36" t="s">
        <v>314</v>
      </c>
      <c r="CR29" s="37" t="s">
        <v>120</v>
      </c>
      <c r="CT29" s="44"/>
      <c r="CU29" s="36">
        <f>SQRT((A29-$A$74)^2+(B29-$B$74)^2+(C29-$C$74)^2+(D29-$D$74)^2+(E29-$E$74)^2+(F29-$F$74)^2+(G29-$G$74)^2+(H29-$H$74)^2+(I29-$I$74)^2+(J29-$J$74)^2+(K29-$K$74)^2+(L29-$L$74)^2+(M29-$M$74)^2+(N29-$N$74)^2+(O29-$O$74)^2+(P29-$P$74)^2+(Q29-$Q$74)^2+(R29-$R$74)^2+(S29-$S$74)^2+(T29-$T$74)^2+(U29-$U$74)^2+(V29-$V$74)^2+(W29-$W$74)^2+(X29-$X$74)^2+(Y29-$Y$74)^2+(Z29-$Z$74)^2+(AA29-$AA$74)^2+(AB29-$AB$74)^2+(AC29-$AC$74)^2+(AD29-$AD$74)^2+(AE29-$AE$74)^2+(AF29-$AF$74)^2+(AG29-$AG$74)^2)</f>
        <v>1.4447074920401852</v>
      </c>
      <c r="CV29" s="36" t="s">
        <v>331</v>
      </c>
      <c r="CW29" s="37" t="s">
        <v>120</v>
      </c>
      <c r="CY29" s="44"/>
      <c r="CZ29" s="36">
        <f>SQRT((A29-$A$75)^2+(B29-$B$75)^2+(C29-$C$75)^2+(D29-$D$75)^2+(E29-$E$75)^2+(F29-$F$75)^2+(G29-$G$75)^2+(H29-$H$75)^2+(I29-$I$75)^2+(J29-$J$75)^2+(K29-$K$75)^2+(L29-$L$75)^2+(M29-$M$75)^2+(N29-$N$75)^2+(O29-$O$75)^2+(P29-$P$75)^2+(Q29-$Q$75)^2+(R29-$R$75)^2+(S29-$S$75)^2+(T29-$T$75)^2+(U29-$U$75)^2+(V29-$V$75)^2+(W29-$W$75)^2+(X29-$X$75)^2+(Y29-$Y$75)^2+(Z29-$Z$75)^2+(AA29-$AA$75)^2+(AB29-$AB$75)^2+(AC29-$AC$75)^2+(AD29-$AD$75)^2+(AE29-$AE$75)^2+(AF29-$AF$75)^2+(AG29-$AG$75)^2)</f>
        <v>1.4691122655087165</v>
      </c>
      <c r="DA29" s="36" t="s">
        <v>150</v>
      </c>
      <c r="DB29" s="37" t="s">
        <v>120</v>
      </c>
      <c r="DD29" s="44"/>
      <c r="DE29" s="36">
        <f>SQRT((A29-$A$76)^2+(B29-$B$76)^2+(C29-$C$76)^2+(D29-$D$76)^2+(E29-$E$76)^2+(F29-$F$76)^2+(G29-$G$76)^2+(H29-$H$76)^2+(I29-$I$76)^2+(J29-$J$76)^2+(K29-$K$76)^2+(L29-$L$76)^2+(M29-$M$76)^2+(N29-$N$76)^2+(O29-$O$76)^2+(P29-$P$76)^2+(Q29-$Q$76)^2+(R29-$R$76)^2+(S29-$S$76)^2+(T29-$T$76)^2+(U29-$U$76)^2+(V29-$V$76)^2+(W29-$W$76)^2+(X29-$X$76)^2+(Y29-$Y$76)^2+(Z29-$Z$76)^2+(AA29-$AA$76)^2+(AB29-$AB$76)^2+(AC29-$AC$76)^2+(AD29-$AD$76)^2+(AE29-$AE$76)^2+(AF29-$AF$76)^2+(AG29-$AG$76)^2)</f>
        <v>1.3451401264475249</v>
      </c>
      <c r="DF29" s="36" t="s">
        <v>327</v>
      </c>
      <c r="DG29" s="37" t="s">
        <v>120</v>
      </c>
      <c r="DI29" s="44"/>
      <c r="DJ29" s="36">
        <f>SQRT((A29-$A$77)^2+(B29-$B$77)^2+(C29-$C$77)^2+(D29-$D$77)^2+(E29-$E$77)^2+(F29-$F$77)^2+(G29-$G$77)^2+(H29-$H$77)^2+(I29-$I$77)^2+(J29-$J$77)^2+(K29-$K$77)^2+(L29-$L$77)^2+(M29-$M$77)^2+(N29-$N$77)^2+(O29-$O$77)^2+(P29-$P$77)^2+(Q29-$Q$77)^2+(R29-$R$77)^2+(S29-$S$77)^2+(T29-$T$77)^2+(U29-$U$77)^2+(V29-$V$77)^2+(W29-$W$77)^2+(X29-$X$77)^2+(Y29-$Y$77)^2+(Z29-$Z$77)^2+(AA29-$AA$77)^2+(AB29-$AB$77)^2+(AC29-$AC$77)^2+(AD29-$AD$77)^2+(AE29-$AE$77)^2+(AF29-$AF$77)^2+(AG29-$AG$77)^2)</f>
        <v>2.0580247571589259</v>
      </c>
      <c r="DK29" s="36" t="s">
        <v>132</v>
      </c>
      <c r="DL29" s="37" t="s">
        <v>120</v>
      </c>
      <c r="DN29" s="44"/>
      <c r="DO29" s="36">
        <f>SQRT((A29-$A$78)^2+(B29-$B$78)^2+(C29-$C$78)^2+(D29-$D$78)^2+(E29-$E$78)^2+(F29-$F$78)^2+(G29-$G$78)^2+(H29-$H$78)^2+(I29-$I$78)^2+(J29-$J$78)^2+(K29-$K$78)^2+(L29-$L$78)^2+(M29-$M$78)^2+(N29-$N$78)^2+(O29-$O$78)^2+(P29-$P$78)^2+(Q29-$Q$78)^2+(R29-$R$78)^2+(S29-$S$78)^2+(T29-$T$78)^2+(U29-$U$78)^2+(V29-$V$78)^2+(W29-$W$78)^2+(X29-$X$78)^2+(Y29-$Y$78)^2+(Z29-$Z$78)^2+(AA29-$AA$78)^2+(AB29-$AB$78)^2+(AC29-$AC$78)^2+(AD29-$AD$78)^2+(AE29-$AE$78)^2+(AF29-$AF$78)^2+(AG29-$AG$78)^2)</f>
        <v>0.48034269523055972</v>
      </c>
      <c r="DP29" s="36" t="s">
        <v>131</v>
      </c>
      <c r="DQ29" s="37" t="s">
        <v>120</v>
      </c>
      <c r="DS29" s="44"/>
      <c r="DT29" s="36">
        <f>SQRT((A29-$A$79)^2+(B29-$B$79)^2+(C29-$C$79)^2+(D29-$D$79)^2+(E29-$E$79)^2+(F29-$F$79)^2+(G29-$G$79)^2+(H29-$H$79)^2+(I29-$I$79)^2+(J29-$J$79)^2+(K29-$K$79)^2+(L29-$L$79)^2+(M29-$M$79)^2+(N29-$N$79)^2+(O29-$O$79)^2+(P29-$P$79)^2+(Q29-$Q$79)^2+(R29-$R$79)^2+(S29-$S$79)^2+(T29-$T$79)^2+(U29-$U$79)^2+(V29-$V$79)^2+(W29-$W$79)^2+(X29-$X$79)^2+(Y29-$Y$79)^2+(Z29-$Z$79)^2+(AA29-$AA$79)^2+(AB29-$AB$79)^2+(AC29-$AC$79)^2+(AD29-$AD$79)^2+(AE29-$AE$79)^2+(AF29-$AF$79)^2+(AG29-$AG$79)^2)</f>
        <v>1.1584328422426771</v>
      </c>
      <c r="DU29" s="36" t="s">
        <v>327</v>
      </c>
      <c r="DV29" s="37" t="s">
        <v>120</v>
      </c>
      <c r="DX29" s="44"/>
      <c r="DY29" s="36">
        <f>SQRT((A29-$A$80)^2+(B29-$B$80)^2+(C29-$C$80)^2+(D29-$D$80)^2+(E29-$E$80)^2+(F29-$F$80)^2+(G29-$G$80)^2+(H29-$H$80)^2+(I29-$I$80)^2+(J29-$J$80)^2+(K29-$K$80)^2+(L29-$L$80)^2+(M29-$M$80)^2+(N29-$N$80)^2+(O29-$O$80)^2+(P29-$P$80)^2+(Q29-$Q$80)^2+(R29-$R$80)^2+(S29-$S$80)^2+(T29-$T$80)^2+(U29-$U$80)^2+(V29-$V$80)^2+(W29-$W$80)^2+(X29-$X$80)^2+(Y29-$Y$80)^2+(Z29-$Z$80)^2+(AA29-$AA$80)^2+(AB29-$AB$80)^2+(AC29-$AC$80)^2+(AD29-$AD$80)^2+(AE29-$AE$80)^2+(AF29-$AF$80)^2+(AG29-$AG$80)^2)</f>
        <v>1.764924223680671</v>
      </c>
      <c r="DZ29" s="36" t="s">
        <v>334</v>
      </c>
      <c r="EA29" s="37" t="s">
        <v>120</v>
      </c>
      <c r="EC29" s="44"/>
      <c r="ED29" s="36">
        <f>SQRT((A29-$A$81)^2+(B29-$B$81)^2+(C29-$C$81)^2+(D29-$D$81)^2+(E29-$E$81)^2+(F29-$F$81)^2+(G29-$G$81)^2+(H29-$H$81)^2+(I29-$I$81)^2+(J29-$J$81)^2+(K29-$K$81)^2+(L29-$L$81)^2+(M29-$M$81)^2+(N29-$N$81)^2+(O29-$O$81)^2+(P29-$P$81)^2+(Q29-$Q$81)^2+(R29-$R$81)^2+(S29-$S$81)^2+(T29-$T$81)^2+(U29-$U$81)^2+(V29-$V$81)^2+(W29-$W$81)^2+(X29-$X$81)^2+(Y29-$Y$81)^2+(Z29-$Z$81)^2+(AA29-$AA$81)^2+(AB29-$AB$81)^2+(AC29-$AC$81)^2+(AD29-$AD$81)^2+(AE29-$AE$81)^2+(AF29-$AF$81)^2+(AG29-$AG$81)^2)</f>
        <v>1.7848460843122929</v>
      </c>
      <c r="EE29" s="36" t="s">
        <v>149</v>
      </c>
      <c r="EF29" s="37" t="s">
        <v>120</v>
      </c>
      <c r="EH29" s="44"/>
      <c r="EI29" s="36">
        <f>SQRT((A29-$A$82)^2+(B29-$B$82)^2+(C29-$C$82)^2+(D29-$D$82)^2+(E29-$E$82)^2+(F29-$F$82)^2+(G29-$G$82)^2+(H29-$H$82)^2+(I29-$I$82)^2+(J29-$J$82)^2+(K29-$K$82)^2+(L29-$L$82)^2+(M29-$M$82)^2+(N29-$N$82)^2+(O29-$O$82)^2+(P29-$P$82)^2+(Q29-$Q$82)^2+(R29-$R$82)^2+(S29-$S$82)^2+(T29-$T$82)^2+(U29-$U$82)^2+(V29-$V$82)^2+(W29-$W$82)^2+(X29-$X$82)^2+(Y29-$Y$82)^2+(Z29-$Z$82)^2+(AA29-$AA$82)^2+(AB29-$AB$82)^2+(AC29-$AC$82)^2+(AD29-$AD$82)^2+(AE29-$AE$82)^2+(AF29-$AF$82)^2+(AG29-$AG$82)^2)</f>
        <v>1.2084241197895014</v>
      </c>
      <c r="EJ29" s="36" t="s">
        <v>124</v>
      </c>
      <c r="EK29" s="37" t="s">
        <v>120</v>
      </c>
      <c r="EM29" s="44"/>
      <c r="EN29" s="36">
        <f>SQRT((A29-$A$83)^2+(B29-$B$83)^2+(C29-$C$83)^2+(D29-$D$83)^2+(E29-$E$83)^2+(F29-$F$83)^2+(G29-$G$83)^2+(H29-$H$83)^2+(I29-$I$83)^2+(J29-$J$83)^2+(K29-$K$83)^2+(L29-$L$83)^2+(M29-$M$83)^2+(N29-$N$83)^2+(O29-$O$83)^2+(P29-$P$83)^2+(Q29-$Q$83)^2+(R29-$R$83)^2+(S29-$S$83)^2+(T29-$T$83)^2+(U29-$U$83)^2+(V29-$V$83)^2+(W29-$W$83)^2+(X29-$X$83)^2+(Y29-$Y$83)^2+(Z29-$Z$83)^2+(AA29-$AA$83)^2+(AB29-$AB$83)^2+(AC29-$AC$83)^2+(AD29-$AD$83)^2+(AE29-$AE$83)^2+(AF29-$AF$83)^2+(AG29-$AG$83)^2)</f>
        <v>0.39952220682991679</v>
      </c>
      <c r="EO29" s="36" t="s">
        <v>128</v>
      </c>
      <c r="EP29" s="37" t="s">
        <v>120</v>
      </c>
      <c r="ER29" s="44"/>
      <c r="ES29" s="36">
        <f>SQRT((A29-$A$84)^2+(B29-$B$84)^2+(C29-$C$84)^2+(D29-$D$84)^2+(E29-$E$84)^2+(F29-$F$84)^2+(G29-$G$84)^2+(H29-$H$84)^2+(I29-$I$84)^2+(J29-$J$84)^2+(K29-$K$84)^2+(L29-$L$84)^2+(M29-$M$84)^2+(N29-$N$84)^2+(O29-$O$84)^2+(P29-$P$84)^2+(Q29-$Q$84)^2+(R29-$R$84)^2+(S29-$S$84)^2+(T29-$T$84)^2+(U29-$U$84)^2+(V29-$V$84)^2+(W29-$W$84)^2+(X29-$X$84)^2+(Y29-$Y$84)^2+(Z29-$Z$84)^2+(AA29-$AA$84)^2+(AB29-$AB$84)^2+(AC29-$AC$84)^2+(AD29-$AD$84)^2+(AE29-$AE$84)^2+(AF29-$AF$84)^2+(AG29-$AG$84)^2)</f>
        <v>0.88336530206466923</v>
      </c>
      <c r="ET29" s="36" t="s">
        <v>154</v>
      </c>
      <c r="EU29" s="37" t="s">
        <v>120</v>
      </c>
      <c r="EW29" s="44"/>
      <c r="EX29" s="36">
        <f>SQRT((A29-$A$85)^2+(B29-$B$85)^2+(C29-$C$85)^2+(D29-$D$85)^2+(E29-$E$85)^2+(F29-$F$85)^2+(G29-$G$85)^2+(H29-$H$85)^2+(I29-$I$85)^2+(J29-$J$85)^2+(K29-$K$85)^2+(L29-$L$85)^2+(M29-$M$85)^2+(N29-$N$85)^2+(O29-$O$85)^2+(P29-$P$85)^2+(Q29-$Q$85)^2+(R29-$R$85)^2+(S29-$S$85)^2+(T29-$T$85)^2+(U29-$U$85)^2+(V29-$V$85)^2+(W29-$W$85)^2+(X29-$X$85)^2+(Y29-$Y$85)^2+(Z29-$Z$85)^2+(AA29-$AA$85)^2+(AB29-$AB$85)^2+(AC29-$AC$85)^2+(AD29-$AD$85)^2+(AE29-$AE$85)^2+(AF29-$AF$85)^2+(AG29-$AG$85)^2)</f>
        <v>0.88336530206466923</v>
      </c>
      <c r="EY29" s="36" t="s">
        <v>154</v>
      </c>
      <c r="EZ29" s="37" t="s">
        <v>120</v>
      </c>
      <c r="FB29" s="44"/>
      <c r="FC29" s="36">
        <f>SQRT((A29-$A$86)^2+(B29-$B$86)^2+(C29-$C$86)^2+(D29-$D$86)^2+(E29-$E$86)^2+(F29-$F$86)^2+(G29-$G$86)^2+(H29-$H$86)^2+(I29-$I$86)^2+(J29-$J$86)^2+(K29-$K$86)^2+(L29-$L$86)^2+(M29-$M$86)^2+(N29-$N$86)^2+(O29-$O$86)^2+(P29-$P$86)^2+(Q29-$Q$86)^2+(R29-$R$86)^2+(S29-$S$86)^2+(T29-$T$86)^2+(U29-$U$86)^2+(V29-$V$86)^2+(W29-$W$86)^2+(X29-$X$86)^2+(Y29-$Y$86)^2+(Z29-$Z$86)^2+(AA29-$AA$86)^2+(AB29-$AB$86)^2+(AC29-$AC$86)^2+(AD29-$AD$86)^2+(AE29-$AE$86)^2+(AF29-$AF$86)^2+(AG29-$AG$86)^2)</f>
        <v>0.88336530206466923</v>
      </c>
      <c r="FD29" s="36" t="s">
        <v>154</v>
      </c>
      <c r="FE29" s="37" t="s">
        <v>120</v>
      </c>
      <c r="FG29" s="44"/>
      <c r="FH29" s="36">
        <f>SQRT((A29-$A$87)^2+(B29-$B$87)^2+(C29-$C$87)^2+(D29-$D$87)^2+(E29-$E$87)^2+(F29-$F$87)^2+(G29-$G$87)^2+(H29-$H$87)^2+(I29-$I$87)^2+(J29-$J$87)^2+(K29-$K$87)^2+(L29-$L$87)^2+(M29-$M$87)^2+(N29-$N$87)^2+(O29-$O$87)^2+(P29-$P$87)^2+(Q29-$Q$87)^2+(R29-$R$87)^2+(S29-$S$87)^2+(T29-$T$87)^2+(U29-$U$87)^2+(V29-$V$87)^2+(W29-$W$87)^2+(X29-$X$87)^2+(Y29-$Y$87)^2+(Z29-$Z$87)^2+(AA29-$AA$87)^2+(AB29-$AB$87)^2+(AC29-$AC$87)^2+(AD29-$AD$87)^2+(AE29-$AE$87)^2+(AF29-$AF$87)^2+(AG29-$AG$87)^2)</f>
        <v>0.69638891097921718</v>
      </c>
      <c r="FI29" s="36" t="s">
        <v>316</v>
      </c>
      <c r="FJ29" s="37" t="s">
        <v>120</v>
      </c>
      <c r="FL29" s="44"/>
      <c r="FM29" s="36">
        <f>SQRT((A29-$A$88)^2+(B29-$B$88)^2+(C29-$C$88)^2+(D29-$D$88)^2+(E29-$E$88)^2+(F29-$F$88)^2+(G29-$G$88)^2+(H29-$H$88)^2+(I29-$I$88)^2+(J29-$J$88)^2+(K29-$K$88)^2+(L29-$L$88)^2+(M29-$M$88)^2+(N29-$N$88)^2+(O29-$O$88)^2+(P29-$P$88)^2+(Q29-$Q$88)^2+(R29-$R$88)^2+(S29-$S$88)^2+(T29-$T$88)^2+(U29-$U$88)^2+(V29-$V$88)^2+(W29-$W$88)^2+(X29-$X$88)^2+(Y29-$Y$88)^2+(Z29-$Z$88)^2+(AA29-$AA$88)^2+(AB29-$AB$88)^2+(AC29-$AC$88)^2+(AD29-$AD$88)^2+(AE29-$AE$88)^2+(AF29-$AF$88)^2+(AG29-$AG$88)^2)</f>
        <v>1.2247448713915889</v>
      </c>
      <c r="FN29" s="36" t="s">
        <v>327</v>
      </c>
      <c r="FO29" s="37" t="s">
        <v>120</v>
      </c>
      <c r="FQ29" s="44"/>
      <c r="FR29" s="36">
        <f>SQRT((A29-$A$89)^2+(B29-$B$89)^2+(C29-$C$89)^2+(D29-$D$89)^2+(E29-$E$89)^2+(F29-$F$89)^2+(G29-$G$89)^2+(H29-$H$89)^2+(I29-$I$89)^2+(J29-$J$89)^2+(K29-$K$89)^2+(L29-$L$89)^2+(M29-$M$89)^2+(N29-$N$89)^2+(O29-$O$89)^2+(P29-$P$89)^2+(Q29-$Q$89)^2+(R29-$R$89)^2+(S29-$S$89)^2+(T29-$T$89)^2+(U29-$U$89)^2+(V29-$V$89)^2+(W29-$W$89)^2+(X29-$X$89)^2+(Y29-$Y$89)^2+(Z29-$Z$89)^2+(AA29-$AA$89)^2+(AB29-$AB$89)^2+(AC29-$AC$89)^2+(AD29-$AD$89)^2+(AE29-$AE$89)^2+(AF29-$AF$89)^2+(AG29-$AG$89)^2)</f>
        <v>1.7771580820704029</v>
      </c>
      <c r="FS29" s="36" t="s">
        <v>132</v>
      </c>
      <c r="FT29" s="37" t="s">
        <v>120</v>
      </c>
      <c r="FV29" s="44"/>
      <c r="FW29" s="36">
        <f>SQRT((A29-$A$90)^2+(B29-$B$90)^2+(C29-$C$90)^2+(D29-$D$90)^2+(E29-$E$90)^2+(F29-$F$90)^2+(G29-$G$90)^2+(H29-$H$90)^2+(I29-$I$90)^2+(J29-$J$90)^2+(K29-$K$90)^2+(L29-$L$90)^2+(M29-$M$90)^2+(N29-$N$90)^2+(O29-$O$90)^2+(P29-$P$90)^2+(Q29-$Q$90)^2+(R29-$R$90)^2+(S29-$S$90)^2+(T29-$T$90)^2+(U29-$U$90)^2+(V29-$V$90)^2+(W29-$W$90)^2+(X29-$X$90)^2+(Y29-$Y$90)^2+(Z29-$Z$90)^2+(AA29-$AA$90)^2+(AB29-$AB$90)^2+(AC29-$AC$90)^2+(AD29-$AD$90)^2+(AE29-$AE$90)^2+(AF29-$AF$90)^2+(AG29-$AG$90)^2)</f>
        <v>1.8013229245806661</v>
      </c>
      <c r="FX29" s="36" t="s">
        <v>325</v>
      </c>
      <c r="FY29" s="37" t="s">
        <v>120</v>
      </c>
      <c r="GA29" s="44"/>
      <c r="GB29" s="36">
        <f>SQRT((A29-$A$91)^2+(B29-$B$91)^2+(C29-$C$91)^2+(D29-$D$91)^2+(E29-$E$91)^2+(F29-$F$91)^2+(G29-$G$91)^2+(H29-$H$91)^2+(I29-$I$91)^2+(J29-$J$91)^2+(K29-$K$91)^2+(L29-$L$91)^2+(M29-$M$91)^2+(N29-$N$91)^2+(O29-$O$91)^2+(P29-$P$91)^2+(Q29-$Q$91)^2+(R29-$R$91)^2+(S29-$S$91)^2+(T29-$T$91)^2+(U29-$U$91)^2+(V29-$V$91)^2+(W29-$W$91)^2+(X29-$X$91)^2+(Y29-$Y$91)^2+(Z29-$Z$91)^2+(AA29-$AA$91)^2+(AB29-$AB$91)^2+(AC29-$AC$91)^2+(AD29-$AD$91)^2+(AE29-$AE$91)^2+(AF29-$AF$91)^2+(AG29-$AG$91)^2)</f>
        <v>1.8135358446032352</v>
      </c>
      <c r="GC29" s="36" t="s">
        <v>146</v>
      </c>
      <c r="GD29" s="37" t="s">
        <v>120</v>
      </c>
      <c r="GF29" s="44"/>
      <c r="GG29" s="36">
        <f>SQRT((A29-$A$92)^2+(B29-$B$92)^2+(C29-$C$92)^2+(D29-$D$92)^2+(E29-$E$92)^2+(F29-$F$92)^2+(G29-$G$92)^2+(H29-$H$92)^2+(I29-$I$92)^2+(J29-$J$92)^2+(K29-$K$92)^2+(L29-$L$92)^2+(M29-$M$92)^2+(N29-$N$92)^2+(O29-$O$92)^2+(P29-$P$92)^2+(Q29-$Q$92)^2+(R29-$R$92)^2+(S29-$S$92)^2+(T29-$T$92)^2+(U29-$U$92)^2+(V29-$V$92)^2+(W29-$W$92)^2+(X29-$X$92)^2+(Y29-$Y$92)^2+(Z29-$Z$92)^2+(AA29-$AA$92)^2+(AB29-$AB$92)^2+(AC29-$AC$92)^2+(AD29-$AD$92)^2+(AE29-$AE$92)^2+(AF29-$AF$92)^2+(AG29-$AG$92)^2)</f>
        <v>1.1180339887498949</v>
      </c>
      <c r="GH29" s="36" t="s">
        <v>328</v>
      </c>
      <c r="GI29" s="37" t="s">
        <v>120</v>
      </c>
      <c r="GK29" s="44"/>
      <c r="GL29" s="36">
        <f>SQRT((A29-$A$93)^2+(B29-$B$93)^2+(C29-$C$93)^2+(D29-$D$93)^2+(E29-$E$93)^2+(F29-$F$93)^2+(G29-$G$93)^2+(H29-$H$93)^2+(I29-$I$93)^2+(J29-$J$93)^2+(K29-$K$93)^2+(L29-$L$93)^2+(M29-$M$93)^2+(N29-$N$93)^2+(O29-$O$93)^2+(P29-$P$93)^2+(Q29-$Q$93)^2+(R29-$R$93)^2+(S29-$S$93)^2+(T29-$T$93)^2+(U29-$U$93)^2+(V29-$V$93)^2+(W29-$W$93)^2+(X29-$X$93)^2+(Y29-$Y$93)^2+(Z29-$Z$93)^2+(AA29-$AA$93)^2+(AB29-$AB$93)^2+(AC29-$AC$93)^2+(AD29-$AD$93)^2+(AE29-$AE$93)^2+(AF29-$AF$93)^2+(AG29-$AG$93)^2)</f>
        <v>1.8618790022665437</v>
      </c>
      <c r="GM29" s="36" t="s">
        <v>131</v>
      </c>
      <c r="GN29" s="37" t="s">
        <v>120</v>
      </c>
      <c r="GP29" s="44"/>
      <c r="GQ29" s="36">
        <f>SQRT((A29-$A$94)^2+(B29-$B$94)^2+(C29-$C$94)^2+(D29-$D$94)^2+(E29-$E$94)^2+(F29-$F$94)^2+(G29-$G$94)^2+(H29-$H$94)^2+(I29-$I$94)^2+(J29-$J$94)^2+(K29-$K$94)^2+(L29-$L$94)^2+(M29-$M$94)^2+(N29-$N$94)^2+(O29-$O$94)^2+(P29-$P$94)^2+(Q29-$Q$94)^2+(R29-$R$94)^2+(S29-$S$94)^2+(T29-$T$94)^2+(U29-$U$94)^2+(V29-$V$94)^2+(W29-$W$94)^2+(X29-$X$94)^2+(Y29-$Y$94)^2+(Z29-$Z$94)^2+(AA29-$AA$94)^2+(AB29-$AB$94)^2+(AC29-$AC$94)^2+(AD29-$AD$94)^2+(AE29-$AE$94)^2+(AF29-$AF$94)^2+(AG29-$AG$94)^2)</f>
        <v>0.95117469359391382</v>
      </c>
      <c r="GR29" s="36" t="s">
        <v>328</v>
      </c>
      <c r="GS29" s="37" t="s">
        <v>120</v>
      </c>
      <c r="GU29" s="44"/>
      <c r="GV29" s="36">
        <f>SQRT((A29-$A$95)^2+(B29-$B$95)^2+(C29-$C$95)^2+(D29-$D$95)^2+(E29-$E$95)^2+(F29-$F$95)^2+(G29-$G$95)^2+(H29-$H$95)^2+(I29-$I$95)^2+(J29-$J$95)^2+(K29-$K$95)^2+(L29-$L$95)^2+(M29-$M$95)^2+(N29-$N$95)^2+(O29-$O$95)^2+(P29-$P$95)^2+(Q29-$Q$95)^2+(R29-$R$95)^2+(S29-$S$95)^2+(T29-$T$95)^2+(U29-$U$95)^2+(V29-$V$95)^2+(W29-$W$95)^2+(X29-$X$95)^2+(Y29-$Y$95)^2+(Z29-$Z$95)^2+(AA29-$AA$95)^2+(AB29-$AB$95)^2+(AC29-$AC$95)^2+(AD29-$AD$95)^2+(AE29-$AE$95)^2+(AF29-$AF$95)^2+(AG29-$AG$95)^2)</f>
        <v>2.4576655568098293</v>
      </c>
      <c r="GW29" s="36" t="s">
        <v>334</v>
      </c>
      <c r="GX29" s="37" t="s">
        <v>120</v>
      </c>
      <c r="GZ29" s="44"/>
      <c r="HA29" s="36">
        <f>SQRT((A29-$A$96)^2+(B29-$B$96)^2+(C29-$C$96)^2+(D29-$D$96)^2+(E29-$E$96)^2+(F29-$F$96)^2+(G29-$G$96)^2+(H29-$H$96)^2+(I29-$I$96)^2+(J29-$J$96)^2+(K29-$K$96)^2+(L29-$L$96)^2+(M29-$M$96)^2+(N29-$N$96)^2+(O29-$O$96)^2+(P29-$P$96)^2+(Q29-$Q$96)^2+(R29-$R$96)^2+(S29-$S$96)^2+(T29-$T$96)^2+(U29-$U$96)^2+(V29-$V$96)^2+(W29-$W$96)^2+(X29-$X$96)^2+(Y29-$Y$96)^2+(Z29-$Z$96)^2+(AA29-$AA$96)^2+(AB29-$AB$96)^2+(AC29-$AC$96)^2+(AD29-$AD$96)^2+(AE29-$AE$96)^2+(AF29-$AF$96)^2+(AG29-$AG$96)^2)</f>
        <v>2.4088051418393288</v>
      </c>
      <c r="HB29" s="36" t="s">
        <v>152</v>
      </c>
      <c r="HC29" s="37" t="s">
        <v>120</v>
      </c>
      <c r="HE29" s="44"/>
      <c r="HF29" s="36">
        <f>SQRT((A29-$A$97)^2+(B29-$B$97)^2+(C29-$C$97)^2+(D29-$D$97)^2+(E29-$E$97)^2+(F29-$F$97)^2+(G29-$G$97)^2+(H29-$H$97)^2+(I29-$I$97)^2+(J29-$J$97)^2+(K29-$K$97)^2+(L29-$L$97)^2+(M29-$M$97)^2+(N29-$N$97)^2+(O29-$O$97)^2+(P29-$P$97)^2+(Q29-$Q$97)^2+(R29-$R$97)^2+(S29-$S$97)^2+(T29-$T$97)^2+(U29-$U$97)^2+(V29-$V$97)^2+(W29-$W$97)^2+(X29-$X$97)^2+(Y29-$Y$97)^2+(Z29-$Z$97)^2+(AA29-$AA$97)^2+(AB29-$AB$97)^2+(AC29-$AC$97)^2+(AD29-$AD$97)^2+(AE29-$AE$97)^2+(AF29-$AF$97)^2+(AG29-$AG$97)^2)</f>
        <v>0.88336530206466923</v>
      </c>
      <c r="HG29" s="36" t="s">
        <v>154</v>
      </c>
      <c r="HH29" s="37" t="s">
        <v>120</v>
      </c>
      <c r="HJ29" s="44"/>
      <c r="HK29" s="36">
        <f>SQRT((A29-$A$98)^2+(B29-$B$98)^2+(C29-$C$98)^2+(D29-$D$98)^2+(E29-$E$98)^2+(F29-$F$98)^2+(G29-$G$98)^2+(H29-$H$98)^2+(I29-$I$98)^2+(J29-$J$98)^2+(K29-$K$98)^2+(L29-$L$98)^2+(M29-$M$98)^2+(N29-$N$98)^2+(O29-$O$98)^2+(P29-$P$98)^2+(Q29-$Q$98)^2+(R29-$R$98)^2+(S29-$S$98)^2+(T29-$T$98)^2+(U29-$U$98)^2+(V29-$V$98)^2+(W29-$W$98)^2+(X29-$X$98)^2+(Y29-$Y$98)^2+(Z29-$Z$98)^2+(AA29-$AA$98)^2+(AB29-$AB$98)^2+(AC29-$AC$98)^2+(AD29-$AD$98)^2+(AE29-$AE$98)^2+(AF29-$AF$98)^2+(AG29-$AG$98)^2)</f>
        <v>0.88336530206466923</v>
      </c>
      <c r="HL29" s="36" t="s">
        <v>154</v>
      </c>
      <c r="HM29" s="37" t="s">
        <v>120</v>
      </c>
      <c r="HO29" s="44"/>
      <c r="HP29" s="36">
        <f>SQRT((A29-$A$99)^2+(B29-$B$99)^2+(C29-$C$99)^2+(D29-$D$99)^2+(E29-$E$99)^2+(F29-$F$99)^2+(G29-$G$99)^2+(H29-$H$99)^2+(I29-$I$99)^2+(J29-$J$99)^2+(K29-$K$99)^2+(L29-$L$99)^2+(M29-$M$99)^2+(N29-$N$99)^2+(O29-$O$99)^2+(P29-$P$99)^2+(Q29-$Q$99)^2+(R29-$R$99)^2+(S29-$S$99)^2+(T29-$T$99)^2+(U29-$U$99)^2+(V29-$V$99)^2+(W29-$W$99)^2+(X29-$X$99)^2+(Y29-$Y$99)^2+(Z29-$Z$99)^2+(AA29-$AA$99)^2+(AB29-$AB$99)^2+(AC29-$AC$99)^2+(AD29-$AD$99)^2+(AE29-$AE$99)^2+(AF29-$AF$99)^2+(AG29-$AG$99)^2)</f>
        <v>0.88336530206466923</v>
      </c>
      <c r="HQ29" s="36" t="s">
        <v>154</v>
      </c>
      <c r="HR29" s="37" t="s">
        <v>120</v>
      </c>
      <c r="HT29" s="44"/>
      <c r="HU29" s="36">
        <f>SQRT((A29-$A$100)^2+(B29-$B$100)^2+(C29-$C$100)^2+(D29-$D$100)^2+(E29-$E$100)^2+(F29-$F$100)^2+(G29-$G$100)^2+(H29-$H$100)^2+(I29-$I$100)^2+(J29-$J$100)^2+(K29-$K$100)^2+(L29-$L$100)^2+(M29-$M$100)^2+(N29-$N$100)^2+(O29-$O$100)^2+(P29-$P$100)^2+(Q29-$Q$100)^2+(R29-$R$100)^2+(S29-$S$100)^2+(T29-$T$100)^2+(U29-$U$100)^2+(V29-$V$100)^2+(W29-$W$100)^2+(X29-$X$100)^2+(Y29-$Y$100)^2+(Z29-$Z$100)^2+(AA29-$AA$100)^2+(AB29-$AB$100)^2+(AC29-$AC$100)^2+(AD29-$AD$100)^2+(AE29-$AE$100)^2+(AF29-$AF$100)^2+(AG29-$AG$100)^2)</f>
        <v>0.88336530206466923</v>
      </c>
      <c r="HV29" s="36" t="s">
        <v>154</v>
      </c>
      <c r="HW29" s="37" t="s">
        <v>120</v>
      </c>
      <c r="HY29" s="44"/>
      <c r="HZ29" s="36">
        <f>SQRT((A29-$A$101)^2+(B29-$B$101)^2+(C29-$C$101)^2+(D29-$D$101)^2+(E29-$E$101)^2+(F29-$F$101)^2+(G29-$G$101)^2+(H29-$H$101)^2+(I29-$I$101)^2+(J29-$J$101)^2+(K29-$K$101)^2+(L29-$L$101)^2+(M29-$M$101)^2+(N29-$N$101)^2+(O29-$O$101)^2+(P29-$P$101)^2+(Q29-$Q$101)^2+(R29-$R$101)^2+(S29-$S$101)^2+(T29-$T$101)^2+(U29-$U$101)^2+(V29-$V$101)^2+(W29-$W$101)^2+(X29-$X$101)^2+(Y29-$Y$101)^2+(Z29-$Z$101)^2+(AA29-$AA$101)^2+(AB29-$AB$101)^2+(AC29-$AC$101)^2+(AD29-$AD$101)^2+(AE29-$AE$101)^2+(AF29-$AF$101)^2+(AG29-$AG$101)^2)</f>
        <v>1.7882666934512723</v>
      </c>
      <c r="IA29" s="36" t="s">
        <v>149</v>
      </c>
      <c r="IB29" s="37" t="s">
        <v>120</v>
      </c>
    </row>
    <row r="30" spans="1:236" x14ac:dyDescent="0.35">
      <c r="A30" s="2">
        <v>0.66666666666666596</v>
      </c>
      <c r="B30" s="2">
        <v>0.25</v>
      </c>
      <c r="C30" s="2">
        <v>0.23899371069182301</v>
      </c>
      <c r="D30" s="2">
        <v>0.66666666666666596</v>
      </c>
      <c r="E30" s="2">
        <v>0.33333333333333298</v>
      </c>
      <c r="F30" s="2">
        <v>1</v>
      </c>
      <c r="G30" s="2">
        <v>0.55555555555555503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0.4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0</v>
      </c>
      <c r="W30" s="2">
        <v>1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0.19565217391304299</v>
      </c>
      <c r="AH30" s="2" t="s">
        <v>120</v>
      </c>
      <c r="AI30" s="42"/>
      <c r="AJ30" s="42"/>
      <c r="AL30" s="44"/>
      <c r="AM30" s="36">
        <f>SQRT((A30-$A$62)^2+(B30-$B$62)^2+(C30-$C$62)^2+(D30-$D$62)^2+(E30-$E$62)^2+(F30-$F$62)^2+(G30-$G$62)^2+(H30-$H$62)^2+(I30-$I$62)^2+(J30-$J$62)^2+(K30-$K$62)^2+(L30-$L$62)^2+(M30-$M$62)^2+(N30-$N$62)^2+(O30-$O$62)^2+(P30-$P$62)^2+(Q30-$Q$62)^2+(R30-$R$62)^2+(S30-$S$62)^2+(T30-$T$62)^2+(U30-$U$62)^2+(V30-$V$62)^2+(W30-$W$62)^2+(X30-$X$62)^2+(Y30-$Y$62)^2+(Z30-$Z$62)^2+(AA30-$AA$62)^2+(AB30-$AB$62)^2+(AC30-$AC$62)^2+(AD30-$AD$62)^2+(AE30-$AE$62)^2+(AF30-$AF$62)^2+(AG30-$AG$62)^2)</f>
        <v>2.0200279876502636</v>
      </c>
      <c r="AN30" s="36" t="s">
        <v>125</v>
      </c>
      <c r="AO30" s="37" t="s">
        <v>120</v>
      </c>
      <c r="AQ30" s="44"/>
      <c r="AR30" s="36">
        <f>SQRT((A30-$A$63)^2+(B30-$B$63)^2+(C30-$C$63)^2+(D30-$D$63)^2+(E30-$E$63)^2+(F30-$F$63)^2+(G30-$G$63)^2+(H30-$H$63)^2+(I30-$I$63)^2+(J30-$J$63)^2+(K30-$K$63)^2+(L30-$L$63)^2+(M30-$M$63)^2+(N30-$N$63)^2+(O30-$O$63)^2+(P30-$P$63)^2+(Q30-$Q$63)^2+(R30-$R$63)^2+(S30-$S$63)^2+(T30-$T$63)^2+(U30-$U$63)^2+(V30-$V$63)^2+(W30-$W$63)^2+(X30-$X$63)^2+(Y30-$Y$63)^2+(Z30-$Z$63)^2+(AA30-$AA$63)^2+(AB30-$AB$63)^2+(AC30-$AC$63)^2+(AD30-$AD$63)^2+(AE30-$AE$63)^2+(AF30-$AF$63)^2+(AG30-$AG$63)^2)</f>
        <v>1.2965820381526976</v>
      </c>
      <c r="AS30" s="36" t="s">
        <v>151</v>
      </c>
      <c r="AT30" s="37" t="s">
        <v>120</v>
      </c>
      <c r="AV30" s="44"/>
      <c r="AW30" s="36">
        <f>SQRT((A30-$A$64)^2+(B30-$B$64)^2+(C30-$C$64)^2+(D30-$D$64)^2+(E30-$E$64)^2+(F30-$F$64)^2+(G30-$G$64)^2+(H30-$H$64)^2+(I30-$I$64)^2+(J30-$J$64)^2+(K30-$K$64)^2+(L30-$L$64)^2+(M30-$M$64)^2+(N30-$N$64)^2+(O30-$O$64)^2+(P30-$P$64)^2+(Q30-$Q$64)^2+(R30-$R$64)^2+(S30-$S$64)^2+(T30-$T$64)^2+(U30-$U$64)^2+(V30-$V$64)^2+(W30-$W$64)^2+(X30-$X$64)^2+(Y30-$Y$64)^2+(Z30-$Z$64)^2+(AA30-$AA$64)^2+(AB30-$AB$64)^2+(AC30-$AC$64)^2+(AD30-$AD$64)^2+(AE30-$AE$64)^2+(AF30-$AF$64)^2+(AG30-$AG$64)^2)</f>
        <v>1.2965820381526976</v>
      </c>
      <c r="AX30" s="36" t="s">
        <v>151</v>
      </c>
      <c r="AY30" s="37" t="s">
        <v>120</v>
      </c>
      <c r="BA30" s="44"/>
      <c r="BB30" s="36">
        <f>SQRT((A30-$A$65)^2+(B30-$B$65)^2+(C30-$C$65)^2+(D30-$D$65)^2+(E30-$E$65)^2+(F30-$F$65)^2+(G30-$G$65)^2+(H30-$H$65)^2+(I30-$I$65)^2+(J30-$J$65)^2+(K30-$K$65)^2+(L30-$L$65)^2+(M30-$M$65)^2+(N30-$N$65)^2+(O30-$O$65)^2+(P30-$P$65)^2+(Q30-$Q$65)^2+(R30-$R$65)^2+(S30-$S$65)^2+(T30-$T$65)^2+(U30-$U$65)^2+(V30-$V$65)^2+(W30-$W$65)^2+(X30-$X$65)^2+(Y30-$Y$65)^2+(Z30-$Z$65)^2+(AA30-$AA$65)^2+(AB30-$AB$65)^2+(AC30-$AC$65)^2+(AD30-$AD$65)^2+(AE30-$AE$65)^2+(AF30-$AF$65)^2+(AG30-$AG$65)^2)</f>
        <v>1.2965820381526976</v>
      </c>
      <c r="BC30" s="36" t="s">
        <v>151</v>
      </c>
      <c r="BD30" s="37" t="s">
        <v>120</v>
      </c>
      <c r="BF30" s="44"/>
      <c r="BG30" s="36">
        <f>SQRT((A30-$A$66)^2+(B30-$B$66)^2+(C30-$C$66)^2+(D30-$D$66)^2+(E30-$E$66)^2+(F30-$F$66)^2+(G30-$G$66)^2+(H30-$H$66)^2+(I30-$I$66)^2+(J30-$J$66)^2+(K30-$K$66)^2+(L30-$L$66)^2+(M30-$M$66)^2+(N30-$N$66)^2+(O30-$O$66)^2+(P30-$P$66)^2+(Q30-$Q$66)^2+(R30-$R$66)^2+(S30-$S$66)^2+(T30-$T$66)^2+(U30-$U$66)^2+(V30-$V$66)^2+(W30-$W$66)^2+(X30-$X$66)^2+(Y30-$Y$66)^2+(Z30-$Z$66)^2+(AA30-$AA$66)^2+(AB30-$AB$66)^2+(AC30-$AC$66)^2+(AD30-$AD$66)^2+(AE30-$AE$66)^2+(AF30-$AF$66)^2+(AG30-$AG$66)^2)</f>
        <v>1.2965820381526976</v>
      </c>
      <c r="BH30" s="36" t="s">
        <v>151</v>
      </c>
      <c r="BI30" s="37" t="s">
        <v>120</v>
      </c>
      <c r="BK30" s="44"/>
      <c r="BL30" s="36">
        <f>SQRT((A30-$A$67)^2+(B30-$B$67)^2+(C30-$C$67)^2+(D30-$D$67)^2+(E30-$E$67)^2+(F30-$F$67)^2+(G30-$G$67)^2+(H30-$H$67)^2+(I30-$I$67)^2+(J30-$J$67)^2+(K30-$K$67)^2+(L30-$L$67)^2+(M30-$M$67)^2+(N30-$N$67)^2+(O30-$O$67)^2+(P30-$P$67)^2+(Q30-$Q$67)^2+(R30-$R$67)^2+(S30-$S$67)^2+(T30-$T$67)^2+(U30-$U$67)^2+(V30-$V$67)^2+(W30-$W$67)^2+(X30-$X$67)^2+(Y30-$Y$67)^2+(Z30-$Z$67)^2+(AA30-$AA$67)^2+(AB30-$AB$67)^2+(AC30-$AC$67)^2+(AD30-$AD$67)^2+(AE30-$AE$67)^2+(AF30-$AF$67)^2+(AG30-$AG$67)^2)</f>
        <v>1.2965820381526976</v>
      </c>
      <c r="BM30" s="36" t="s">
        <v>151</v>
      </c>
      <c r="BN30" s="37" t="s">
        <v>120</v>
      </c>
      <c r="BP30" s="44"/>
      <c r="BQ30" s="36">
        <f>SQRT((A30-$A$68)^2+(B30-$B$68)^2+(C30-$C$68)^2+(D30-$D$68)^2+(E30-$E$68)^2+(F30-$F$68)^2+(G30-$G$68)^2+(H30-$H$68)^2+(I30-$I$68)^2+(J30-$J$68)^2+(K30-$K$68)^2+(L30-$L$68)^2+(M30-$M$68)^2+(N30-$N$68)^2+(O30-$O$68)^2+(P30-$P$68)^2+(Q30-$Q$68)^2+(R30-$R$68)^2+(S30-$S$68)^2+(T30-$T$68)^2+(U30-$U$68)^2+(V30-$V$68)^2+(W30-$W$68)^2+(X30-$X$68)^2+(Y30-$Y$68)^2+(Z30-$Z$68)^2+(AA30-$AA$68)^2+(AB30-$AB$68)^2+(AC30-$AC$68)^2+(AD30-$AD$68)^2+(AE30-$AE$68)^2+(AF30-$AF$68)^2+(AG30-$AG$68)^2)</f>
        <v>1.2965820381526976</v>
      </c>
      <c r="BR30" s="36" t="s">
        <v>151</v>
      </c>
      <c r="BS30" s="37" t="s">
        <v>120</v>
      </c>
      <c r="BU30" s="44"/>
      <c r="BV30" s="36">
        <f>SQRT((A30-$A$69)^2+(B30-$B$69)^2+(C30-$C$69)^2+(D30-$D$69)^2+(E30-$E$69)^2+(F30-$F$69)^2+(G30-$G$69)^2+(H30-$H$69)^2+(I30-$I$69)^2+(J30-$J$69)^2+(K30-$K$69)^2+(L30-$L$69)^2+(M30-$M$69)^2+(N30-$N$69)^2+(O30-$O$69)^2+(P30-$P$69)^2+(Q30-$Q$69)^2+(R30-$R$69)^2+(S30-$S$69)^2+(T30-$T$69)^2+(U30-$U$69)^2+(V30-$V$69)^2+(W30-$W$69)^2+(X30-$X$69)^2+(Y30-$Y$69)^2+(Z30-$Z$69)^2+(AA30-$AA$69)^2+(AB30-$AB$69)^2+(AC30-$AC$69)^2+(AD30-$AD$69)^2+(AE30-$AE$69)^2+(AF30-$AF$69)^2+(AG30-$AG$69)^2)</f>
        <v>2.3449803499867246</v>
      </c>
      <c r="BW30" s="36" t="s">
        <v>313</v>
      </c>
      <c r="BX30" s="37" t="s">
        <v>120</v>
      </c>
      <c r="BZ30" s="44"/>
      <c r="CA30" s="36">
        <f>SQRT((A30-$A$70)^2+(B30-$B$70)^2+(C30-$C$70)^2+(D30-$D$70)^2+(E30-$E$70)^2+(F30-$F$70)^2+(G30-$G$70)^2+(H30-$H$70)^2+(I30-$I$70)^2+(J30-$J$70)^2+(K30-$K$70)^2+(L30-$L$70)^2+(M30-$M$70)^2+(N30-$N$70)^2+(O30-$O$70)^2+(P30-$P$70)^2+(Q30-$Q$70)^2+(R30-$R$70)^2+(S30-$S$70)^2+(T30-$T$70)^2+(U30-$U$70)^2+(V30-$V$70)^2+(W30-$W$70)^2+(X30-$X$70)^2+(Y30-$Y$70)^2+(Z30-$Z$70)^2+(AA30-$AA$70)^2+(AB30-$AB$70)^2+(AC30-$AC$70)^2+(AD30-$AD$70)^2+(AE30-$AE$70)^2+(AF30-$AF$70)^2+(AG30-$AG$70)^2)</f>
        <v>1.4666666666666666</v>
      </c>
      <c r="CB30" s="36" t="s">
        <v>316</v>
      </c>
      <c r="CC30" s="37" t="s">
        <v>120</v>
      </c>
      <c r="CE30" s="44"/>
      <c r="CF30" s="36">
        <f>SQRT((A30-$A$71)^2+(B30-$B$71)^2+(C30-$C$71)^2+(D30-$D$71)^2+(E30-$E$71)^2+(F30-$F$71)^2+(G30-$G$71)^2+(H30-$H$71)^2+(I30-$I$71)^2+(J30-$J$71)^2+(K30-$K$71)^2+(L30-$L$71)^2+(M30-$M$71)^2+(N30-$N$71)^2+(O30-$O$71)^2+(P30-$P$71)^2+(Q30-$Q$71)^2+(R30-$R$71)^2+(S30-$S$71)^2+(T30-$T$71)^2+(U30-$U$71)^2+(V30-$V$71)^2+(W30-$W$71)^2+(X30-$X$71)^2+(Y30-$Y$71)^2+(Z30-$Z$71)^2+(AA30-$AA$71)^2+(AB30-$AB$71)^2+(AC30-$AC$71)^2+(AD30-$AD$71)^2+(AE30-$AE$71)^2+(AF30-$AF$71)^2+(AG30-$AG$71)^2)</f>
        <v>1.1141763275572176</v>
      </c>
      <c r="CG30" s="36" t="s">
        <v>141</v>
      </c>
      <c r="CH30" s="37" t="s">
        <v>120</v>
      </c>
      <c r="CJ30" s="44"/>
      <c r="CK30" s="36">
        <f>SQRT((A30-$A$72)^2+(B30-$B$72)^2+(C30-$C$72)^2+(D30-$D$72)^2+(E30-$E$72)^2+(F30-$F$72)^2+(G30-$G$72)^2+(H30-$H$72)^2+(I30-$I$72)^2+(J30-$J$72)^2+(K30-$K$72)^2+(L30-$L$72)^2+(M30-$M$72)^2+(N30-$N$72)^2+(O30-$O$72)^2+(P30-$P$72)^2+(Q30-$Q$72)^2+(R30-$R$72)^2+(S30-$S$72)^2+(T30-$T$72)^2+(U30-$U$72)^2+(V30-$V$72)^2+(W30-$W$72)^2+(X30-$X$72)^2+(Y30-$Y$72)^2+(Z30-$Z$72)^2+(AA30-$AA$72)^2+(AB30-$AB$72)^2+(AC30-$AC$72)^2+(AD30-$AD$72)^2+(AE30-$AE$72)^2+(AF30-$AF$72)^2+(AG30-$AG$72)^2)</f>
        <v>1.6148997599132586</v>
      </c>
      <c r="CL30" s="36" t="s">
        <v>150</v>
      </c>
      <c r="CM30" s="37" t="s">
        <v>120</v>
      </c>
      <c r="CO30" s="44"/>
      <c r="CP30" s="36">
        <f>SQRT((A30-$A$73)^2+(B30-$B$73)^2+(C30-$C$73)^2+(D30-$D$73)^2+(E30-$E$73)^2+(F30-$F$73)^2+(G30-$G$73)^2+(H30-$H$73)^2+(I30-$I$73)^2+(J30-$J$73)^2+(K30-$K$73)^2+(L30-$L$73)^2+(M30-$M$73)^2+(N30-$N$73)^2+(O30-$O$73)^2+(P30-$P$73)^2+(Q30-$Q$73)^2+(R30-$R$73)^2+(S30-$S$73)^2+(T30-$T$73)^2+(U30-$U$73)^2+(V30-$V$73)^2+(W30-$W$73)^2+(X30-$X$73)^2+(Y30-$Y$73)^2+(Z30-$Z$73)^2+(AA30-$AA$73)^2+(AB30-$AB$73)^2+(AC30-$AC$73)^2+(AD30-$AD$73)^2+(AE30-$AE$73)^2+(AF30-$AF$73)^2+(AG30-$AG$73)^2)</f>
        <v>1.8866377394134952</v>
      </c>
      <c r="CQ30" s="36" t="s">
        <v>153</v>
      </c>
      <c r="CR30" s="37" t="s">
        <v>120</v>
      </c>
      <c r="CT30" s="44"/>
      <c r="CU30" s="36">
        <f>SQRT((A30-$A$74)^2+(B30-$B$74)^2+(C30-$C$74)^2+(D30-$D$74)^2+(E30-$E$74)^2+(F30-$F$74)^2+(G30-$G$74)^2+(H30-$H$74)^2+(I30-$I$74)^2+(J30-$J$74)^2+(K30-$K$74)^2+(L30-$L$74)^2+(M30-$M$74)^2+(N30-$N$74)^2+(O30-$O$74)^2+(P30-$P$74)^2+(Q30-$Q$74)^2+(R30-$R$74)^2+(S30-$S$74)^2+(T30-$T$74)^2+(U30-$U$74)^2+(V30-$V$74)^2+(W30-$W$74)^2+(X30-$X$74)^2+(Y30-$Y$74)^2+(Z30-$Z$74)^2+(AA30-$AA$74)^2+(AB30-$AB$74)^2+(AC30-$AC$74)^2+(AD30-$AD$74)^2+(AE30-$AE$74)^2+(AF30-$AF$74)^2+(AG30-$AG$74)^2)</f>
        <v>1.5607910258730764</v>
      </c>
      <c r="CV30" s="36" t="s">
        <v>325</v>
      </c>
      <c r="CW30" s="37" t="s">
        <v>120</v>
      </c>
      <c r="CY30" s="44"/>
      <c r="CZ30" s="36">
        <f>SQRT((A30-$A$75)^2+(B30-$B$75)^2+(C30-$C$75)^2+(D30-$D$75)^2+(E30-$E$75)^2+(F30-$F$75)^2+(G30-$G$75)^2+(H30-$H$75)^2+(I30-$I$75)^2+(J30-$J$75)^2+(K30-$K$75)^2+(L30-$L$75)^2+(M30-$M$75)^2+(N30-$N$75)^2+(O30-$O$75)^2+(P30-$P$75)^2+(Q30-$Q$75)^2+(R30-$R$75)^2+(S30-$S$75)^2+(T30-$T$75)^2+(U30-$U$75)^2+(V30-$V$75)^2+(W30-$W$75)^2+(X30-$X$75)^2+(Y30-$Y$75)^2+(Z30-$Z$75)^2+(AA30-$AA$75)^2+(AB30-$AB$75)^2+(AC30-$AC$75)^2+(AD30-$AD$75)^2+(AE30-$AE$75)^2+(AF30-$AF$75)^2+(AG30-$AG$75)^2)</f>
        <v>1.6426475119964576</v>
      </c>
      <c r="DA30" s="36" t="s">
        <v>335</v>
      </c>
      <c r="DB30" s="37" t="s">
        <v>120</v>
      </c>
      <c r="DD30" s="44"/>
      <c r="DE30" s="36">
        <f>SQRT((A30-$A$76)^2+(B30-$B$76)^2+(C30-$C$76)^2+(D30-$D$76)^2+(E30-$E$76)^2+(F30-$F$76)^2+(G30-$G$76)^2+(H30-$H$76)^2+(I30-$I$76)^2+(J30-$J$76)^2+(K30-$K$76)^2+(L30-$L$76)^2+(M30-$M$76)^2+(N30-$N$76)^2+(O30-$O$76)^2+(P30-$P$76)^2+(Q30-$Q$76)^2+(R30-$R$76)^2+(S30-$S$76)^2+(T30-$T$76)^2+(U30-$U$76)^2+(V30-$V$76)^2+(W30-$W$76)^2+(X30-$X$76)^2+(Y30-$Y$76)^2+(Z30-$Z$76)^2+(AA30-$AA$76)^2+(AB30-$AB$76)^2+(AC30-$AC$76)^2+(AD30-$AD$76)^2+(AE30-$AE$76)^2+(AF30-$AF$76)^2+(AG30-$AG$76)^2)</f>
        <v>1.3688850953325875</v>
      </c>
      <c r="DF30" s="36" t="s">
        <v>145</v>
      </c>
      <c r="DG30" s="37" t="s">
        <v>120</v>
      </c>
      <c r="DI30" s="44"/>
      <c r="DJ30" s="36">
        <f>SQRT((A30-$A$77)^2+(B30-$B$77)^2+(C30-$C$77)^2+(D30-$D$77)^2+(E30-$E$77)^2+(F30-$F$77)^2+(G30-$G$77)^2+(H30-$H$77)^2+(I30-$I$77)^2+(J30-$J$77)^2+(K30-$K$77)^2+(L30-$L$77)^2+(M30-$M$77)^2+(N30-$N$77)^2+(O30-$O$77)^2+(P30-$P$77)^2+(Q30-$Q$77)^2+(R30-$R$77)^2+(S30-$S$77)^2+(T30-$T$77)^2+(U30-$U$77)^2+(V30-$V$77)^2+(W30-$W$77)^2+(X30-$X$77)^2+(Y30-$Y$77)^2+(Z30-$Z$77)^2+(AA30-$AA$77)^2+(AB30-$AB$77)^2+(AC30-$AC$77)^2+(AD30-$AD$77)^2+(AE30-$AE$77)^2+(AF30-$AF$77)^2+(AG30-$AG$77)^2)</f>
        <v>2.1852839406079601</v>
      </c>
      <c r="DK30" s="36" t="s">
        <v>325</v>
      </c>
      <c r="DL30" s="37" t="s">
        <v>120</v>
      </c>
      <c r="DN30" s="44"/>
      <c r="DO30" s="36">
        <f>SQRT((A30-$A$78)^2+(B30-$B$78)^2+(C30-$C$78)^2+(D30-$D$78)^2+(E30-$E$78)^2+(F30-$F$78)^2+(G30-$G$78)^2+(H30-$H$78)^2+(I30-$I$78)^2+(J30-$J$78)^2+(K30-$K$78)^2+(L30-$L$78)^2+(M30-$M$78)^2+(N30-$N$78)^2+(O30-$O$78)^2+(P30-$P$78)^2+(Q30-$Q$78)^2+(R30-$R$78)^2+(S30-$S$78)^2+(T30-$T$78)^2+(U30-$U$78)^2+(V30-$V$78)^2+(W30-$W$78)^2+(X30-$X$78)^2+(Y30-$Y$78)^2+(Z30-$Z$78)^2+(AA30-$AA$78)^2+(AB30-$AB$78)^2+(AC30-$AC$78)^2+(AD30-$AD$78)^2+(AE30-$AE$78)^2+(AF30-$AF$78)^2+(AG30-$AG$78)^2)</f>
        <v>1.6645507216247144</v>
      </c>
      <c r="DP30" s="36" t="s">
        <v>319</v>
      </c>
      <c r="DQ30" s="37" t="s">
        <v>120</v>
      </c>
      <c r="DS30" s="44"/>
      <c r="DT30" s="36">
        <f>SQRT((A30-$A$79)^2+(B30-$B$79)^2+(C30-$C$79)^2+(D30-$D$79)^2+(E30-$E$79)^2+(F30-$F$79)^2+(G30-$G$79)^2+(H30-$H$79)^2+(I30-$I$79)^2+(J30-$J$79)^2+(K30-$K$79)^2+(L30-$L$79)^2+(M30-$M$79)^2+(N30-$N$79)^2+(O30-$O$79)^2+(P30-$P$79)^2+(Q30-$Q$79)^2+(R30-$R$79)^2+(S30-$S$79)^2+(T30-$T$79)^2+(U30-$U$79)^2+(V30-$V$79)^2+(W30-$W$79)^2+(X30-$X$79)^2+(Y30-$Y$79)^2+(Z30-$Z$79)^2+(AA30-$AA$79)^2+(AB30-$AB$79)^2+(AC30-$AC$79)^2+(AD30-$AD$79)^2+(AE30-$AE$79)^2+(AF30-$AF$79)^2+(AG30-$AG$79)^2)</f>
        <v>1.3034038618768156</v>
      </c>
      <c r="DU30" s="36" t="s">
        <v>325</v>
      </c>
      <c r="DV30" s="37" t="s">
        <v>120</v>
      </c>
      <c r="DX30" s="44"/>
      <c r="DY30" s="36">
        <f>SQRT((A30-$A$80)^2+(B30-$B$80)^2+(C30-$C$80)^2+(D30-$D$80)^2+(E30-$E$80)^2+(F30-$F$80)^2+(G30-$G$80)^2+(H30-$H$80)^2+(I30-$I$80)^2+(J30-$J$80)^2+(K30-$K$80)^2+(L30-$L$80)^2+(M30-$M$80)^2+(N30-$N$80)^2+(O30-$O$80)^2+(P30-$P$80)^2+(Q30-$Q$80)^2+(R30-$R$80)^2+(S30-$S$80)^2+(T30-$T$80)^2+(U30-$U$80)^2+(V30-$V$80)^2+(W30-$W$80)^2+(X30-$X$80)^2+(Y30-$Y$80)^2+(Z30-$Z$80)^2+(AA30-$AA$80)^2+(AB30-$AB$80)^2+(AC30-$AC$80)^2+(AD30-$AD$80)^2+(AE30-$AE$80)^2+(AF30-$AF$80)^2+(AG30-$AG$80)^2)</f>
        <v>1.2326402393964202</v>
      </c>
      <c r="DZ30" s="36" t="s">
        <v>149</v>
      </c>
      <c r="EA30" s="37" t="s">
        <v>120</v>
      </c>
      <c r="EC30" s="44"/>
      <c r="ED30" s="36">
        <f>SQRT((A30-$A$81)^2+(B30-$B$81)^2+(C30-$C$81)^2+(D30-$D$81)^2+(E30-$E$81)^2+(F30-$F$81)^2+(G30-$G$81)^2+(H30-$H$81)^2+(I30-$I$81)^2+(J30-$J$81)^2+(K30-$K$81)^2+(L30-$L$81)^2+(M30-$M$81)^2+(N30-$N$81)^2+(O30-$O$81)^2+(P30-$P$81)^2+(Q30-$Q$81)^2+(R30-$R$81)^2+(S30-$S$81)^2+(T30-$T$81)^2+(U30-$U$81)^2+(V30-$V$81)^2+(W30-$W$81)^2+(X30-$X$81)^2+(Y30-$Y$81)^2+(Z30-$Z$81)^2+(AA30-$AA$81)^2+(AB30-$AB$81)^2+(AC30-$AC$81)^2+(AD30-$AD$81)^2+(AE30-$AE$81)^2+(AF30-$AF$81)^2+(AG30-$AG$81)^2)</f>
        <v>1.292331222686107</v>
      </c>
      <c r="EE30" s="36" t="s">
        <v>336</v>
      </c>
      <c r="EF30" s="37" t="s">
        <v>120</v>
      </c>
      <c r="EH30" s="44"/>
      <c r="EI30" s="36">
        <f>SQRT((A30-$A$82)^2+(B30-$B$82)^2+(C30-$C$82)^2+(D30-$D$82)^2+(E30-$E$82)^2+(F30-$F$82)^2+(G30-$G$82)^2+(H30-$H$82)^2+(I30-$I$82)^2+(J30-$J$82)^2+(K30-$K$82)^2+(L30-$L$82)^2+(M30-$M$82)^2+(N30-$N$82)^2+(O30-$O$82)^2+(P30-$P$82)^2+(Q30-$Q$82)^2+(R30-$R$82)^2+(S30-$S$82)^2+(T30-$T$82)^2+(U30-$U$82)^2+(V30-$V$82)^2+(W30-$W$82)^2+(X30-$X$82)^2+(Y30-$Y$82)^2+(Z30-$Z$82)^2+(AA30-$AA$82)^2+(AB30-$AB$82)^2+(AC30-$AC$82)^2+(AD30-$AD$82)^2+(AE30-$AE$82)^2+(AF30-$AF$82)^2+(AG30-$AG$82)^2)</f>
        <v>1.7951353919722193</v>
      </c>
      <c r="EJ30" s="36" t="s">
        <v>339</v>
      </c>
      <c r="EK30" s="37" t="s">
        <v>120</v>
      </c>
      <c r="EM30" s="44"/>
      <c r="EN30" s="36">
        <f>SQRT((A30-$A$83)^2+(B30-$B$83)^2+(C30-$C$83)^2+(D30-$D$83)^2+(E30-$E$83)^2+(F30-$F$83)^2+(G30-$G$83)^2+(H30-$H$83)^2+(I30-$I$83)^2+(J30-$J$83)^2+(K30-$K$83)^2+(L30-$L$83)^2+(M30-$M$83)^2+(N30-$N$83)^2+(O30-$O$83)^2+(P30-$P$83)^2+(Q30-$Q$83)^2+(R30-$R$83)^2+(S30-$S$83)^2+(T30-$T$83)^2+(U30-$U$83)^2+(V30-$V$83)^2+(W30-$W$83)^2+(X30-$X$83)^2+(Y30-$Y$83)^2+(Z30-$Z$83)^2+(AA30-$AA$83)^2+(AB30-$AB$83)^2+(AC30-$AC$83)^2+(AD30-$AD$83)^2+(AE30-$AE$83)^2+(AF30-$AF$83)^2+(AG30-$AG$83)^2)</f>
        <v>1.5838266580150542</v>
      </c>
      <c r="EO30" s="36" t="s">
        <v>326</v>
      </c>
      <c r="EP30" s="37" t="s">
        <v>120</v>
      </c>
      <c r="ER30" s="44"/>
      <c r="ES30" s="36">
        <f>SQRT((A30-$A$84)^2+(B30-$B$84)^2+(C30-$C$84)^2+(D30-$D$84)^2+(E30-$E$84)^2+(F30-$F$84)^2+(G30-$G$84)^2+(H30-$H$84)^2+(I30-$I$84)^2+(J30-$J$84)^2+(K30-$K$84)^2+(L30-$L$84)^2+(M30-$M$84)^2+(N30-$N$84)^2+(O30-$O$84)^2+(P30-$P$84)^2+(Q30-$Q$84)^2+(R30-$R$84)^2+(S30-$S$84)^2+(T30-$T$84)^2+(U30-$U$84)^2+(V30-$V$84)^2+(W30-$W$84)^2+(X30-$X$84)^2+(Y30-$Y$84)^2+(Z30-$Z$84)^2+(AA30-$AA$84)^2+(AB30-$AB$84)^2+(AC30-$AC$84)^2+(AD30-$AD$84)^2+(AE30-$AE$84)^2+(AF30-$AF$84)^2+(AG30-$AG$84)^2)</f>
        <v>1.2965820381526976</v>
      </c>
      <c r="ET30" s="36" t="s">
        <v>151</v>
      </c>
      <c r="EU30" s="37" t="s">
        <v>120</v>
      </c>
      <c r="EW30" s="44"/>
      <c r="EX30" s="36">
        <f>SQRT((A30-$A$85)^2+(B30-$B$85)^2+(C30-$C$85)^2+(D30-$D$85)^2+(E30-$E$85)^2+(F30-$F$85)^2+(G30-$G$85)^2+(H30-$H$85)^2+(I30-$I$85)^2+(J30-$J$85)^2+(K30-$K$85)^2+(L30-$L$85)^2+(M30-$M$85)^2+(N30-$N$85)^2+(O30-$O$85)^2+(P30-$P$85)^2+(Q30-$Q$85)^2+(R30-$R$85)^2+(S30-$S$85)^2+(T30-$T$85)^2+(U30-$U$85)^2+(V30-$V$85)^2+(W30-$W$85)^2+(X30-$X$85)^2+(Y30-$Y$85)^2+(Z30-$Z$85)^2+(AA30-$AA$85)^2+(AB30-$AB$85)^2+(AC30-$AC$85)^2+(AD30-$AD$85)^2+(AE30-$AE$85)^2+(AF30-$AF$85)^2+(AG30-$AG$85)^2)</f>
        <v>1.2965820381526976</v>
      </c>
      <c r="EY30" s="36" t="s">
        <v>151</v>
      </c>
      <c r="EZ30" s="37" t="s">
        <v>120</v>
      </c>
      <c r="FB30" s="44"/>
      <c r="FC30" s="36">
        <f>SQRT((A30-$A$86)^2+(B30-$B$86)^2+(C30-$C$86)^2+(D30-$D$86)^2+(E30-$E$86)^2+(F30-$F$86)^2+(G30-$G$86)^2+(H30-$H$86)^2+(I30-$I$86)^2+(J30-$J$86)^2+(K30-$K$86)^2+(L30-$L$86)^2+(M30-$M$86)^2+(N30-$N$86)^2+(O30-$O$86)^2+(P30-$P$86)^2+(Q30-$Q$86)^2+(R30-$R$86)^2+(S30-$S$86)^2+(T30-$T$86)^2+(U30-$U$86)^2+(V30-$V$86)^2+(W30-$W$86)^2+(X30-$X$86)^2+(Y30-$Y$86)^2+(Z30-$Z$86)^2+(AA30-$AA$86)^2+(AB30-$AB$86)^2+(AC30-$AC$86)^2+(AD30-$AD$86)^2+(AE30-$AE$86)^2+(AF30-$AF$86)^2+(AG30-$AG$86)^2)</f>
        <v>1.2965820381526976</v>
      </c>
      <c r="FD30" s="36" t="s">
        <v>151</v>
      </c>
      <c r="FE30" s="37" t="s">
        <v>120</v>
      </c>
      <c r="FG30" s="44"/>
      <c r="FH30" s="36">
        <f>SQRT((A30-$A$87)^2+(B30-$B$87)^2+(C30-$C$87)^2+(D30-$D$87)^2+(E30-$E$87)^2+(F30-$F$87)^2+(G30-$G$87)^2+(H30-$H$87)^2+(I30-$I$87)^2+(J30-$J$87)^2+(K30-$K$87)^2+(L30-$L$87)^2+(M30-$M$87)^2+(N30-$N$87)^2+(O30-$O$87)^2+(P30-$P$87)^2+(Q30-$Q$87)^2+(R30-$R$87)^2+(S30-$S$87)^2+(T30-$T$87)^2+(U30-$U$87)^2+(V30-$V$87)^2+(W30-$W$87)^2+(X30-$X$87)^2+(Y30-$Y$87)^2+(Z30-$Z$87)^2+(AA30-$AA$87)^2+(AB30-$AB$87)^2+(AC30-$AC$87)^2+(AD30-$AD$87)^2+(AE30-$AE$87)^2+(AF30-$AF$87)^2+(AG30-$AG$87)^2)</f>
        <v>1.5714330910920973</v>
      </c>
      <c r="FI30" s="36" t="s">
        <v>322</v>
      </c>
      <c r="FJ30" s="37" t="s">
        <v>120</v>
      </c>
      <c r="FL30" s="44"/>
      <c r="FM30" s="36">
        <f>SQRT((A30-$A$88)^2+(B30-$B$88)^2+(C30-$C$88)^2+(D30-$D$88)^2+(E30-$E$88)^2+(F30-$F$88)^2+(G30-$G$88)^2+(H30-$H$88)^2+(I30-$I$88)^2+(J30-$J$88)^2+(K30-$K$88)^2+(L30-$L$88)^2+(M30-$M$88)^2+(N30-$N$88)^2+(O30-$O$88)^2+(P30-$P$88)^2+(Q30-$Q$88)^2+(R30-$R$88)^2+(S30-$S$88)^2+(T30-$T$88)^2+(U30-$U$88)^2+(V30-$V$88)^2+(W30-$W$88)^2+(X30-$X$88)^2+(Y30-$Y$88)^2+(Z30-$Z$88)^2+(AA30-$AA$88)^2+(AB30-$AB$88)^2+(AC30-$AC$88)^2+(AD30-$AD$88)^2+(AE30-$AE$88)^2+(AF30-$AF$88)^2+(AG30-$AG$88)^2)</f>
        <v>1.2849556844930925</v>
      </c>
      <c r="FN30" s="36" t="s">
        <v>137</v>
      </c>
      <c r="FO30" s="37" t="s">
        <v>120</v>
      </c>
      <c r="FQ30" s="44"/>
      <c r="FR30" s="36">
        <f>SQRT((A30-$A$89)^2+(B30-$B$89)^2+(C30-$C$89)^2+(D30-$D$89)^2+(E30-$E$89)^2+(F30-$F$89)^2+(G30-$G$89)^2+(H30-$H$89)^2+(I30-$I$89)^2+(J30-$J$89)^2+(K30-$K$89)^2+(L30-$L$89)^2+(M30-$M$89)^2+(N30-$N$89)^2+(O30-$O$89)^2+(P30-$P$89)^2+(Q30-$Q$89)^2+(R30-$R$89)^2+(S30-$S$89)^2+(T30-$T$89)^2+(U30-$U$89)^2+(V30-$V$89)^2+(W30-$W$89)^2+(X30-$X$89)^2+(Y30-$Y$89)^2+(Z30-$Z$89)^2+(AA30-$AA$89)^2+(AB30-$AB$89)^2+(AC30-$AC$89)^2+(AD30-$AD$89)^2+(AE30-$AE$89)^2+(AF30-$AF$89)^2+(AG30-$AG$89)^2)</f>
        <v>1.2149356470389412</v>
      </c>
      <c r="FS30" s="36" t="s">
        <v>149</v>
      </c>
      <c r="FT30" s="37" t="s">
        <v>120</v>
      </c>
      <c r="FV30" s="44"/>
      <c r="FW30" s="36">
        <f>SQRT((A30-$A$90)^2+(B30-$B$90)^2+(C30-$C$90)^2+(D30-$D$90)^2+(E30-$E$90)^2+(F30-$F$90)^2+(G30-$G$90)^2+(H30-$H$90)^2+(I30-$I$90)^2+(J30-$J$90)^2+(K30-$K$90)^2+(L30-$L$90)^2+(M30-$M$90)^2+(N30-$N$90)^2+(O30-$O$90)^2+(P30-$P$90)^2+(Q30-$Q$90)^2+(R30-$R$90)^2+(S30-$S$90)^2+(T30-$T$90)^2+(U30-$U$90)^2+(V30-$V$90)^2+(W30-$W$90)^2+(X30-$X$90)^2+(Y30-$Y$90)^2+(Z30-$Z$90)^2+(AA30-$AA$90)^2+(AB30-$AB$90)^2+(AC30-$AC$90)^2+(AD30-$AD$90)^2+(AE30-$AE$90)^2+(AF30-$AF$90)^2+(AG30-$AG$90)^2)</f>
        <v>1.6780570281521889</v>
      </c>
      <c r="FX30" s="36" t="s">
        <v>335</v>
      </c>
      <c r="FY30" s="37" t="s">
        <v>120</v>
      </c>
      <c r="GA30" s="44"/>
      <c r="GB30" s="36">
        <f>SQRT((A30-$A$91)^2+(B30-$B$91)^2+(C30-$C$91)^2+(D30-$D$91)^2+(E30-$E$91)^2+(F30-$F$91)^2+(G30-$G$91)^2+(H30-$H$91)^2+(I30-$I$91)^2+(J30-$J$91)^2+(K30-$K$91)^2+(L30-$L$91)^2+(M30-$M$91)^2+(N30-$N$91)^2+(O30-$O$91)^2+(P30-$P$91)^2+(Q30-$Q$91)^2+(R30-$R$91)^2+(S30-$S$91)^2+(T30-$T$91)^2+(U30-$U$91)^2+(V30-$V$91)^2+(W30-$W$91)^2+(X30-$X$91)^2+(Y30-$Y$91)^2+(Z30-$Z$91)^2+(AA30-$AA$91)^2+(AB30-$AB$91)^2+(AC30-$AC$91)^2+(AD30-$AD$91)^2+(AE30-$AE$91)^2+(AF30-$AF$91)^2+(AG30-$AG$91)^2)</f>
        <v>2.3795473504416975</v>
      </c>
      <c r="GC30" s="36" t="s">
        <v>124</v>
      </c>
      <c r="GD30" s="37" t="s">
        <v>120</v>
      </c>
      <c r="GF30" s="44"/>
      <c r="GG30" s="36">
        <f>SQRT((A30-$A$92)^2+(B30-$B$92)^2+(C30-$C$92)^2+(D30-$D$92)^2+(E30-$E$92)^2+(F30-$F$92)^2+(G30-$G$92)^2+(H30-$H$92)^2+(I30-$I$92)^2+(J30-$J$92)^2+(K30-$K$92)^2+(L30-$L$92)^2+(M30-$M$92)^2+(N30-$N$92)^2+(O30-$O$92)^2+(P30-$P$92)^2+(Q30-$Q$92)^2+(R30-$R$92)^2+(S30-$S$92)^2+(T30-$T$92)^2+(U30-$U$92)^2+(V30-$V$92)^2+(W30-$W$92)^2+(X30-$X$92)^2+(Y30-$Y$92)^2+(Z30-$Z$92)^2+(AA30-$AA$92)^2+(AB30-$AB$92)^2+(AC30-$AC$92)^2+(AD30-$AD$92)^2+(AE30-$AE$92)^2+(AF30-$AF$92)^2+(AG30-$AG$92)^2)</f>
        <v>1.8740923729160797</v>
      </c>
      <c r="GH30" s="36" t="s">
        <v>131</v>
      </c>
      <c r="GI30" s="37" t="s">
        <v>120</v>
      </c>
      <c r="GK30" s="44"/>
      <c r="GL30" s="36">
        <f>SQRT((A30-$A$93)^2+(B30-$B$93)^2+(C30-$C$93)^2+(D30-$D$93)^2+(E30-$E$93)^2+(F30-$F$93)^2+(G30-$G$93)^2+(H30-$H$93)^2+(I30-$I$93)^2+(J30-$J$93)^2+(K30-$K$93)^2+(L30-$L$93)^2+(M30-$M$93)^2+(N30-$N$93)^2+(O30-$O$93)^2+(P30-$P$93)^2+(Q30-$Q$93)^2+(R30-$R$93)^2+(S30-$S$93)^2+(T30-$T$93)^2+(U30-$U$93)^2+(V30-$V$93)^2+(W30-$W$93)^2+(X30-$X$93)^2+(Y30-$Y$93)^2+(Z30-$Z$93)^2+(AA30-$AA$93)^2+(AB30-$AB$93)^2+(AC30-$AC$93)^2+(AD30-$AD$93)^2+(AE30-$AE$93)^2+(AF30-$AF$93)^2+(AG30-$AG$93)^2)</f>
        <v>2.5460064757648624</v>
      </c>
      <c r="GM30" s="36" t="s">
        <v>339</v>
      </c>
      <c r="GN30" s="37" t="s">
        <v>120</v>
      </c>
      <c r="GP30" s="44"/>
      <c r="GQ30" s="36">
        <f>SQRT((A30-$A$94)^2+(B30-$B$94)^2+(C30-$C$94)^2+(D30-$D$94)^2+(E30-$E$94)^2+(F30-$F$94)^2+(G30-$G$94)^2+(H30-$H$94)^2+(I30-$I$94)^2+(J30-$J$94)^2+(K30-$K$94)^2+(L30-$L$94)^2+(M30-$M$94)^2+(N30-$N$94)^2+(O30-$O$94)^2+(P30-$P$94)^2+(Q30-$Q$94)^2+(R30-$R$94)^2+(S30-$S$94)^2+(T30-$T$94)^2+(U30-$U$94)^2+(V30-$V$94)^2+(W30-$W$94)^2+(X30-$X$94)^2+(Y30-$Y$94)^2+(Z30-$Z$94)^2+(AA30-$AA$94)^2+(AB30-$AB$94)^2+(AC30-$AC$94)^2+(AD30-$AD$94)^2+(AE30-$AE$94)^2+(AF30-$AF$94)^2+(AG30-$AG$94)^2)</f>
        <v>1.666753320400715</v>
      </c>
      <c r="GR30" s="36" t="s">
        <v>331</v>
      </c>
      <c r="GS30" s="37" t="s">
        <v>120</v>
      </c>
      <c r="GU30" s="44"/>
      <c r="GV30" s="36">
        <f>SQRT((A30-$A$95)^2+(B30-$B$95)^2+(C30-$C$95)^2+(D30-$D$95)^2+(E30-$E$95)^2+(F30-$F$95)^2+(G30-$G$95)^2+(H30-$H$95)^2+(I30-$I$95)^2+(J30-$J$95)^2+(K30-$K$95)^2+(L30-$L$95)^2+(M30-$M$95)^2+(N30-$N$95)^2+(O30-$O$95)^2+(P30-$P$95)^2+(Q30-$Q$95)^2+(R30-$R$95)^2+(S30-$S$95)^2+(T30-$T$95)^2+(U30-$U$95)^2+(V30-$V$95)^2+(W30-$W$95)^2+(X30-$X$95)^2+(Y30-$Y$95)^2+(Z30-$Z$95)^2+(AA30-$AA$95)^2+(AB30-$AB$95)^2+(AC30-$AC$95)^2+(AD30-$AD$95)^2+(AE30-$AE$95)^2+(AF30-$AF$95)^2+(AG30-$AG$95)^2)</f>
        <v>2.6293446564615111</v>
      </c>
      <c r="GW30" s="36" t="s">
        <v>321</v>
      </c>
      <c r="GX30" s="37" t="s">
        <v>120</v>
      </c>
      <c r="GZ30" s="44"/>
      <c r="HA30" s="36">
        <f>SQRT((A30-$A$96)^2+(B30-$B$96)^2+(C30-$C$96)^2+(D30-$D$96)^2+(E30-$E$96)^2+(F30-$F$96)^2+(G30-$G$96)^2+(H30-$H$96)^2+(I30-$I$96)^2+(J30-$J$96)^2+(K30-$K$96)^2+(L30-$L$96)^2+(M30-$M$96)^2+(N30-$N$96)^2+(O30-$O$96)^2+(P30-$P$96)^2+(Q30-$Q$96)^2+(R30-$R$96)^2+(S30-$S$96)^2+(T30-$T$96)^2+(U30-$U$96)^2+(V30-$V$96)^2+(W30-$W$96)^2+(X30-$X$96)^2+(Y30-$Y$96)^2+(Z30-$Z$96)^2+(AA30-$AA$96)^2+(AB30-$AB$96)^2+(AC30-$AC$96)^2+(AD30-$AD$96)^2+(AE30-$AE$96)^2+(AF30-$AF$96)^2+(AG30-$AG$96)^2)</f>
        <v>2.4801675548721458</v>
      </c>
      <c r="HB30" s="36" t="s">
        <v>334</v>
      </c>
      <c r="HC30" s="37" t="s">
        <v>120</v>
      </c>
      <c r="HE30" s="44"/>
      <c r="HF30" s="36">
        <f>SQRT((A30-$A$97)^2+(B30-$B$97)^2+(C30-$C$97)^2+(D30-$D$97)^2+(E30-$E$97)^2+(F30-$F$97)^2+(G30-$G$97)^2+(H30-$H$97)^2+(I30-$I$97)^2+(J30-$J$97)^2+(K30-$K$97)^2+(L30-$L$97)^2+(M30-$M$97)^2+(N30-$N$97)^2+(O30-$O$97)^2+(P30-$P$97)^2+(Q30-$Q$97)^2+(R30-$R$97)^2+(S30-$S$97)^2+(T30-$T$97)^2+(U30-$U$97)^2+(V30-$V$97)^2+(W30-$W$97)^2+(X30-$X$97)^2+(Y30-$Y$97)^2+(Z30-$Z$97)^2+(AA30-$AA$97)^2+(AB30-$AB$97)^2+(AC30-$AC$97)^2+(AD30-$AD$97)^2+(AE30-$AE$97)^2+(AF30-$AF$97)^2+(AG30-$AG$97)^2)</f>
        <v>1.2965820381526976</v>
      </c>
      <c r="HG30" s="36" t="s">
        <v>151</v>
      </c>
      <c r="HH30" s="37" t="s">
        <v>120</v>
      </c>
      <c r="HJ30" s="44"/>
      <c r="HK30" s="36">
        <f>SQRT((A30-$A$98)^2+(B30-$B$98)^2+(C30-$C$98)^2+(D30-$D$98)^2+(E30-$E$98)^2+(F30-$F$98)^2+(G30-$G$98)^2+(H30-$H$98)^2+(I30-$I$98)^2+(J30-$J$98)^2+(K30-$K$98)^2+(L30-$L$98)^2+(M30-$M$98)^2+(N30-$N$98)^2+(O30-$O$98)^2+(P30-$P$98)^2+(Q30-$Q$98)^2+(R30-$R$98)^2+(S30-$S$98)^2+(T30-$T$98)^2+(U30-$U$98)^2+(V30-$V$98)^2+(W30-$W$98)^2+(X30-$X$98)^2+(Y30-$Y$98)^2+(Z30-$Z$98)^2+(AA30-$AA$98)^2+(AB30-$AB$98)^2+(AC30-$AC$98)^2+(AD30-$AD$98)^2+(AE30-$AE$98)^2+(AF30-$AF$98)^2+(AG30-$AG$98)^2)</f>
        <v>1.2965820381526976</v>
      </c>
      <c r="HL30" s="36" t="s">
        <v>151</v>
      </c>
      <c r="HM30" s="37" t="s">
        <v>120</v>
      </c>
      <c r="HO30" s="44"/>
      <c r="HP30" s="36">
        <f>SQRT((A30-$A$99)^2+(B30-$B$99)^2+(C30-$C$99)^2+(D30-$D$99)^2+(E30-$E$99)^2+(F30-$F$99)^2+(G30-$G$99)^2+(H30-$H$99)^2+(I30-$I$99)^2+(J30-$J$99)^2+(K30-$K$99)^2+(L30-$L$99)^2+(M30-$M$99)^2+(N30-$N$99)^2+(O30-$O$99)^2+(P30-$P$99)^2+(Q30-$Q$99)^2+(R30-$R$99)^2+(S30-$S$99)^2+(T30-$T$99)^2+(U30-$U$99)^2+(V30-$V$99)^2+(W30-$W$99)^2+(X30-$X$99)^2+(Y30-$Y$99)^2+(Z30-$Z$99)^2+(AA30-$AA$99)^2+(AB30-$AB$99)^2+(AC30-$AC$99)^2+(AD30-$AD$99)^2+(AE30-$AE$99)^2+(AF30-$AF$99)^2+(AG30-$AG$99)^2)</f>
        <v>1.2965820381526976</v>
      </c>
      <c r="HQ30" s="36" t="s">
        <v>151</v>
      </c>
      <c r="HR30" s="37" t="s">
        <v>120</v>
      </c>
      <c r="HT30" s="44"/>
      <c r="HU30" s="36">
        <f>SQRT((A30-$A$100)^2+(B30-$B$100)^2+(C30-$C$100)^2+(D30-$D$100)^2+(E30-$E$100)^2+(F30-$F$100)^2+(G30-$G$100)^2+(H30-$H$100)^2+(I30-$I$100)^2+(J30-$J$100)^2+(K30-$K$100)^2+(L30-$L$100)^2+(M30-$M$100)^2+(N30-$N$100)^2+(O30-$O$100)^2+(P30-$P$100)^2+(Q30-$Q$100)^2+(R30-$R$100)^2+(S30-$S$100)^2+(T30-$T$100)^2+(U30-$U$100)^2+(V30-$V$100)^2+(W30-$W$100)^2+(X30-$X$100)^2+(Y30-$Y$100)^2+(Z30-$Z$100)^2+(AA30-$AA$100)^2+(AB30-$AB$100)^2+(AC30-$AC$100)^2+(AD30-$AD$100)^2+(AE30-$AE$100)^2+(AF30-$AF$100)^2+(AG30-$AG$100)^2)</f>
        <v>1.2965820381526976</v>
      </c>
      <c r="HV30" s="36" t="s">
        <v>151</v>
      </c>
      <c r="HW30" s="37" t="s">
        <v>120</v>
      </c>
      <c r="HY30" s="44"/>
      <c r="HZ30" s="36">
        <f>SQRT((A30-$A$101)^2+(B30-$B$101)^2+(C30-$C$101)^2+(D30-$D$101)^2+(E30-$E$101)^2+(F30-$F$101)^2+(G30-$G$101)^2+(H30-$H$101)^2+(I30-$I$101)^2+(J30-$J$101)^2+(K30-$K$101)^2+(L30-$L$101)^2+(M30-$M$101)^2+(N30-$N$101)^2+(O30-$O$101)^2+(P30-$P$101)^2+(Q30-$Q$101)^2+(R30-$R$101)^2+(S30-$S$101)^2+(T30-$T$101)^2+(U30-$U$101)^2+(V30-$V$101)^2+(W30-$W$101)^2+(X30-$X$101)^2+(Y30-$Y$101)^2+(Z30-$Z$101)^2+(AA30-$AA$101)^2+(AB30-$AB$101)^2+(AC30-$AC$101)^2+(AD30-$AD$101)^2+(AE30-$AE$101)^2+(AF30-$AF$101)^2+(AG30-$AG$101)^2)</f>
        <v>1.2436987801698749</v>
      </c>
      <c r="IA30" s="36" t="s">
        <v>336</v>
      </c>
      <c r="IB30" s="37" t="s">
        <v>120</v>
      </c>
    </row>
    <row r="31" spans="1:236" x14ac:dyDescent="0.35">
      <c r="A31" s="2">
        <v>0.66666666666666596</v>
      </c>
      <c r="B31" s="2">
        <v>0.25</v>
      </c>
      <c r="C31" s="2">
        <v>0.23899371069182301</v>
      </c>
      <c r="D31" s="2">
        <v>0.66666666666666596</v>
      </c>
      <c r="E31" s="2">
        <v>0</v>
      </c>
      <c r="F31" s="2">
        <v>1</v>
      </c>
      <c r="G31" s="2">
        <v>0.55555555555555503</v>
      </c>
      <c r="H31" s="2">
        <v>1</v>
      </c>
      <c r="I31" s="2">
        <v>0.5</v>
      </c>
      <c r="J31" s="2">
        <v>0</v>
      </c>
      <c r="K31" s="2">
        <v>0</v>
      </c>
      <c r="L31" s="2">
        <v>0.2</v>
      </c>
      <c r="M31" s="2">
        <v>1</v>
      </c>
      <c r="N31" s="2">
        <v>0</v>
      </c>
      <c r="O31" s="2">
        <v>0</v>
      </c>
      <c r="P31" s="2">
        <v>0.4</v>
      </c>
      <c r="Q31" s="2">
        <v>1</v>
      </c>
      <c r="R31" s="2">
        <v>0</v>
      </c>
      <c r="S31" s="2">
        <v>1</v>
      </c>
      <c r="T31" s="2">
        <v>1</v>
      </c>
      <c r="U31" s="2">
        <v>1</v>
      </c>
      <c r="V31" s="2">
        <v>0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0.19565217391304299</v>
      </c>
      <c r="AH31" s="2" t="s">
        <v>120</v>
      </c>
      <c r="AI31" s="42"/>
      <c r="AJ31" s="42"/>
      <c r="AL31" s="44"/>
      <c r="AM31" s="36">
        <f>SQRT((A31-$A$62)^2+(B31-$B$62)^2+(C31-$C$62)^2+(D31-$D$62)^2+(E31-$E$62)^2+(F31-$F$62)^2+(G31-$G$62)^2+(H31-$H$62)^2+(I31-$I$62)^2+(J31-$J$62)^2+(K31-$K$62)^2+(L31-$L$62)^2+(M31-$M$62)^2+(N31-$N$62)^2+(O31-$O$62)^2+(P31-$P$62)^2+(Q31-$Q$62)^2+(R31-$R$62)^2+(S31-$S$62)^2+(T31-$T$62)^2+(U31-$U$62)^2+(V31-$V$62)^2+(W31-$W$62)^2+(X31-$X$62)^2+(Y31-$Y$62)^2+(Z31-$Z$62)^2+(AA31-$AA$62)^2+(AB31-$AB$62)^2+(AC31-$AC$62)^2+(AD31-$AD$62)^2+(AE31-$AE$62)^2+(AF31-$AF$62)^2+(AG31-$AG$62)^2)</f>
        <v>1.6368878885798084</v>
      </c>
      <c r="AN31" s="36" t="s">
        <v>325</v>
      </c>
      <c r="AO31" s="37" t="s">
        <v>120</v>
      </c>
      <c r="AQ31" s="44"/>
      <c r="AR31" s="36">
        <f>SQRT((A31-$A$63)^2+(B31-$B$63)^2+(C31-$C$63)^2+(D31-$D$63)^2+(E31-$E$63)^2+(F31-$F$63)^2+(G31-$G$63)^2+(H31-$H$63)^2+(I31-$I$63)^2+(J31-$J$63)^2+(K31-$K$63)^2+(L31-$L$63)^2+(M31-$M$63)^2+(N31-$N$63)^2+(O31-$O$63)^2+(P31-$P$63)^2+(Q31-$Q$63)^2+(R31-$R$63)^2+(S31-$S$63)^2+(T31-$T$63)^2+(U31-$U$63)^2+(V31-$V$63)^2+(W31-$W$63)^2+(X31-$X$63)^2+(Y31-$Y$63)^2+(Z31-$Z$63)^2+(AA31-$AA$63)^2+(AB31-$AB$63)^2+(AC31-$AC$63)^2+(AD31-$AD$63)^2+(AE31-$AE$63)^2+(AF31-$AF$63)^2+(AG31-$AG$63)^2)</f>
        <v>1.2270464126784739</v>
      </c>
      <c r="AS31" s="36" t="s">
        <v>141</v>
      </c>
      <c r="AT31" s="37" t="s">
        <v>120</v>
      </c>
      <c r="AV31" s="44"/>
      <c r="AW31" s="36">
        <f>SQRT((A31-$A$64)^2+(B31-$B$64)^2+(C31-$C$64)^2+(D31-$D$64)^2+(E31-$E$64)^2+(F31-$F$64)^2+(G31-$G$64)^2+(H31-$H$64)^2+(I31-$I$64)^2+(J31-$J$64)^2+(K31-$K$64)^2+(L31-$L$64)^2+(M31-$M$64)^2+(N31-$N$64)^2+(O31-$O$64)^2+(P31-$P$64)^2+(Q31-$Q$64)^2+(R31-$R$64)^2+(S31-$S$64)^2+(T31-$T$64)^2+(U31-$U$64)^2+(V31-$V$64)^2+(W31-$W$64)^2+(X31-$X$64)^2+(Y31-$Y$64)^2+(Z31-$Z$64)^2+(AA31-$AA$64)^2+(AB31-$AB$64)^2+(AC31-$AC$64)^2+(AD31-$AD$64)^2+(AE31-$AE$64)^2+(AF31-$AF$64)^2+(AG31-$AG$64)^2)</f>
        <v>1.2270464126784739</v>
      </c>
      <c r="AX31" s="36" t="s">
        <v>141</v>
      </c>
      <c r="AY31" s="37" t="s">
        <v>120</v>
      </c>
      <c r="BA31" s="44"/>
      <c r="BB31" s="36">
        <f>SQRT((A31-$A$65)^2+(B31-$B$65)^2+(C31-$C$65)^2+(D31-$D$65)^2+(E31-$E$65)^2+(F31-$F$65)^2+(G31-$G$65)^2+(H31-$H$65)^2+(I31-$I$65)^2+(J31-$J$65)^2+(K31-$K$65)^2+(L31-$L$65)^2+(M31-$M$65)^2+(N31-$N$65)^2+(O31-$O$65)^2+(P31-$P$65)^2+(Q31-$Q$65)^2+(R31-$R$65)^2+(S31-$S$65)^2+(T31-$T$65)^2+(U31-$U$65)^2+(V31-$V$65)^2+(W31-$W$65)^2+(X31-$X$65)^2+(Y31-$Y$65)^2+(Z31-$Z$65)^2+(AA31-$AA$65)^2+(AB31-$AB$65)^2+(AC31-$AC$65)^2+(AD31-$AD$65)^2+(AE31-$AE$65)^2+(AF31-$AF$65)^2+(AG31-$AG$65)^2)</f>
        <v>1.2270464126784739</v>
      </c>
      <c r="BC31" s="36" t="s">
        <v>141</v>
      </c>
      <c r="BD31" s="37" t="s">
        <v>120</v>
      </c>
      <c r="BF31" s="44"/>
      <c r="BG31" s="36">
        <f>SQRT((A31-$A$66)^2+(B31-$B$66)^2+(C31-$C$66)^2+(D31-$D$66)^2+(E31-$E$66)^2+(F31-$F$66)^2+(G31-$G$66)^2+(H31-$H$66)^2+(I31-$I$66)^2+(J31-$J$66)^2+(K31-$K$66)^2+(L31-$L$66)^2+(M31-$M$66)^2+(N31-$N$66)^2+(O31-$O$66)^2+(P31-$P$66)^2+(Q31-$Q$66)^2+(R31-$R$66)^2+(S31-$S$66)^2+(T31-$T$66)^2+(U31-$U$66)^2+(V31-$V$66)^2+(W31-$W$66)^2+(X31-$X$66)^2+(Y31-$Y$66)^2+(Z31-$Z$66)^2+(AA31-$AA$66)^2+(AB31-$AB$66)^2+(AC31-$AC$66)^2+(AD31-$AD$66)^2+(AE31-$AE$66)^2+(AF31-$AF$66)^2+(AG31-$AG$66)^2)</f>
        <v>1.2270464126784739</v>
      </c>
      <c r="BH31" s="36" t="s">
        <v>141</v>
      </c>
      <c r="BI31" s="37" t="s">
        <v>120</v>
      </c>
      <c r="BK31" s="44"/>
      <c r="BL31" s="36">
        <f>SQRT((A31-$A$67)^2+(B31-$B$67)^2+(C31-$C$67)^2+(D31-$D$67)^2+(E31-$E$67)^2+(F31-$F$67)^2+(G31-$G$67)^2+(H31-$H$67)^2+(I31-$I$67)^2+(J31-$J$67)^2+(K31-$K$67)^2+(L31-$L$67)^2+(M31-$M$67)^2+(N31-$N$67)^2+(O31-$O$67)^2+(P31-$P$67)^2+(Q31-$Q$67)^2+(R31-$R$67)^2+(S31-$S$67)^2+(T31-$T$67)^2+(U31-$U$67)^2+(V31-$V$67)^2+(W31-$W$67)^2+(X31-$X$67)^2+(Y31-$Y$67)^2+(Z31-$Z$67)^2+(AA31-$AA$67)^2+(AB31-$AB$67)^2+(AC31-$AC$67)^2+(AD31-$AD$67)^2+(AE31-$AE$67)^2+(AF31-$AF$67)^2+(AG31-$AG$67)^2)</f>
        <v>1.2270464126784739</v>
      </c>
      <c r="BM31" s="36" t="s">
        <v>141</v>
      </c>
      <c r="BN31" s="37" t="s">
        <v>120</v>
      </c>
      <c r="BP31" s="44"/>
      <c r="BQ31" s="36">
        <f>SQRT((A31-$A$68)^2+(B31-$B$68)^2+(C31-$C$68)^2+(D31-$D$68)^2+(E31-$E$68)^2+(F31-$F$68)^2+(G31-$G$68)^2+(H31-$H$68)^2+(I31-$I$68)^2+(J31-$J$68)^2+(K31-$K$68)^2+(L31-$L$68)^2+(M31-$M$68)^2+(N31-$N$68)^2+(O31-$O$68)^2+(P31-$P$68)^2+(Q31-$Q$68)^2+(R31-$R$68)^2+(S31-$S$68)^2+(T31-$T$68)^2+(U31-$U$68)^2+(V31-$V$68)^2+(W31-$W$68)^2+(X31-$X$68)^2+(Y31-$Y$68)^2+(Z31-$Z$68)^2+(AA31-$AA$68)^2+(AB31-$AB$68)^2+(AC31-$AC$68)^2+(AD31-$AD$68)^2+(AE31-$AE$68)^2+(AF31-$AF$68)^2+(AG31-$AG$68)^2)</f>
        <v>1.2270464126784739</v>
      </c>
      <c r="BR31" s="36" t="s">
        <v>141</v>
      </c>
      <c r="BS31" s="37" t="s">
        <v>120</v>
      </c>
      <c r="BU31" s="44"/>
      <c r="BV31" s="36">
        <f>SQRT((A31-$A$69)^2+(B31-$B$69)^2+(C31-$C$69)^2+(D31-$D$69)^2+(E31-$E$69)^2+(F31-$F$69)^2+(G31-$G$69)^2+(H31-$H$69)^2+(I31-$I$69)^2+(J31-$J$69)^2+(K31-$K$69)^2+(L31-$L$69)^2+(M31-$M$69)^2+(N31-$N$69)^2+(O31-$O$69)^2+(P31-$P$69)^2+(Q31-$Q$69)^2+(R31-$R$69)^2+(S31-$S$69)^2+(T31-$T$69)^2+(U31-$U$69)^2+(V31-$V$69)^2+(W31-$W$69)^2+(X31-$X$69)^2+(Y31-$Y$69)^2+(Z31-$Z$69)^2+(AA31-$AA$69)^2+(AB31-$AB$69)^2+(AC31-$AC$69)^2+(AD31-$AD$69)^2+(AE31-$AE$69)^2+(AF31-$AF$69)^2+(AG31-$AG$69)^2)</f>
        <v>2.4273520273447993</v>
      </c>
      <c r="BW31" s="36" t="s">
        <v>319</v>
      </c>
      <c r="BX31" s="37" t="s">
        <v>120</v>
      </c>
      <c r="BZ31" s="44"/>
      <c r="CA31" s="36">
        <f>SQRT((A31-$A$70)^2+(B31-$B$70)^2+(C31-$C$70)^2+(D31-$D$70)^2+(E31-$E$70)^2+(F31-$F$70)^2+(G31-$G$70)^2+(H31-$H$70)^2+(I31-$I$70)^2+(J31-$J$70)^2+(K31-$K$70)^2+(L31-$L$70)^2+(M31-$M$70)^2+(N31-$N$70)^2+(O31-$O$70)^2+(P31-$P$70)^2+(Q31-$Q$70)^2+(R31-$R$70)^2+(S31-$S$70)^2+(T31-$T$70)^2+(U31-$U$70)^2+(V31-$V$70)^2+(W31-$W$70)^2+(X31-$X$70)^2+(Y31-$Y$70)^2+(Z31-$Z$70)^2+(AA31-$AA$70)^2+(AB31-$AB$70)^2+(AC31-$AC$70)^2+(AD31-$AD$70)^2+(AE31-$AE$70)^2+(AF31-$AF$70)^2+(AG31-$AG$70)^2)</f>
        <v>1.1180339887498949</v>
      </c>
      <c r="CB31" s="36" t="s">
        <v>128</v>
      </c>
      <c r="CC31" s="37" t="s">
        <v>120</v>
      </c>
      <c r="CE31" s="44"/>
      <c r="CF31" s="36">
        <f>SQRT((A31-$A$71)^2+(B31-$B$71)^2+(C31-$C$71)^2+(D31-$D$71)^2+(E31-$E$71)^2+(F31-$F$71)^2+(G31-$G$71)^2+(H31-$H$71)^2+(I31-$I$71)^2+(J31-$J$71)^2+(K31-$K$71)^2+(L31-$L$71)^2+(M31-$M$71)^2+(N31-$N$71)^2+(O31-$O$71)^2+(P31-$P$71)^2+(Q31-$Q$71)^2+(R31-$R$71)^2+(S31-$S$71)^2+(T31-$T$71)^2+(U31-$U$71)^2+(V31-$V$71)^2+(W31-$W$71)^2+(X31-$X$71)^2+(Y31-$Y$71)^2+(Z31-$Z$71)^2+(AA31-$AA$71)^2+(AB31-$AB$71)^2+(AC31-$AC$71)^2+(AD31-$AD$71)^2+(AE31-$AE$71)^2+(AF31-$AF$71)^2+(AG31-$AG$71)^2)</f>
        <v>1.5297966458904848</v>
      </c>
      <c r="CG31" s="36" t="s">
        <v>327</v>
      </c>
      <c r="CH31" s="37" t="s">
        <v>120</v>
      </c>
      <c r="CJ31" s="44"/>
      <c r="CK31" s="36">
        <f>SQRT((A31-$A$72)^2+(B31-$B$72)^2+(C31-$C$72)^2+(D31-$D$72)^2+(E31-$E$72)^2+(F31-$F$72)^2+(G31-$G$72)^2+(H31-$H$72)^2+(I31-$I$72)^2+(J31-$J$72)^2+(K31-$K$72)^2+(L31-$L$72)^2+(M31-$M$72)^2+(N31-$N$72)^2+(O31-$O$72)^2+(P31-$P$72)^2+(Q31-$Q$72)^2+(R31-$R$72)^2+(S31-$S$72)^2+(T31-$T$72)^2+(U31-$U$72)^2+(V31-$V$72)^2+(W31-$W$72)^2+(X31-$X$72)^2+(Y31-$Y$72)^2+(Z31-$Z$72)^2+(AA31-$AA$72)^2+(AB31-$AB$72)^2+(AC31-$AC$72)^2+(AD31-$AD$72)^2+(AE31-$AE$72)^2+(AF31-$AF$72)^2+(AG31-$AG$72)^2)</f>
        <v>1.6452325438845383</v>
      </c>
      <c r="CL31" s="36" t="s">
        <v>151</v>
      </c>
      <c r="CM31" s="37" t="s">
        <v>120</v>
      </c>
      <c r="CO31" s="44"/>
      <c r="CP31" s="36">
        <f>SQRT((A31-$A$73)^2+(B31-$B$73)^2+(C31-$C$73)^2+(D31-$D$73)^2+(E31-$E$73)^2+(F31-$F$73)^2+(G31-$G$73)^2+(H31-$H$73)^2+(I31-$I$73)^2+(J31-$J$73)^2+(K31-$K$73)^2+(L31-$L$73)^2+(M31-$M$73)^2+(N31-$N$73)^2+(O31-$O$73)^2+(P31-$P$73)^2+(Q31-$Q$73)^2+(R31-$R$73)^2+(S31-$S$73)^2+(T31-$T$73)^2+(U31-$U$73)^2+(V31-$V$73)^2+(W31-$W$73)^2+(X31-$X$73)^2+(Y31-$Y$73)^2+(Z31-$Z$73)^2+(AA31-$AA$73)^2+(AB31-$AB$73)^2+(AC31-$AC$73)^2+(AD31-$AD$73)^2+(AE31-$AE$73)^2+(AF31-$AF$73)^2+(AG31-$AG$73)^2)</f>
        <v>0.39785782469137515</v>
      </c>
      <c r="CQ31" s="36" t="s">
        <v>319</v>
      </c>
      <c r="CR31" s="37" t="s">
        <v>120</v>
      </c>
      <c r="CT31" s="44"/>
      <c r="CU31" s="36">
        <f>SQRT((A31-$A$74)^2+(B31-$B$74)^2+(C31-$C$74)^2+(D31-$D$74)^2+(E31-$E$74)^2+(F31-$F$74)^2+(G31-$G$74)^2+(H31-$H$74)^2+(I31-$I$74)^2+(J31-$J$74)^2+(K31-$K$74)^2+(L31-$L$74)^2+(M31-$M$74)^2+(N31-$N$74)^2+(O31-$O$74)^2+(P31-$P$74)^2+(Q31-$Q$74)^2+(R31-$R$74)^2+(S31-$S$74)^2+(T31-$T$74)^2+(U31-$U$74)^2+(V31-$V$74)^2+(W31-$W$74)^2+(X31-$X$74)^2+(Y31-$Y$74)^2+(Z31-$Z$74)^2+(AA31-$AA$74)^2+(AB31-$AB$74)^2+(AC31-$AC$74)^2+(AD31-$AD$74)^2+(AE31-$AE$74)^2+(AF31-$AF$74)^2+(AG31-$AG$74)^2)</f>
        <v>1.0559154868334963</v>
      </c>
      <c r="CV31" s="36" t="s">
        <v>144</v>
      </c>
      <c r="CW31" s="37" t="s">
        <v>120</v>
      </c>
      <c r="CY31" s="44"/>
      <c r="CZ31" s="36">
        <f>SQRT((A31-$A$75)^2+(B31-$B$75)^2+(C31-$C$75)^2+(D31-$D$75)^2+(E31-$E$75)^2+(F31-$F$75)^2+(G31-$G$75)^2+(H31-$H$75)^2+(I31-$I$75)^2+(J31-$J$75)^2+(K31-$K$75)^2+(L31-$L$75)^2+(M31-$M$75)^2+(N31-$N$75)^2+(O31-$O$75)^2+(P31-$P$75)^2+(Q31-$Q$75)^2+(R31-$R$75)^2+(S31-$S$75)^2+(T31-$T$75)^2+(U31-$U$75)^2+(V31-$V$75)^2+(W31-$W$75)^2+(X31-$X$75)^2+(Y31-$Y$75)^2+(Z31-$Z$75)^2+(AA31-$AA$75)^2+(AB31-$AB$75)^2+(AC31-$AC$75)^2+(AD31-$AD$75)^2+(AE31-$AE$75)^2+(AF31-$AF$75)^2+(AG31-$AG$75)^2)</f>
        <v>1.13893798670386</v>
      </c>
      <c r="DA31" s="36" t="s">
        <v>144</v>
      </c>
      <c r="DB31" s="37" t="s">
        <v>120</v>
      </c>
      <c r="DD31" s="44"/>
      <c r="DE31" s="36">
        <f>SQRT((A31-$A$76)^2+(B31-$B$76)^2+(C31-$C$76)^2+(D31-$D$76)^2+(E31-$E$76)^2+(F31-$F$76)^2+(G31-$G$76)^2+(H31-$H$76)^2+(I31-$I$76)^2+(J31-$J$76)^2+(K31-$K$76)^2+(L31-$L$76)^2+(M31-$M$76)^2+(N31-$N$76)^2+(O31-$O$76)^2+(P31-$P$76)^2+(Q31-$Q$76)^2+(R31-$R$76)^2+(S31-$S$76)^2+(T31-$T$76)^2+(U31-$U$76)^2+(V31-$V$76)^2+(W31-$W$76)^2+(X31-$X$76)^2+(Y31-$Y$76)^2+(Z31-$Z$76)^2+(AA31-$AA$76)^2+(AB31-$AB$76)^2+(AC31-$AC$76)^2+(AD31-$AD$76)^2+(AE31-$AE$76)^2+(AF31-$AF$76)^2+(AG31-$AG$76)^2)</f>
        <v>1.7008043077063852</v>
      </c>
      <c r="DF31" s="36" t="s">
        <v>142</v>
      </c>
      <c r="DG31" s="37" t="s">
        <v>120</v>
      </c>
      <c r="DI31" s="44"/>
      <c r="DJ31" s="36">
        <f>SQRT((A31-$A$77)^2+(B31-$B$77)^2+(C31-$C$77)^2+(D31-$D$77)^2+(E31-$E$77)^2+(F31-$F$77)^2+(G31-$G$77)^2+(H31-$H$77)^2+(I31-$I$77)^2+(J31-$J$77)^2+(K31-$K$77)^2+(L31-$L$77)^2+(M31-$M$77)^2+(N31-$N$77)^2+(O31-$O$77)^2+(P31-$P$77)^2+(Q31-$Q$77)^2+(R31-$R$77)^2+(S31-$S$77)^2+(T31-$T$77)^2+(U31-$U$77)^2+(V31-$V$77)^2+(W31-$W$77)^2+(X31-$X$77)^2+(Y31-$Y$77)^2+(Z31-$Z$77)^2+(AA31-$AA$77)^2+(AB31-$AB$77)^2+(AC31-$AC$77)^2+(AD31-$AD$77)^2+(AE31-$AE$77)^2+(AF31-$AF$77)^2+(AG31-$AG$77)^2)</f>
        <v>1.8369416947654991</v>
      </c>
      <c r="DK31" s="36" t="s">
        <v>332</v>
      </c>
      <c r="DL31" s="37" t="s">
        <v>120</v>
      </c>
      <c r="DN31" s="44"/>
      <c r="DO31" s="36">
        <f>SQRT((A31-$A$78)^2+(B31-$B$78)^2+(C31-$C$78)^2+(D31-$D$78)^2+(E31-$E$78)^2+(F31-$F$78)^2+(G31-$G$78)^2+(H31-$H$78)^2+(I31-$I$78)^2+(J31-$J$78)^2+(K31-$K$78)^2+(L31-$L$78)^2+(M31-$M$78)^2+(N31-$N$78)^2+(O31-$O$78)^2+(P31-$P$78)^2+(Q31-$Q$78)^2+(R31-$R$78)^2+(S31-$S$78)^2+(T31-$T$78)^2+(U31-$U$78)^2+(V31-$V$78)^2+(W31-$W$78)^2+(X31-$X$78)^2+(Y31-$Y$78)^2+(Z31-$Z$78)^2+(AA31-$AA$78)^2+(AB31-$AB$78)^2+(AC31-$AC$78)^2+(AD31-$AD$78)^2+(AE31-$AE$78)^2+(AF31-$AF$78)^2+(AG31-$AG$78)^2)</f>
        <v>1.1703067947125005</v>
      </c>
      <c r="DP31" s="36" t="s">
        <v>153</v>
      </c>
      <c r="DQ31" s="37" t="s">
        <v>120</v>
      </c>
      <c r="DS31" s="44"/>
      <c r="DT31" s="36">
        <f>SQRT((A31-$A$79)^2+(B31-$B$79)^2+(C31-$C$79)^2+(D31-$D$79)^2+(E31-$E$79)^2+(F31-$F$79)^2+(G31-$G$79)^2+(H31-$H$79)^2+(I31-$I$79)^2+(J31-$J$79)^2+(K31-$K$79)^2+(L31-$L$79)^2+(M31-$M$79)^2+(N31-$N$79)^2+(O31-$O$79)^2+(P31-$P$79)^2+(Q31-$Q$79)^2+(R31-$R$79)^2+(S31-$S$79)^2+(T31-$T$79)^2+(U31-$U$79)^2+(V31-$V$79)^2+(W31-$W$79)^2+(X31-$X$79)^2+(Y31-$Y$79)^2+(Z31-$Z$79)^2+(AA31-$AA$79)^2+(AB31-$AB$79)^2+(AC31-$AC$79)^2+(AD31-$AD$79)^2+(AE31-$AE$79)^2+(AF31-$AF$79)^2+(AG31-$AG$79)^2)</f>
        <v>1.5212458289864492</v>
      </c>
      <c r="DU31" s="36" t="s">
        <v>335</v>
      </c>
      <c r="DV31" s="37" t="s">
        <v>120</v>
      </c>
      <c r="DX31" s="44"/>
      <c r="DY31" s="36">
        <f>SQRT((A31-$A$80)^2+(B31-$B$80)^2+(C31-$C$80)^2+(D31-$D$80)^2+(E31-$E$80)^2+(F31-$F$80)^2+(G31-$G$80)^2+(H31-$H$80)^2+(I31-$I$80)^2+(J31-$J$80)^2+(K31-$K$80)^2+(L31-$L$80)^2+(M31-$M$80)^2+(N31-$N$80)^2+(O31-$O$80)^2+(P31-$P$80)^2+(Q31-$Q$80)^2+(R31-$R$80)^2+(S31-$S$80)^2+(T31-$T$80)^2+(U31-$U$80)^2+(V31-$V$80)^2+(W31-$W$80)^2+(X31-$X$80)^2+(Y31-$Y$80)^2+(Z31-$Z$80)^2+(AA31-$AA$80)^2+(AB31-$AB$80)^2+(AC31-$AC$80)^2+(AD31-$AD$80)^2+(AE31-$AE$80)^2+(AF31-$AF$80)^2+(AG31-$AG$80)^2)</f>
        <v>2.0489731205333448</v>
      </c>
      <c r="DZ31" s="36" t="s">
        <v>132</v>
      </c>
      <c r="EA31" s="37" t="s">
        <v>120</v>
      </c>
      <c r="EC31" s="44"/>
      <c r="ED31" s="36">
        <f>SQRT((A31-$A$81)^2+(B31-$B$81)^2+(C31-$C$81)^2+(D31-$D$81)^2+(E31-$E$81)^2+(F31-$F$81)^2+(G31-$G$81)^2+(H31-$H$81)^2+(I31-$I$81)^2+(J31-$J$81)^2+(K31-$K$81)^2+(L31-$L$81)^2+(M31-$M$81)^2+(N31-$N$81)^2+(O31-$O$81)^2+(P31-$P$81)^2+(Q31-$Q$81)^2+(R31-$R$81)^2+(S31-$S$81)^2+(T31-$T$81)^2+(U31-$U$81)^2+(V31-$V$81)^2+(W31-$W$81)^2+(X31-$X$81)^2+(Y31-$Y$81)^2+(Z31-$Z$81)^2+(AA31-$AA$81)^2+(AB31-$AB$81)^2+(AC31-$AC$81)^2+(AD31-$AD$81)^2+(AE31-$AE$81)^2+(AF31-$AF$81)^2+(AG31-$AG$81)^2)</f>
        <v>2.0661579992871446</v>
      </c>
      <c r="EE31" s="36" t="s">
        <v>152</v>
      </c>
      <c r="EF31" s="37" t="s">
        <v>120</v>
      </c>
      <c r="EH31" s="44"/>
      <c r="EI31" s="36">
        <f>SQRT((A31-$A$82)^2+(B31-$B$82)^2+(C31-$C$82)^2+(D31-$D$82)^2+(E31-$E$82)^2+(F31-$F$82)^2+(G31-$G$82)^2+(H31-$H$82)^2+(I31-$I$82)^2+(J31-$J$82)^2+(K31-$K$82)^2+(L31-$L$82)^2+(M31-$M$82)^2+(N31-$N$82)^2+(O31-$O$82)^2+(P31-$P$82)^2+(Q31-$Q$82)^2+(R31-$R$82)^2+(S31-$S$82)^2+(T31-$T$82)^2+(U31-$U$82)^2+(V31-$V$82)^2+(W31-$W$82)^2+(X31-$X$82)^2+(Y31-$Y$82)^2+(Z31-$Z$82)^2+(AA31-$AA$82)^2+(AB31-$AB$82)^2+(AC31-$AC$82)^2+(AD31-$AD$82)^2+(AE31-$AE$82)^2+(AF31-$AF$82)^2+(AG31-$AG$82)^2)</f>
        <v>1.5948737212150572</v>
      </c>
      <c r="EJ31" s="36" t="s">
        <v>336</v>
      </c>
      <c r="EK31" s="37" t="s">
        <v>120</v>
      </c>
      <c r="EM31" s="44"/>
      <c r="EN31" s="36">
        <f>SQRT((A31-$A$83)^2+(B31-$B$83)^2+(C31-$C$83)^2+(D31-$D$83)^2+(E31-$E$83)^2+(F31-$F$83)^2+(G31-$G$83)^2+(H31-$H$83)^2+(I31-$I$83)^2+(J31-$J$83)^2+(K31-$K$83)^2+(L31-$L$83)^2+(M31-$M$83)^2+(N31-$N$83)^2+(O31-$O$83)^2+(P31-$P$83)^2+(Q31-$Q$83)^2+(R31-$R$83)^2+(S31-$S$83)^2+(T31-$T$83)^2+(U31-$U$83)^2+(V31-$V$83)^2+(W31-$W$83)^2+(X31-$X$83)^2+(Y31-$Y$83)^2+(Z31-$Z$83)^2+(AA31-$AA$83)^2+(AB31-$AB$83)^2+(AC31-$AC$83)^2+(AD31-$AD$83)^2+(AE31-$AE$83)^2+(AF31-$AF$83)^2+(AG31-$AG$83)^2)</f>
        <v>1.0896769115329665</v>
      </c>
      <c r="EO31" s="36" t="s">
        <v>313</v>
      </c>
      <c r="EP31" s="37" t="s">
        <v>120</v>
      </c>
      <c r="ER31" s="44"/>
      <c r="ES31" s="36">
        <f>SQRT((A31-$A$84)^2+(B31-$B$84)^2+(C31-$C$84)^2+(D31-$D$84)^2+(E31-$E$84)^2+(F31-$F$84)^2+(G31-$G$84)^2+(H31-$H$84)^2+(I31-$I$84)^2+(J31-$J$84)^2+(K31-$K$84)^2+(L31-$L$84)^2+(M31-$M$84)^2+(N31-$N$84)^2+(O31-$O$84)^2+(P31-$P$84)^2+(Q31-$Q$84)^2+(R31-$R$84)^2+(S31-$S$84)^2+(T31-$T$84)^2+(U31-$U$84)^2+(V31-$V$84)^2+(W31-$W$84)^2+(X31-$X$84)^2+(Y31-$Y$84)^2+(Z31-$Z$84)^2+(AA31-$AA$84)^2+(AB31-$AB$84)^2+(AC31-$AC$84)^2+(AD31-$AD$84)^2+(AE31-$AE$84)^2+(AF31-$AF$84)^2+(AG31-$AG$84)^2)</f>
        <v>1.2270464126784739</v>
      </c>
      <c r="ET31" s="36" t="s">
        <v>141</v>
      </c>
      <c r="EU31" s="37" t="s">
        <v>120</v>
      </c>
      <c r="EW31" s="44"/>
      <c r="EX31" s="36">
        <f>SQRT((A31-$A$85)^2+(B31-$B$85)^2+(C31-$C$85)^2+(D31-$D$85)^2+(E31-$E$85)^2+(F31-$F$85)^2+(G31-$G$85)^2+(H31-$H$85)^2+(I31-$I$85)^2+(J31-$J$85)^2+(K31-$K$85)^2+(L31-$L$85)^2+(M31-$M$85)^2+(N31-$N$85)^2+(O31-$O$85)^2+(P31-$P$85)^2+(Q31-$Q$85)^2+(R31-$R$85)^2+(S31-$S$85)^2+(T31-$T$85)^2+(U31-$U$85)^2+(V31-$V$85)^2+(W31-$W$85)^2+(X31-$X$85)^2+(Y31-$Y$85)^2+(Z31-$Z$85)^2+(AA31-$AA$85)^2+(AB31-$AB$85)^2+(AC31-$AC$85)^2+(AD31-$AD$85)^2+(AE31-$AE$85)^2+(AF31-$AF$85)^2+(AG31-$AG$85)^2)</f>
        <v>1.2270464126784739</v>
      </c>
      <c r="EY31" s="36" t="s">
        <v>141</v>
      </c>
      <c r="EZ31" s="37" t="s">
        <v>120</v>
      </c>
      <c r="FB31" s="44"/>
      <c r="FC31" s="36">
        <f>SQRT((A31-$A$86)^2+(B31-$B$86)^2+(C31-$C$86)^2+(D31-$D$86)^2+(E31-$E$86)^2+(F31-$F$86)^2+(G31-$G$86)^2+(H31-$H$86)^2+(I31-$I$86)^2+(J31-$J$86)^2+(K31-$K$86)^2+(L31-$L$86)^2+(M31-$M$86)^2+(N31-$N$86)^2+(O31-$O$86)^2+(P31-$P$86)^2+(Q31-$Q$86)^2+(R31-$R$86)^2+(S31-$S$86)^2+(T31-$T$86)^2+(U31-$U$86)^2+(V31-$V$86)^2+(W31-$W$86)^2+(X31-$X$86)^2+(Y31-$Y$86)^2+(Z31-$Z$86)^2+(AA31-$AA$86)^2+(AB31-$AB$86)^2+(AC31-$AC$86)^2+(AD31-$AD$86)^2+(AE31-$AE$86)^2+(AF31-$AF$86)^2+(AG31-$AG$86)^2)</f>
        <v>1.2270464126784739</v>
      </c>
      <c r="FD31" s="36" t="s">
        <v>141</v>
      </c>
      <c r="FE31" s="37" t="s">
        <v>120</v>
      </c>
      <c r="FG31" s="44"/>
      <c r="FH31" s="36">
        <f>SQRT((A31-$A$87)^2+(B31-$B$87)^2+(C31-$C$87)^2+(D31-$D$87)^2+(E31-$E$87)^2+(F31-$F$87)^2+(G31-$G$87)^2+(H31-$H$87)^2+(I31-$I$87)^2+(J31-$J$87)^2+(K31-$K$87)^2+(L31-$L$87)^2+(M31-$M$87)^2+(N31-$N$87)^2+(O31-$O$87)^2+(P31-$P$87)^2+(Q31-$Q$87)^2+(R31-$R$87)^2+(S31-$S$87)^2+(T31-$T$87)^2+(U31-$U$87)^2+(V31-$V$87)^2+(W31-$W$87)^2+(X31-$X$87)^2+(Y31-$Y$87)^2+(Z31-$Z$87)^2+(AA31-$AA$87)^2+(AB31-$AB$87)^2+(AC31-$AC$87)^2+(AD31-$AD$87)^2+(AE31-$AE$87)^2+(AF31-$AF$87)^2+(AG31-$AG$87)^2)</f>
        <v>1.2523141972636711</v>
      </c>
      <c r="FI31" s="36" t="s">
        <v>336</v>
      </c>
      <c r="FJ31" s="37" t="s">
        <v>120</v>
      </c>
      <c r="FL31" s="44"/>
      <c r="FM31" s="36">
        <f>SQRT((A31-$A$88)^2+(B31-$B$88)^2+(C31-$C$88)^2+(D31-$D$88)^2+(E31-$E$88)^2+(F31-$F$88)^2+(G31-$G$88)^2+(H31-$H$88)^2+(I31-$I$88)^2+(J31-$J$88)^2+(K31-$K$88)^2+(L31-$L$88)^2+(M31-$M$88)^2+(N31-$N$88)^2+(O31-$O$88)^2+(P31-$P$88)^2+(Q31-$Q$88)^2+(R31-$R$88)^2+(S31-$S$88)^2+(T31-$T$88)^2+(U31-$U$88)^2+(V31-$V$88)^2+(W31-$W$88)^2+(X31-$X$88)^2+(Y31-$Y$88)^2+(Z31-$Z$88)^2+(AA31-$AA$88)^2+(AB31-$AB$88)^2+(AC31-$AC$88)^2+(AD31-$AD$88)^2+(AE31-$AE$88)^2+(AF31-$AF$88)^2+(AG31-$AG$88)^2)</f>
        <v>1.5723301886761007</v>
      </c>
      <c r="FN31" s="36" t="s">
        <v>141</v>
      </c>
      <c r="FO31" s="37" t="s">
        <v>120</v>
      </c>
      <c r="FQ31" s="44"/>
      <c r="FR31" s="36">
        <f>SQRT((A31-$A$89)^2+(B31-$B$89)^2+(C31-$C$89)^2+(D31-$D$89)^2+(E31-$E$89)^2+(F31-$F$89)^2+(G31-$G$89)^2+(H31-$H$89)^2+(I31-$I$89)^2+(J31-$J$89)^2+(K31-$K$89)^2+(L31-$L$89)^2+(M31-$M$89)^2+(N31-$N$89)^2+(O31-$O$89)^2+(P31-$P$89)^2+(Q31-$Q$89)^2+(R31-$R$89)^2+(S31-$S$89)^2+(T31-$T$89)^2+(U31-$U$89)^2+(V31-$V$89)^2+(W31-$W$89)^2+(X31-$X$89)^2+(Y31-$Y$89)^2+(Z31-$Z$89)^2+(AA31-$AA$89)^2+(AB31-$AB$89)^2+(AC31-$AC$89)^2+(AD31-$AD$89)^2+(AE31-$AE$89)^2+(AF31-$AF$89)^2+(AG31-$AG$89)^2)</f>
        <v>2.0186524008196209</v>
      </c>
      <c r="FS31" s="36" t="s">
        <v>321</v>
      </c>
      <c r="FT31" s="37" t="s">
        <v>120</v>
      </c>
      <c r="FV31" s="44"/>
      <c r="FW31" s="36">
        <f>SQRT((A31-$A$90)^2+(B31-$B$90)^2+(C31-$C$90)^2+(D31-$D$90)^2+(E31-$E$90)^2+(F31-$F$90)^2+(G31-$G$90)^2+(H31-$H$90)^2+(I31-$I$90)^2+(J31-$J$90)^2+(K31-$K$90)^2+(L31-$L$90)^2+(M31-$M$90)^2+(N31-$N$90)^2+(O31-$O$90)^2+(P31-$P$90)^2+(Q31-$Q$90)^2+(R31-$R$90)^2+(S31-$S$90)^2+(T31-$T$90)^2+(U31-$U$90)^2+(V31-$V$90)^2+(W31-$W$90)^2+(X31-$X$90)^2+(Y31-$Y$90)^2+(Z31-$Z$90)^2+(AA31-$AA$90)^2+(AB31-$AB$90)^2+(AC31-$AC$90)^2+(AD31-$AD$90)^2+(AE31-$AE$90)^2+(AF31-$AF$90)^2+(AG31-$AG$90)^2)</f>
        <v>1.4889548350578223</v>
      </c>
      <c r="FX31" s="36" t="s">
        <v>133</v>
      </c>
      <c r="FY31" s="37" t="s">
        <v>120</v>
      </c>
      <c r="GA31" s="44"/>
      <c r="GB31" s="36">
        <f>SQRT((A31-$A$91)^2+(B31-$B$91)^2+(C31-$C$91)^2+(D31-$D$91)^2+(E31-$E$91)^2+(F31-$F$91)^2+(G31-$G$91)^2+(H31-$H$91)^2+(I31-$I$91)^2+(J31-$J$91)^2+(K31-$K$91)^2+(L31-$L$91)^2+(M31-$M$91)^2+(N31-$N$91)^2+(O31-$O$91)^2+(P31-$P$91)^2+(Q31-$Q$91)^2+(R31-$R$91)^2+(S31-$S$91)^2+(T31-$T$91)^2+(U31-$U$91)^2+(V31-$V$91)^2+(W31-$W$91)^2+(X31-$X$91)^2+(Y31-$Y$91)^2+(Z31-$Z$91)^2+(AA31-$AA$91)^2+(AB31-$AB$91)^2+(AC31-$AC$91)^2+(AD31-$AD$91)^2+(AE31-$AE$91)^2+(AF31-$AF$91)^2+(AG31-$AG$91)^2)</f>
        <v>1.5581402852598536</v>
      </c>
      <c r="GC31" s="36" t="s">
        <v>337</v>
      </c>
      <c r="GD31" s="37" t="s">
        <v>120</v>
      </c>
      <c r="GF31" s="44"/>
      <c r="GG31" s="36">
        <f>SQRT((A31-$A$92)^2+(B31-$B$92)^2+(C31-$C$92)^2+(D31-$D$92)^2+(E31-$E$92)^2+(F31-$F$92)^2+(G31-$G$92)^2+(H31-$H$92)^2+(I31-$I$92)^2+(J31-$J$92)^2+(K31-$K$92)^2+(L31-$L$92)^2+(M31-$M$92)^2+(N31-$N$92)^2+(O31-$O$92)^2+(P31-$P$92)^2+(Q31-$Q$92)^2+(R31-$R$92)^2+(S31-$S$92)^2+(T31-$T$92)^2+(U31-$U$92)^2+(V31-$V$92)^2+(W31-$W$92)^2+(X31-$X$92)^2+(Y31-$Y$92)^2+(Z31-$Z$92)^2+(AA31-$AA$92)^2+(AB31-$AB$92)^2+(AC31-$AC$92)^2+(AD31-$AD$92)^2+(AE31-$AE$92)^2+(AF31-$AF$92)^2+(AG31-$AG$92)^2)</f>
        <v>1.4529663145135581</v>
      </c>
      <c r="GH31" s="36" t="s">
        <v>316</v>
      </c>
      <c r="GI31" s="37" t="s">
        <v>120</v>
      </c>
      <c r="GK31" s="44"/>
      <c r="GL31" s="36">
        <f>SQRT((A31-$A$93)^2+(B31-$B$93)^2+(C31-$C$93)^2+(D31-$D$93)^2+(E31-$E$93)^2+(F31-$F$93)^2+(G31-$G$93)^2+(H31-$H$93)^2+(I31-$I$93)^2+(J31-$J$93)^2+(K31-$K$93)^2+(L31-$L$93)^2+(M31-$M$93)^2+(N31-$N$93)^2+(O31-$O$93)^2+(P31-$P$93)^2+(Q31-$Q$93)^2+(R31-$R$93)^2+(S31-$S$93)^2+(T31-$T$93)^2+(U31-$U$93)^2+(V31-$V$93)^2+(W31-$W$93)^2+(X31-$X$93)^2+(Y31-$Y$93)^2+(Z31-$Z$93)^2+(AA31-$AA$93)^2+(AB31-$AB$93)^2+(AC31-$AC$93)^2+(AD31-$AD$93)^2+(AE31-$AE$93)^2+(AF31-$AF$93)^2+(AG31-$AG$93)^2)</f>
        <v>1.6312687894781486</v>
      </c>
      <c r="GM31" s="36" t="s">
        <v>337</v>
      </c>
      <c r="GN31" s="37" t="s">
        <v>120</v>
      </c>
      <c r="GP31" s="44"/>
      <c r="GQ31" s="36">
        <f>SQRT((A31-$A$94)^2+(B31-$B$94)^2+(C31-$C$94)^2+(D31-$D$94)^2+(E31-$E$94)^2+(F31-$F$94)^2+(G31-$G$94)^2+(H31-$H$94)^2+(I31-$I$94)^2+(J31-$J$94)^2+(K31-$K$94)^2+(L31-$L$94)^2+(M31-$M$94)^2+(N31-$N$94)^2+(O31-$O$94)^2+(P31-$P$94)^2+(Q31-$Q$94)^2+(R31-$R$94)^2+(S31-$S$94)^2+(T31-$T$94)^2+(U31-$U$94)^2+(V31-$V$94)^2+(W31-$W$94)^2+(X31-$X$94)^2+(Y31-$Y$94)^2+(Z31-$Z$94)^2+(AA31-$AA$94)^2+(AB31-$AB$94)^2+(AC31-$AC$94)^2+(AD31-$AD$94)^2+(AE31-$AE$94)^2+(AF31-$AF$94)^2+(AG31-$AG$94)^2)</f>
        <v>1.4488539409401899</v>
      </c>
      <c r="GR31" s="36" t="s">
        <v>141</v>
      </c>
      <c r="GS31" s="37" t="s">
        <v>120</v>
      </c>
      <c r="GU31" s="44"/>
      <c r="GV31" s="36">
        <f>SQRT((A31-$A$95)^2+(B31-$B$95)^2+(C31-$C$95)^2+(D31-$D$95)^2+(E31-$E$95)^2+(F31-$F$95)^2+(G31-$G$95)^2+(H31-$H$95)^2+(I31-$I$95)^2+(J31-$J$95)^2+(K31-$K$95)^2+(L31-$L$95)^2+(M31-$M$95)^2+(N31-$N$95)^2+(O31-$O$95)^2+(P31-$P$95)^2+(Q31-$Q$95)^2+(R31-$R$95)^2+(S31-$S$95)^2+(T31-$T$95)^2+(U31-$U$95)^2+(V31-$V$95)^2+(W31-$W$95)^2+(X31-$X$95)^2+(Y31-$Y$95)^2+(Z31-$Z$95)^2+(AA31-$AA$95)^2+(AB31-$AB$95)^2+(AC31-$AC$95)^2+(AD31-$AD$95)^2+(AE31-$AE$95)^2+(AF31-$AF$95)^2+(AG31-$AG$95)^2)</f>
        <v>2.2388260788528416</v>
      </c>
      <c r="GW31" s="36" t="s">
        <v>319</v>
      </c>
      <c r="GX31" s="37" t="s">
        <v>120</v>
      </c>
      <c r="GZ31" s="44"/>
      <c r="HA31" s="36">
        <f>SQRT((A31-$A$96)^2+(B31-$B$96)^2+(C31-$C$96)^2+(D31-$D$96)^2+(E31-$E$96)^2+(F31-$F$96)^2+(G31-$G$96)^2+(H31-$H$96)^2+(I31-$I$96)^2+(J31-$J$96)^2+(K31-$K$96)^2+(L31-$L$96)^2+(M31-$M$96)^2+(N31-$N$96)^2+(O31-$O$96)^2+(P31-$P$96)^2+(Q31-$Q$96)^2+(R31-$R$96)^2+(S31-$S$96)^2+(T31-$T$96)^2+(U31-$U$96)^2+(V31-$V$96)^2+(W31-$W$96)^2+(X31-$X$96)^2+(Y31-$Y$96)^2+(Z31-$Z$96)^2+(AA31-$AA$96)^2+(AB31-$AB$96)^2+(AC31-$AC$96)^2+(AD31-$AD$96)^2+(AE31-$AE$96)^2+(AF31-$AF$96)^2+(AG31-$AG$96)^2)</f>
        <v>2.1977533958862097</v>
      </c>
      <c r="HB31" s="36" t="s">
        <v>133</v>
      </c>
      <c r="HC31" s="37" t="s">
        <v>120</v>
      </c>
      <c r="HE31" s="44"/>
      <c r="HF31" s="36">
        <f>SQRT((A31-$A$97)^2+(B31-$B$97)^2+(C31-$C$97)^2+(D31-$D$97)^2+(E31-$E$97)^2+(F31-$F$97)^2+(G31-$G$97)^2+(H31-$H$97)^2+(I31-$I$97)^2+(J31-$J$97)^2+(K31-$K$97)^2+(L31-$L$97)^2+(M31-$M$97)^2+(N31-$N$97)^2+(O31-$O$97)^2+(P31-$P$97)^2+(Q31-$Q$97)^2+(R31-$R$97)^2+(S31-$S$97)^2+(T31-$T$97)^2+(U31-$U$97)^2+(V31-$V$97)^2+(W31-$W$97)^2+(X31-$X$97)^2+(Y31-$Y$97)^2+(Z31-$Z$97)^2+(AA31-$AA$97)^2+(AB31-$AB$97)^2+(AC31-$AC$97)^2+(AD31-$AD$97)^2+(AE31-$AE$97)^2+(AF31-$AF$97)^2+(AG31-$AG$97)^2)</f>
        <v>1.2270464126784739</v>
      </c>
      <c r="HG31" s="36" t="s">
        <v>141</v>
      </c>
      <c r="HH31" s="37" t="s">
        <v>120</v>
      </c>
      <c r="HJ31" s="44"/>
      <c r="HK31" s="36">
        <f>SQRT((A31-$A$98)^2+(B31-$B$98)^2+(C31-$C$98)^2+(D31-$D$98)^2+(E31-$E$98)^2+(F31-$F$98)^2+(G31-$G$98)^2+(H31-$H$98)^2+(I31-$I$98)^2+(J31-$J$98)^2+(K31-$K$98)^2+(L31-$L$98)^2+(M31-$M$98)^2+(N31-$N$98)^2+(O31-$O$98)^2+(P31-$P$98)^2+(Q31-$Q$98)^2+(R31-$R$98)^2+(S31-$S$98)^2+(T31-$T$98)^2+(U31-$U$98)^2+(V31-$V$98)^2+(W31-$W$98)^2+(X31-$X$98)^2+(Y31-$Y$98)^2+(Z31-$Z$98)^2+(AA31-$AA$98)^2+(AB31-$AB$98)^2+(AC31-$AC$98)^2+(AD31-$AD$98)^2+(AE31-$AE$98)^2+(AF31-$AF$98)^2+(AG31-$AG$98)^2)</f>
        <v>1.2270464126784739</v>
      </c>
      <c r="HL31" s="36" t="s">
        <v>141</v>
      </c>
      <c r="HM31" s="37" t="s">
        <v>120</v>
      </c>
      <c r="HO31" s="44"/>
      <c r="HP31" s="36">
        <f>SQRT((A31-$A$99)^2+(B31-$B$99)^2+(C31-$C$99)^2+(D31-$D$99)^2+(E31-$E$99)^2+(F31-$F$99)^2+(G31-$G$99)^2+(H31-$H$99)^2+(I31-$I$99)^2+(J31-$J$99)^2+(K31-$K$99)^2+(L31-$L$99)^2+(M31-$M$99)^2+(N31-$N$99)^2+(O31-$O$99)^2+(P31-$P$99)^2+(Q31-$Q$99)^2+(R31-$R$99)^2+(S31-$S$99)^2+(T31-$T$99)^2+(U31-$U$99)^2+(V31-$V$99)^2+(W31-$W$99)^2+(X31-$X$99)^2+(Y31-$Y$99)^2+(Z31-$Z$99)^2+(AA31-$AA$99)^2+(AB31-$AB$99)^2+(AC31-$AC$99)^2+(AD31-$AD$99)^2+(AE31-$AE$99)^2+(AF31-$AF$99)^2+(AG31-$AG$99)^2)</f>
        <v>1.2270464126784739</v>
      </c>
      <c r="HQ31" s="36" t="s">
        <v>141</v>
      </c>
      <c r="HR31" s="37" t="s">
        <v>120</v>
      </c>
      <c r="HT31" s="44"/>
      <c r="HU31" s="36">
        <f>SQRT((A31-$A$100)^2+(B31-$B$100)^2+(C31-$C$100)^2+(D31-$D$100)^2+(E31-$E$100)^2+(F31-$F$100)^2+(G31-$G$100)^2+(H31-$H$100)^2+(I31-$I$100)^2+(J31-$J$100)^2+(K31-$K$100)^2+(L31-$L$100)^2+(M31-$M$100)^2+(N31-$N$100)^2+(O31-$O$100)^2+(P31-$P$100)^2+(Q31-$Q$100)^2+(R31-$R$100)^2+(S31-$S$100)^2+(T31-$T$100)^2+(U31-$U$100)^2+(V31-$V$100)^2+(W31-$W$100)^2+(X31-$X$100)^2+(Y31-$Y$100)^2+(Z31-$Z$100)^2+(AA31-$AA$100)^2+(AB31-$AB$100)^2+(AC31-$AC$100)^2+(AD31-$AD$100)^2+(AE31-$AE$100)^2+(AF31-$AF$100)^2+(AG31-$AG$100)^2)</f>
        <v>1.2270464126784739</v>
      </c>
      <c r="HV31" s="36" t="s">
        <v>141</v>
      </c>
      <c r="HW31" s="37" t="s">
        <v>120</v>
      </c>
      <c r="HY31" s="44"/>
      <c r="HZ31" s="36">
        <f>SQRT((A31-$A$101)^2+(B31-$B$101)^2+(C31-$C$101)^2+(D31-$D$101)^2+(E31-$E$101)^2+(F31-$F$101)^2+(G31-$G$101)^2+(H31-$H$101)^2+(I31-$I$101)^2+(J31-$J$101)^2+(K31-$K$101)^2+(L31-$L$101)^2+(M31-$M$101)^2+(N31-$N$101)^2+(O31-$O$101)^2+(P31-$P$101)^2+(Q31-$Q$101)^2+(R31-$R$101)^2+(S31-$S$101)^2+(T31-$T$101)^2+(U31-$U$101)^2+(V31-$V$101)^2+(W31-$W$101)^2+(X31-$X$101)^2+(Y31-$Y$101)^2+(Z31-$Z$101)^2+(AA31-$AA$101)^2+(AB31-$AB$101)^2+(AC31-$AC$101)^2+(AD31-$AD$101)^2+(AE31-$AE$101)^2+(AF31-$AF$101)^2+(AG31-$AG$101)^2)</f>
        <v>2.0556448002232592</v>
      </c>
      <c r="IA31" s="36" t="s">
        <v>152</v>
      </c>
      <c r="IB31" s="37" t="s">
        <v>120</v>
      </c>
    </row>
    <row r="32" spans="1:236" x14ac:dyDescent="0.35">
      <c r="A32" s="2">
        <v>0.66666666666666596</v>
      </c>
      <c r="B32" s="2">
        <v>0.25</v>
      </c>
      <c r="C32" s="2">
        <v>0.23899371069182301</v>
      </c>
      <c r="D32" s="2">
        <v>0.66666666666666596</v>
      </c>
      <c r="E32" s="2">
        <v>0</v>
      </c>
      <c r="F32" s="2">
        <v>1</v>
      </c>
      <c r="G32" s="2">
        <v>0.55555555555555503</v>
      </c>
      <c r="H32" s="2">
        <v>1</v>
      </c>
      <c r="I32" s="2">
        <v>0.5</v>
      </c>
      <c r="J32" s="2">
        <v>0</v>
      </c>
      <c r="K32" s="2">
        <v>0</v>
      </c>
      <c r="L32" s="2">
        <v>0.2</v>
      </c>
      <c r="M32" s="2">
        <v>1</v>
      </c>
      <c r="N32" s="2">
        <v>0</v>
      </c>
      <c r="O32" s="2">
        <v>0</v>
      </c>
      <c r="P32" s="2">
        <v>0.4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0.19565217391304299</v>
      </c>
      <c r="AH32" s="2" t="s">
        <v>120</v>
      </c>
      <c r="AI32" s="42"/>
      <c r="AJ32" s="42"/>
      <c r="AL32" s="44"/>
      <c r="AM32" s="36">
        <f>SQRT((A32-$A$62)^2+(B32-$B$62)^2+(C32-$C$62)^2+(D32-$D$62)^2+(E32-$E$62)^2+(F32-$F$62)^2+(G32-$G$62)^2+(H32-$H$62)^2+(I32-$I$62)^2+(J32-$J$62)^2+(K32-$K$62)^2+(L32-$L$62)^2+(M32-$M$62)^2+(N32-$N$62)^2+(O32-$O$62)^2+(P32-$P$62)^2+(Q32-$Q$62)^2+(R32-$R$62)^2+(S32-$S$62)^2+(T32-$T$62)^2+(U32-$U$62)^2+(V32-$V$62)^2+(W32-$W$62)^2+(X32-$X$62)^2+(Y32-$Y$62)^2+(Z32-$Z$62)^2+(AA32-$AA$62)^2+(AB32-$AB$62)^2+(AC32-$AC$62)^2+(AD32-$AD$62)^2+(AE32-$AE$62)^2+(AF32-$AF$62)^2+(AG32-$AG$62)^2)</f>
        <v>1.9181767279839632</v>
      </c>
      <c r="AN32" s="36" t="s">
        <v>139</v>
      </c>
      <c r="AO32" s="37" t="s">
        <v>120</v>
      </c>
      <c r="AQ32" s="44"/>
      <c r="AR32" s="36">
        <f>SQRT((A32-$A$63)^2+(B32-$B$63)^2+(C32-$C$63)^2+(D32-$D$63)^2+(E32-$E$63)^2+(F32-$F$63)^2+(G32-$G$63)^2+(H32-$H$63)^2+(I32-$I$63)^2+(J32-$J$63)^2+(K32-$K$63)^2+(L32-$L$63)^2+(M32-$M$63)^2+(N32-$N$63)^2+(O32-$O$63)^2+(P32-$P$63)^2+(Q32-$Q$63)^2+(R32-$R$63)^2+(S32-$S$63)^2+(T32-$T$63)^2+(U32-$U$63)^2+(V32-$V$63)^2+(W32-$W$63)^2+(X32-$X$63)^2+(Y32-$Y$63)^2+(Z32-$Z$63)^2+(AA32-$AA$63)^2+(AB32-$AB$63)^2+(AC32-$AC$63)^2+(AD32-$AD$63)^2+(AE32-$AE$63)^2+(AF32-$AF$63)^2+(AG32-$AG$63)^2)</f>
        <v>0.98730881761293299</v>
      </c>
      <c r="AS32" s="36" t="s">
        <v>124</v>
      </c>
      <c r="AT32" s="37" t="s">
        <v>120</v>
      </c>
      <c r="AV32" s="44"/>
      <c r="AW32" s="36">
        <f>SQRT((A32-$A$64)^2+(B32-$B$64)^2+(C32-$C$64)^2+(D32-$D$64)^2+(E32-$E$64)^2+(F32-$F$64)^2+(G32-$G$64)^2+(H32-$H$64)^2+(I32-$I$64)^2+(J32-$J$64)^2+(K32-$K$64)^2+(L32-$L$64)^2+(M32-$M$64)^2+(N32-$N$64)^2+(O32-$O$64)^2+(P32-$P$64)^2+(Q32-$Q$64)^2+(R32-$R$64)^2+(S32-$S$64)^2+(T32-$T$64)^2+(U32-$U$64)^2+(V32-$V$64)^2+(W32-$W$64)^2+(X32-$X$64)^2+(Y32-$Y$64)^2+(Z32-$Z$64)^2+(AA32-$AA$64)^2+(AB32-$AB$64)^2+(AC32-$AC$64)^2+(AD32-$AD$64)^2+(AE32-$AE$64)^2+(AF32-$AF$64)^2+(AG32-$AG$64)^2)</f>
        <v>0.98730881761293299</v>
      </c>
      <c r="AX32" s="36" t="s">
        <v>124</v>
      </c>
      <c r="AY32" s="37" t="s">
        <v>120</v>
      </c>
      <c r="BA32" s="44"/>
      <c r="BB32" s="36">
        <f>SQRT((A32-$A$65)^2+(B32-$B$65)^2+(C32-$C$65)^2+(D32-$D$65)^2+(E32-$E$65)^2+(F32-$F$65)^2+(G32-$G$65)^2+(H32-$H$65)^2+(I32-$I$65)^2+(J32-$J$65)^2+(K32-$K$65)^2+(L32-$L$65)^2+(M32-$M$65)^2+(N32-$N$65)^2+(O32-$O$65)^2+(P32-$P$65)^2+(Q32-$Q$65)^2+(R32-$R$65)^2+(S32-$S$65)^2+(T32-$T$65)^2+(U32-$U$65)^2+(V32-$V$65)^2+(W32-$W$65)^2+(X32-$X$65)^2+(Y32-$Y$65)^2+(Z32-$Z$65)^2+(AA32-$AA$65)^2+(AB32-$AB$65)^2+(AC32-$AC$65)^2+(AD32-$AD$65)^2+(AE32-$AE$65)^2+(AF32-$AF$65)^2+(AG32-$AG$65)^2)</f>
        <v>0.98730881761293299</v>
      </c>
      <c r="BC32" s="36" t="s">
        <v>124</v>
      </c>
      <c r="BD32" s="37" t="s">
        <v>120</v>
      </c>
      <c r="BF32" s="44"/>
      <c r="BG32" s="36">
        <f>SQRT((A32-$A$66)^2+(B32-$B$66)^2+(C32-$C$66)^2+(D32-$D$66)^2+(E32-$E$66)^2+(F32-$F$66)^2+(G32-$G$66)^2+(H32-$H$66)^2+(I32-$I$66)^2+(J32-$J$66)^2+(K32-$K$66)^2+(L32-$L$66)^2+(M32-$M$66)^2+(N32-$N$66)^2+(O32-$O$66)^2+(P32-$P$66)^2+(Q32-$Q$66)^2+(R32-$R$66)^2+(S32-$S$66)^2+(T32-$T$66)^2+(U32-$U$66)^2+(V32-$V$66)^2+(W32-$W$66)^2+(X32-$X$66)^2+(Y32-$Y$66)^2+(Z32-$Z$66)^2+(AA32-$AA$66)^2+(AB32-$AB$66)^2+(AC32-$AC$66)^2+(AD32-$AD$66)^2+(AE32-$AE$66)^2+(AF32-$AF$66)^2+(AG32-$AG$66)^2)</f>
        <v>0.98730881761293299</v>
      </c>
      <c r="BH32" s="36" t="s">
        <v>124</v>
      </c>
      <c r="BI32" s="37" t="s">
        <v>120</v>
      </c>
      <c r="BK32" s="44"/>
      <c r="BL32" s="36">
        <f>SQRT((A32-$A$67)^2+(B32-$B$67)^2+(C32-$C$67)^2+(D32-$D$67)^2+(E32-$E$67)^2+(F32-$F$67)^2+(G32-$G$67)^2+(H32-$H$67)^2+(I32-$I$67)^2+(J32-$J$67)^2+(K32-$K$67)^2+(L32-$L$67)^2+(M32-$M$67)^2+(N32-$N$67)^2+(O32-$O$67)^2+(P32-$P$67)^2+(Q32-$Q$67)^2+(R32-$R$67)^2+(S32-$S$67)^2+(T32-$T$67)^2+(U32-$U$67)^2+(V32-$V$67)^2+(W32-$W$67)^2+(X32-$X$67)^2+(Y32-$Y$67)^2+(Z32-$Z$67)^2+(AA32-$AA$67)^2+(AB32-$AB$67)^2+(AC32-$AC$67)^2+(AD32-$AD$67)^2+(AE32-$AE$67)^2+(AF32-$AF$67)^2+(AG32-$AG$67)^2)</f>
        <v>0.98730881761293299</v>
      </c>
      <c r="BM32" s="36" t="s">
        <v>124</v>
      </c>
      <c r="BN32" s="37" t="s">
        <v>120</v>
      </c>
      <c r="BP32" s="44"/>
      <c r="BQ32" s="36">
        <f>SQRT((A32-$A$68)^2+(B32-$B$68)^2+(C32-$C$68)^2+(D32-$D$68)^2+(E32-$E$68)^2+(F32-$F$68)^2+(G32-$G$68)^2+(H32-$H$68)^2+(I32-$I$68)^2+(J32-$J$68)^2+(K32-$K$68)^2+(L32-$L$68)^2+(M32-$M$68)^2+(N32-$N$68)^2+(O32-$O$68)^2+(P32-$P$68)^2+(Q32-$Q$68)^2+(R32-$R$68)^2+(S32-$S$68)^2+(T32-$T$68)^2+(U32-$U$68)^2+(V32-$V$68)^2+(W32-$W$68)^2+(X32-$X$68)^2+(Y32-$Y$68)^2+(Z32-$Z$68)^2+(AA32-$AA$68)^2+(AB32-$AB$68)^2+(AC32-$AC$68)^2+(AD32-$AD$68)^2+(AE32-$AE$68)^2+(AF32-$AF$68)^2+(AG32-$AG$68)^2)</f>
        <v>0.98730881761293299</v>
      </c>
      <c r="BR32" s="36" t="s">
        <v>124</v>
      </c>
      <c r="BS32" s="37" t="s">
        <v>120</v>
      </c>
      <c r="BU32" s="44"/>
      <c r="BV32" s="36">
        <f>SQRT((A32-$A$69)^2+(B32-$B$69)^2+(C32-$C$69)^2+(D32-$D$69)^2+(E32-$E$69)^2+(F32-$F$69)^2+(G32-$G$69)^2+(H32-$H$69)^2+(I32-$I$69)^2+(J32-$J$69)^2+(K32-$K$69)^2+(L32-$L$69)^2+(M32-$M$69)^2+(N32-$N$69)^2+(O32-$O$69)^2+(P32-$P$69)^2+(Q32-$Q$69)^2+(R32-$R$69)^2+(S32-$S$69)^2+(T32-$T$69)^2+(U32-$U$69)^2+(V32-$V$69)^2+(W32-$W$69)^2+(X32-$X$69)^2+(Y32-$Y$69)^2+(Z32-$Z$69)^2+(AA32-$AA$69)^2+(AB32-$AB$69)^2+(AC32-$AC$69)^2+(AD32-$AD$69)^2+(AE32-$AE$69)^2+(AF32-$AF$69)^2+(AG32-$AG$69)^2)</f>
        <v>2.2117951678794552</v>
      </c>
      <c r="BW32" s="36" t="s">
        <v>315</v>
      </c>
      <c r="BX32" s="37" t="s">
        <v>120</v>
      </c>
      <c r="BZ32" s="44"/>
      <c r="CA32" s="36">
        <f>SQRT((A32-$A$70)^2+(B32-$B$70)^2+(C32-$C$70)^2+(D32-$D$70)^2+(E32-$E$70)^2+(F32-$F$70)^2+(G32-$G$70)^2+(H32-$H$70)^2+(I32-$I$70)^2+(J32-$J$70)^2+(K32-$K$70)^2+(L32-$L$70)^2+(M32-$M$70)^2+(N32-$N$70)^2+(O32-$O$70)^2+(P32-$P$70)^2+(Q32-$Q$70)^2+(R32-$R$70)^2+(S32-$S$70)^2+(T32-$T$70)^2+(U32-$U$70)^2+(V32-$V$70)^2+(W32-$W$70)^2+(X32-$X$70)^2+(Y32-$Y$70)^2+(Z32-$Z$70)^2+(AA32-$AA$70)^2+(AB32-$AB$70)^2+(AC32-$AC$70)^2+(AD32-$AD$70)^2+(AE32-$AE$70)^2+(AF32-$AF$70)^2+(AG32-$AG$70)^2)</f>
        <v>0.5</v>
      </c>
      <c r="CB32" s="36" t="s">
        <v>317</v>
      </c>
      <c r="CC32" s="37" t="s">
        <v>120</v>
      </c>
      <c r="CE32" s="44"/>
      <c r="CF32" s="36">
        <f>SQRT((A32-$A$71)^2+(B32-$B$71)^2+(C32-$C$71)^2+(D32-$D$71)^2+(E32-$E$71)^2+(F32-$F$71)^2+(G32-$G$71)^2+(H32-$H$71)^2+(I32-$I$71)^2+(J32-$J$71)^2+(K32-$K$71)^2+(L32-$L$71)^2+(M32-$M$71)^2+(N32-$N$71)^2+(O32-$O$71)^2+(P32-$P$71)^2+(Q32-$Q$71)^2+(R32-$R$71)^2+(S32-$S$71)^2+(T32-$T$71)^2+(U32-$U$71)^2+(V32-$V$71)^2+(W32-$W$71)^2+(X32-$X$71)^2+(Y32-$Y$71)^2+(Z32-$Z$71)^2+(AA32-$AA$71)^2+(AB32-$AB$71)^2+(AC32-$AC$71)^2+(AD32-$AD$71)^2+(AE32-$AE$71)^2+(AF32-$AF$71)^2+(AG32-$AG$71)^2)</f>
        <v>1.1577036657874837</v>
      </c>
      <c r="CG32" s="36" t="s">
        <v>333</v>
      </c>
      <c r="CH32" s="37" t="s">
        <v>120</v>
      </c>
      <c r="CJ32" s="44"/>
      <c r="CK32" s="36">
        <f>SQRT((A32-$A$72)^2+(B32-$B$72)^2+(C32-$C$72)^2+(D32-$D$72)^2+(E32-$E$72)^2+(F32-$F$72)^2+(G32-$G$72)^2+(H32-$H$72)^2+(I32-$I$72)^2+(J32-$J$72)^2+(K32-$K$72)^2+(L32-$L$72)^2+(M32-$M$72)^2+(N32-$N$72)^2+(O32-$O$72)^2+(P32-$P$72)^2+(Q32-$Q$72)^2+(R32-$R$72)^2+(S32-$S$72)^2+(T32-$T$72)^2+(U32-$U$72)^2+(V32-$V$72)^2+(W32-$W$72)^2+(X32-$X$72)^2+(Y32-$Y$72)^2+(Z32-$Z$72)^2+(AA32-$AA$72)^2+(AB32-$AB$72)^2+(AC32-$AC$72)^2+(AD32-$AD$72)^2+(AE32-$AE$72)^2+(AF32-$AF$72)^2+(AG32-$AG$72)^2)</f>
        <v>1.306441779589427</v>
      </c>
      <c r="CL32" s="36" t="s">
        <v>135</v>
      </c>
      <c r="CM32" s="37" t="s">
        <v>120</v>
      </c>
      <c r="CO32" s="44"/>
      <c r="CP32" s="36">
        <f>SQRT((A32-$A$73)^2+(B32-$B$73)^2+(C32-$C$73)^2+(D32-$D$73)^2+(E32-$E$73)^2+(F32-$F$73)^2+(G32-$G$73)^2+(H32-$H$73)^2+(I32-$I$73)^2+(J32-$J$73)^2+(K32-$K$73)^2+(L32-$L$73)^2+(M32-$M$73)^2+(N32-$N$73)^2+(O32-$O$73)^2+(P32-$P$73)^2+(Q32-$Q$73)^2+(R32-$R$73)^2+(S32-$S$73)^2+(T32-$T$73)^2+(U32-$U$73)^2+(V32-$V$73)^2+(W32-$W$73)^2+(X32-$X$73)^2+(Y32-$Y$73)^2+(Z32-$Z$73)^2+(AA32-$AA$73)^2+(AB32-$AB$73)^2+(AC32-$AC$73)^2+(AD32-$AD$73)^2+(AE32-$AE$73)^2+(AF32-$AF$73)^2+(AG32-$AG$73)^2)</f>
        <v>1.0762392153550961</v>
      </c>
      <c r="CQ32" s="36" t="s">
        <v>124</v>
      </c>
      <c r="CR32" s="37" t="s">
        <v>120</v>
      </c>
      <c r="CT32" s="44"/>
      <c r="CU32" s="36">
        <f>SQRT((A32-$A$74)^2+(B32-$B$74)^2+(C32-$C$74)^2+(D32-$D$74)^2+(E32-$E$74)^2+(F32-$F$74)^2+(G32-$G$74)^2+(H32-$H$74)^2+(I32-$I$74)^2+(J32-$J$74)^2+(K32-$K$74)^2+(L32-$L$74)^2+(M32-$M$74)^2+(N32-$N$74)^2+(O32-$O$74)^2+(P32-$P$74)^2+(Q32-$Q$74)^2+(R32-$R$74)^2+(S32-$S$74)^2+(T32-$T$74)^2+(U32-$U$74)^2+(V32-$V$74)^2+(W32-$W$74)^2+(X32-$X$74)^2+(Y32-$Y$74)^2+(Z32-$Z$74)^2+(AA32-$AA$74)^2+(AB32-$AB$74)^2+(AC32-$AC$74)^2+(AD32-$AD$74)^2+(AE32-$AE$74)^2+(AF32-$AF$74)^2+(AG32-$AG$74)^2)</f>
        <v>1.4542893506227774</v>
      </c>
      <c r="CV32" s="36" t="s">
        <v>337</v>
      </c>
      <c r="CW32" s="37" t="s">
        <v>120</v>
      </c>
      <c r="CY32" s="44"/>
      <c r="CZ32" s="36">
        <f>SQRT((A32-$A$75)^2+(B32-$B$75)^2+(C32-$C$75)^2+(D32-$D$75)^2+(E32-$E$75)^2+(F32-$F$75)^2+(G32-$G$75)^2+(H32-$H$75)^2+(I32-$I$75)^2+(J32-$J$75)^2+(K32-$K$75)^2+(L32-$L$75)^2+(M32-$M$75)^2+(N32-$N$75)^2+(O32-$O$75)^2+(P32-$P$75)^2+(Q32-$Q$75)^2+(R32-$R$75)^2+(S32-$S$75)^2+(T32-$T$75)^2+(U32-$U$75)^2+(V32-$V$75)^2+(W32-$W$75)^2+(X32-$X$75)^2+(Y32-$Y$75)^2+(Z32-$Z$75)^2+(AA32-$AA$75)^2+(AB32-$AB$75)^2+(AC32-$AC$75)^2+(AD32-$AD$75)^2+(AE32-$AE$75)^2+(AF32-$AF$75)^2+(AG32-$AG$75)^2)</f>
        <v>1.5156449906086327</v>
      </c>
      <c r="DA32" s="36" t="s">
        <v>331</v>
      </c>
      <c r="DB32" s="37" t="s">
        <v>120</v>
      </c>
      <c r="DD32" s="44"/>
      <c r="DE32" s="36">
        <f>SQRT((A32-$A$76)^2+(B32-$B$76)^2+(C32-$C$76)^2+(D32-$D$76)^2+(E32-$E$76)^2+(F32-$F$76)^2+(G32-$G$76)^2+(H32-$H$76)^2+(I32-$I$76)^2+(J32-$J$76)^2+(K32-$K$76)^2+(L32-$L$76)^2+(M32-$M$76)^2+(N32-$N$76)^2+(O32-$O$76)^2+(P32-$P$76)^2+(Q32-$Q$76)^2+(R32-$R$76)^2+(S32-$S$76)^2+(T32-$T$76)^2+(U32-$U$76)^2+(V32-$V$76)^2+(W32-$W$76)^2+(X32-$X$76)^2+(Y32-$Y$76)^2+(Z32-$Z$76)^2+(AA32-$AA$76)^2+(AB32-$AB$76)^2+(AC32-$AC$76)^2+(AD32-$AD$76)^2+(AE32-$AE$76)^2+(AF32-$AF$76)^2+(AG32-$AG$76)^2)</f>
        <v>1.3757671652981824</v>
      </c>
      <c r="DF32" s="36" t="s">
        <v>313</v>
      </c>
      <c r="DG32" s="37" t="s">
        <v>120</v>
      </c>
      <c r="DI32" s="44"/>
      <c r="DJ32" s="36">
        <f>SQRT((A32-$A$77)^2+(B32-$B$77)^2+(C32-$C$77)^2+(D32-$D$77)^2+(E32-$E$77)^2+(F32-$F$77)^2+(G32-$G$77)^2+(H32-$H$77)^2+(I32-$I$77)^2+(J32-$J$77)^2+(K32-$K$77)^2+(L32-$L$77)^2+(M32-$M$77)^2+(N32-$N$77)^2+(O32-$O$77)^2+(P32-$P$77)^2+(Q32-$Q$77)^2+(R32-$R$77)^2+(S32-$S$77)^2+(T32-$T$77)^2+(U32-$U$77)^2+(V32-$V$77)^2+(W32-$W$77)^2+(X32-$X$77)^2+(Y32-$Y$77)^2+(Z32-$Z$77)^2+(AA32-$AA$77)^2+(AB32-$AB$77)^2+(AC32-$AC$77)^2+(AD32-$AD$77)^2+(AE32-$AE$77)^2+(AF32-$AF$77)^2+(AG32-$AG$77)^2)</f>
        <v>2.0914958259503993</v>
      </c>
      <c r="DK32" s="36" t="s">
        <v>131</v>
      </c>
      <c r="DL32" s="37" t="s">
        <v>120</v>
      </c>
      <c r="DN32" s="44"/>
      <c r="DO32" s="36">
        <f>SQRT((A32-$A$78)^2+(B32-$B$78)^2+(C32-$C$78)^2+(D32-$D$78)^2+(E32-$E$78)^2+(F32-$F$78)^2+(G32-$G$78)^2+(H32-$H$78)^2+(I32-$I$78)^2+(J32-$J$78)^2+(K32-$K$78)^2+(L32-$L$78)^2+(M32-$M$78)^2+(N32-$N$78)^2+(O32-$O$78)^2+(P32-$P$78)^2+(Q32-$Q$78)^2+(R32-$R$78)^2+(S32-$S$78)^2+(T32-$T$78)^2+(U32-$U$78)^2+(V32-$V$78)^2+(W32-$W$78)^2+(X32-$X$78)^2+(Y32-$Y$78)^2+(Z32-$Z$78)^2+(AA32-$AA$78)^2+(AB32-$AB$78)^2+(AC32-$AC$78)^2+(AD32-$AD$78)^2+(AE32-$AE$78)^2+(AF32-$AF$78)^2+(AG32-$AG$78)^2)</f>
        <v>0.60796216473580555</v>
      </c>
      <c r="DP32" s="36" t="s">
        <v>313</v>
      </c>
      <c r="DQ32" s="37" t="s">
        <v>120</v>
      </c>
      <c r="DS32" s="44"/>
      <c r="DT32" s="36">
        <f>SQRT((A32-$A$79)^2+(B32-$B$79)^2+(C32-$C$79)^2+(D32-$D$79)^2+(E32-$E$79)^2+(F32-$F$79)^2+(G32-$G$79)^2+(H32-$H$79)^2+(I32-$I$79)^2+(J32-$J$79)^2+(K32-$K$79)^2+(L32-$L$79)^2+(M32-$M$79)^2+(N32-$N$79)^2+(O32-$O$79)^2+(P32-$P$79)^2+(Q32-$Q$79)^2+(R32-$R$79)^2+(S32-$S$79)^2+(T32-$T$79)^2+(U32-$U$79)^2+(V32-$V$79)^2+(W32-$W$79)^2+(X32-$X$79)^2+(Y32-$Y$79)^2+(Z32-$Z$79)^2+(AA32-$AA$79)^2+(AB32-$AB$79)^2+(AC32-$AC$79)^2+(AD32-$AD$79)^2+(AE32-$AE$79)^2+(AF32-$AF$79)^2+(AG32-$AG$79)^2)</f>
        <v>1.1463807710393041</v>
      </c>
      <c r="DU32" s="36" t="s">
        <v>151</v>
      </c>
      <c r="DV32" s="37" t="s">
        <v>120</v>
      </c>
      <c r="DX32" s="44"/>
      <c r="DY32" s="36">
        <f>SQRT((A32-$A$80)^2+(B32-$B$80)^2+(C32-$C$80)^2+(D32-$D$80)^2+(E32-$E$80)^2+(F32-$F$80)^2+(G32-$G$80)^2+(H32-$H$80)^2+(I32-$I$80)^2+(J32-$J$80)^2+(K32-$K$80)^2+(L32-$L$80)^2+(M32-$M$80)^2+(N32-$N$80)^2+(O32-$O$80)^2+(P32-$P$80)^2+(Q32-$Q$80)^2+(R32-$R$80)^2+(S32-$S$80)^2+(T32-$T$80)^2+(U32-$U$80)^2+(V32-$V$80)^2+(W32-$W$80)^2+(X32-$X$80)^2+(Y32-$Y$80)^2+(Z32-$Z$80)^2+(AA32-$AA$80)^2+(AB32-$AB$80)^2+(AC32-$AC$80)^2+(AD32-$AD$80)^2+(AE32-$AE$80)^2+(AF32-$AF$80)^2+(AG32-$AG$80)^2)</f>
        <v>1.788376595873518</v>
      </c>
      <c r="DZ32" s="36" t="s">
        <v>125</v>
      </c>
      <c r="EA32" s="37" t="s">
        <v>120</v>
      </c>
      <c r="EC32" s="44"/>
      <c r="ED32" s="36">
        <f>SQRT((A32-$A$81)^2+(B32-$B$81)^2+(C32-$C$81)^2+(D32-$D$81)^2+(E32-$E$81)^2+(F32-$F$81)^2+(G32-$G$81)^2+(H32-$H$81)^2+(I32-$I$81)^2+(J32-$J$81)^2+(K32-$K$81)^2+(L32-$L$81)^2+(M32-$M$81)^2+(N32-$N$81)^2+(O32-$O$81)^2+(P32-$P$81)^2+(Q32-$Q$81)^2+(R32-$R$81)^2+(S32-$S$81)^2+(T32-$T$81)^2+(U32-$U$81)^2+(V32-$V$81)^2+(W32-$W$81)^2+(X32-$X$81)^2+(Y32-$Y$81)^2+(Z32-$Z$81)^2+(AA32-$AA$81)^2+(AB32-$AB$81)^2+(AC32-$AC$81)^2+(AD32-$AD$81)^2+(AE32-$AE$81)^2+(AF32-$AF$81)^2+(AG32-$AG$81)^2)</f>
        <v>1.8080400653797075</v>
      </c>
      <c r="EE32" s="36" t="s">
        <v>132</v>
      </c>
      <c r="EF32" s="37" t="s">
        <v>120</v>
      </c>
      <c r="EH32" s="44"/>
      <c r="EI32" s="36">
        <f>SQRT((A32-$A$82)^2+(B32-$B$82)^2+(C32-$C$82)^2+(D32-$D$82)^2+(E32-$E$82)^2+(F32-$F$82)^2+(G32-$G$82)^2+(H32-$H$82)^2+(I32-$I$82)^2+(J32-$J$82)^2+(K32-$K$82)^2+(L32-$L$82)^2+(M32-$M$82)^2+(N32-$N$82)^2+(O32-$O$82)^2+(P32-$P$82)^2+(Q32-$Q$82)^2+(R32-$R$82)^2+(S32-$S$82)^2+(T32-$T$82)^2+(U32-$U$82)^2+(V32-$V$82)^2+(W32-$W$82)^2+(X32-$X$82)^2+(Y32-$Y$82)^2+(Z32-$Z$82)^2+(AA32-$AA$82)^2+(AB32-$AB$82)^2+(AC32-$AC$82)^2+(AD32-$AD$82)^2+(AE32-$AE$82)^2+(AF32-$AF$82)^2+(AG32-$AG$82)^2)</f>
        <v>1.242425928022417</v>
      </c>
      <c r="EJ32" s="36" t="s">
        <v>322</v>
      </c>
      <c r="EK32" s="37" t="s">
        <v>120</v>
      </c>
      <c r="EM32" s="44"/>
      <c r="EN32" s="36">
        <f>SQRT((A32-$A$83)^2+(B32-$B$83)^2+(C32-$C$83)^2+(D32-$D$83)^2+(E32-$E$83)^2+(F32-$F$83)^2+(G32-$G$83)^2+(H32-$H$83)^2+(I32-$I$83)^2+(J32-$J$83)^2+(K32-$K$83)^2+(L32-$L$83)^2+(M32-$M$83)^2+(N32-$N$83)^2+(O32-$O$83)^2+(P32-$P$83)^2+(Q32-$Q$83)^2+(R32-$R$83)^2+(S32-$S$83)^2+(T32-$T$83)^2+(U32-$U$83)^2+(V32-$V$83)^2+(W32-$W$83)^2+(X32-$X$83)^2+(Y32-$Y$83)^2+(Z32-$Z$83)^2+(AA32-$AA$83)^2+(AB32-$AB$83)^2+(AC32-$AC$83)^2+(AD32-$AD$83)^2+(AE32-$AE$83)^2+(AF32-$AF$83)^2+(AG32-$AG$83)^2)</f>
        <v>0.43289233248929737</v>
      </c>
      <c r="EO32" s="36" t="s">
        <v>314</v>
      </c>
      <c r="EP32" s="37" t="s">
        <v>120</v>
      </c>
      <c r="ER32" s="44"/>
      <c r="ES32" s="36">
        <f>SQRT((A32-$A$84)^2+(B32-$B$84)^2+(C32-$C$84)^2+(D32-$D$84)^2+(E32-$E$84)^2+(F32-$F$84)^2+(G32-$G$84)^2+(H32-$H$84)^2+(I32-$I$84)^2+(J32-$J$84)^2+(K32-$K$84)^2+(L32-$L$84)^2+(M32-$M$84)^2+(N32-$N$84)^2+(O32-$O$84)^2+(P32-$P$84)^2+(Q32-$Q$84)^2+(R32-$R$84)^2+(S32-$S$84)^2+(T32-$T$84)^2+(U32-$U$84)^2+(V32-$V$84)^2+(W32-$W$84)^2+(X32-$X$84)^2+(Y32-$Y$84)^2+(Z32-$Z$84)^2+(AA32-$AA$84)^2+(AB32-$AB$84)^2+(AC32-$AC$84)^2+(AD32-$AD$84)^2+(AE32-$AE$84)^2+(AF32-$AF$84)^2+(AG32-$AG$84)^2)</f>
        <v>0.98730881761293299</v>
      </c>
      <c r="ET32" s="36" t="s">
        <v>124</v>
      </c>
      <c r="EU32" s="37" t="s">
        <v>120</v>
      </c>
      <c r="EW32" s="44"/>
      <c r="EX32" s="36">
        <f>SQRT((A32-$A$85)^2+(B32-$B$85)^2+(C32-$C$85)^2+(D32-$D$85)^2+(E32-$E$85)^2+(F32-$F$85)^2+(G32-$G$85)^2+(H32-$H$85)^2+(I32-$I$85)^2+(J32-$J$85)^2+(K32-$K$85)^2+(L32-$L$85)^2+(M32-$M$85)^2+(N32-$N$85)^2+(O32-$O$85)^2+(P32-$P$85)^2+(Q32-$Q$85)^2+(R32-$R$85)^2+(S32-$S$85)^2+(T32-$T$85)^2+(U32-$U$85)^2+(V32-$V$85)^2+(W32-$W$85)^2+(X32-$X$85)^2+(Y32-$Y$85)^2+(Z32-$Z$85)^2+(AA32-$AA$85)^2+(AB32-$AB$85)^2+(AC32-$AC$85)^2+(AD32-$AD$85)^2+(AE32-$AE$85)^2+(AF32-$AF$85)^2+(AG32-$AG$85)^2)</f>
        <v>0.98730881761293299</v>
      </c>
      <c r="EY32" s="36" t="s">
        <v>124</v>
      </c>
      <c r="EZ32" s="37" t="s">
        <v>120</v>
      </c>
      <c r="FB32" s="44"/>
      <c r="FC32" s="36">
        <f>SQRT((A32-$A$86)^2+(B32-$B$86)^2+(C32-$C$86)^2+(D32-$D$86)^2+(E32-$E$86)^2+(F32-$F$86)^2+(G32-$G$86)^2+(H32-$H$86)^2+(I32-$I$86)^2+(J32-$J$86)^2+(K32-$K$86)^2+(L32-$L$86)^2+(M32-$M$86)^2+(N32-$N$86)^2+(O32-$O$86)^2+(P32-$P$86)^2+(Q32-$Q$86)^2+(R32-$R$86)^2+(S32-$S$86)^2+(T32-$T$86)^2+(U32-$U$86)^2+(V32-$V$86)^2+(W32-$W$86)^2+(X32-$X$86)^2+(Y32-$Y$86)^2+(Z32-$Z$86)^2+(AA32-$AA$86)^2+(AB32-$AB$86)^2+(AC32-$AC$86)^2+(AD32-$AD$86)^2+(AE32-$AE$86)^2+(AF32-$AF$86)^2+(AG32-$AG$86)^2)</f>
        <v>0.98730881761293299</v>
      </c>
      <c r="FD32" s="36" t="s">
        <v>124</v>
      </c>
      <c r="FE32" s="37" t="s">
        <v>120</v>
      </c>
      <c r="FG32" s="44"/>
      <c r="FH32" s="36">
        <f>SQRT((A32-$A$87)^2+(B32-$B$87)^2+(C32-$C$87)^2+(D32-$D$87)^2+(E32-$E$87)^2+(F32-$F$87)^2+(G32-$G$87)^2+(H32-$H$87)^2+(I32-$I$87)^2+(J32-$J$87)^2+(K32-$K$87)^2+(L32-$L$87)^2+(M32-$M$87)^2+(N32-$N$87)^2+(O32-$O$87)^2+(P32-$P$87)^2+(Q32-$Q$87)^2+(R32-$R$87)^2+(S32-$S$87)^2+(T32-$T$87)^2+(U32-$U$87)^2+(V32-$V$87)^2+(W32-$W$87)^2+(X32-$X$87)^2+(Y32-$Y$87)^2+(Z32-$Z$87)^2+(AA32-$AA$87)^2+(AB32-$AB$87)^2+(AC32-$AC$87)^2+(AD32-$AD$87)^2+(AE32-$AE$87)^2+(AF32-$AF$87)^2+(AG32-$AG$87)^2)</f>
        <v>0.75385068061795435</v>
      </c>
      <c r="FI32" s="36" t="s">
        <v>153</v>
      </c>
      <c r="FJ32" s="37" t="s">
        <v>120</v>
      </c>
      <c r="FL32" s="44"/>
      <c r="FM32" s="36">
        <f>SQRT((A32-$A$88)^2+(B32-$B$88)^2+(C32-$C$88)^2+(D32-$D$88)^2+(E32-$E$88)^2+(F32-$F$88)^2+(G32-$G$88)^2+(H32-$H$88)^2+(I32-$I$88)^2+(J32-$J$88)^2+(K32-$K$88)^2+(L32-$L$88)^2+(M32-$M$88)^2+(N32-$N$88)^2+(O32-$O$88)^2+(P32-$P$88)^2+(Q32-$Q$88)^2+(R32-$R$88)^2+(S32-$S$88)^2+(T32-$T$88)^2+(U32-$U$88)^2+(V32-$V$88)^2+(W32-$W$88)^2+(X32-$X$88)^2+(Y32-$Y$88)^2+(Z32-$Z$88)^2+(AA32-$AA$88)^2+(AB32-$AB$88)^2+(AC32-$AC$88)^2+(AD32-$AD$88)^2+(AE32-$AE$88)^2+(AF32-$AF$88)^2+(AG32-$AG$88)^2)</f>
        <v>1.2133516482134197</v>
      </c>
      <c r="FN32" s="36" t="s">
        <v>323</v>
      </c>
      <c r="FO32" s="37" t="s">
        <v>120</v>
      </c>
      <c r="FQ32" s="44"/>
      <c r="FR32" s="36">
        <f>SQRT((A32-$A$89)^2+(B32-$B$89)^2+(C32-$C$89)^2+(D32-$D$89)^2+(E32-$E$89)^2+(F32-$F$89)^2+(G32-$G$89)^2+(H32-$H$89)^2+(I32-$I$89)^2+(J32-$J$89)^2+(K32-$K$89)^2+(L32-$L$89)^2+(M32-$M$89)^2+(N32-$N$89)^2+(O32-$O$89)^2+(P32-$P$89)^2+(Q32-$Q$89)^2+(R32-$R$89)^2+(S32-$S$89)^2+(T32-$T$89)^2+(U32-$U$89)^2+(V32-$V$89)^2+(W32-$W$89)^2+(X32-$X$89)^2+(Y32-$Y$89)^2+(Z32-$Z$89)^2+(AA32-$AA$89)^2+(AB32-$AB$89)^2+(AC32-$AC$89)^2+(AD32-$AD$89)^2+(AE32-$AE$89)^2+(AF32-$AF$89)^2+(AG32-$AG$89)^2)</f>
        <v>1.7535556778542334</v>
      </c>
      <c r="FS32" s="36" t="s">
        <v>322</v>
      </c>
      <c r="FT32" s="37" t="s">
        <v>120</v>
      </c>
      <c r="FV32" s="44"/>
      <c r="FW32" s="36">
        <f>SQRT((A32-$A$90)^2+(B32-$B$90)^2+(C32-$C$90)^2+(D32-$D$90)^2+(E32-$E$90)^2+(F32-$F$90)^2+(G32-$G$90)^2+(H32-$H$90)^2+(I32-$I$90)^2+(J32-$J$90)^2+(K32-$K$90)^2+(L32-$L$90)^2+(M32-$M$90)^2+(N32-$N$90)^2+(O32-$O$90)^2+(P32-$P$90)^2+(Q32-$Q$90)^2+(R32-$R$90)^2+(S32-$S$90)^2+(T32-$T$90)^2+(U32-$U$90)^2+(V32-$V$90)^2+(W32-$W$90)^2+(X32-$X$90)^2+(Y32-$Y$90)^2+(Z32-$Z$90)^2+(AA32-$AA$90)^2+(AB32-$AB$90)^2+(AC32-$AC$90)^2+(AD32-$AD$90)^2+(AE32-$AE$90)^2+(AF32-$AF$90)^2+(AG32-$AG$90)^2)</f>
        <v>1.793595969231105</v>
      </c>
      <c r="FX32" s="36" t="s">
        <v>331</v>
      </c>
      <c r="FY32" s="37" t="s">
        <v>120</v>
      </c>
      <c r="GA32" s="44"/>
      <c r="GB32" s="36">
        <f>SQRT((A32-$A$91)^2+(B32-$B$91)^2+(C32-$C$91)^2+(D32-$D$91)^2+(E32-$E$91)^2+(F32-$F$91)^2+(G32-$G$91)^2+(H32-$H$91)^2+(I32-$I$91)^2+(J32-$J$91)^2+(K32-$K$91)^2+(L32-$L$91)^2+(M32-$M$91)^2+(N32-$N$91)^2+(O32-$O$91)^2+(P32-$P$91)^2+(Q32-$Q$91)^2+(R32-$R$91)^2+(S32-$S$91)^2+(T32-$T$91)^2+(U32-$U$91)^2+(V32-$V$91)^2+(W32-$W$91)^2+(X32-$X$91)^2+(Y32-$Y$91)^2+(Z32-$Z$91)^2+(AA32-$AA$91)^2+(AB32-$AB$91)^2+(AC32-$AC$91)^2+(AD32-$AD$91)^2+(AE32-$AE$91)^2+(AF32-$AF$91)^2+(AG32-$AG$91)^2)</f>
        <v>1.8514321884826508</v>
      </c>
      <c r="GC32" s="36" t="s">
        <v>322</v>
      </c>
      <c r="GD32" s="37" t="s">
        <v>120</v>
      </c>
      <c r="GF32" s="44"/>
      <c r="GG32" s="36">
        <f>SQRT((A32-$A$92)^2+(B32-$B$92)^2+(C32-$C$92)^2+(D32-$D$92)^2+(E32-$E$92)^2+(F32-$F$92)^2+(G32-$G$92)^2+(H32-$H$92)^2+(I32-$I$92)^2+(J32-$J$92)^2+(K32-$K$92)^2+(L32-$L$92)^2+(M32-$M$92)^2+(N32-$N$92)^2+(O32-$O$92)^2+(P32-$P$92)^2+(Q32-$Q$92)^2+(R32-$R$92)^2+(S32-$S$92)^2+(T32-$T$92)^2+(U32-$U$92)^2+(V32-$V$92)^2+(W32-$W$92)^2+(X32-$X$92)^2+(Y32-$Y$92)^2+(Z32-$Z$92)^2+(AA32-$AA$92)^2+(AB32-$AB$92)^2+(AC32-$AC$92)^2+(AD32-$AD$92)^2+(AE32-$AE$92)^2+(AF32-$AF$92)^2+(AG32-$AG$92)^2)</f>
        <v>1.0540925533894601</v>
      </c>
      <c r="GH32" s="36" t="s">
        <v>319</v>
      </c>
      <c r="GI32" s="37" t="s">
        <v>120</v>
      </c>
      <c r="GK32" s="44"/>
      <c r="GL32" s="36">
        <f>SQRT((A32-$A$93)^2+(B32-$B$93)^2+(C32-$C$93)^2+(D32-$D$93)^2+(E32-$E$93)^2+(F32-$F$93)^2+(G32-$G$93)^2+(H32-$H$93)^2+(I32-$I$93)^2+(J32-$J$93)^2+(K32-$K$93)^2+(L32-$L$93)^2+(M32-$M$93)^2+(N32-$N$93)^2+(O32-$O$93)^2+(P32-$P$93)^2+(Q32-$Q$93)^2+(R32-$R$93)^2+(S32-$S$93)^2+(T32-$T$93)^2+(U32-$U$93)^2+(V32-$V$93)^2+(W32-$W$93)^2+(X32-$X$93)^2+(Y32-$Y$93)^2+(Z32-$Z$93)^2+(AA32-$AA$93)^2+(AB32-$AB$93)^2+(AC32-$AC$93)^2+(AD32-$AD$93)^2+(AE32-$AE$93)^2+(AF32-$AF$93)^2+(AG32-$AG$93)^2)</f>
        <v>1.9133838777217456</v>
      </c>
      <c r="GM32" s="36" t="s">
        <v>134</v>
      </c>
      <c r="GN32" s="37" t="s">
        <v>120</v>
      </c>
      <c r="GP32" s="44"/>
      <c r="GQ32" s="36">
        <f>SQRT((A32-$A$94)^2+(B32-$B$94)^2+(C32-$C$94)^2+(D32-$D$94)^2+(E32-$E$94)^2+(F32-$F$94)^2+(G32-$G$94)^2+(H32-$H$94)^2+(I32-$I$94)^2+(J32-$J$94)^2+(K32-$K$94)^2+(L32-$L$94)^2+(M32-$M$94)^2+(N32-$N$94)^2+(O32-$O$94)^2+(P32-$P$94)^2+(Q32-$Q$94)^2+(R32-$R$94)^2+(S32-$S$94)^2+(T32-$T$94)^2+(U32-$U$94)^2+(V32-$V$94)^2+(W32-$W$94)^2+(X32-$X$94)^2+(Y32-$Y$94)^2+(Z32-$Z$94)^2+(AA32-$AA$94)^2+(AB32-$AB$94)^2+(AC32-$AC$94)^2+(AD32-$AD$94)^2+(AE32-$AE$94)^2+(AF32-$AF$94)^2+(AG32-$AG$94)^2)</f>
        <v>1.0484167788517691</v>
      </c>
      <c r="GR32" s="36" t="s">
        <v>142</v>
      </c>
      <c r="GS32" s="37" t="s">
        <v>120</v>
      </c>
      <c r="GU32" s="44"/>
      <c r="GV32" s="36">
        <f>SQRT((A32-$A$95)^2+(B32-$B$95)^2+(C32-$C$95)^2+(D32-$D$95)^2+(E32-$E$95)^2+(F32-$F$95)^2+(G32-$G$95)^2+(H32-$H$95)^2+(I32-$I$95)^2+(J32-$J$95)^2+(K32-$K$95)^2+(L32-$L$95)^2+(M32-$M$95)^2+(N32-$N$95)^2+(O32-$O$95)^2+(P32-$P$95)^2+(Q32-$Q$95)^2+(R32-$R$95)^2+(S32-$S$95)^2+(T32-$T$95)^2+(U32-$U$95)^2+(V32-$V$95)^2+(W32-$W$95)^2+(X32-$X$95)^2+(Y32-$Y$95)^2+(Z32-$Z$95)^2+(AA32-$AA$95)^2+(AB32-$AB$95)^2+(AC32-$AC$95)^2+(AD32-$AD$95)^2+(AE32-$AE$95)^2+(AF32-$AF$95)^2+(AG32-$AG$95)^2)</f>
        <v>2.4520077918619241</v>
      </c>
      <c r="GW32" s="36" t="s">
        <v>125</v>
      </c>
      <c r="GX32" s="37" t="s">
        <v>120</v>
      </c>
      <c r="GZ32" s="44"/>
      <c r="HA32" s="36">
        <f>SQRT((A32-$A$96)^2+(B32-$B$96)^2+(C32-$C$96)^2+(D32-$D$96)^2+(E32-$E$96)^2+(F32-$F$96)^2+(G32-$G$96)^2+(H32-$H$96)^2+(I32-$I$96)^2+(J32-$J$96)^2+(K32-$K$96)^2+(L32-$L$96)^2+(M32-$M$96)^2+(N32-$N$96)^2+(O32-$O$96)^2+(P32-$P$96)^2+(Q32-$Q$96)^2+(R32-$R$96)^2+(S32-$S$96)^2+(T32-$T$96)^2+(U32-$U$96)^2+(V32-$V$96)^2+(W32-$W$96)^2+(X32-$X$96)^2+(Y32-$Y$96)^2+(Z32-$Z$96)^2+(AA32-$AA$96)^2+(AB32-$AB$96)^2+(AC32-$AC$96)^2+(AD32-$AD$96)^2+(AE32-$AE$96)^2+(AF32-$AF$96)^2+(AG32-$AG$96)^2)</f>
        <v>2.4145641406120002</v>
      </c>
      <c r="HB32" s="36" t="s">
        <v>333</v>
      </c>
      <c r="HC32" s="37" t="s">
        <v>120</v>
      </c>
      <c r="HE32" s="44"/>
      <c r="HF32" s="36">
        <f>SQRT((A32-$A$97)^2+(B32-$B$97)^2+(C32-$C$97)^2+(D32-$D$97)^2+(E32-$E$97)^2+(F32-$F$97)^2+(G32-$G$97)^2+(H32-$H$97)^2+(I32-$I$97)^2+(J32-$J$97)^2+(K32-$K$97)^2+(L32-$L$97)^2+(M32-$M$97)^2+(N32-$N$97)^2+(O32-$O$97)^2+(P32-$P$97)^2+(Q32-$Q$97)^2+(R32-$R$97)^2+(S32-$S$97)^2+(T32-$T$97)^2+(U32-$U$97)^2+(V32-$V$97)^2+(W32-$W$97)^2+(X32-$X$97)^2+(Y32-$Y$97)^2+(Z32-$Z$97)^2+(AA32-$AA$97)^2+(AB32-$AB$97)^2+(AC32-$AC$97)^2+(AD32-$AD$97)^2+(AE32-$AE$97)^2+(AF32-$AF$97)^2+(AG32-$AG$97)^2)</f>
        <v>0.98730881761293299</v>
      </c>
      <c r="HG32" s="36" t="s">
        <v>124</v>
      </c>
      <c r="HH32" s="37" t="s">
        <v>120</v>
      </c>
      <c r="HJ32" s="44"/>
      <c r="HK32" s="36">
        <f>SQRT((A32-$A$98)^2+(B32-$B$98)^2+(C32-$C$98)^2+(D32-$D$98)^2+(E32-$E$98)^2+(F32-$F$98)^2+(G32-$G$98)^2+(H32-$H$98)^2+(I32-$I$98)^2+(J32-$J$98)^2+(K32-$K$98)^2+(L32-$L$98)^2+(M32-$M$98)^2+(N32-$N$98)^2+(O32-$O$98)^2+(P32-$P$98)^2+(Q32-$Q$98)^2+(R32-$R$98)^2+(S32-$S$98)^2+(T32-$T$98)^2+(U32-$U$98)^2+(V32-$V$98)^2+(W32-$W$98)^2+(X32-$X$98)^2+(Y32-$Y$98)^2+(Z32-$Z$98)^2+(AA32-$AA$98)^2+(AB32-$AB$98)^2+(AC32-$AC$98)^2+(AD32-$AD$98)^2+(AE32-$AE$98)^2+(AF32-$AF$98)^2+(AG32-$AG$98)^2)</f>
        <v>0.98730881761293299</v>
      </c>
      <c r="HL32" s="36" t="s">
        <v>124</v>
      </c>
      <c r="HM32" s="37" t="s">
        <v>120</v>
      </c>
      <c r="HO32" s="44"/>
      <c r="HP32" s="36">
        <f>SQRT((A32-$A$99)^2+(B32-$B$99)^2+(C32-$C$99)^2+(D32-$D$99)^2+(E32-$E$99)^2+(F32-$F$99)^2+(G32-$G$99)^2+(H32-$H$99)^2+(I32-$I$99)^2+(J32-$J$99)^2+(K32-$K$99)^2+(L32-$L$99)^2+(M32-$M$99)^2+(N32-$N$99)^2+(O32-$O$99)^2+(P32-$P$99)^2+(Q32-$Q$99)^2+(R32-$R$99)^2+(S32-$S$99)^2+(T32-$T$99)^2+(U32-$U$99)^2+(V32-$V$99)^2+(W32-$W$99)^2+(X32-$X$99)^2+(Y32-$Y$99)^2+(Z32-$Z$99)^2+(AA32-$AA$99)^2+(AB32-$AB$99)^2+(AC32-$AC$99)^2+(AD32-$AD$99)^2+(AE32-$AE$99)^2+(AF32-$AF$99)^2+(AG32-$AG$99)^2)</f>
        <v>0.98730881761293299</v>
      </c>
      <c r="HQ32" s="36" t="s">
        <v>124</v>
      </c>
      <c r="HR32" s="37" t="s">
        <v>120</v>
      </c>
      <c r="HT32" s="44"/>
      <c r="HU32" s="36">
        <f>SQRT((A32-$A$100)^2+(B32-$B$100)^2+(C32-$C$100)^2+(D32-$D$100)^2+(E32-$E$100)^2+(F32-$F$100)^2+(G32-$G$100)^2+(H32-$H$100)^2+(I32-$I$100)^2+(J32-$J$100)^2+(K32-$K$100)^2+(L32-$L$100)^2+(M32-$M$100)^2+(N32-$N$100)^2+(O32-$O$100)^2+(P32-$P$100)^2+(Q32-$Q$100)^2+(R32-$R$100)^2+(S32-$S$100)^2+(T32-$T$100)^2+(U32-$U$100)^2+(V32-$V$100)^2+(W32-$W$100)^2+(X32-$X$100)^2+(Y32-$Y$100)^2+(Z32-$Z$100)^2+(AA32-$AA$100)^2+(AB32-$AB$100)^2+(AC32-$AC$100)^2+(AD32-$AD$100)^2+(AE32-$AE$100)^2+(AF32-$AF$100)^2+(AG32-$AG$100)^2)</f>
        <v>0.98730881761293299</v>
      </c>
      <c r="HV32" s="36" t="s">
        <v>124</v>
      </c>
      <c r="HW32" s="37" t="s">
        <v>120</v>
      </c>
      <c r="HY32" s="44"/>
      <c r="HZ32" s="36">
        <f>SQRT((A32-$A$101)^2+(B32-$B$101)^2+(C32-$C$101)^2+(D32-$D$101)^2+(E32-$E$101)^2+(F32-$F$101)^2+(G32-$G$101)^2+(H32-$H$101)^2+(I32-$I$101)^2+(J32-$J$101)^2+(K32-$K$101)^2+(L32-$L$101)^2+(M32-$M$101)^2+(N32-$N$101)^2+(O32-$O$101)^2+(P32-$P$101)^2+(Q32-$Q$101)^2+(R32-$R$101)^2+(S32-$S$101)^2+(T32-$T$101)^2+(U32-$U$101)^2+(V32-$V$101)^2+(W32-$W$101)^2+(X32-$X$101)^2+(Y32-$Y$101)^2+(Z32-$Z$101)^2+(AA32-$AA$101)^2+(AB32-$AB$101)^2+(AC32-$AC$101)^2+(AD32-$AD$101)^2+(AE32-$AE$101)^2+(AF32-$AF$101)^2+(AG32-$AG$101)^2)</f>
        <v>1.7960165769515948</v>
      </c>
      <c r="IA32" s="36" t="s">
        <v>334</v>
      </c>
      <c r="IB32" s="37" t="s">
        <v>120</v>
      </c>
    </row>
    <row r="33" spans="1:236" x14ac:dyDescent="0.35">
      <c r="A33" s="2">
        <v>1</v>
      </c>
      <c r="B33" s="2">
        <v>0.5</v>
      </c>
      <c r="C33" s="2">
        <v>0.23899371069182301</v>
      </c>
      <c r="D33" s="2">
        <v>0.66666666666666596</v>
      </c>
      <c r="E33" s="2">
        <v>0</v>
      </c>
      <c r="F33" s="2">
        <v>1</v>
      </c>
      <c r="G33" s="2">
        <v>0.55555555555555503</v>
      </c>
      <c r="H33" s="2">
        <v>1</v>
      </c>
      <c r="I33" s="2">
        <v>0.5</v>
      </c>
      <c r="J33" s="2">
        <v>0</v>
      </c>
      <c r="K33" s="2">
        <v>0</v>
      </c>
      <c r="L33" s="2">
        <v>0.2</v>
      </c>
      <c r="M33" s="2">
        <v>1</v>
      </c>
      <c r="N33" s="2">
        <v>0</v>
      </c>
      <c r="O33" s="2">
        <v>0</v>
      </c>
      <c r="P33" s="2">
        <v>0.4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0</v>
      </c>
      <c r="W33" s="2">
        <v>1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0.19565217391304299</v>
      </c>
      <c r="AH33" s="2" t="s">
        <v>121</v>
      </c>
      <c r="AI33" s="42"/>
      <c r="AJ33" s="42"/>
      <c r="AL33" s="44"/>
      <c r="AM33" s="36">
        <f>SQRT((A33-$A$62)^2+(B33-$B$62)^2+(C33-$C$62)^2+(D33-$D$62)^2+(E33-$E$62)^2+(F33-$F$62)^2+(G33-$G$62)^2+(H33-$H$62)^2+(I33-$I$62)^2+(J33-$J$62)^2+(K33-$K$62)^2+(L33-$L$62)^2+(M33-$M$62)^2+(N33-$N$62)^2+(O33-$O$62)^2+(P33-$P$62)^2+(Q33-$Q$62)^2+(R33-$R$62)^2+(S33-$S$62)^2+(T33-$T$62)^2+(U33-$U$62)^2+(V33-$V$62)^2+(W33-$W$62)^2+(X33-$X$62)^2+(Y33-$Y$62)^2+(Z33-$Z$62)^2+(AA33-$AA$62)^2+(AB33-$AB$62)^2+(AC33-$AC$62)^2+(AD33-$AD$62)^2+(AE33-$AE$62)^2+(AF33-$AF$62)^2+(AG33-$AG$62)^2)</f>
        <v>1.721663202255739</v>
      </c>
      <c r="AN33" s="36" t="s">
        <v>145</v>
      </c>
      <c r="AO33" s="37" t="s">
        <v>120</v>
      </c>
      <c r="AQ33" s="44"/>
      <c r="AR33" s="36">
        <f>SQRT((A33-$A$63)^2+(B33-$B$63)^2+(C33-$C$63)^2+(D33-$D$63)^2+(E33-$E$63)^2+(F33-$F$63)^2+(G33-$G$63)^2+(H33-$H$63)^2+(I33-$I$63)^2+(J33-$J$63)^2+(K33-$K$63)^2+(L33-$L$63)^2+(M33-$M$63)^2+(N33-$N$63)^2+(O33-$O$63)^2+(P33-$P$63)^2+(Q33-$Q$63)^2+(R33-$R$63)^2+(S33-$S$63)^2+(T33-$T$63)^2+(U33-$U$63)^2+(V33-$V$63)^2+(W33-$W$63)^2+(X33-$X$63)^2+(Y33-$Y$63)^2+(Z33-$Z$63)^2+(AA33-$AA$63)^2+(AB33-$AB$63)^2+(AC33-$AC$63)^2+(AD33-$AD$63)^2+(AE33-$AE$63)^2+(AF33-$AF$63)^2+(AG33-$AG$63)^2)</f>
        <v>1.21979341910295</v>
      </c>
      <c r="AS33" s="36" t="s">
        <v>150</v>
      </c>
      <c r="AT33" s="37" t="s">
        <v>120</v>
      </c>
      <c r="AV33" s="44"/>
      <c r="AW33" s="36">
        <f>SQRT((A33-$A$64)^2+(B33-$B$64)^2+(C33-$C$64)^2+(D33-$D$64)^2+(E33-$E$64)^2+(F33-$F$64)^2+(G33-$G$64)^2+(H33-$H$64)^2+(I33-$I$64)^2+(J33-$J$64)^2+(K33-$K$64)^2+(L33-$L$64)^2+(M33-$M$64)^2+(N33-$N$64)^2+(O33-$O$64)^2+(P33-$P$64)^2+(Q33-$Q$64)^2+(R33-$R$64)^2+(S33-$S$64)^2+(T33-$T$64)^2+(U33-$U$64)^2+(V33-$V$64)^2+(W33-$W$64)^2+(X33-$X$64)^2+(Y33-$Y$64)^2+(Z33-$Z$64)^2+(AA33-$AA$64)^2+(AB33-$AB$64)^2+(AC33-$AC$64)^2+(AD33-$AD$64)^2+(AE33-$AE$64)^2+(AF33-$AF$64)^2+(AG33-$AG$64)^2)</f>
        <v>1.21979341910295</v>
      </c>
      <c r="AX33" s="36" t="s">
        <v>150</v>
      </c>
      <c r="AY33" s="37" t="s">
        <v>120</v>
      </c>
      <c r="BA33" s="44"/>
      <c r="BB33" s="36">
        <f>SQRT((A33-$A$65)^2+(B33-$B$65)^2+(C33-$C$65)^2+(D33-$D$65)^2+(E33-$E$65)^2+(F33-$F$65)^2+(G33-$G$65)^2+(H33-$H$65)^2+(I33-$I$65)^2+(J33-$J$65)^2+(K33-$K$65)^2+(L33-$L$65)^2+(M33-$M$65)^2+(N33-$N$65)^2+(O33-$O$65)^2+(P33-$P$65)^2+(Q33-$Q$65)^2+(R33-$R$65)^2+(S33-$S$65)^2+(T33-$T$65)^2+(U33-$U$65)^2+(V33-$V$65)^2+(W33-$W$65)^2+(X33-$X$65)^2+(Y33-$Y$65)^2+(Z33-$Z$65)^2+(AA33-$AA$65)^2+(AB33-$AB$65)^2+(AC33-$AC$65)^2+(AD33-$AD$65)^2+(AE33-$AE$65)^2+(AF33-$AF$65)^2+(AG33-$AG$65)^2)</f>
        <v>1.21979341910295</v>
      </c>
      <c r="BC33" s="36" t="s">
        <v>150</v>
      </c>
      <c r="BD33" s="37" t="s">
        <v>120</v>
      </c>
      <c r="BF33" s="44"/>
      <c r="BG33" s="36">
        <f>SQRT((A33-$A$66)^2+(B33-$B$66)^2+(C33-$C$66)^2+(D33-$D$66)^2+(E33-$E$66)^2+(F33-$F$66)^2+(G33-$G$66)^2+(H33-$H$66)^2+(I33-$I$66)^2+(J33-$J$66)^2+(K33-$K$66)^2+(L33-$L$66)^2+(M33-$M$66)^2+(N33-$N$66)^2+(O33-$O$66)^2+(P33-$P$66)^2+(Q33-$Q$66)^2+(R33-$R$66)^2+(S33-$S$66)^2+(T33-$T$66)^2+(U33-$U$66)^2+(V33-$V$66)^2+(W33-$W$66)^2+(X33-$X$66)^2+(Y33-$Y$66)^2+(Z33-$Z$66)^2+(AA33-$AA$66)^2+(AB33-$AB$66)^2+(AC33-$AC$66)^2+(AD33-$AD$66)^2+(AE33-$AE$66)^2+(AF33-$AF$66)^2+(AG33-$AG$66)^2)</f>
        <v>1.21979341910295</v>
      </c>
      <c r="BH33" s="36" t="s">
        <v>150</v>
      </c>
      <c r="BI33" s="37" t="s">
        <v>120</v>
      </c>
      <c r="BK33" s="44"/>
      <c r="BL33" s="36">
        <f>SQRT((A33-$A$67)^2+(B33-$B$67)^2+(C33-$C$67)^2+(D33-$D$67)^2+(E33-$E$67)^2+(F33-$F$67)^2+(G33-$G$67)^2+(H33-$H$67)^2+(I33-$I$67)^2+(J33-$J$67)^2+(K33-$K$67)^2+(L33-$L$67)^2+(M33-$M$67)^2+(N33-$N$67)^2+(O33-$O$67)^2+(P33-$P$67)^2+(Q33-$Q$67)^2+(R33-$R$67)^2+(S33-$S$67)^2+(T33-$T$67)^2+(U33-$U$67)^2+(V33-$V$67)^2+(W33-$W$67)^2+(X33-$X$67)^2+(Y33-$Y$67)^2+(Z33-$Z$67)^2+(AA33-$AA$67)^2+(AB33-$AB$67)^2+(AC33-$AC$67)^2+(AD33-$AD$67)^2+(AE33-$AE$67)^2+(AF33-$AF$67)^2+(AG33-$AG$67)^2)</f>
        <v>1.21979341910295</v>
      </c>
      <c r="BM33" s="36" t="s">
        <v>150</v>
      </c>
      <c r="BN33" s="37" t="s">
        <v>120</v>
      </c>
      <c r="BP33" s="44"/>
      <c r="BQ33" s="36">
        <f>SQRT((A33-$A$68)^2+(B33-$B$68)^2+(C33-$C$68)^2+(D33-$D$68)^2+(E33-$E$68)^2+(F33-$F$68)^2+(G33-$G$68)^2+(H33-$H$68)^2+(I33-$I$68)^2+(J33-$J$68)^2+(K33-$K$68)^2+(L33-$L$68)^2+(M33-$M$68)^2+(N33-$N$68)^2+(O33-$O$68)^2+(P33-$P$68)^2+(Q33-$Q$68)^2+(R33-$R$68)^2+(S33-$S$68)^2+(T33-$T$68)^2+(U33-$U$68)^2+(V33-$V$68)^2+(W33-$W$68)^2+(X33-$X$68)^2+(Y33-$Y$68)^2+(Z33-$Z$68)^2+(AA33-$AA$68)^2+(AB33-$AB$68)^2+(AC33-$AC$68)^2+(AD33-$AD$68)^2+(AE33-$AE$68)^2+(AF33-$AF$68)^2+(AG33-$AG$68)^2)</f>
        <v>1.21979341910295</v>
      </c>
      <c r="BR33" s="36" t="s">
        <v>150</v>
      </c>
      <c r="BS33" s="37" t="s">
        <v>120</v>
      </c>
      <c r="BU33" s="44"/>
      <c r="BV33" s="36">
        <f>SQRT((A33-$A$69)^2+(B33-$B$69)^2+(C33-$C$69)^2+(D33-$D$69)^2+(E33-$E$69)^2+(F33-$F$69)^2+(G33-$G$69)^2+(H33-$H$69)^2+(I33-$I$69)^2+(J33-$J$69)^2+(K33-$K$69)^2+(L33-$L$69)^2+(M33-$M$69)^2+(N33-$N$69)^2+(O33-$O$69)^2+(P33-$P$69)^2+(Q33-$Q$69)^2+(R33-$R$69)^2+(S33-$S$69)^2+(T33-$T$69)^2+(U33-$U$69)^2+(V33-$V$69)^2+(W33-$W$69)^2+(X33-$X$69)^2+(Y33-$Y$69)^2+(Z33-$Z$69)^2+(AA33-$AA$69)^2+(AB33-$AB$69)^2+(AC33-$AC$69)^2+(AD33-$AD$69)^2+(AE33-$AE$69)^2+(AF33-$AF$69)^2+(AG33-$AG$69)^2)</f>
        <v>2.5514884715025592</v>
      </c>
      <c r="BW33" s="36" t="s">
        <v>151</v>
      </c>
      <c r="BX33" s="37" t="s">
        <v>120</v>
      </c>
      <c r="BZ33" s="44"/>
      <c r="CA33" s="36">
        <f>SQRT((A33-$A$70)^2+(B33-$B$70)^2+(C33-$C$70)^2+(D33-$D$70)^2+(E33-$E$70)^2+(F33-$F$70)^2+(G33-$G$70)^2+(H33-$H$70)^2+(I33-$I$70)^2+(J33-$J$70)^2+(K33-$K$70)^2+(L33-$L$70)^2+(M33-$M$70)^2+(N33-$N$70)^2+(O33-$O$70)^2+(P33-$P$70)^2+(Q33-$Q$70)^2+(R33-$R$70)^2+(S33-$S$70)^2+(T33-$T$70)^2+(U33-$U$70)^2+(V33-$V$70)^2+(W33-$W$70)^2+(X33-$X$70)^2+(Y33-$Y$70)^2+(Z33-$Z$70)^2+(AA33-$AA$70)^2+(AB33-$AB$70)^2+(AC33-$AC$70)^2+(AD33-$AD$70)^2+(AE33-$AE$70)^2+(AF33-$AF$70)^2+(AG33-$AG$70)^2)</f>
        <v>1.1931517552730297</v>
      </c>
      <c r="CB33" s="36" t="s">
        <v>322</v>
      </c>
      <c r="CC33" s="37" t="s">
        <v>120</v>
      </c>
      <c r="CE33" s="44"/>
      <c r="CF33" s="36">
        <f>SQRT((A33-$A$71)^2+(B33-$B$71)^2+(C33-$C$71)^2+(D33-$D$71)^2+(E33-$E$71)^2+(F33-$F$71)^2+(G33-$G$71)^2+(H33-$H$71)^2+(I33-$I$71)^2+(J33-$J$71)^2+(K33-$K$71)^2+(L33-$L$71)^2+(M33-$M$71)^2+(N33-$N$71)^2+(O33-$O$71)^2+(P33-$P$71)^2+(Q33-$Q$71)^2+(R33-$R$71)^2+(S33-$S$71)^2+(T33-$T$71)^2+(U33-$U$71)^2+(V33-$V$71)^2+(W33-$W$71)^2+(X33-$X$71)^2+(Y33-$Y$71)^2+(Z33-$Z$71)^2+(AA33-$AA$71)^2+(AB33-$AB$71)^2+(AC33-$AC$71)^2+(AD33-$AD$71)^2+(AE33-$AE$71)^2+(AF33-$AF$71)^2+(AG33-$AG$71)^2)</f>
        <v>0.70710678118654757</v>
      </c>
      <c r="CG33" s="36" t="s">
        <v>134</v>
      </c>
      <c r="CH33" s="37" t="s">
        <v>120</v>
      </c>
      <c r="CJ33" s="44"/>
      <c r="CK33" s="36">
        <f>SQRT((A33-$A$72)^2+(B33-$B$72)^2+(C33-$C$72)^2+(D33-$D$72)^2+(E33-$E$72)^2+(F33-$F$72)^2+(G33-$G$72)^2+(H33-$H$72)^2+(I33-$I$72)^2+(J33-$J$72)^2+(K33-$K$72)^2+(L33-$L$72)^2+(M33-$M$72)^2+(N33-$N$72)^2+(O33-$O$72)^2+(P33-$P$72)^2+(Q33-$Q$72)^2+(R33-$R$72)^2+(S33-$S$72)^2+(T33-$T$72)^2+(U33-$U$72)^2+(V33-$V$72)^2+(W33-$W$72)^2+(X33-$X$72)^2+(Y33-$Y$72)^2+(Z33-$Z$72)^2+(AA33-$AA$72)^2+(AB33-$AB$72)^2+(AC33-$AC$72)^2+(AD33-$AD$72)^2+(AE33-$AE$72)^2+(AF33-$AF$72)^2+(AG33-$AG$72)^2)</f>
        <v>0.93829698633636294</v>
      </c>
      <c r="CL33" s="36" t="s">
        <v>324</v>
      </c>
      <c r="CM33" s="37" t="s">
        <v>120</v>
      </c>
      <c r="CO33" s="44"/>
      <c r="CP33" s="36">
        <f>SQRT((A33-$A$73)^2+(B33-$B$73)^2+(C33-$C$73)^2+(D33-$D$73)^2+(E33-$E$73)^2+(F33-$F$73)^2+(G33-$G$73)^2+(H33-$H$73)^2+(I33-$I$73)^2+(J33-$J$73)^2+(K33-$K$73)^2+(L33-$L$73)^2+(M33-$M$73)^2+(N33-$N$73)^2+(O33-$O$73)^2+(P33-$P$73)^2+(Q33-$Q$73)^2+(R33-$R$73)^2+(S33-$S$73)^2+(T33-$T$73)^2+(U33-$U$73)^2+(V33-$V$73)^2+(W33-$W$73)^2+(X33-$X$73)^2+(Y33-$Y$73)^2+(Z33-$Z$73)^2+(AA33-$AA$73)^2+(AB33-$AB$73)^2+(AC33-$AC$73)^2+(AD33-$AD$73)^2+(AE33-$AE$73)^2+(AF33-$AF$73)^2+(AG33-$AG$73)^2)</f>
        <v>1.5981627520379416</v>
      </c>
      <c r="CQ33" s="36" t="s">
        <v>339</v>
      </c>
      <c r="CR33" s="37" t="s">
        <v>120</v>
      </c>
      <c r="CT33" s="44"/>
      <c r="CU33" s="36">
        <f>SQRT((A33-$A$74)^2+(B33-$B$74)^2+(C33-$C$74)^2+(D33-$D$74)^2+(E33-$E$74)^2+(F33-$F$74)^2+(G33-$G$74)^2+(H33-$H$74)^2+(I33-$I$74)^2+(J33-$J$74)^2+(K33-$K$74)^2+(L33-$L$74)^2+(M33-$M$74)^2+(N33-$N$74)^2+(O33-$O$74)^2+(P33-$P$74)^2+(Q33-$Q$74)^2+(R33-$R$74)^2+(S33-$S$74)^2+(T33-$T$74)^2+(U33-$U$74)^2+(V33-$V$74)^2+(W33-$W$74)^2+(X33-$X$74)^2+(Y33-$Y$74)^2+(Z33-$Z$74)^2+(AA33-$AA$74)^2+(AB33-$AB$74)^2+(AC33-$AC$74)^2+(AD33-$AD$74)^2+(AE33-$AE$74)^2+(AF33-$AF$74)^2+(AG33-$AG$74)^2)</f>
        <v>1.1830806132960856</v>
      </c>
      <c r="CV33" s="36" t="s">
        <v>335</v>
      </c>
      <c r="CW33" s="37" t="s">
        <v>120</v>
      </c>
      <c r="CY33" s="44"/>
      <c r="CZ33" s="36">
        <f>SQRT((A33-$A$75)^2+(B33-$B$75)^2+(C33-$C$75)^2+(D33-$D$75)^2+(E33-$E$75)^2+(F33-$F$75)^2+(G33-$G$75)^2+(H33-$H$75)^2+(I33-$I$75)^2+(J33-$J$75)^2+(K33-$K$75)^2+(L33-$L$75)^2+(M33-$M$75)^2+(N33-$N$75)^2+(O33-$O$75)^2+(P33-$P$75)^2+(Q33-$Q$75)^2+(R33-$R$75)^2+(S33-$S$75)^2+(T33-$T$75)^2+(U33-$U$75)^2+(V33-$V$75)^2+(W33-$W$75)^2+(X33-$X$75)^2+(Y33-$Y$75)^2+(Z33-$Z$75)^2+(AA33-$AA$75)^2+(AB33-$AB$75)^2+(AC33-$AC$75)^2+(AD33-$AD$75)^2+(AE33-$AE$75)^2+(AF33-$AF$75)^2+(AG33-$AG$75)^2)</f>
        <v>1.3431768989978528</v>
      </c>
      <c r="DA33" s="36" t="s">
        <v>133</v>
      </c>
      <c r="DB33" s="37" t="s">
        <v>120</v>
      </c>
      <c r="DD33" s="44"/>
      <c r="DE33" s="36">
        <f>SQRT((A33-$A$76)^2+(B33-$B$76)^2+(C33-$C$76)^2+(D33-$D$76)^2+(E33-$E$76)^2+(F33-$F$76)^2+(G33-$G$76)^2+(H33-$H$76)^2+(I33-$I$76)^2+(J33-$J$76)^2+(K33-$K$76)^2+(L33-$L$76)^2+(M33-$M$76)^2+(N33-$N$76)^2+(O33-$O$76)^2+(P33-$P$76)^2+(Q33-$Q$76)^2+(R33-$R$76)^2+(S33-$S$76)^2+(T33-$T$76)^2+(U33-$U$76)^2+(V33-$V$76)^2+(W33-$W$76)^2+(X33-$X$76)^2+(Y33-$Y$76)^2+(Z33-$Z$76)^2+(AA33-$AA$76)^2+(AB33-$AB$76)^2+(AC33-$AC$76)^2+(AD33-$AD$76)^2+(AE33-$AE$76)^2+(AF33-$AF$76)^2+(AG33-$AG$76)^2)</f>
        <v>1.1351513671955518</v>
      </c>
      <c r="DF33" s="36" t="s">
        <v>141</v>
      </c>
      <c r="DG33" s="37" t="s">
        <v>120</v>
      </c>
      <c r="DI33" s="44"/>
      <c r="DJ33" s="36">
        <f>SQRT((A33-$A$77)^2+(B33-$B$77)^2+(C33-$C$77)^2+(D33-$D$77)^2+(E33-$E$77)^2+(F33-$F$77)^2+(G33-$G$77)^2+(H33-$H$77)^2+(I33-$I$77)^2+(J33-$J$77)^2+(K33-$K$77)^2+(L33-$L$77)^2+(M33-$M$77)^2+(N33-$N$77)^2+(O33-$O$77)^2+(P33-$P$77)^2+(Q33-$Q$77)^2+(R33-$R$77)^2+(S33-$S$77)^2+(T33-$T$77)^2+(U33-$U$77)^2+(V33-$V$77)^2+(W33-$W$77)^2+(X33-$X$77)^2+(Y33-$Y$77)^2+(Z33-$Z$77)^2+(AA33-$AA$77)^2+(AB33-$AB$77)^2+(AC33-$AC$77)^2+(AD33-$AD$77)^2+(AE33-$AE$77)^2+(AF33-$AF$77)^2+(AG33-$AG$77)^2)</f>
        <v>1.9381174459800905</v>
      </c>
      <c r="DK33" s="36" t="s">
        <v>138</v>
      </c>
      <c r="DL33" s="37" t="s">
        <v>120</v>
      </c>
      <c r="DN33" s="44"/>
      <c r="DO33" s="36">
        <f>SQRT((A33-$A$78)^2+(B33-$B$78)^2+(C33-$C$78)^2+(D33-$D$78)^2+(E33-$E$78)^2+(F33-$F$78)^2+(G33-$G$78)^2+(H33-$H$78)^2+(I33-$I$78)^2+(J33-$J$78)^2+(K33-$K$78)^2+(L33-$L$78)^2+(M33-$M$78)^2+(N33-$N$78)^2+(O33-$O$78)^2+(P33-$P$78)^2+(Q33-$Q$78)^2+(R33-$R$78)^2+(S33-$S$78)^2+(T33-$T$78)^2+(U33-$U$78)^2+(V33-$V$78)^2+(W33-$W$78)^2+(X33-$X$78)^2+(Y33-$Y$78)^2+(Z33-$Z$78)^2+(AA33-$AA$78)^2+(AB33-$AB$78)^2+(AC33-$AC$78)^2+(AD33-$AD$78)^2+(AE33-$AE$78)^2+(AF33-$AF$78)^2+(AG33-$AG$78)^2)</f>
        <v>1.4147658598491457</v>
      </c>
      <c r="DP33" s="36" t="s">
        <v>317</v>
      </c>
      <c r="DQ33" s="37" t="s">
        <v>120</v>
      </c>
      <c r="DS33" s="44"/>
      <c r="DT33" s="36">
        <f>SQRT((A33-$A$79)^2+(B33-$B$79)^2+(C33-$C$79)^2+(D33-$D$79)^2+(E33-$E$79)^2+(F33-$F$79)^2+(G33-$G$79)^2+(H33-$H$79)^2+(I33-$I$79)^2+(J33-$J$79)^2+(K33-$K$79)^2+(L33-$L$79)^2+(M33-$M$79)^2+(N33-$N$79)^2+(O33-$O$79)^2+(P33-$P$79)^2+(Q33-$Q$79)^2+(R33-$R$79)^2+(S33-$S$79)^2+(T33-$T$79)^2+(U33-$U$79)^2+(V33-$V$79)^2+(W33-$W$79)^2+(X33-$X$79)^2+(Y33-$Y$79)^2+(Z33-$Z$79)^2+(AA33-$AA$79)^2+(AB33-$AB$79)^2+(AC33-$AC$79)^2+(AD33-$AD$79)^2+(AE33-$AE$79)^2+(AF33-$AF$79)^2+(AG33-$AG$79)^2)</f>
        <v>0.60232880000858424</v>
      </c>
      <c r="DU33" s="36" t="s">
        <v>142</v>
      </c>
      <c r="DV33" s="37" t="s">
        <v>120</v>
      </c>
      <c r="DX33" s="44"/>
      <c r="DY33" s="36">
        <f>SQRT((A33-$A$80)^2+(B33-$B$80)^2+(C33-$C$80)^2+(D33-$D$80)^2+(E33-$E$80)^2+(F33-$F$80)^2+(G33-$G$80)^2+(H33-$H$80)^2+(I33-$I$80)^2+(J33-$J$80)^2+(K33-$K$80)^2+(L33-$L$80)^2+(M33-$M$80)^2+(N33-$N$80)^2+(O33-$O$80)^2+(P33-$P$80)^2+(Q33-$Q$80)^2+(R33-$R$80)^2+(S33-$S$80)^2+(T33-$T$80)^2+(U33-$U$80)^2+(V33-$V$80)^2+(W33-$W$80)^2+(X33-$X$80)^2+(Y33-$Y$80)^2+(Z33-$Z$80)^2+(AA33-$AA$80)^2+(AB33-$AB$80)^2+(AC33-$AC$80)^2+(AD33-$AD$80)^2+(AE33-$AE$80)^2+(AF33-$AF$80)^2+(AG33-$AG$80)^2)</f>
        <v>1.6106285052741016</v>
      </c>
      <c r="DZ33" s="36" t="s">
        <v>321</v>
      </c>
      <c r="EA33" s="37" t="s">
        <v>120</v>
      </c>
      <c r="EC33" s="44"/>
      <c r="ED33" s="36">
        <f>SQRT((A33-$A$81)^2+(B33-$B$81)^2+(C33-$C$81)^2+(D33-$D$81)^2+(E33-$E$81)^2+(F33-$F$81)^2+(G33-$G$81)^2+(H33-$H$81)^2+(I33-$I$81)^2+(J33-$J$81)^2+(K33-$K$81)^2+(L33-$L$81)^2+(M33-$M$81)^2+(N33-$N$81)^2+(O33-$O$81)^2+(P33-$P$81)^2+(Q33-$Q$81)^2+(R33-$R$81)^2+(S33-$S$81)^2+(T33-$T$81)^2+(U33-$U$81)^2+(V33-$V$81)^2+(W33-$W$81)^2+(X33-$X$81)^2+(Y33-$Y$81)^2+(Z33-$Z$81)^2+(AA33-$AA$81)^2+(AB33-$AB$81)^2+(AC33-$AC$81)^2+(AD33-$AD$81)^2+(AE33-$AE$81)^2+(AF33-$AF$81)^2+(AG33-$AG$81)^2)</f>
        <v>1.6702820753847512</v>
      </c>
      <c r="EE33" s="36" t="s">
        <v>338</v>
      </c>
      <c r="EF33" s="37" t="s">
        <v>120</v>
      </c>
      <c r="EH33" s="44"/>
      <c r="EI33" s="36">
        <f>SQRT((A33-$A$82)^2+(B33-$B$82)^2+(C33-$C$82)^2+(D33-$D$82)^2+(E33-$E$82)^2+(F33-$F$82)^2+(G33-$G$82)^2+(H33-$H$82)^2+(I33-$I$82)^2+(J33-$J$82)^2+(K33-$K$82)^2+(L33-$L$82)^2+(M33-$M$82)^2+(N33-$N$82)^2+(O33-$O$82)^2+(P33-$P$82)^2+(Q33-$Q$82)^2+(R33-$R$82)^2+(S33-$S$82)^2+(T33-$T$82)^2+(U33-$U$82)^2+(V33-$V$82)^2+(W33-$W$82)^2+(X33-$X$82)^2+(Y33-$Y$82)^2+(Z33-$Z$82)^2+(AA33-$AA$82)^2+(AB33-$AB$82)^2+(AC33-$AC$82)^2+(AD33-$AD$82)^2+(AE33-$AE$82)^2+(AF33-$AF$82)^2+(AG33-$AG$82)^2)</f>
        <v>1.7505586308249428</v>
      </c>
      <c r="EJ33" s="36" t="s">
        <v>153</v>
      </c>
      <c r="EK33" s="37" t="s">
        <v>120</v>
      </c>
      <c r="EM33" s="44"/>
      <c r="EN33" s="36">
        <f>SQRT((A33-$A$83)^2+(B33-$B$83)^2+(C33-$C$83)^2+(D33-$D$83)^2+(E33-$E$83)^2+(F33-$F$83)^2+(G33-$G$83)^2+(H33-$H$83)^2+(I33-$I$83)^2+(J33-$J$83)^2+(K33-$K$83)^2+(L33-$L$83)^2+(M33-$M$83)^2+(N33-$N$83)^2+(O33-$O$83)^2+(P33-$P$83)^2+(Q33-$Q$83)^2+(R33-$R$83)^2+(S33-$S$83)^2+(T33-$T$83)^2+(U33-$U$83)^2+(V33-$V$83)^2+(W33-$W$83)^2+(X33-$X$83)^2+(Y33-$Y$83)^2+(Z33-$Z$83)^2+(AA33-$AA$83)^2+(AB33-$AB$83)^2+(AC33-$AC$83)^2+(AD33-$AD$83)^2+(AE33-$AE$83)^2+(AF33-$AF$83)^2+(AG33-$AG$83)^2)</f>
        <v>1.2637713376043338</v>
      </c>
      <c r="EO33" s="36" t="s">
        <v>319</v>
      </c>
      <c r="EP33" s="37" t="s">
        <v>120</v>
      </c>
      <c r="ER33" s="44"/>
      <c r="ES33" s="36">
        <f>SQRT((A33-$A$84)^2+(B33-$B$84)^2+(C33-$C$84)^2+(D33-$D$84)^2+(E33-$E$84)^2+(F33-$F$84)^2+(G33-$G$84)^2+(H33-$H$84)^2+(I33-$I$84)^2+(J33-$J$84)^2+(K33-$K$84)^2+(L33-$L$84)^2+(M33-$M$84)^2+(N33-$N$84)^2+(O33-$O$84)^2+(P33-$P$84)^2+(Q33-$Q$84)^2+(R33-$R$84)^2+(S33-$S$84)^2+(T33-$T$84)^2+(U33-$U$84)^2+(V33-$V$84)^2+(W33-$W$84)^2+(X33-$X$84)^2+(Y33-$Y$84)^2+(Z33-$Z$84)^2+(AA33-$AA$84)^2+(AB33-$AB$84)^2+(AC33-$AC$84)^2+(AD33-$AD$84)^2+(AE33-$AE$84)^2+(AF33-$AF$84)^2+(AG33-$AG$84)^2)</f>
        <v>1.21979341910295</v>
      </c>
      <c r="ET33" s="36" t="s">
        <v>150</v>
      </c>
      <c r="EU33" s="37" t="s">
        <v>120</v>
      </c>
      <c r="EW33" s="44"/>
      <c r="EX33" s="36">
        <f>SQRT((A33-$A$85)^2+(B33-$B$85)^2+(C33-$C$85)^2+(D33-$D$85)^2+(E33-$E$85)^2+(F33-$F$85)^2+(G33-$G$85)^2+(H33-$H$85)^2+(I33-$I$85)^2+(J33-$J$85)^2+(K33-$K$85)^2+(L33-$L$85)^2+(M33-$M$85)^2+(N33-$N$85)^2+(O33-$O$85)^2+(P33-$P$85)^2+(Q33-$Q$85)^2+(R33-$R$85)^2+(S33-$S$85)^2+(T33-$T$85)^2+(U33-$U$85)^2+(V33-$V$85)^2+(W33-$W$85)^2+(X33-$X$85)^2+(Y33-$Y$85)^2+(Z33-$Z$85)^2+(AA33-$AA$85)^2+(AB33-$AB$85)^2+(AC33-$AC$85)^2+(AD33-$AD$85)^2+(AE33-$AE$85)^2+(AF33-$AF$85)^2+(AG33-$AG$85)^2)</f>
        <v>1.21979341910295</v>
      </c>
      <c r="EY33" s="36" t="s">
        <v>150</v>
      </c>
      <c r="EZ33" s="37" t="s">
        <v>120</v>
      </c>
      <c r="FB33" s="44"/>
      <c r="FC33" s="36">
        <f>SQRT((A33-$A$86)^2+(B33-$B$86)^2+(C33-$C$86)^2+(D33-$D$86)^2+(E33-$E$86)^2+(F33-$F$86)^2+(G33-$G$86)^2+(H33-$H$86)^2+(I33-$I$86)^2+(J33-$J$86)^2+(K33-$K$86)^2+(L33-$L$86)^2+(M33-$M$86)^2+(N33-$N$86)^2+(O33-$O$86)^2+(P33-$P$86)^2+(Q33-$Q$86)^2+(R33-$R$86)^2+(S33-$S$86)^2+(T33-$T$86)^2+(U33-$U$86)^2+(V33-$V$86)^2+(W33-$W$86)^2+(X33-$X$86)^2+(Y33-$Y$86)^2+(Z33-$Z$86)^2+(AA33-$AA$86)^2+(AB33-$AB$86)^2+(AC33-$AC$86)^2+(AD33-$AD$86)^2+(AE33-$AE$86)^2+(AF33-$AF$86)^2+(AG33-$AG$86)^2)</f>
        <v>1.21979341910295</v>
      </c>
      <c r="FD33" s="36" t="s">
        <v>150</v>
      </c>
      <c r="FE33" s="37" t="s">
        <v>120</v>
      </c>
      <c r="FG33" s="44"/>
      <c r="FH33" s="36">
        <f>SQRT((A33-$A$87)^2+(B33-$B$87)^2+(C33-$C$87)^2+(D33-$D$87)^2+(E33-$E$87)^2+(F33-$F$87)^2+(G33-$G$87)^2+(H33-$H$87)^2+(I33-$I$87)^2+(J33-$J$87)^2+(K33-$K$87)^2+(L33-$L$87)^2+(M33-$M$87)^2+(N33-$N$87)^2+(O33-$O$87)^2+(P33-$P$87)^2+(Q33-$Q$87)^2+(R33-$R$87)^2+(S33-$S$87)^2+(T33-$T$87)^2+(U33-$U$87)^2+(V33-$V$87)^2+(W33-$W$87)^2+(X33-$X$87)^2+(Y33-$Y$87)^2+(Z33-$Z$87)^2+(AA33-$AA$87)^2+(AB33-$AB$87)^2+(AC33-$AC$87)^2+(AD33-$AD$87)^2+(AE33-$AE$87)^2+(AF33-$AF$87)^2+(AG33-$AG$87)^2)</f>
        <v>1.4014721481361971</v>
      </c>
      <c r="FI33" s="36" t="s">
        <v>124</v>
      </c>
      <c r="FJ33" s="37" t="s">
        <v>120</v>
      </c>
      <c r="FL33" s="44"/>
      <c r="FM33" s="36">
        <f>SQRT((A33-$A$88)^2+(B33-$B$88)^2+(C33-$C$88)^2+(D33-$D$88)^2+(E33-$E$88)^2+(F33-$F$88)^2+(G33-$G$88)^2+(H33-$H$88)^2+(I33-$I$88)^2+(J33-$J$88)^2+(K33-$K$88)^2+(L33-$L$88)^2+(M33-$M$88)^2+(N33-$N$88)^2+(O33-$O$88)^2+(P33-$P$88)^2+(Q33-$Q$88)^2+(R33-$R$88)^2+(S33-$S$88)^2+(T33-$T$88)^2+(U33-$U$88)^2+(V33-$V$88)^2+(W33-$W$88)^2+(X33-$X$88)^2+(Y33-$Y$88)^2+(Z33-$Z$88)^2+(AA33-$AA$88)^2+(AB33-$AB$88)^2+(AC33-$AC$88)^2+(AD33-$AD$88)^2+(AE33-$AE$88)^2+(AF33-$AF$88)^2+(AG33-$AG$88)^2)</f>
        <v>0.80363756341608006</v>
      </c>
      <c r="FN33" s="36" t="s">
        <v>325</v>
      </c>
      <c r="FO33" s="37" t="s">
        <v>120</v>
      </c>
      <c r="FQ33" s="44"/>
      <c r="FR33" s="36">
        <f>SQRT((A33-$A$89)^2+(B33-$B$89)^2+(C33-$C$89)^2+(D33-$D$89)^2+(E33-$E$89)^2+(F33-$F$89)^2+(G33-$G$89)^2+(H33-$H$89)^2+(I33-$I$89)^2+(J33-$J$89)^2+(K33-$K$89)^2+(L33-$L$89)^2+(M33-$M$89)^2+(N33-$N$89)^2+(O33-$O$89)^2+(P33-$P$89)^2+(Q33-$Q$89)^2+(R33-$R$89)^2+(S33-$S$89)^2+(T33-$T$89)^2+(U33-$U$89)^2+(V33-$V$89)^2+(W33-$W$89)^2+(X33-$X$89)^2+(Y33-$Y$89)^2+(Z33-$Z$89)^2+(AA33-$AA$89)^2+(AB33-$AB$89)^2+(AC33-$AC$89)^2+(AD33-$AD$89)^2+(AE33-$AE$89)^2+(AF33-$AF$89)^2+(AG33-$AG$89)^2)</f>
        <v>1.4620046222002239</v>
      </c>
      <c r="FS33" s="36" t="s">
        <v>154</v>
      </c>
      <c r="FT33" s="37" t="s">
        <v>120</v>
      </c>
      <c r="FV33" s="44"/>
      <c r="FW33" s="36">
        <f>SQRT((A33-$A$90)^2+(B33-$B$90)^2+(C33-$C$90)^2+(D33-$D$90)^2+(E33-$E$90)^2+(F33-$F$90)^2+(G33-$G$90)^2+(H33-$H$90)^2+(I33-$I$90)^2+(J33-$J$90)^2+(K33-$K$90)^2+(L33-$L$90)^2+(M33-$M$90)^2+(N33-$N$90)^2+(O33-$O$90)^2+(P33-$P$90)^2+(Q33-$Q$90)^2+(R33-$R$90)^2+(S33-$S$90)^2+(T33-$T$90)^2+(U33-$U$90)^2+(V33-$V$90)^2+(W33-$W$90)^2+(X33-$X$90)^2+(Y33-$Y$90)^2+(Z33-$Z$90)^2+(AA33-$AA$90)^2+(AB33-$AB$90)^2+(AC33-$AC$90)^2+(AD33-$AD$90)^2+(AE33-$AE$90)^2+(AF33-$AF$90)^2+(AG33-$AG$90)^2)</f>
        <v>1.5461557528118499</v>
      </c>
      <c r="FX33" s="36" t="s">
        <v>142</v>
      </c>
      <c r="FY33" s="37" t="s">
        <v>120</v>
      </c>
      <c r="GA33" s="44"/>
      <c r="GB33" s="36">
        <f>SQRT((A33-$A$91)^2+(B33-$B$91)^2+(C33-$C$91)^2+(D33-$D$91)^2+(E33-$E$91)^2+(F33-$F$91)^2+(G33-$G$91)^2+(H33-$H$91)^2+(I33-$I$91)^2+(J33-$J$91)^2+(K33-$K$91)^2+(L33-$L$91)^2+(M33-$M$91)^2+(N33-$N$91)^2+(O33-$O$91)^2+(P33-$P$91)^2+(Q33-$Q$91)^2+(R33-$R$91)^2+(S33-$S$91)^2+(T33-$T$91)^2+(U33-$U$91)^2+(V33-$V$91)^2+(W33-$W$91)^2+(X33-$X$91)^2+(Y33-$Y$91)^2+(Z33-$Z$91)^2+(AA33-$AA$91)^2+(AB33-$AB$91)^2+(AC33-$AC$91)^2+(AD33-$AD$91)^2+(AE33-$AE$91)^2+(AF33-$AF$91)^2+(AG33-$AG$91)^2)</f>
        <v>2.2493878262749853</v>
      </c>
      <c r="GC33" s="36" t="s">
        <v>128</v>
      </c>
      <c r="GD33" s="37" t="s">
        <v>120</v>
      </c>
      <c r="GF33" s="44"/>
      <c r="GG33" s="36">
        <f>SQRT((A33-$A$92)^2+(B33-$B$92)^2+(C33-$C$92)^2+(D33-$D$92)^2+(E33-$E$92)^2+(F33-$F$92)^2+(G33-$G$92)^2+(H33-$H$92)^2+(I33-$I$92)^2+(J33-$J$92)^2+(K33-$K$92)^2+(L33-$L$92)^2+(M33-$M$92)^2+(N33-$N$92)^2+(O33-$O$92)^2+(P33-$P$92)^2+(Q33-$Q$92)^2+(R33-$R$92)^2+(S33-$S$92)^2+(T33-$T$92)^2+(U33-$U$92)^2+(V33-$V$92)^2+(W33-$W$92)^2+(X33-$X$92)^2+(Y33-$Y$92)^2+(Z33-$Z$92)^2+(AA33-$AA$92)^2+(AB33-$AB$92)^2+(AC33-$AC$92)^2+(AD33-$AD$92)^2+(AE33-$AE$92)^2+(AF33-$AF$92)^2+(AG33-$AG$92)^2)</f>
        <v>1.4361406616345072</v>
      </c>
      <c r="GH33" s="36" t="s">
        <v>314</v>
      </c>
      <c r="GI33" s="37" t="s">
        <v>120</v>
      </c>
      <c r="GK33" s="44"/>
      <c r="GL33" s="36">
        <f>SQRT((A33-$A$93)^2+(B33-$B$93)^2+(C33-$C$93)^2+(D33-$D$93)^2+(E33-$E$93)^2+(F33-$F$93)^2+(G33-$G$93)^2+(H33-$H$93)^2+(I33-$I$93)^2+(J33-$J$93)^2+(K33-$K$93)^2+(L33-$L$93)^2+(M33-$M$93)^2+(N33-$N$93)^2+(O33-$O$93)^2+(P33-$P$93)^2+(Q33-$Q$93)^2+(R33-$R$93)^2+(S33-$S$93)^2+(T33-$T$93)^2+(U33-$U$93)^2+(V33-$V$93)^2+(W33-$W$93)^2+(X33-$X$93)^2+(Y33-$Y$93)^2+(Z33-$Z$93)^2+(AA33-$AA$93)^2+(AB33-$AB$93)^2+(AC33-$AC$93)^2+(AD33-$AD$93)^2+(AE33-$AE$93)^2+(AF33-$AF$93)^2+(AG33-$AG$93)^2)</f>
        <v>2.3246706044257239</v>
      </c>
      <c r="GM33" s="36" t="s">
        <v>128</v>
      </c>
      <c r="GN33" s="37" t="s">
        <v>120</v>
      </c>
      <c r="GP33" s="44"/>
      <c r="GQ33" s="36">
        <f>SQRT((A33-$A$94)^2+(B33-$B$94)^2+(C33-$C$94)^2+(D33-$D$94)^2+(E33-$E$94)^2+(F33-$F$94)^2+(G33-$G$94)^2+(H33-$H$94)^2+(I33-$I$94)^2+(J33-$J$94)^2+(K33-$K$94)^2+(L33-$L$94)^2+(M33-$M$94)^2+(N33-$N$94)^2+(O33-$O$94)^2+(P33-$P$94)^2+(Q33-$Q$94)^2+(R33-$R$94)^2+(S33-$S$94)^2+(T33-$T$94)^2+(U33-$U$94)^2+(V33-$V$94)^2+(W33-$W$94)^2+(X33-$X$94)^2+(Y33-$Y$94)^2+(Z33-$Z$94)^2+(AA33-$AA$94)^2+(AB33-$AB$94)^2+(AC33-$AC$94)^2+(AD33-$AD$94)^2+(AE33-$AE$94)^2+(AF33-$AF$94)^2+(AG33-$AG$94)^2)</f>
        <v>1.6858924336189056</v>
      </c>
      <c r="GR33" s="36" t="s">
        <v>322</v>
      </c>
      <c r="GS33" s="37" t="s">
        <v>120</v>
      </c>
      <c r="GU33" s="44"/>
      <c r="GV33" s="36">
        <f>SQRT((A33-$A$95)^2+(B33-$B$95)^2+(C33-$C$95)^2+(D33-$D$95)^2+(E33-$E$95)^2+(F33-$F$95)^2+(G33-$G$95)^2+(H33-$H$95)^2+(I33-$I$95)^2+(J33-$J$95)^2+(K33-$K$95)^2+(L33-$L$95)^2+(M33-$M$95)^2+(N33-$N$95)^2+(O33-$O$95)^2+(P33-$P$95)^2+(Q33-$Q$95)^2+(R33-$R$95)^2+(S33-$S$95)^2+(T33-$T$95)^2+(U33-$U$95)^2+(V33-$V$95)^2+(W33-$W$95)^2+(X33-$X$95)^2+(Y33-$Y$95)^2+(Z33-$Z$95)^2+(AA33-$AA$95)^2+(AB33-$AB$95)^2+(AC33-$AC$95)^2+(AD33-$AD$95)^2+(AE33-$AE$95)^2+(AF33-$AF$95)^2+(AG33-$AG$95)^2)</f>
        <v>2.3045505684325311</v>
      </c>
      <c r="GW33" s="36" t="s">
        <v>136</v>
      </c>
      <c r="GX33" s="37" t="s">
        <v>120</v>
      </c>
      <c r="GZ33" s="44"/>
      <c r="HA33" s="36">
        <f>SQRT((A33-$A$96)^2+(B33-$B$96)^2+(C33-$C$96)^2+(D33-$D$96)^2+(E33-$E$96)^2+(F33-$F$96)^2+(G33-$G$96)^2+(H33-$H$96)^2+(I33-$I$96)^2+(J33-$J$96)^2+(K33-$K$96)^2+(L33-$L$96)^2+(M33-$M$96)^2+(N33-$N$96)^2+(O33-$O$96)^2+(P33-$P$96)^2+(Q33-$Q$96)^2+(R33-$R$96)^2+(S33-$S$96)^2+(T33-$T$96)^2+(U33-$U$96)^2+(V33-$V$96)^2+(W33-$W$96)^2+(X33-$X$96)^2+(Y33-$Y$96)^2+(Z33-$Z$96)^2+(AA33-$AA$96)^2+(AB33-$AB$96)^2+(AC33-$AC$96)^2+(AD33-$AD$96)^2+(AE33-$AE$96)^2+(AF33-$AF$96)^2+(AG33-$AG$96)^2)</f>
        <v>2.2890701630469064</v>
      </c>
      <c r="HB33" s="36" t="s">
        <v>321</v>
      </c>
      <c r="HC33" s="37" t="s">
        <v>120</v>
      </c>
      <c r="HE33" s="44"/>
      <c r="HF33" s="36">
        <f>SQRT((A33-$A$97)^2+(B33-$B$97)^2+(C33-$C$97)^2+(D33-$D$97)^2+(E33-$E$97)^2+(F33-$F$97)^2+(G33-$G$97)^2+(H33-$H$97)^2+(I33-$I$97)^2+(J33-$J$97)^2+(K33-$K$97)^2+(L33-$L$97)^2+(M33-$M$97)^2+(N33-$N$97)^2+(O33-$O$97)^2+(P33-$P$97)^2+(Q33-$Q$97)^2+(R33-$R$97)^2+(S33-$S$97)^2+(T33-$T$97)^2+(U33-$U$97)^2+(V33-$V$97)^2+(W33-$W$97)^2+(X33-$X$97)^2+(Y33-$Y$97)^2+(Z33-$Z$97)^2+(AA33-$AA$97)^2+(AB33-$AB$97)^2+(AC33-$AC$97)^2+(AD33-$AD$97)^2+(AE33-$AE$97)^2+(AF33-$AF$97)^2+(AG33-$AG$97)^2)</f>
        <v>1.21979341910295</v>
      </c>
      <c r="HG33" s="36" t="s">
        <v>150</v>
      </c>
      <c r="HH33" s="37" t="s">
        <v>120</v>
      </c>
      <c r="HJ33" s="44"/>
      <c r="HK33" s="36">
        <f>SQRT((A33-$A$98)^2+(B33-$B$98)^2+(C33-$C$98)^2+(D33-$D$98)^2+(E33-$E$98)^2+(F33-$F$98)^2+(G33-$G$98)^2+(H33-$H$98)^2+(I33-$I$98)^2+(J33-$J$98)^2+(K33-$K$98)^2+(L33-$L$98)^2+(M33-$M$98)^2+(N33-$N$98)^2+(O33-$O$98)^2+(P33-$P$98)^2+(Q33-$Q$98)^2+(R33-$R$98)^2+(S33-$S$98)^2+(T33-$T$98)^2+(U33-$U$98)^2+(V33-$V$98)^2+(W33-$W$98)^2+(X33-$X$98)^2+(Y33-$Y$98)^2+(Z33-$Z$98)^2+(AA33-$AA$98)^2+(AB33-$AB$98)^2+(AC33-$AC$98)^2+(AD33-$AD$98)^2+(AE33-$AE$98)^2+(AF33-$AF$98)^2+(AG33-$AG$98)^2)</f>
        <v>1.21979341910295</v>
      </c>
      <c r="HL33" s="36" t="s">
        <v>150</v>
      </c>
      <c r="HM33" s="37" t="s">
        <v>120</v>
      </c>
      <c r="HO33" s="44"/>
      <c r="HP33" s="36">
        <f>SQRT((A33-$A$99)^2+(B33-$B$99)^2+(C33-$C$99)^2+(D33-$D$99)^2+(E33-$E$99)^2+(F33-$F$99)^2+(G33-$G$99)^2+(H33-$H$99)^2+(I33-$I$99)^2+(J33-$J$99)^2+(K33-$K$99)^2+(L33-$L$99)^2+(M33-$M$99)^2+(N33-$N$99)^2+(O33-$O$99)^2+(P33-$P$99)^2+(Q33-$Q$99)^2+(R33-$R$99)^2+(S33-$S$99)^2+(T33-$T$99)^2+(U33-$U$99)^2+(V33-$V$99)^2+(W33-$W$99)^2+(X33-$X$99)^2+(Y33-$Y$99)^2+(Z33-$Z$99)^2+(AA33-$AA$99)^2+(AB33-$AB$99)^2+(AC33-$AC$99)^2+(AD33-$AD$99)^2+(AE33-$AE$99)^2+(AF33-$AF$99)^2+(AG33-$AG$99)^2)</f>
        <v>1.21979341910295</v>
      </c>
      <c r="HQ33" s="36" t="s">
        <v>150</v>
      </c>
      <c r="HR33" s="37" t="s">
        <v>120</v>
      </c>
      <c r="HT33" s="44"/>
      <c r="HU33" s="36">
        <f>SQRT((A33-$A$100)^2+(B33-$B$100)^2+(C33-$C$100)^2+(D33-$D$100)^2+(E33-$E$100)^2+(F33-$F$100)^2+(G33-$G$100)^2+(H33-$H$100)^2+(I33-$I$100)^2+(J33-$J$100)^2+(K33-$K$100)^2+(L33-$L$100)^2+(M33-$M$100)^2+(N33-$N$100)^2+(O33-$O$100)^2+(P33-$P$100)^2+(Q33-$Q$100)^2+(R33-$R$100)^2+(S33-$S$100)^2+(T33-$T$100)^2+(U33-$U$100)^2+(V33-$V$100)^2+(W33-$W$100)^2+(X33-$X$100)^2+(Y33-$Y$100)^2+(Z33-$Z$100)^2+(AA33-$AA$100)^2+(AB33-$AB$100)^2+(AC33-$AC$100)^2+(AD33-$AD$100)^2+(AE33-$AE$100)^2+(AF33-$AF$100)^2+(AG33-$AG$100)^2)</f>
        <v>1.21979341910295</v>
      </c>
      <c r="HV33" s="36" t="s">
        <v>150</v>
      </c>
      <c r="HW33" s="37" t="s">
        <v>120</v>
      </c>
      <c r="HY33" s="44"/>
      <c r="HZ33" s="36">
        <f>SQRT((A33-$A$101)^2+(B33-$B$101)^2+(C33-$C$101)^2+(D33-$D$101)^2+(E33-$E$101)^2+(F33-$F$101)^2+(G33-$G$101)^2+(H33-$H$101)^2+(I33-$I$101)^2+(J33-$J$101)^2+(K33-$K$101)^2+(L33-$L$101)^2+(M33-$M$101)^2+(N33-$N$101)^2+(O33-$O$101)^2+(P33-$P$101)^2+(Q33-$Q$101)^2+(R33-$R$101)^2+(S33-$S$101)^2+(T33-$T$101)^2+(U33-$U$101)^2+(V33-$V$101)^2+(W33-$W$101)^2+(X33-$X$101)^2+(Y33-$Y$101)^2+(Z33-$Z$101)^2+(AA33-$AA$101)^2+(AB33-$AB$101)^2+(AC33-$AC$101)^2+(AD33-$AD$101)^2+(AE33-$AE$101)^2+(AF33-$AF$101)^2+(AG33-$AG$101)^2)</f>
        <v>1.6233908238336037</v>
      </c>
      <c r="IA33" s="36" t="s">
        <v>321</v>
      </c>
      <c r="IB33" s="37" t="s">
        <v>120</v>
      </c>
    </row>
    <row r="34" spans="1:236" x14ac:dyDescent="0.35">
      <c r="A34" s="2">
        <v>0.66666666666666596</v>
      </c>
      <c r="B34" s="2">
        <v>0.5</v>
      </c>
      <c r="C34" s="2">
        <v>0.23899371069182301</v>
      </c>
      <c r="D34" s="2">
        <v>0.66666666666666596</v>
      </c>
      <c r="E34" s="2">
        <v>0.33333333333333298</v>
      </c>
      <c r="F34" s="2">
        <v>1</v>
      </c>
      <c r="G34" s="2">
        <v>0.55555555555555503</v>
      </c>
      <c r="H34" s="2">
        <v>1</v>
      </c>
      <c r="I34" s="2">
        <v>0.5</v>
      </c>
      <c r="J34" s="2">
        <v>0</v>
      </c>
      <c r="K34" s="2">
        <v>0</v>
      </c>
      <c r="L34" s="2">
        <v>0.2</v>
      </c>
      <c r="M34" s="2">
        <v>1</v>
      </c>
      <c r="N34" s="2">
        <v>0</v>
      </c>
      <c r="O34" s="2">
        <v>0</v>
      </c>
      <c r="P34" s="2">
        <v>0.4</v>
      </c>
      <c r="Q34" s="2">
        <v>1</v>
      </c>
      <c r="R34" s="2">
        <v>0</v>
      </c>
      <c r="S34" s="2">
        <v>1</v>
      </c>
      <c r="T34" s="2">
        <v>1</v>
      </c>
      <c r="U34" s="2">
        <v>1</v>
      </c>
      <c r="V34" s="2">
        <v>0</v>
      </c>
      <c r="W34" s="2">
        <v>1</v>
      </c>
      <c r="X34" s="2">
        <v>1</v>
      </c>
      <c r="Y34" s="2">
        <v>1</v>
      </c>
      <c r="Z34" s="2">
        <v>0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0.19565217391304299</v>
      </c>
      <c r="AH34" s="2" t="s">
        <v>120</v>
      </c>
      <c r="AI34" s="42"/>
      <c r="AJ34" s="42"/>
      <c r="AL34" s="44"/>
      <c r="AM34" s="36">
        <f>SQRT((A34-$A$62)^2+(B34-$B$62)^2+(C34-$C$62)^2+(D34-$D$62)^2+(E34-$E$62)^2+(F34-$F$62)^2+(G34-$G$62)^2+(H34-$H$62)^2+(I34-$I$62)^2+(J34-$J$62)^2+(K34-$K$62)^2+(L34-$L$62)^2+(M34-$M$62)^2+(N34-$N$62)^2+(O34-$O$62)^2+(P34-$P$62)^2+(Q34-$Q$62)^2+(R34-$R$62)^2+(S34-$S$62)^2+(T34-$T$62)^2+(U34-$U$62)^2+(V34-$V$62)^2+(W34-$W$62)^2+(X34-$X$62)^2+(Y34-$Y$62)^2+(Z34-$Z$62)^2+(AA34-$AA$62)^2+(AB34-$AB$62)^2+(AC34-$AC$62)^2+(AD34-$AD$62)^2+(AE34-$AE$62)^2+(AF34-$AF$62)^2+(AG34-$AG$62)^2)</f>
        <v>1.36125422713407</v>
      </c>
      <c r="AN34" s="36" t="s">
        <v>150</v>
      </c>
      <c r="AO34" s="37" t="s">
        <v>120</v>
      </c>
      <c r="AQ34" s="44"/>
      <c r="AR34" s="36">
        <f>SQRT((A34-$A$63)^2+(B34-$B$63)^2+(C34-$C$63)^2+(D34-$D$63)^2+(E34-$E$63)^2+(F34-$F$63)^2+(G34-$G$63)^2+(H34-$H$63)^2+(I34-$I$63)^2+(J34-$J$63)^2+(K34-$K$63)^2+(L34-$L$63)^2+(M34-$M$63)^2+(N34-$N$63)^2+(O34-$O$63)^2+(P34-$P$63)^2+(Q34-$Q$63)^2+(R34-$R$63)^2+(S34-$S$63)^2+(T34-$T$63)^2+(U34-$U$63)^2+(V34-$V$63)^2+(W34-$W$63)^2+(X34-$X$63)^2+(Y34-$Y$63)^2+(Z34-$Z$63)^2+(AA34-$AA$63)^2+(AB34-$AB$63)^2+(AC34-$AC$63)^2+(AD34-$AD$63)^2+(AE34-$AE$63)^2+(AF34-$AF$63)^2+(AG34-$AG$63)^2)</f>
        <v>1.2203555741665404</v>
      </c>
      <c r="AS34" s="36" t="s">
        <v>145</v>
      </c>
      <c r="AT34" s="37" t="s">
        <v>120</v>
      </c>
      <c r="AV34" s="44"/>
      <c r="AW34" s="36">
        <f>SQRT((A34-$A$64)^2+(B34-$B$64)^2+(C34-$C$64)^2+(D34-$D$64)^2+(E34-$E$64)^2+(F34-$F$64)^2+(G34-$G$64)^2+(H34-$H$64)^2+(I34-$I$64)^2+(J34-$J$64)^2+(K34-$K$64)^2+(L34-$L$64)^2+(M34-$M$64)^2+(N34-$N$64)^2+(O34-$O$64)^2+(P34-$P$64)^2+(Q34-$Q$64)^2+(R34-$R$64)^2+(S34-$S$64)^2+(T34-$T$64)^2+(U34-$U$64)^2+(V34-$V$64)^2+(W34-$W$64)^2+(X34-$X$64)^2+(Y34-$Y$64)^2+(Z34-$Z$64)^2+(AA34-$AA$64)^2+(AB34-$AB$64)^2+(AC34-$AC$64)^2+(AD34-$AD$64)^2+(AE34-$AE$64)^2+(AF34-$AF$64)^2+(AG34-$AG$64)^2)</f>
        <v>1.2203555741665404</v>
      </c>
      <c r="AX34" s="36" t="s">
        <v>145</v>
      </c>
      <c r="AY34" s="37" t="s">
        <v>120</v>
      </c>
      <c r="BA34" s="44"/>
      <c r="BB34" s="36">
        <f>SQRT((A34-$A$65)^2+(B34-$B$65)^2+(C34-$C$65)^2+(D34-$D$65)^2+(E34-$E$65)^2+(F34-$F$65)^2+(G34-$G$65)^2+(H34-$H$65)^2+(I34-$I$65)^2+(J34-$J$65)^2+(K34-$K$65)^2+(L34-$L$65)^2+(M34-$M$65)^2+(N34-$N$65)^2+(O34-$O$65)^2+(P34-$P$65)^2+(Q34-$Q$65)^2+(R34-$R$65)^2+(S34-$S$65)^2+(T34-$T$65)^2+(U34-$U$65)^2+(V34-$V$65)^2+(W34-$W$65)^2+(X34-$X$65)^2+(Y34-$Y$65)^2+(Z34-$Z$65)^2+(AA34-$AA$65)^2+(AB34-$AB$65)^2+(AC34-$AC$65)^2+(AD34-$AD$65)^2+(AE34-$AE$65)^2+(AF34-$AF$65)^2+(AG34-$AG$65)^2)</f>
        <v>1.2203555741665404</v>
      </c>
      <c r="BC34" s="36" t="s">
        <v>145</v>
      </c>
      <c r="BD34" s="37" t="s">
        <v>120</v>
      </c>
      <c r="BF34" s="44"/>
      <c r="BG34" s="36">
        <f>SQRT((A34-$A$66)^2+(B34-$B$66)^2+(C34-$C$66)^2+(D34-$D$66)^2+(E34-$E$66)^2+(F34-$F$66)^2+(G34-$G$66)^2+(H34-$H$66)^2+(I34-$I$66)^2+(J34-$J$66)^2+(K34-$K$66)^2+(L34-$L$66)^2+(M34-$M$66)^2+(N34-$N$66)^2+(O34-$O$66)^2+(P34-$P$66)^2+(Q34-$Q$66)^2+(R34-$R$66)^2+(S34-$S$66)^2+(T34-$T$66)^2+(U34-$U$66)^2+(V34-$V$66)^2+(W34-$W$66)^2+(X34-$X$66)^2+(Y34-$Y$66)^2+(Z34-$Z$66)^2+(AA34-$AA$66)^2+(AB34-$AB$66)^2+(AC34-$AC$66)^2+(AD34-$AD$66)^2+(AE34-$AE$66)^2+(AF34-$AF$66)^2+(AG34-$AG$66)^2)</f>
        <v>1.2203555741665404</v>
      </c>
      <c r="BH34" s="36" t="s">
        <v>145</v>
      </c>
      <c r="BI34" s="37" t="s">
        <v>120</v>
      </c>
      <c r="BK34" s="44"/>
      <c r="BL34" s="36">
        <f>SQRT((A34-$A$67)^2+(B34-$B$67)^2+(C34-$C$67)^2+(D34-$D$67)^2+(E34-$E$67)^2+(F34-$F$67)^2+(G34-$G$67)^2+(H34-$H$67)^2+(I34-$I$67)^2+(J34-$J$67)^2+(K34-$K$67)^2+(L34-$L$67)^2+(M34-$M$67)^2+(N34-$N$67)^2+(O34-$O$67)^2+(P34-$P$67)^2+(Q34-$Q$67)^2+(R34-$R$67)^2+(S34-$S$67)^2+(T34-$T$67)^2+(U34-$U$67)^2+(V34-$V$67)^2+(W34-$W$67)^2+(X34-$X$67)^2+(Y34-$Y$67)^2+(Z34-$Z$67)^2+(AA34-$AA$67)^2+(AB34-$AB$67)^2+(AC34-$AC$67)^2+(AD34-$AD$67)^2+(AE34-$AE$67)^2+(AF34-$AF$67)^2+(AG34-$AG$67)^2)</f>
        <v>1.2203555741665404</v>
      </c>
      <c r="BM34" s="36" t="s">
        <v>145</v>
      </c>
      <c r="BN34" s="37" t="s">
        <v>120</v>
      </c>
      <c r="BP34" s="44"/>
      <c r="BQ34" s="36">
        <f>SQRT((A34-$A$68)^2+(B34-$B$68)^2+(C34-$C$68)^2+(D34-$D$68)^2+(E34-$E$68)^2+(F34-$F$68)^2+(G34-$G$68)^2+(H34-$H$68)^2+(I34-$I$68)^2+(J34-$J$68)^2+(K34-$K$68)^2+(L34-$L$68)^2+(M34-$M$68)^2+(N34-$N$68)^2+(O34-$O$68)^2+(P34-$P$68)^2+(Q34-$Q$68)^2+(R34-$R$68)^2+(S34-$S$68)^2+(T34-$T$68)^2+(U34-$U$68)^2+(V34-$V$68)^2+(W34-$W$68)^2+(X34-$X$68)^2+(Y34-$Y$68)^2+(Z34-$Z$68)^2+(AA34-$AA$68)^2+(AB34-$AB$68)^2+(AC34-$AC$68)^2+(AD34-$AD$68)^2+(AE34-$AE$68)^2+(AF34-$AF$68)^2+(AG34-$AG$68)^2)</f>
        <v>1.2203555741665404</v>
      </c>
      <c r="BR34" s="36" t="s">
        <v>145</v>
      </c>
      <c r="BS34" s="37" t="s">
        <v>120</v>
      </c>
      <c r="BU34" s="44"/>
      <c r="BV34" s="36">
        <f>SQRT((A34-$A$69)^2+(B34-$B$69)^2+(C34-$C$69)^2+(D34-$D$69)^2+(E34-$E$69)^2+(F34-$F$69)^2+(G34-$G$69)^2+(H34-$H$69)^2+(I34-$I$69)^2+(J34-$J$69)^2+(K34-$K$69)^2+(L34-$L$69)^2+(M34-$M$69)^2+(N34-$N$69)^2+(O34-$O$69)^2+(P34-$P$69)^2+(Q34-$Q$69)^2+(R34-$R$69)^2+(S34-$S$69)^2+(T34-$T$69)^2+(U34-$U$69)^2+(V34-$V$69)^2+(W34-$W$69)^2+(X34-$X$69)^2+(Y34-$Y$69)^2+(Z34-$Z$69)^2+(AA34-$AA$69)^2+(AB34-$AB$69)^2+(AC34-$AC$69)^2+(AD34-$AD$69)^2+(AE34-$AE$69)^2+(AF34-$AF$69)^2+(AG34-$AG$69)^2)</f>
        <v>2.5296209813130806</v>
      </c>
      <c r="BW34" s="36" t="s">
        <v>314</v>
      </c>
      <c r="BX34" s="37" t="s">
        <v>120</v>
      </c>
      <c r="BZ34" s="44"/>
      <c r="CA34" s="36">
        <f>SQRT((A34-$A$70)^2+(B34-$B$70)^2+(C34-$C$70)^2+(D34-$D$70)^2+(E34-$E$70)^2+(F34-$F$70)^2+(G34-$G$70)^2+(H34-$H$70)^2+(I34-$I$70)^2+(J34-$J$70)^2+(K34-$K$70)^2+(L34-$L$70)^2+(M34-$M$70)^2+(N34-$N$70)^2+(O34-$O$70)^2+(P34-$P$70)^2+(Q34-$Q$70)^2+(R34-$R$70)^2+(S34-$S$70)^2+(T34-$T$70)^2+(U34-$U$70)^2+(V34-$V$70)^2+(W34-$W$70)^2+(X34-$X$70)^2+(Y34-$Y$70)^2+(Z34-$Z$70)^2+(AA34-$AA$70)^2+(AB34-$AB$70)^2+(AC34-$AC$70)^2+(AD34-$AD$70)^2+(AE34-$AE$70)^2+(AF34-$AF$70)^2+(AG34-$AG$70)^2)</f>
        <v>1.5567951410224503</v>
      </c>
      <c r="CB34" s="36" t="s">
        <v>339</v>
      </c>
      <c r="CC34" s="37" t="s">
        <v>120</v>
      </c>
      <c r="CE34" s="44"/>
      <c r="CF34" s="36">
        <f>SQRT((A34-$A$71)^2+(B34-$B$71)^2+(C34-$C$71)^2+(D34-$D$71)^2+(E34-$E$71)^2+(F34-$F$71)^2+(G34-$G$71)^2+(H34-$H$71)^2+(I34-$I$71)^2+(J34-$J$71)^2+(K34-$K$71)^2+(L34-$L$71)^2+(M34-$M$71)^2+(N34-$N$71)^2+(O34-$O$71)^2+(P34-$P$71)^2+(Q34-$Q$71)^2+(R34-$R$71)^2+(S34-$S$71)^2+(T34-$T$71)^2+(U34-$U$71)^2+(V34-$V$71)^2+(W34-$W$71)^2+(X34-$X$71)^2+(Y34-$Y$71)^2+(Z34-$Z$71)^2+(AA34-$AA$71)^2+(AB34-$AB$71)^2+(AC34-$AC$71)^2+(AD34-$AD$71)^2+(AE34-$AE$71)^2+(AF34-$AF$71)^2+(AG34-$AG$71)^2)</f>
        <v>1.178511301977579</v>
      </c>
      <c r="CG34" s="36" t="s">
        <v>151</v>
      </c>
      <c r="CH34" s="37" t="s">
        <v>120</v>
      </c>
      <c r="CJ34" s="44"/>
      <c r="CK34" s="36">
        <f>SQRT((A34-$A$72)^2+(B34-$B$72)^2+(C34-$C$72)^2+(D34-$D$72)^2+(E34-$E$72)^2+(F34-$F$72)^2+(G34-$G$72)^2+(H34-$H$72)^2+(I34-$I$72)^2+(J34-$J$72)^2+(K34-$K$72)^2+(L34-$L$72)^2+(M34-$M$72)^2+(N34-$N$72)^2+(O34-$O$72)^2+(P34-$P$72)^2+(Q34-$Q$72)^2+(R34-$R$72)^2+(S34-$S$72)^2+(T34-$T$72)^2+(U34-$U$72)^2+(V34-$V$72)^2+(W34-$W$72)^2+(X34-$X$72)^2+(Y34-$Y$72)^2+(Z34-$Z$72)^2+(AA34-$AA$72)^2+(AB34-$AB$72)^2+(AC34-$AC$72)^2+(AD34-$AD$72)^2+(AE34-$AE$72)^2+(AF34-$AF$72)^2+(AG34-$AG$72)^2)</f>
        <v>1.3712772274663867</v>
      </c>
      <c r="CL34" s="36" t="s">
        <v>333</v>
      </c>
      <c r="CM34" s="37" t="s">
        <v>120</v>
      </c>
      <c r="CO34" s="44"/>
      <c r="CP34" s="36">
        <f>SQRT((A34-$A$73)^2+(B34-$B$73)^2+(C34-$C$73)^2+(D34-$D$73)^2+(E34-$E$73)^2+(F34-$F$73)^2+(G34-$G$73)^2+(H34-$H$73)^2+(I34-$I$73)^2+(J34-$J$73)^2+(K34-$K$73)^2+(L34-$L$73)^2+(M34-$M$73)^2+(N34-$N$73)^2+(O34-$O$73)^2+(P34-$P$73)^2+(Q34-$Q$73)^2+(R34-$R$73)^2+(S34-$S$73)^2+(T34-$T$73)^2+(U34-$U$73)^2+(V34-$V$73)^2+(W34-$W$73)^2+(X34-$X$73)^2+(Y34-$Y$73)^2+(Z34-$Z$73)^2+(AA34-$AA$73)^2+(AB34-$AB$73)^2+(AC34-$AC$73)^2+(AD34-$AD$73)^2+(AE34-$AE$73)^2+(AF34-$AF$73)^2+(AG34-$AG$73)^2)</f>
        <v>1.1540805690155536</v>
      </c>
      <c r="CQ34" s="36" t="s">
        <v>128</v>
      </c>
      <c r="CR34" s="37" t="s">
        <v>120</v>
      </c>
      <c r="CT34" s="44"/>
      <c r="CU34" s="36">
        <f>SQRT((A34-$A$74)^2+(B34-$B$74)^2+(C34-$C$74)^2+(D34-$D$74)^2+(E34-$E$74)^2+(F34-$F$74)^2+(G34-$G$74)^2+(H34-$H$74)^2+(I34-$I$74)^2+(J34-$J$74)^2+(K34-$K$74)^2+(L34-$L$74)^2+(M34-$M$74)^2+(N34-$N$74)^2+(O34-$O$74)^2+(P34-$P$74)^2+(Q34-$Q$74)^2+(R34-$R$74)^2+(S34-$S$74)^2+(T34-$T$74)^2+(U34-$U$74)^2+(V34-$V$74)^2+(W34-$W$74)^2+(X34-$X$74)^2+(Y34-$Y$74)^2+(Z34-$Z$74)^2+(AA34-$AA$74)^2+(AB34-$AB$74)^2+(AC34-$AC$74)^2+(AD34-$AD$74)^2+(AE34-$AE$74)^2+(AF34-$AF$74)^2+(AG34-$AG$74)^2)</f>
        <v>0.53718583976677059</v>
      </c>
      <c r="CV34" s="36" t="s">
        <v>142</v>
      </c>
      <c r="CW34" s="37" t="s">
        <v>120</v>
      </c>
      <c r="CY34" s="44"/>
      <c r="CZ34" s="36">
        <f>SQRT((A34-$A$75)^2+(B34-$B$75)^2+(C34-$C$75)^2+(D34-$D$75)^2+(E34-$E$75)^2+(F34-$F$75)^2+(G34-$G$75)^2+(H34-$H$75)^2+(I34-$I$75)^2+(J34-$J$75)^2+(K34-$K$75)^2+(L34-$L$75)^2+(M34-$M$75)^2+(N34-$N$75)^2+(O34-$O$75)^2+(P34-$P$75)^2+(Q34-$Q$75)^2+(R34-$R$75)^2+(S34-$S$75)^2+(T34-$T$75)^2+(U34-$U$75)^2+(V34-$V$75)^2+(W34-$W$75)^2+(X34-$X$75)^2+(Y34-$Y$75)^2+(Z34-$Z$75)^2+(AA34-$AA$75)^2+(AB34-$AB$75)^2+(AC34-$AC$75)^2+(AD34-$AD$75)^2+(AE34-$AE$75)^2+(AF34-$AF$75)^2+(AG34-$AG$75)^2)</f>
        <v>0.68614200328223096</v>
      </c>
      <c r="DA34" s="36" t="s">
        <v>141</v>
      </c>
      <c r="DB34" s="37" t="s">
        <v>120</v>
      </c>
      <c r="DD34" s="44"/>
      <c r="DE34" s="36">
        <f>SQRT((A34-$A$76)^2+(B34-$B$76)^2+(C34-$C$76)^2+(D34-$D$76)^2+(E34-$E$76)^2+(F34-$F$76)^2+(G34-$G$76)^2+(H34-$H$76)^2+(I34-$I$76)^2+(J34-$J$76)^2+(K34-$K$76)^2+(L34-$L$76)^2+(M34-$M$76)^2+(N34-$N$76)^2+(O34-$O$76)^2+(P34-$P$76)^2+(Q34-$Q$76)^2+(R34-$R$76)^2+(S34-$S$76)^2+(T34-$T$76)^2+(U34-$U$76)^2+(V34-$V$76)^2+(W34-$W$76)^2+(X34-$X$76)^2+(Y34-$Y$76)^2+(Z34-$Z$76)^2+(AA34-$AA$76)^2+(AB34-$AB$76)^2+(AC34-$AC$76)^2+(AD34-$AD$76)^2+(AE34-$AE$76)^2+(AF34-$AF$76)^2+(AG34-$AG$76)^2)</f>
        <v>1.4374791839270951</v>
      </c>
      <c r="DF34" s="36" t="s">
        <v>134</v>
      </c>
      <c r="DG34" s="37" t="s">
        <v>120</v>
      </c>
      <c r="DI34" s="44"/>
      <c r="DJ34" s="36">
        <f>SQRT((A34-$A$77)^2+(B34-$B$77)^2+(C34-$C$77)^2+(D34-$D$77)^2+(E34-$E$77)^2+(F34-$F$77)^2+(G34-$G$77)^2+(H34-$H$77)^2+(I34-$I$77)^2+(J34-$J$77)^2+(K34-$K$77)^2+(L34-$L$77)^2+(M34-$M$77)^2+(N34-$N$77)^2+(O34-$O$77)^2+(P34-$P$77)^2+(Q34-$Q$77)^2+(R34-$R$77)^2+(S34-$S$77)^2+(T34-$T$77)^2+(U34-$U$77)^2+(V34-$V$77)^2+(W34-$W$77)^2+(X34-$X$77)^2+(Y34-$Y$77)^2+(Z34-$Z$77)^2+(AA34-$AA$77)^2+(AB34-$AB$77)^2+(AC34-$AC$77)^2+(AD34-$AD$77)^2+(AE34-$AE$77)^2+(AF34-$AF$77)^2+(AG34-$AG$77)^2)</f>
        <v>1.5565879034217935</v>
      </c>
      <c r="DK34" s="36" t="s">
        <v>147</v>
      </c>
      <c r="DL34" s="37" t="s">
        <v>120</v>
      </c>
      <c r="DN34" s="44"/>
      <c r="DO34" s="36">
        <f>SQRT((A34-$A$78)^2+(B34-$B$78)^2+(C34-$C$78)^2+(D34-$D$78)^2+(E34-$E$78)^2+(F34-$F$78)^2+(G34-$G$78)^2+(H34-$H$78)^2+(I34-$I$78)^2+(J34-$J$78)^2+(K34-$K$78)^2+(L34-$L$78)^2+(M34-$M$78)^2+(N34-$N$78)^2+(O34-$O$78)^2+(P34-$P$78)^2+(Q34-$Q$78)^2+(R34-$R$78)^2+(S34-$S$78)^2+(T34-$T$78)^2+(U34-$U$78)^2+(V34-$V$78)^2+(W34-$W$78)^2+(X34-$X$78)^2+(Y34-$Y$78)^2+(Z34-$Z$78)^2+(AA34-$AA$78)^2+(AB34-$AB$78)^2+(AC34-$AC$78)^2+(AD34-$AD$78)^2+(AE34-$AE$78)^2+(AF34-$AF$78)^2+(AG34-$AG$78)^2)</f>
        <v>1.6334714888425075</v>
      </c>
      <c r="DP34" s="36" t="s">
        <v>128</v>
      </c>
      <c r="DQ34" s="37" t="s">
        <v>120</v>
      </c>
      <c r="DS34" s="44"/>
      <c r="DT34" s="36">
        <f>SQRT((A34-$A$79)^2+(B34-$B$79)^2+(C34-$C$79)^2+(D34-$D$79)^2+(E34-$E$79)^2+(F34-$F$79)^2+(G34-$G$79)^2+(H34-$H$79)^2+(I34-$I$79)^2+(J34-$J$79)^2+(K34-$K$79)^2+(L34-$L$79)^2+(M34-$M$79)^2+(N34-$N$79)^2+(O34-$O$79)^2+(P34-$P$79)^2+(Q34-$Q$79)^2+(R34-$R$79)^2+(S34-$S$79)^2+(T34-$T$79)^2+(U34-$U$79)^2+(V34-$V$79)^2+(W34-$W$79)^2+(X34-$X$79)^2+(Y34-$Y$79)^2+(Z34-$Z$79)^2+(AA34-$AA$79)^2+(AB34-$AB$79)^2+(AC34-$AC$79)^2+(AD34-$AD$79)^2+(AE34-$AE$79)^2+(AF34-$AF$79)^2+(AG34-$AG$79)^2)</f>
        <v>1.1673902446567646</v>
      </c>
      <c r="DU34" s="36" t="s">
        <v>135</v>
      </c>
      <c r="DV34" s="37" t="s">
        <v>120</v>
      </c>
      <c r="DX34" s="44"/>
      <c r="DY34" s="36">
        <f>SQRT((A34-$A$80)^2+(B34-$B$80)^2+(C34-$C$80)^2+(D34-$D$80)^2+(E34-$E$80)^2+(F34-$F$80)^2+(G34-$G$80)^2+(H34-$H$80)^2+(I34-$I$80)^2+(J34-$J$80)^2+(K34-$K$80)^2+(L34-$L$80)^2+(M34-$M$80)^2+(N34-$N$80)^2+(O34-$O$80)^2+(P34-$P$80)^2+(Q34-$Q$80)^2+(R34-$R$80)^2+(S34-$S$80)^2+(T34-$T$80)^2+(U34-$U$80)^2+(V34-$V$80)^2+(W34-$W$80)^2+(X34-$X$80)^2+(Y34-$Y$80)^2+(Z34-$Z$80)^2+(AA34-$AA$80)^2+(AB34-$AB$80)^2+(AC34-$AC$80)^2+(AD34-$AD$80)^2+(AE34-$AE$80)^2+(AF34-$AF$80)^2+(AG34-$AG$80)^2)</f>
        <v>1.8362739337526044</v>
      </c>
      <c r="DZ34" s="36" t="s">
        <v>152</v>
      </c>
      <c r="EA34" s="37" t="s">
        <v>120</v>
      </c>
      <c r="EC34" s="44"/>
      <c r="ED34" s="36">
        <f>SQRT((A34-$A$81)^2+(B34-$B$81)^2+(C34-$C$81)^2+(D34-$D$81)^2+(E34-$E$81)^2+(F34-$F$81)^2+(G34-$G$81)^2+(H34-$H$81)^2+(I34-$I$81)^2+(J34-$J$81)^2+(K34-$K$81)^2+(L34-$L$81)^2+(M34-$M$81)^2+(N34-$N$81)^2+(O34-$O$81)^2+(P34-$P$81)^2+(Q34-$Q$81)^2+(R34-$R$81)^2+(S34-$S$81)^2+(T34-$T$81)^2+(U34-$U$81)^2+(V34-$V$81)^2+(W34-$W$81)^2+(X34-$X$81)^2+(Y34-$Y$81)^2+(Z34-$Z$81)^2+(AA34-$AA$81)^2+(AB34-$AB$81)^2+(AC34-$AC$81)^2+(AD34-$AD$81)^2+(AE34-$AE$81)^2+(AF34-$AF$81)^2+(AG34-$AG$81)^2)</f>
        <v>1.8888144400997595</v>
      </c>
      <c r="EE34" s="36" t="s">
        <v>125</v>
      </c>
      <c r="EF34" s="37" t="s">
        <v>120</v>
      </c>
      <c r="EH34" s="44"/>
      <c r="EI34" s="36">
        <f>SQRT((A34-$A$82)^2+(B34-$B$82)^2+(C34-$C$82)^2+(D34-$D$82)^2+(E34-$E$82)^2+(F34-$F$82)^2+(G34-$G$82)^2+(H34-$H$82)^2+(I34-$I$82)^2+(J34-$J$82)^2+(K34-$K$82)^2+(L34-$L$82)^2+(M34-$M$82)^2+(N34-$N$82)^2+(O34-$O$82)^2+(P34-$P$82)^2+(Q34-$Q$82)^2+(R34-$R$82)^2+(S34-$S$82)^2+(T34-$T$82)^2+(U34-$U$82)^2+(V34-$V$82)^2+(W34-$W$82)^2+(X34-$X$82)^2+(Y34-$Y$82)^2+(Z34-$Z$82)^2+(AA34-$AA$82)^2+(AB34-$AB$82)^2+(AC34-$AC$82)^2+(AD34-$AD$82)^2+(AE34-$AE$82)^2+(AF34-$AF$82)^2+(AG34-$AG$82)^2)</f>
        <v>1.902632669621557</v>
      </c>
      <c r="EJ34" s="36" t="s">
        <v>313</v>
      </c>
      <c r="EK34" s="37" t="s">
        <v>120</v>
      </c>
      <c r="EM34" s="44"/>
      <c r="EN34" s="36">
        <f>SQRT((A34-$A$83)^2+(B34-$B$83)^2+(C34-$C$83)^2+(D34-$D$83)^2+(E34-$E$83)^2+(F34-$F$83)^2+(G34-$G$83)^2+(H34-$H$83)^2+(I34-$I$83)^2+(J34-$J$83)^2+(K34-$K$83)^2+(L34-$L$83)^2+(M34-$M$83)^2+(N34-$N$83)^2+(O34-$O$83)^2+(P34-$P$83)^2+(Q34-$Q$83)^2+(R34-$R$83)^2+(S34-$S$83)^2+(T34-$T$83)^2+(U34-$U$83)^2+(V34-$V$83)^2+(W34-$W$83)^2+(X34-$X$83)^2+(Y34-$Y$83)^2+(Z34-$Z$83)^2+(AA34-$AA$83)^2+(AB34-$AB$83)^2+(AC34-$AC$83)^2+(AD34-$AD$83)^2+(AE34-$AE$83)^2+(AF34-$AF$83)^2+(AG34-$AG$83)^2)</f>
        <v>1.5767076084801315</v>
      </c>
      <c r="EO34" s="36" t="s">
        <v>322</v>
      </c>
      <c r="EP34" s="37" t="s">
        <v>120</v>
      </c>
      <c r="ER34" s="44"/>
      <c r="ES34" s="36">
        <f>SQRT((A34-$A$84)^2+(B34-$B$84)^2+(C34-$C$84)^2+(D34-$D$84)^2+(E34-$E$84)^2+(F34-$F$84)^2+(G34-$G$84)^2+(H34-$H$84)^2+(I34-$I$84)^2+(J34-$J$84)^2+(K34-$K$84)^2+(L34-$L$84)^2+(M34-$M$84)^2+(N34-$N$84)^2+(O34-$O$84)^2+(P34-$P$84)^2+(Q34-$Q$84)^2+(R34-$R$84)^2+(S34-$S$84)^2+(T34-$T$84)^2+(U34-$U$84)^2+(V34-$V$84)^2+(W34-$W$84)^2+(X34-$X$84)^2+(Y34-$Y$84)^2+(Z34-$Z$84)^2+(AA34-$AA$84)^2+(AB34-$AB$84)^2+(AC34-$AC$84)^2+(AD34-$AD$84)^2+(AE34-$AE$84)^2+(AF34-$AF$84)^2+(AG34-$AG$84)^2)</f>
        <v>1.2203555741665404</v>
      </c>
      <c r="ET34" s="36" t="s">
        <v>145</v>
      </c>
      <c r="EU34" s="37" t="s">
        <v>120</v>
      </c>
      <c r="EW34" s="44"/>
      <c r="EX34" s="36">
        <f>SQRT((A34-$A$85)^2+(B34-$B$85)^2+(C34-$C$85)^2+(D34-$D$85)^2+(E34-$E$85)^2+(F34-$F$85)^2+(G34-$G$85)^2+(H34-$H$85)^2+(I34-$I$85)^2+(J34-$J$85)^2+(K34-$K$85)^2+(L34-$L$85)^2+(M34-$M$85)^2+(N34-$N$85)^2+(O34-$O$85)^2+(P34-$P$85)^2+(Q34-$Q$85)^2+(R34-$R$85)^2+(S34-$S$85)^2+(T34-$T$85)^2+(U34-$U$85)^2+(V34-$V$85)^2+(W34-$W$85)^2+(X34-$X$85)^2+(Y34-$Y$85)^2+(Z34-$Z$85)^2+(AA34-$AA$85)^2+(AB34-$AB$85)^2+(AC34-$AC$85)^2+(AD34-$AD$85)^2+(AE34-$AE$85)^2+(AF34-$AF$85)^2+(AG34-$AG$85)^2)</f>
        <v>1.2203555741665404</v>
      </c>
      <c r="EY34" s="36" t="s">
        <v>145</v>
      </c>
      <c r="EZ34" s="37" t="s">
        <v>120</v>
      </c>
      <c r="FB34" s="44"/>
      <c r="FC34" s="36">
        <f>SQRT((A34-$A$86)^2+(B34-$B$86)^2+(C34-$C$86)^2+(D34-$D$86)^2+(E34-$E$86)^2+(F34-$F$86)^2+(G34-$G$86)^2+(H34-$H$86)^2+(I34-$I$86)^2+(J34-$J$86)^2+(K34-$K$86)^2+(L34-$L$86)^2+(M34-$M$86)^2+(N34-$N$86)^2+(O34-$O$86)^2+(P34-$P$86)^2+(Q34-$Q$86)^2+(R34-$R$86)^2+(S34-$S$86)^2+(T34-$T$86)^2+(U34-$U$86)^2+(V34-$V$86)^2+(W34-$W$86)^2+(X34-$X$86)^2+(Y34-$Y$86)^2+(Z34-$Z$86)^2+(AA34-$AA$86)^2+(AB34-$AB$86)^2+(AC34-$AC$86)^2+(AD34-$AD$86)^2+(AE34-$AE$86)^2+(AF34-$AF$86)^2+(AG34-$AG$86)^2)</f>
        <v>1.2203555741665404</v>
      </c>
      <c r="FD34" s="36" t="s">
        <v>145</v>
      </c>
      <c r="FE34" s="37" t="s">
        <v>120</v>
      </c>
      <c r="FG34" s="44"/>
      <c r="FH34" s="36">
        <f>SQRT((A34-$A$87)^2+(B34-$B$87)^2+(C34-$C$87)^2+(D34-$D$87)^2+(E34-$E$87)^2+(F34-$F$87)^2+(G34-$G$87)^2+(H34-$H$87)^2+(I34-$I$87)^2+(J34-$J$87)^2+(K34-$K$87)^2+(L34-$L$87)^2+(M34-$M$87)^2+(N34-$N$87)^2+(O34-$O$87)^2+(P34-$P$87)^2+(Q34-$Q$87)^2+(R34-$R$87)^2+(S34-$S$87)^2+(T34-$T$87)^2+(U34-$U$87)^2+(V34-$V$87)^2+(W34-$W$87)^2+(X34-$X$87)^2+(Y34-$Y$87)^2+(Z34-$Z$87)^2+(AA34-$AA$87)^2+(AB34-$AB$87)^2+(AC34-$AC$87)^2+(AD34-$AD$87)^2+(AE34-$AE$87)^2+(AF34-$AF$87)^2+(AG34-$AG$87)^2)</f>
        <v>1.6558689440228245</v>
      </c>
      <c r="FI34" s="36" t="s">
        <v>339</v>
      </c>
      <c r="FJ34" s="37" t="s">
        <v>120</v>
      </c>
      <c r="FL34" s="44"/>
      <c r="FM34" s="36">
        <f>SQRT((A34-$A$88)^2+(B34-$B$88)^2+(C34-$C$88)^2+(D34-$D$88)^2+(E34-$E$88)^2+(F34-$F$88)^2+(G34-$G$88)^2+(H34-$H$88)^2+(I34-$I$88)^2+(J34-$J$88)^2+(K34-$K$88)^2+(L34-$L$88)^2+(M34-$M$88)^2+(N34-$N$88)^2+(O34-$O$88)^2+(P34-$P$88)^2+(Q34-$Q$88)^2+(R34-$R$88)^2+(S34-$S$88)^2+(T34-$T$88)^2+(U34-$U$88)^2+(V34-$V$88)^2+(W34-$W$88)^2+(X34-$X$88)^2+(Y34-$Y$88)^2+(Z34-$Z$88)^2+(AA34-$AA$88)^2+(AB34-$AB$88)^2+(AC34-$AC$88)^2+(AD34-$AD$88)^2+(AE34-$AE$88)^2+(AF34-$AF$88)^2+(AG34-$AG$88)^2)</f>
        <v>1.1931517552730297</v>
      </c>
      <c r="FN34" s="36" t="s">
        <v>331</v>
      </c>
      <c r="FO34" s="37" t="s">
        <v>120</v>
      </c>
      <c r="FQ34" s="44"/>
      <c r="FR34" s="36">
        <f>SQRT((A34-$A$89)^2+(B34-$B$89)^2+(C34-$C$89)^2+(D34-$D$89)^2+(E34-$E$89)^2+(F34-$F$89)^2+(G34-$G$89)^2+(H34-$H$89)^2+(I34-$I$89)^2+(J34-$J$89)^2+(K34-$K$89)^2+(L34-$L$89)^2+(M34-$M$89)^2+(N34-$N$89)^2+(O34-$O$89)^2+(P34-$P$89)^2+(Q34-$Q$89)^2+(R34-$R$89)^2+(S34-$S$89)^2+(T34-$T$89)^2+(U34-$U$89)^2+(V34-$V$89)^2+(W34-$W$89)^2+(X34-$X$89)^2+(Y34-$Y$89)^2+(Z34-$Z$89)^2+(AA34-$AA$89)^2+(AB34-$AB$89)^2+(AC34-$AC$89)^2+(AD34-$AD$89)^2+(AE34-$AE$89)^2+(AF34-$AF$89)^2+(AG34-$AG$89)^2)</f>
        <v>1.8023786024156885</v>
      </c>
      <c r="FS34" s="36" t="s">
        <v>334</v>
      </c>
      <c r="FT34" s="37" t="s">
        <v>120</v>
      </c>
      <c r="FV34" s="44"/>
      <c r="FW34" s="36">
        <f>SQRT((A34-$A$90)^2+(B34-$B$90)^2+(C34-$C$90)^2+(D34-$D$90)^2+(E34-$E$90)^2+(F34-$F$90)^2+(G34-$G$90)^2+(H34-$H$90)^2+(I34-$I$90)^2+(J34-$J$90)^2+(K34-$K$90)^2+(L34-$L$90)^2+(M34-$M$90)^2+(N34-$N$90)^2+(O34-$O$90)^2+(P34-$P$90)^2+(Q34-$Q$90)^2+(R34-$R$90)^2+(S34-$S$90)^2+(T34-$T$90)^2+(U34-$U$90)^2+(V34-$V$90)^2+(W34-$W$90)^2+(X34-$X$90)^2+(Y34-$Y$90)^2+(Z34-$Z$90)^2+(AA34-$AA$90)^2+(AB34-$AB$90)^2+(AC34-$AC$90)^2+(AD34-$AD$90)^2+(AE34-$AE$90)^2+(AF34-$AF$90)^2+(AG34-$AG$90)^2)</f>
        <v>1.0809141454023794</v>
      </c>
      <c r="FX34" s="36" t="s">
        <v>145</v>
      </c>
      <c r="FY34" s="37" t="s">
        <v>120</v>
      </c>
      <c r="GA34" s="44"/>
      <c r="GB34" s="36">
        <f>SQRT((A34-$A$91)^2+(B34-$B$91)^2+(C34-$C$91)^2+(D34-$D$91)^2+(E34-$E$91)^2+(F34-$F$91)^2+(G34-$G$91)^2+(H34-$H$91)^2+(I34-$I$91)^2+(J34-$J$91)^2+(K34-$K$91)^2+(L34-$L$91)^2+(M34-$M$91)^2+(N34-$N$91)^2+(O34-$O$91)^2+(P34-$P$91)^2+(Q34-$Q$91)^2+(R34-$R$91)^2+(S34-$S$91)^2+(T34-$T$91)^2+(U34-$U$91)^2+(V34-$V$91)^2+(W34-$W$91)^2+(X34-$X$91)^2+(Y34-$Y$91)^2+(Z34-$Z$91)^2+(AA34-$AA$91)^2+(AB34-$AB$91)^2+(AC34-$AC$91)^2+(AD34-$AD$91)^2+(AE34-$AE$91)^2+(AF34-$AF$91)^2+(AG34-$AG$91)^2)</f>
        <v>1.9303917373581894</v>
      </c>
      <c r="GC34" s="36" t="s">
        <v>134</v>
      </c>
      <c r="GD34" s="37" t="s">
        <v>120</v>
      </c>
      <c r="GF34" s="44"/>
      <c r="GG34" s="36">
        <f>SQRT((A34-$A$92)^2+(B34-$B$92)^2+(C34-$C$92)^2+(D34-$D$92)^2+(E34-$E$92)^2+(F34-$F$92)^2+(G34-$G$92)^2+(H34-$H$92)^2+(I34-$I$92)^2+(J34-$J$92)^2+(K34-$K$92)^2+(L34-$L$92)^2+(M34-$M$92)^2+(N34-$N$92)^2+(O34-$O$92)^2+(P34-$P$92)^2+(Q34-$Q$92)^2+(R34-$R$92)^2+(S34-$S$92)^2+(T34-$T$92)^2+(U34-$U$92)^2+(V34-$V$92)^2+(W34-$W$92)^2+(X34-$X$92)^2+(Y34-$Y$92)^2+(Z34-$Z$92)^2+(AA34-$AA$92)^2+(AB34-$AB$92)^2+(AC34-$AC$92)^2+(AD34-$AD$92)^2+(AE34-$AE$92)^2+(AF34-$AF$92)^2+(AG34-$AG$92)^2)</f>
        <v>1.8123802642442954</v>
      </c>
      <c r="GH34" s="36" t="s">
        <v>336</v>
      </c>
      <c r="GI34" s="37" t="s">
        <v>120</v>
      </c>
      <c r="GK34" s="44"/>
      <c r="GL34" s="36">
        <f>SQRT((A34-$A$93)^2+(B34-$B$93)^2+(C34-$C$93)^2+(D34-$D$93)^2+(E34-$E$93)^2+(F34-$F$93)^2+(G34-$G$93)^2+(H34-$H$93)^2+(I34-$I$93)^2+(J34-$J$93)^2+(K34-$K$93)^2+(L34-$L$93)^2+(M34-$M$93)^2+(N34-$N$93)^2+(O34-$O$93)^2+(P34-$P$93)^2+(Q34-$Q$93)^2+(R34-$R$93)^2+(S34-$S$93)^2+(T34-$T$93)^2+(U34-$U$93)^2+(V34-$V$93)^2+(W34-$W$93)^2+(X34-$X$93)^2+(Y34-$Y$93)^2+(Z34-$Z$93)^2+(AA34-$AA$93)^2+(AB34-$AB$93)^2+(AC34-$AC$93)^2+(AD34-$AD$93)^2+(AE34-$AE$93)^2+(AF34-$AF$93)^2+(AG34-$AG$93)^2)</f>
        <v>1.9898866738175356</v>
      </c>
      <c r="GM34" s="36" t="s">
        <v>313</v>
      </c>
      <c r="GN34" s="37" t="s">
        <v>120</v>
      </c>
      <c r="GP34" s="44"/>
      <c r="GQ34" s="36">
        <f>SQRT((A34-$A$94)^2+(B34-$B$94)^2+(C34-$C$94)^2+(D34-$D$94)^2+(E34-$E$94)^2+(F34-$F$94)^2+(G34-$G$94)^2+(H34-$H$94)^2+(I34-$I$94)^2+(J34-$J$94)^2+(K34-$K$94)^2+(L34-$L$94)^2+(M34-$M$94)^2+(N34-$N$94)^2+(O34-$O$94)^2+(P34-$P$94)^2+(Q34-$Q$94)^2+(R34-$R$94)^2+(S34-$S$94)^2+(T34-$T$94)^2+(U34-$U$94)^2+(V34-$V$94)^2+(W34-$W$94)^2+(X34-$X$94)^2+(Y34-$Y$94)^2+(Z34-$Z$94)^2+(AA34-$AA$94)^2+(AB34-$AB$94)^2+(AC34-$AC$94)^2+(AD34-$AD$94)^2+(AE34-$AE$94)^2+(AF34-$AF$94)^2+(AG34-$AG$94)^2)</f>
        <v>1.7820119615386447</v>
      </c>
      <c r="GR34" s="36" t="s">
        <v>128</v>
      </c>
      <c r="GS34" s="37" t="s">
        <v>120</v>
      </c>
      <c r="GU34" s="44"/>
      <c r="GV34" s="36">
        <f>SQRT((A34-$A$95)^2+(B34-$B$95)^2+(C34-$C$95)^2+(D34-$D$95)^2+(E34-$E$95)^2+(F34-$F$95)^2+(G34-$G$95)^2+(H34-$H$95)^2+(I34-$I$95)^2+(J34-$J$95)^2+(K34-$K$95)^2+(L34-$L$95)^2+(M34-$M$95)^2+(N34-$N$95)^2+(O34-$O$95)^2+(P34-$P$95)^2+(Q34-$Q$95)^2+(R34-$R$95)^2+(S34-$S$95)^2+(T34-$T$95)^2+(U34-$U$95)^2+(V34-$V$95)^2+(W34-$W$95)^2+(X34-$X$95)^2+(Y34-$Y$95)^2+(Z34-$Z$95)^2+(AA34-$AA$95)^2+(AB34-$AB$95)^2+(AC34-$AC$95)^2+(AD34-$AD$95)^2+(AE34-$AE$95)^2+(AF34-$AF$95)^2+(AG34-$AG$95)^2)</f>
        <v>2.0762835361440164</v>
      </c>
      <c r="GW34" s="36" t="s">
        <v>335</v>
      </c>
      <c r="GX34" s="37" t="s">
        <v>120</v>
      </c>
      <c r="GZ34" s="44"/>
      <c r="HA34" s="36">
        <f>SQRT((A34-$A$96)^2+(B34-$B$96)^2+(C34-$C$96)^2+(D34-$D$96)^2+(E34-$E$96)^2+(F34-$F$96)^2+(G34-$G$96)^2+(H34-$H$96)^2+(I34-$I$96)^2+(J34-$J$96)^2+(K34-$K$96)^2+(L34-$L$96)^2+(M34-$M$96)^2+(N34-$N$96)^2+(O34-$O$96)^2+(P34-$P$96)^2+(Q34-$Q$96)^2+(R34-$R$96)^2+(S34-$S$96)^2+(T34-$T$96)^2+(U34-$U$96)^2+(V34-$V$96)^2+(W34-$W$96)^2+(X34-$X$96)^2+(Y34-$Y$96)^2+(Z34-$Z$96)^2+(AA34-$AA$96)^2+(AB34-$AB$96)^2+(AC34-$AC$96)^2+(AD34-$AD$96)^2+(AE34-$AE$96)^2+(AF34-$AF$96)^2+(AG34-$AG$96)^2)</f>
        <v>2.0319279269305981</v>
      </c>
      <c r="HB34" s="36" t="s">
        <v>338</v>
      </c>
      <c r="HC34" s="37" t="s">
        <v>120</v>
      </c>
      <c r="HE34" s="44"/>
      <c r="HF34" s="36">
        <f>SQRT((A34-$A$97)^2+(B34-$B$97)^2+(C34-$C$97)^2+(D34-$D$97)^2+(E34-$E$97)^2+(F34-$F$97)^2+(G34-$G$97)^2+(H34-$H$97)^2+(I34-$I$97)^2+(J34-$J$97)^2+(K34-$K$97)^2+(L34-$L$97)^2+(M34-$M$97)^2+(N34-$N$97)^2+(O34-$O$97)^2+(P34-$P$97)^2+(Q34-$Q$97)^2+(R34-$R$97)^2+(S34-$S$97)^2+(T34-$T$97)^2+(U34-$U$97)^2+(V34-$V$97)^2+(W34-$W$97)^2+(X34-$X$97)^2+(Y34-$Y$97)^2+(Z34-$Z$97)^2+(AA34-$AA$97)^2+(AB34-$AB$97)^2+(AC34-$AC$97)^2+(AD34-$AD$97)^2+(AE34-$AE$97)^2+(AF34-$AF$97)^2+(AG34-$AG$97)^2)</f>
        <v>1.2203555741665404</v>
      </c>
      <c r="HG34" s="36" t="s">
        <v>145</v>
      </c>
      <c r="HH34" s="37" t="s">
        <v>120</v>
      </c>
      <c r="HJ34" s="44"/>
      <c r="HK34" s="36">
        <f>SQRT((A34-$A$98)^2+(B34-$B$98)^2+(C34-$C$98)^2+(D34-$D$98)^2+(E34-$E$98)^2+(F34-$F$98)^2+(G34-$G$98)^2+(H34-$H$98)^2+(I34-$I$98)^2+(J34-$J$98)^2+(K34-$K$98)^2+(L34-$L$98)^2+(M34-$M$98)^2+(N34-$N$98)^2+(O34-$O$98)^2+(P34-$P$98)^2+(Q34-$Q$98)^2+(R34-$R$98)^2+(S34-$S$98)^2+(T34-$T$98)^2+(U34-$U$98)^2+(V34-$V$98)^2+(W34-$W$98)^2+(X34-$X$98)^2+(Y34-$Y$98)^2+(Z34-$Z$98)^2+(AA34-$AA$98)^2+(AB34-$AB$98)^2+(AC34-$AC$98)^2+(AD34-$AD$98)^2+(AE34-$AE$98)^2+(AF34-$AF$98)^2+(AG34-$AG$98)^2)</f>
        <v>1.2203555741665404</v>
      </c>
      <c r="HL34" s="36" t="s">
        <v>145</v>
      </c>
      <c r="HM34" s="37" t="s">
        <v>120</v>
      </c>
      <c r="HO34" s="44"/>
      <c r="HP34" s="36">
        <f>SQRT((A34-$A$99)^2+(B34-$B$99)^2+(C34-$C$99)^2+(D34-$D$99)^2+(E34-$E$99)^2+(F34-$F$99)^2+(G34-$G$99)^2+(H34-$H$99)^2+(I34-$I$99)^2+(J34-$J$99)^2+(K34-$K$99)^2+(L34-$L$99)^2+(M34-$M$99)^2+(N34-$N$99)^2+(O34-$O$99)^2+(P34-$P$99)^2+(Q34-$Q$99)^2+(R34-$R$99)^2+(S34-$S$99)^2+(T34-$T$99)^2+(U34-$U$99)^2+(V34-$V$99)^2+(W34-$W$99)^2+(X34-$X$99)^2+(Y34-$Y$99)^2+(Z34-$Z$99)^2+(AA34-$AA$99)^2+(AB34-$AB$99)^2+(AC34-$AC$99)^2+(AD34-$AD$99)^2+(AE34-$AE$99)^2+(AF34-$AF$99)^2+(AG34-$AG$99)^2)</f>
        <v>1.2203555741665404</v>
      </c>
      <c r="HQ34" s="36" t="s">
        <v>145</v>
      </c>
      <c r="HR34" s="37" t="s">
        <v>120</v>
      </c>
      <c r="HT34" s="44"/>
      <c r="HU34" s="36">
        <f>SQRT((A34-$A$100)^2+(B34-$B$100)^2+(C34-$C$100)^2+(D34-$D$100)^2+(E34-$E$100)^2+(F34-$F$100)^2+(G34-$G$100)^2+(H34-$H$100)^2+(I34-$I$100)^2+(J34-$J$100)^2+(K34-$K$100)^2+(L34-$L$100)^2+(M34-$M$100)^2+(N34-$N$100)^2+(O34-$O$100)^2+(P34-$P$100)^2+(Q34-$Q$100)^2+(R34-$R$100)^2+(S34-$S$100)^2+(T34-$T$100)^2+(U34-$U$100)^2+(V34-$V$100)^2+(W34-$W$100)^2+(X34-$X$100)^2+(Y34-$Y$100)^2+(Z34-$Z$100)^2+(AA34-$AA$100)^2+(AB34-$AB$100)^2+(AC34-$AC$100)^2+(AD34-$AD$100)^2+(AE34-$AE$100)^2+(AF34-$AF$100)^2+(AG34-$AG$100)^2)</f>
        <v>1.2203555741665404</v>
      </c>
      <c r="HV34" s="36" t="s">
        <v>145</v>
      </c>
      <c r="HW34" s="37" t="s">
        <v>120</v>
      </c>
      <c r="HY34" s="44"/>
      <c r="HZ34" s="36">
        <f>SQRT((A34-$A$101)^2+(B34-$B$101)^2+(C34-$C$101)^2+(D34-$D$101)^2+(E34-$E$101)^2+(F34-$F$101)^2+(G34-$G$101)^2+(H34-$H$101)^2+(I34-$I$101)^2+(J34-$J$101)^2+(K34-$K$101)^2+(L34-$L$101)^2+(M34-$M$101)^2+(N34-$N$101)^2+(O34-$O$101)^2+(P34-$P$101)^2+(Q34-$Q$101)^2+(R34-$R$101)^2+(S34-$S$101)^2+(T34-$T$101)^2+(U34-$U$101)^2+(V34-$V$101)^2+(W34-$W$101)^2+(X34-$X$101)^2+(Y34-$Y$101)^2+(Z34-$Z$101)^2+(AA34-$AA$101)^2+(AB34-$AB$101)^2+(AC34-$AC$101)^2+(AD34-$AD$101)^2+(AE34-$AE$101)^2+(AF34-$AF$101)^2+(AG34-$AG$101)^2)</f>
        <v>1.8773083539461584</v>
      </c>
      <c r="IA34" s="36" t="s">
        <v>338</v>
      </c>
      <c r="IB34" s="37" t="s">
        <v>120</v>
      </c>
    </row>
    <row r="35" spans="1:236" x14ac:dyDescent="0.35">
      <c r="A35" s="2">
        <v>0.83333333333333304</v>
      </c>
      <c r="B35" s="2">
        <v>0.25</v>
      </c>
      <c r="C35" s="2">
        <v>0.23899371069182301</v>
      </c>
      <c r="D35" s="2">
        <v>0</v>
      </c>
      <c r="E35" s="2">
        <v>0</v>
      </c>
      <c r="F35" s="2">
        <v>1</v>
      </c>
      <c r="G35" s="2">
        <v>0.55555555555555503</v>
      </c>
      <c r="H35" s="2">
        <v>1</v>
      </c>
      <c r="I35" s="2">
        <v>0.5</v>
      </c>
      <c r="J35" s="2">
        <v>0</v>
      </c>
      <c r="K35" s="2">
        <v>1</v>
      </c>
      <c r="L35" s="2">
        <v>0.158904109589041</v>
      </c>
      <c r="M35" s="2">
        <v>1</v>
      </c>
      <c r="N35" s="2">
        <v>0</v>
      </c>
      <c r="O35" s="2">
        <v>0</v>
      </c>
      <c r="P35" s="2">
        <v>0.4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0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0.19565217391304299</v>
      </c>
      <c r="AH35" s="2" t="s">
        <v>120</v>
      </c>
      <c r="AI35" s="42"/>
      <c r="AJ35" s="42"/>
      <c r="AL35" s="44"/>
      <c r="AM35" s="36">
        <f>SQRT((A35-$A$62)^2+(B35-$B$62)^2+(C35-$C$62)^2+(D35-$D$62)^2+(E35-$E$62)^2+(F35-$F$62)^2+(G35-$G$62)^2+(H35-$H$62)^2+(I35-$I$62)^2+(J35-$J$62)^2+(K35-$K$62)^2+(L35-$L$62)^2+(M35-$M$62)^2+(N35-$N$62)^2+(O35-$O$62)^2+(P35-$P$62)^2+(Q35-$Q$62)^2+(R35-$R$62)^2+(S35-$S$62)^2+(T35-$T$62)^2+(U35-$U$62)^2+(V35-$V$62)^2+(W35-$W$62)^2+(X35-$X$62)^2+(Y35-$Y$62)^2+(Z35-$Z$62)^2+(AA35-$AA$62)^2+(AB35-$AB$62)^2+(AC35-$AC$62)^2+(AD35-$AD$62)^2+(AE35-$AE$62)^2+(AF35-$AF$62)^2+(AG35-$AG$62)^2)</f>
        <v>2.0784560906780838</v>
      </c>
      <c r="AN35" s="36" t="s">
        <v>333</v>
      </c>
      <c r="AO35" s="37" t="s">
        <v>120</v>
      </c>
      <c r="AQ35" s="44"/>
      <c r="AR35" s="36">
        <f>SQRT((A35-$A$63)^2+(B35-$B$63)^2+(C35-$C$63)^2+(D35-$D$63)^2+(E35-$E$63)^2+(F35-$F$63)^2+(G35-$G$63)^2+(H35-$H$63)^2+(I35-$I$63)^2+(J35-$J$63)^2+(K35-$K$63)^2+(L35-$L$63)^2+(M35-$M$63)^2+(N35-$N$63)^2+(O35-$O$63)^2+(P35-$P$63)^2+(Q35-$Q$63)^2+(R35-$R$63)^2+(S35-$S$63)^2+(T35-$T$63)^2+(U35-$U$63)^2+(V35-$V$63)^2+(W35-$W$63)^2+(X35-$X$63)^2+(Y35-$Y$63)^2+(Z35-$Z$63)^2+(AA35-$AA$63)^2+(AB35-$AB$63)^2+(AC35-$AC$63)^2+(AD35-$AD$63)^2+(AE35-$AE$63)^2+(AF35-$AF$63)^2+(AG35-$AG$63)^2)</f>
        <v>1.5438858948407013</v>
      </c>
      <c r="AS35" s="36" t="s">
        <v>131</v>
      </c>
      <c r="AT35" s="37" t="s">
        <v>120</v>
      </c>
      <c r="AV35" s="44"/>
      <c r="AW35" s="36">
        <f>SQRT((A35-$A$64)^2+(B35-$B$64)^2+(C35-$C$64)^2+(D35-$D$64)^2+(E35-$E$64)^2+(F35-$F$64)^2+(G35-$G$64)^2+(H35-$H$64)^2+(I35-$I$64)^2+(J35-$J$64)^2+(K35-$K$64)^2+(L35-$L$64)^2+(M35-$M$64)^2+(N35-$N$64)^2+(O35-$O$64)^2+(P35-$P$64)^2+(Q35-$Q$64)^2+(R35-$R$64)^2+(S35-$S$64)^2+(T35-$T$64)^2+(U35-$U$64)^2+(V35-$V$64)^2+(W35-$W$64)^2+(X35-$X$64)^2+(Y35-$Y$64)^2+(Z35-$Z$64)^2+(AA35-$AA$64)^2+(AB35-$AB$64)^2+(AC35-$AC$64)^2+(AD35-$AD$64)^2+(AE35-$AE$64)^2+(AF35-$AF$64)^2+(AG35-$AG$64)^2)</f>
        <v>1.5438858948407013</v>
      </c>
      <c r="AX35" s="36" t="s">
        <v>131</v>
      </c>
      <c r="AY35" s="37" t="s">
        <v>120</v>
      </c>
      <c r="BA35" s="44"/>
      <c r="BB35" s="36">
        <f>SQRT((A35-$A$65)^2+(B35-$B$65)^2+(C35-$C$65)^2+(D35-$D$65)^2+(E35-$E$65)^2+(F35-$F$65)^2+(G35-$G$65)^2+(H35-$H$65)^2+(I35-$I$65)^2+(J35-$J$65)^2+(K35-$K$65)^2+(L35-$L$65)^2+(M35-$M$65)^2+(N35-$N$65)^2+(O35-$O$65)^2+(P35-$P$65)^2+(Q35-$Q$65)^2+(R35-$R$65)^2+(S35-$S$65)^2+(T35-$T$65)^2+(U35-$U$65)^2+(V35-$V$65)^2+(W35-$W$65)^2+(X35-$X$65)^2+(Y35-$Y$65)^2+(Z35-$Z$65)^2+(AA35-$AA$65)^2+(AB35-$AB$65)^2+(AC35-$AC$65)^2+(AD35-$AD$65)^2+(AE35-$AE$65)^2+(AF35-$AF$65)^2+(AG35-$AG$65)^2)</f>
        <v>1.5438858948407013</v>
      </c>
      <c r="BC35" s="36" t="s">
        <v>131</v>
      </c>
      <c r="BD35" s="37" t="s">
        <v>120</v>
      </c>
      <c r="BF35" s="44"/>
      <c r="BG35" s="36">
        <f>SQRT((A35-$A$66)^2+(B35-$B$66)^2+(C35-$C$66)^2+(D35-$D$66)^2+(E35-$E$66)^2+(F35-$F$66)^2+(G35-$G$66)^2+(H35-$H$66)^2+(I35-$I$66)^2+(J35-$J$66)^2+(K35-$K$66)^2+(L35-$L$66)^2+(M35-$M$66)^2+(N35-$N$66)^2+(O35-$O$66)^2+(P35-$P$66)^2+(Q35-$Q$66)^2+(R35-$R$66)^2+(S35-$S$66)^2+(T35-$T$66)^2+(U35-$U$66)^2+(V35-$V$66)^2+(W35-$W$66)^2+(X35-$X$66)^2+(Y35-$Y$66)^2+(Z35-$Z$66)^2+(AA35-$AA$66)^2+(AB35-$AB$66)^2+(AC35-$AC$66)^2+(AD35-$AD$66)^2+(AE35-$AE$66)^2+(AF35-$AF$66)^2+(AG35-$AG$66)^2)</f>
        <v>1.5438858948407013</v>
      </c>
      <c r="BH35" s="36" t="s">
        <v>131</v>
      </c>
      <c r="BI35" s="37" t="s">
        <v>120</v>
      </c>
      <c r="BK35" s="44"/>
      <c r="BL35" s="36">
        <f>SQRT((A35-$A$67)^2+(B35-$B$67)^2+(C35-$C$67)^2+(D35-$D$67)^2+(E35-$E$67)^2+(F35-$F$67)^2+(G35-$G$67)^2+(H35-$H$67)^2+(I35-$I$67)^2+(J35-$J$67)^2+(K35-$K$67)^2+(L35-$L$67)^2+(M35-$M$67)^2+(N35-$N$67)^2+(O35-$O$67)^2+(P35-$P$67)^2+(Q35-$Q$67)^2+(R35-$R$67)^2+(S35-$S$67)^2+(T35-$T$67)^2+(U35-$U$67)^2+(V35-$V$67)^2+(W35-$W$67)^2+(X35-$X$67)^2+(Y35-$Y$67)^2+(Z35-$Z$67)^2+(AA35-$AA$67)^2+(AB35-$AB$67)^2+(AC35-$AC$67)^2+(AD35-$AD$67)^2+(AE35-$AE$67)^2+(AF35-$AF$67)^2+(AG35-$AG$67)^2)</f>
        <v>1.5438858948407013</v>
      </c>
      <c r="BM35" s="36" t="s">
        <v>131</v>
      </c>
      <c r="BN35" s="37" t="s">
        <v>120</v>
      </c>
      <c r="BP35" s="44"/>
      <c r="BQ35" s="36">
        <f>SQRT((A35-$A$68)^2+(B35-$B$68)^2+(C35-$C$68)^2+(D35-$D$68)^2+(E35-$E$68)^2+(F35-$F$68)^2+(G35-$G$68)^2+(H35-$H$68)^2+(I35-$I$68)^2+(J35-$J$68)^2+(K35-$K$68)^2+(L35-$L$68)^2+(M35-$M$68)^2+(N35-$N$68)^2+(O35-$O$68)^2+(P35-$P$68)^2+(Q35-$Q$68)^2+(R35-$R$68)^2+(S35-$S$68)^2+(T35-$T$68)^2+(U35-$U$68)^2+(V35-$V$68)^2+(W35-$W$68)^2+(X35-$X$68)^2+(Y35-$Y$68)^2+(Z35-$Z$68)^2+(AA35-$AA$68)^2+(AB35-$AB$68)^2+(AC35-$AC$68)^2+(AD35-$AD$68)^2+(AE35-$AE$68)^2+(AF35-$AF$68)^2+(AG35-$AG$68)^2)</f>
        <v>1.5438858948407013</v>
      </c>
      <c r="BR35" s="36" t="s">
        <v>131</v>
      </c>
      <c r="BS35" s="37" t="s">
        <v>120</v>
      </c>
      <c r="BU35" s="44"/>
      <c r="BV35" s="36">
        <f>SQRT((A35-$A$69)^2+(B35-$B$69)^2+(C35-$C$69)^2+(D35-$D$69)^2+(E35-$E$69)^2+(F35-$F$69)^2+(G35-$G$69)^2+(H35-$H$69)^2+(I35-$I$69)^2+(J35-$J$69)^2+(K35-$K$69)^2+(L35-$L$69)^2+(M35-$M$69)^2+(N35-$N$69)^2+(O35-$O$69)^2+(P35-$P$69)^2+(Q35-$Q$69)^2+(R35-$R$69)^2+(S35-$S$69)^2+(T35-$T$69)^2+(U35-$U$69)^2+(V35-$V$69)^2+(W35-$W$69)^2+(X35-$X$69)^2+(Y35-$Y$69)^2+(Z35-$Z$69)^2+(AA35-$AA$69)^2+(AB35-$AB$69)^2+(AC35-$AC$69)^2+(AD35-$AD$69)^2+(AE35-$AE$69)^2+(AF35-$AF$69)^2+(AG35-$AG$69)^2)</f>
        <v>2.3632167562224762</v>
      </c>
      <c r="BW35" s="36" t="s">
        <v>316</v>
      </c>
      <c r="BX35" s="37" t="s">
        <v>120</v>
      </c>
      <c r="BZ35" s="44"/>
      <c r="CA35" s="36">
        <f>SQRT((A35-$A$70)^2+(B35-$B$70)^2+(C35-$C$70)^2+(D35-$D$70)^2+(E35-$E$70)^2+(F35-$F$70)^2+(G35-$G$70)^2+(H35-$H$70)^2+(I35-$I$70)^2+(J35-$J$70)^2+(K35-$K$70)^2+(L35-$L$70)^2+(M35-$M$70)^2+(N35-$N$70)^2+(O35-$O$70)^2+(P35-$P$70)^2+(Q35-$Q$70)^2+(R35-$R$70)^2+(S35-$S$70)^2+(T35-$T$70)^2+(U35-$U$70)^2+(V35-$V$70)^2+(W35-$W$70)^2+(X35-$X$70)^2+(Y35-$Y$70)^2+(Z35-$Z$70)^2+(AA35-$AA$70)^2+(AB35-$AB$70)^2+(AC35-$AC$70)^2+(AD35-$AD$70)^2+(AE35-$AE$70)^2+(AF35-$AF$70)^2+(AG35-$AG$70)^2)</f>
        <v>1.3129779489507396</v>
      </c>
      <c r="CB35" s="36" t="s">
        <v>150</v>
      </c>
      <c r="CC35" s="37" t="s">
        <v>120</v>
      </c>
      <c r="CE35" s="44"/>
      <c r="CF35" s="36">
        <f>SQRT((A35-$A$71)^2+(B35-$B$71)^2+(C35-$C$71)^2+(D35-$D$71)^2+(E35-$E$71)^2+(F35-$F$71)^2+(G35-$G$71)^2+(H35-$H$71)^2+(I35-$I$71)^2+(J35-$J$71)^2+(K35-$K$71)^2+(L35-$L$71)^2+(M35-$M$71)^2+(N35-$N$71)^2+(O35-$O$71)^2+(P35-$P$71)^2+(Q35-$Q$71)^2+(R35-$R$71)^2+(S35-$S$71)^2+(T35-$T$71)^2+(U35-$U$71)^2+(V35-$V$71)^2+(W35-$W$71)^2+(X35-$X$71)^2+(Y35-$Y$71)^2+(Z35-$Z$71)^2+(AA35-$AA$71)^2+(AB35-$AB$71)^2+(AC35-$AC$71)^2+(AD35-$AD$71)^2+(AE35-$AE$71)^2+(AF35-$AF$71)^2+(AG35-$AG$71)^2)</f>
        <v>1.694032003170018</v>
      </c>
      <c r="CG35" s="36" t="s">
        <v>326</v>
      </c>
      <c r="CH35" s="37" t="s">
        <v>120</v>
      </c>
      <c r="CJ35" s="44"/>
      <c r="CK35" s="36">
        <f>SQRT((A35-$A$72)^2+(B35-$B$72)^2+(C35-$C$72)^2+(D35-$D$72)^2+(E35-$E$72)^2+(F35-$F$72)^2+(G35-$G$72)^2+(H35-$H$72)^2+(I35-$I$72)^2+(J35-$J$72)^2+(K35-$K$72)^2+(L35-$L$72)^2+(M35-$M$72)^2+(N35-$N$72)^2+(O35-$O$72)^2+(P35-$P$72)^2+(Q35-$Q$72)^2+(R35-$R$72)^2+(S35-$S$72)^2+(T35-$T$72)^2+(U35-$U$72)^2+(V35-$V$72)^2+(W35-$W$72)^2+(X35-$X$72)^2+(Y35-$Y$72)^2+(Z35-$Z$72)^2+(AA35-$AA$72)^2+(AB35-$AB$72)^2+(AC35-$AC$72)^2+(AD35-$AD$72)^2+(AE35-$AE$72)^2+(AF35-$AF$72)^2+(AG35-$AG$72)^2)</f>
        <v>1.5138732869691547</v>
      </c>
      <c r="CL35" s="36" t="s">
        <v>143</v>
      </c>
      <c r="CM35" s="37" t="s">
        <v>120</v>
      </c>
      <c r="CO35" s="44"/>
      <c r="CP35" s="36">
        <f>SQRT((A35-$A$73)^2+(B35-$B$73)^2+(C35-$C$73)^2+(D35-$D$73)^2+(E35-$E$73)^2+(F35-$F$73)^2+(G35-$G$73)^2+(H35-$H$73)^2+(I35-$I$73)^2+(J35-$J$73)^2+(K35-$K$73)^2+(L35-$L$73)^2+(M35-$M$73)^2+(N35-$N$73)^2+(O35-$O$73)^2+(P35-$P$73)^2+(Q35-$Q$73)^2+(R35-$R$73)^2+(S35-$S$73)^2+(T35-$T$73)^2+(U35-$U$73)^2+(V35-$V$73)^2+(W35-$W$73)^2+(X35-$X$73)^2+(Y35-$Y$73)^2+(Z35-$Z$73)^2+(AA35-$AA$73)^2+(AB35-$AB$73)^2+(AC35-$AC$73)^2+(AD35-$AD$73)^2+(AE35-$AE$73)^2+(AF35-$AF$73)^2+(AG35-$AG$73)^2)</f>
        <v>1.656294978018757</v>
      </c>
      <c r="CQ35" s="36" t="s">
        <v>313</v>
      </c>
      <c r="CR35" s="37" t="s">
        <v>120</v>
      </c>
      <c r="CT35" s="44"/>
      <c r="CU35" s="36">
        <f>SQRT((A35-$A$74)^2+(B35-$B$74)^2+(C35-$C$74)^2+(D35-$D$74)^2+(E35-$E$74)^2+(F35-$F$74)^2+(G35-$G$74)^2+(H35-$H$74)^2+(I35-$I$74)^2+(J35-$J$74)^2+(K35-$K$74)^2+(L35-$L$74)^2+(M35-$M$74)^2+(N35-$N$74)^2+(O35-$O$74)^2+(P35-$P$74)^2+(Q35-$Q$74)^2+(R35-$R$74)^2+(S35-$S$74)^2+(T35-$T$74)^2+(U35-$U$74)^2+(V35-$V$74)^2+(W35-$W$74)^2+(X35-$X$74)^2+(Y35-$Y$74)^2+(Z35-$Z$74)^2+(AA35-$AA$74)^2+(AB35-$AB$74)^2+(AC35-$AC$74)^2+(AD35-$AD$74)^2+(AE35-$AE$74)^2+(AF35-$AF$74)^2+(AG35-$AG$74)^2)</f>
        <v>1.9047272269689648</v>
      </c>
      <c r="CV35" s="36" t="s">
        <v>133</v>
      </c>
      <c r="CW35" s="37" t="s">
        <v>120</v>
      </c>
      <c r="CY35" s="44"/>
      <c r="CZ35" s="36">
        <f>SQRT((A35-$A$75)^2+(B35-$B$75)^2+(C35-$C$75)^2+(D35-$D$75)^2+(E35-$E$75)^2+(F35-$F$75)^2+(G35-$G$75)^2+(H35-$H$75)^2+(I35-$I$75)^2+(J35-$J$75)^2+(K35-$K$75)^2+(L35-$L$75)^2+(M35-$M$75)^2+(N35-$N$75)^2+(O35-$O$75)^2+(P35-$P$75)^2+(Q35-$Q$75)^2+(R35-$R$75)^2+(S35-$S$75)^2+(T35-$T$75)^2+(U35-$U$75)^2+(V35-$V$75)^2+(W35-$W$75)^2+(X35-$X$75)^2+(Y35-$Y$75)^2+(Z35-$Z$75)^2+(AA35-$AA$75)^2+(AB35-$AB$75)^2+(AC35-$AC$75)^2+(AD35-$AD$75)^2+(AE35-$AE$75)^2+(AF35-$AF$75)^2+(AG35-$AG$75)^2)</f>
        <v>1.9843783657998795</v>
      </c>
      <c r="DA35" s="36" t="s">
        <v>142</v>
      </c>
      <c r="DB35" s="37" t="s">
        <v>120</v>
      </c>
      <c r="DD35" s="44"/>
      <c r="DE35" s="36">
        <f>SQRT((A35-$A$76)^2+(B35-$B$76)^2+(C35-$C$76)^2+(D35-$D$76)^2+(E35-$E$76)^2+(F35-$F$76)^2+(G35-$G$76)^2+(H35-$H$76)^2+(I35-$I$76)^2+(J35-$J$76)^2+(K35-$K$76)^2+(L35-$L$76)^2+(M35-$M$76)^2+(N35-$N$76)^2+(O35-$O$76)^2+(P35-$P$76)^2+(Q35-$Q$76)^2+(R35-$R$76)^2+(S35-$S$76)^2+(T35-$T$76)^2+(U35-$U$76)^2+(V35-$V$76)^2+(W35-$W$76)^2+(X35-$X$76)^2+(Y35-$Y$76)^2+(Z35-$Z$76)^2+(AA35-$AA$76)^2+(AB35-$AB$76)^2+(AC35-$AC$76)^2+(AD35-$AD$76)^2+(AE35-$AE$76)^2+(AF35-$AF$76)^2+(AG35-$AG$76)^2)</f>
        <v>1.6140963310565126</v>
      </c>
      <c r="DF35" s="36" t="s">
        <v>338</v>
      </c>
      <c r="DG35" s="37" t="s">
        <v>120</v>
      </c>
      <c r="DI35" s="44"/>
      <c r="DJ35" s="36">
        <f>SQRT((A35-$A$77)^2+(B35-$B$77)^2+(C35-$C$77)^2+(D35-$D$77)^2+(E35-$E$77)^2+(F35-$F$77)^2+(G35-$G$77)^2+(H35-$H$77)^2+(I35-$I$77)^2+(J35-$J$77)^2+(K35-$K$77)^2+(L35-$L$77)^2+(M35-$M$77)^2+(N35-$N$77)^2+(O35-$O$77)^2+(P35-$P$77)^2+(Q35-$Q$77)^2+(R35-$R$77)^2+(S35-$S$77)^2+(T35-$T$77)^2+(U35-$U$77)^2+(V35-$V$77)^2+(W35-$W$77)^2+(X35-$X$77)^2+(Y35-$Y$77)^2+(Z35-$Z$77)^2+(AA35-$AA$77)^2+(AB35-$AB$77)^2+(AC35-$AC$77)^2+(AD35-$AD$77)^2+(AE35-$AE$77)^2+(AF35-$AF$77)^2+(AG35-$AG$77)^2)</f>
        <v>2.2640767792141272</v>
      </c>
      <c r="DK35" s="36" t="s">
        <v>150</v>
      </c>
      <c r="DL35" s="37" t="s">
        <v>120</v>
      </c>
      <c r="DN35" s="44"/>
      <c r="DO35" s="36">
        <f>SQRT((A35-$A$78)^2+(B35-$B$78)^2+(C35-$C$78)^2+(D35-$D$78)^2+(E35-$E$78)^2+(F35-$F$78)^2+(G35-$G$78)^2+(H35-$H$78)^2+(I35-$I$78)^2+(J35-$J$78)^2+(K35-$K$78)^2+(L35-$L$78)^2+(M35-$M$78)^2+(N35-$N$78)^2+(O35-$O$78)^2+(P35-$P$78)^2+(Q35-$Q$78)^2+(R35-$R$78)^2+(S35-$S$78)^2+(T35-$T$78)^2+(U35-$U$78)^2+(V35-$V$78)^2+(W35-$W$78)^2+(X35-$X$78)^2+(Y35-$Y$78)^2+(Z35-$Z$78)^2+(AA35-$AA$78)^2+(AB35-$AB$78)^2+(AC35-$AC$78)^2+(AD35-$AD$78)^2+(AE35-$AE$78)^2+(AF35-$AF$78)^2+(AG35-$AG$78)^2)</f>
        <v>1.4178137236068089</v>
      </c>
      <c r="DP35" s="36" t="s">
        <v>322</v>
      </c>
      <c r="DQ35" s="37" t="s">
        <v>120</v>
      </c>
      <c r="DS35" s="44"/>
      <c r="DT35" s="36">
        <f>SQRT((A35-$A$79)^2+(B35-$B$79)^2+(C35-$C$79)^2+(D35-$D$79)^2+(E35-$E$79)^2+(F35-$F$79)^2+(G35-$G$79)^2+(H35-$H$79)^2+(I35-$I$79)^2+(J35-$J$79)^2+(K35-$K$79)^2+(L35-$L$79)^2+(M35-$M$79)^2+(N35-$N$79)^2+(O35-$O$79)^2+(P35-$P$79)^2+(Q35-$Q$79)^2+(R35-$R$79)^2+(S35-$S$79)^2+(T35-$T$79)^2+(U35-$U$79)^2+(V35-$V$79)^2+(W35-$W$79)^2+(X35-$X$79)^2+(Y35-$Y$79)^2+(Z35-$Z$79)^2+(AA35-$AA$79)^2+(AB35-$AB$79)^2+(AC35-$AC$79)^2+(AD35-$AD$79)^2+(AE35-$AE$79)^2+(AF35-$AF$79)^2+(AG35-$AG$79)^2)</f>
        <v>1.3359349618234495</v>
      </c>
      <c r="DU35" s="36" t="s">
        <v>324</v>
      </c>
      <c r="DV35" s="37" t="s">
        <v>120</v>
      </c>
      <c r="DX35" s="44"/>
      <c r="DY35" s="36">
        <f>SQRT((A35-$A$80)^2+(B35-$B$80)^2+(C35-$C$80)^2+(D35-$D$80)^2+(E35-$E$80)^2+(F35-$F$80)^2+(G35-$G$80)^2+(H35-$H$80)^2+(I35-$I$80)^2+(J35-$J$80)^2+(K35-$K$80)^2+(L35-$L$80)^2+(M35-$M$80)^2+(N35-$N$80)^2+(O35-$O$80)^2+(P35-$P$80)^2+(Q35-$Q$80)^2+(R35-$R$80)^2+(S35-$S$80)^2+(T35-$T$80)^2+(U35-$U$80)^2+(V35-$V$80)^2+(W35-$W$80)^2+(X35-$X$80)^2+(Y35-$Y$80)^2+(Z35-$Z$80)^2+(AA35-$AA$80)^2+(AB35-$AB$80)^2+(AC35-$AC$80)^2+(AD35-$AD$80)^2+(AE35-$AE$80)^2+(AF35-$AF$80)^2+(AG35-$AG$80)^2)</f>
        <v>2.1833173608171972</v>
      </c>
      <c r="DZ35" s="36" t="s">
        <v>154</v>
      </c>
      <c r="EA35" s="37" t="s">
        <v>120</v>
      </c>
      <c r="EC35" s="44"/>
      <c r="ED35" s="36">
        <f>SQRT((A35-$A$81)^2+(B35-$B$81)^2+(C35-$C$81)^2+(D35-$D$81)^2+(E35-$E$81)^2+(F35-$F$81)^2+(G35-$G$81)^2+(H35-$H$81)^2+(I35-$I$81)^2+(J35-$J$81)^2+(K35-$K$81)^2+(L35-$L$81)^2+(M35-$M$81)^2+(N35-$N$81)^2+(O35-$O$81)^2+(P35-$P$81)^2+(Q35-$Q$81)^2+(R35-$R$81)^2+(S35-$S$81)^2+(T35-$T$81)^2+(U35-$U$81)^2+(V35-$V$81)^2+(W35-$W$81)^2+(X35-$X$81)^2+(Y35-$Y$81)^2+(Z35-$Z$81)^2+(AA35-$AA$81)^2+(AB35-$AB$81)^2+(AC35-$AC$81)^2+(AD35-$AD$81)^2+(AE35-$AE$81)^2+(AF35-$AF$81)^2+(AG35-$AG$81)^2)</f>
        <v>2.2031865748411459</v>
      </c>
      <c r="EE35" s="36" t="s">
        <v>321</v>
      </c>
      <c r="EF35" s="37" t="s">
        <v>120</v>
      </c>
      <c r="EH35" s="44"/>
      <c r="EI35" s="36">
        <f>SQRT((A35-$A$82)^2+(B35-$B$82)^2+(C35-$C$82)^2+(D35-$D$82)^2+(E35-$E$82)^2+(F35-$F$82)^2+(G35-$G$82)^2+(H35-$H$82)^2+(I35-$I$82)^2+(J35-$J$82)^2+(K35-$K$82)^2+(L35-$L$82)^2+(M35-$M$82)^2+(N35-$N$82)^2+(O35-$O$82)^2+(P35-$P$82)^2+(Q35-$Q$82)^2+(R35-$R$82)^2+(S35-$S$82)^2+(T35-$T$82)^2+(U35-$U$82)^2+(V35-$V$82)^2+(W35-$W$82)^2+(X35-$X$82)^2+(Y35-$Y$82)^2+(Z35-$Z$82)^2+(AA35-$AA$82)^2+(AB35-$AB$82)^2+(AC35-$AC$82)^2+(AD35-$AD$82)^2+(AE35-$AE$82)^2+(AF35-$AF$82)^2+(AG35-$AG$82)^2)</f>
        <v>1.7687974423783992</v>
      </c>
      <c r="EJ35" s="36" t="s">
        <v>150</v>
      </c>
      <c r="EK35" s="37" t="s">
        <v>120</v>
      </c>
      <c r="EM35" s="44"/>
      <c r="EN35" s="36">
        <f>SQRT((A35-$A$83)^2+(B35-$B$83)^2+(C35-$C$83)^2+(D35-$D$83)^2+(E35-$E$83)^2+(F35-$F$83)^2+(G35-$G$83)^2+(H35-$H$83)^2+(I35-$I$83)^2+(J35-$J$83)^2+(K35-$K$83)^2+(L35-$L$83)^2+(M35-$M$83)^2+(N35-$N$83)^2+(O35-$O$83)^2+(P35-$P$83)^2+(Q35-$Q$83)^2+(R35-$R$83)^2+(S35-$S$83)^2+(T35-$T$83)^2+(U35-$U$83)^2+(V35-$V$83)^2+(W35-$W$83)^2+(X35-$X$83)^2+(Y35-$Y$83)^2+(Z35-$Z$83)^2+(AA35-$AA$83)^2+(AB35-$AB$83)^2+(AC35-$AC$83)^2+(AD35-$AD$83)^2+(AE35-$AE$83)^2+(AF35-$AF$83)^2+(AG35-$AG$83)^2)</f>
        <v>1.3040030925385442</v>
      </c>
      <c r="EO35" s="36" t="s">
        <v>336</v>
      </c>
      <c r="EP35" s="37" t="s">
        <v>120</v>
      </c>
      <c r="ER35" s="44"/>
      <c r="ES35" s="36">
        <f>SQRT((A35-$A$84)^2+(B35-$B$84)^2+(C35-$C$84)^2+(D35-$D$84)^2+(E35-$E$84)^2+(F35-$F$84)^2+(G35-$G$84)^2+(H35-$H$84)^2+(I35-$I$84)^2+(J35-$J$84)^2+(K35-$K$84)^2+(L35-$L$84)^2+(M35-$M$84)^2+(N35-$N$84)^2+(O35-$O$84)^2+(P35-$P$84)^2+(Q35-$Q$84)^2+(R35-$R$84)^2+(S35-$S$84)^2+(T35-$T$84)^2+(U35-$U$84)^2+(V35-$V$84)^2+(W35-$W$84)^2+(X35-$X$84)^2+(Y35-$Y$84)^2+(Z35-$Z$84)^2+(AA35-$AA$84)^2+(AB35-$AB$84)^2+(AC35-$AC$84)^2+(AD35-$AD$84)^2+(AE35-$AE$84)^2+(AF35-$AF$84)^2+(AG35-$AG$84)^2)</f>
        <v>1.5438858948407013</v>
      </c>
      <c r="ET35" s="36" t="s">
        <v>131</v>
      </c>
      <c r="EU35" s="37" t="s">
        <v>120</v>
      </c>
      <c r="EW35" s="44"/>
      <c r="EX35" s="36">
        <f>SQRT((A35-$A$85)^2+(B35-$B$85)^2+(C35-$C$85)^2+(D35-$D$85)^2+(E35-$E$85)^2+(F35-$F$85)^2+(G35-$G$85)^2+(H35-$H$85)^2+(I35-$I$85)^2+(J35-$J$85)^2+(K35-$K$85)^2+(L35-$L$85)^2+(M35-$M$85)^2+(N35-$N$85)^2+(O35-$O$85)^2+(P35-$P$85)^2+(Q35-$Q$85)^2+(R35-$R$85)^2+(S35-$S$85)^2+(T35-$T$85)^2+(U35-$U$85)^2+(V35-$V$85)^2+(W35-$W$85)^2+(X35-$X$85)^2+(Y35-$Y$85)^2+(Z35-$Z$85)^2+(AA35-$AA$85)^2+(AB35-$AB$85)^2+(AC35-$AC$85)^2+(AD35-$AD$85)^2+(AE35-$AE$85)^2+(AF35-$AF$85)^2+(AG35-$AG$85)^2)</f>
        <v>1.5438858948407013</v>
      </c>
      <c r="EY35" s="36" t="s">
        <v>131</v>
      </c>
      <c r="EZ35" s="37" t="s">
        <v>120</v>
      </c>
      <c r="FB35" s="44"/>
      <c r="FC35" s="36">
        <f>SQRT((A35-$A$86)^2+(B35-$B$86)^2+(C35-$C$86)^2+(D35-$D$86)^2+(E35-$E$86)^2+(F35-$F$86)^2+(G35-$G$86)^2+(H35-$H$86)^2+(I35-$I$86)^2+(J35-$J$86)^2+(K35-$K$86)^2+(L35-$L$86)^2+(M35-$M$86)^2+(N35-$N$86)^2+(O35-$O$86)^2+(P35-$P$86)^2+(Q35-$Q$86)^2+(R35-$R$86)^2+(S35-$S$86)^2+(T35-$T$86)^2+(U35-$U$86)^2+(V35-$V$86)^2+(W35-$W$86)^2+(X35-$X$86)^2+(Y35-$Y$86)^2+(Z35-$Z$86)^2+(AA35-$AA$86)^2+(AB35-$AB$86)^2+(AC35-$AC$86)^2+(AD35-$AD$86)^2+(AE35-$AE$86)^2+(AF35-$AF$86)^2+(AG35-$AG$86)^2)</f>
        <v>1.5438858948407013</v>
      </c>
      <c r="FD35" s="36" t="s">
        <v>131</v>
      </c>
      <c r="FE35" s="37" t="s">
        <v>120</v>
      </c>
      <c r="FG35" s="44"/>
      <c r="FH35" s="36">
        <f>SQRT((A35-$A$87)^2+(B35-$B$87)^2+(C35-$C$87)^2+(D35-$D$87)^2+(E35-$E$87)^2+(F35-$F$87)^2+(G35-$G$87)^2+(H35-$H$87)^2+(I35-$I$87)^2+(J35-$J$87)^2+(K35-$K$87)^2+(L35-$L$87)^2+(M35-$M$87)^2+(N35-$N$87)^2+(O35-$O$87)^2+(P35-$P$87)^2+(Q35-$Q$87)^2+(R35-$R$87)^2+(S35-$S$87)^2+(T35-$T$87)^2+(U35-$U$87)^2+(V35-$V$87)^2+(W35-$W$87)^2+(X35-$X$87)^2+(Y35-$Y$87)^2+(Z35-$Z$87)^2+(AA35-$AA$87)^2+(AB35-$AB$87)^2+(AC35-$AC$87)^2+(AD35-$AD$87)^2+(AE35-$AE$87)^2+(AF35-$AF$87)^2+(AG35-$AG$87)^2)</f>
        <v>1.4674171370848015</v>
      </c>
      <c r="FI35" s="36" t="s">
        <v>313</v>
      </c>
      <c r="FJ35" s="37" t="s">
        <v>120</v>
      </c>
      <c r="FL35" s="44"/>
      <c r="FM35" s="36">
        <f>SQRT((A35-$A$88)^2+(B35-$B$88)^2+(C35-$C$88)^2+(D35-$D$88)^2+(E35-$E$88)^2+(F35-$F$88)^2+(G35-$G$88)^2+(H35-$H$88)^2+(I35-$I$88)^2+(J35-$J$88)^2+(K35-$K$88)^2+(L35-$L$88)^2+(M35-$M$88)^2+(N35-$N$88)^2+(O35-$O$88)^2+(P35-$P$88)^2+(Q35-$Q$88)^2+(R35-$R$88)^2+(S35-$S$88)^2+(T35-$T$88)^2+(U35-$U$88)^2+(V35-$V$88)^2+(W35-$W$88)^2+(X35-$X$88)^2+(Y35-$Y$88)^2+(Z35-$Z$88)^2+(AA35-$AA$88)^2+(AB35-$AB$88)^2+(AC35-$AC$88)^2+(AD35-$AD$88)^2+(AE35-$AE$88)^2+(AF35-$AF$88)^2+(AG35-$AG$88)^2)</f>
        <v>1.8413521556447474</v>
      </c>
      <c r="FN35" s="36" t="s">
        <v>316</v>
      </c>
      <c r="FO35" s="37" t="s">
        <v>120</v>
      </c>
      <c r="FQ35" s="44"/>
      <c r="FR35" s="36">
        <f>SQRT((A35-$A$89)^2+(B35-$B$89)^2+(C35-$C$89)^2+(D35-$D$89)^2+(E35-$E$89)^2+(F35-$F$89)^2+(G35-$G$89)^2+(H35-$H$89)^2+(I35-$I$89)^2+(J35-$J$89)^2+(K35-$K$89)^2+(L35-$L$89)^2+(M35-$M$89)^2+(N35-$N$89)^2+(O35-$O$89)^2+(P35-$P$89)^2+(Q35-$Q$89)^2+(R35-$R$89)^2+(S35-$S$89)^2+(T35-$T$89)^2+(U35-$U$89)^2+(V35-$V$89)^2+(W35-$W$89)^2+(X35-$X$89)^2+(Y35-$Y$89)^2+(Z35-$Z$89)^2+(AA35-$AA$89)^2+(AB35-$AB$89)^2+(AC35-$AC$89)^2+(AD35-$AD$89)^2+(AE35-$AE$89)^2+(AF35-$AF$89)^2+(AG35-$AG$89)^2)</f>
        <v>2.1197436293594927</v>
      </c>
      <c r="FS35" s="36" t="s">
        <v>125</v>
      </c>
      <c r="FT35" s="37" t="s">
        <v>120</v>
      </c>
      <c r="FV35" s="44"/>
      <c r="FW35" s="36">
        <f>SQRT((A35-$A$90)^2+(B35-$B$90)^2+(C35-$C$90)^2+(D35-$D$90)^2+(E35-$E$90)^2+(F35-$F$90)^2+(G35-$G$90)^2+(H35-$H$90)^2+(I35-$I$90)^2+(J35-$J$90)^2+(K35-$K$90)^2+(L35-$L$90)^2+(M35-$M$90)^2+(N35-$N$90)^2+(O35-$O$90)^2+(P35-$P$90)^2+(Q35-$Q$90)^2+(R35-$R$90)^2+(S35-$S$90)^2+(T35-$T$90)^2+(U35-$U$90)^2+(V35-$V$90)^2+(W35-$W$90)^2+(X35-$X$90)^2+(Y35-$Y$90)^2+(Z35-$Z$90)^2+(AA35-$AA$90)^2+(AB35-$AB$90)^2+(AC35-$AC$90)^2+(AD35-$AD$90)^2+(AE35-$AE$90)^2+(AF35-$AF$90)^2+(AG35-$AG$90)^2)</f>
        <v>2.1620497772041638</v>
      </c>
      <c r="FX35" s="36" t="s">
        <v>143</v>
      </c>
      <c r="FY35" s="37" t="s">
        <v>120</v>
      </c>
      <c r="GA35" s="44"/>
      <c r="GB35" s="36">
        <f>SQRT((A35-$A$91)^2+(B35-$B$91)^2+(C35-$C$91)^2+(D35-$D$91)^2+(E35-$E$91)^2+(F35-$F$91)^2+(G35-$G$91)^2+(H35-$H$91)^2+(I35-$I$91)^2+(J35-$J$91)^2+(K35-$K$91)^2+(L35-$L$91)^2+(M35-$M$91)^2+(N35-$N$91)^2+(O35-$O$91)^2+(P35-$P$91)^2+(Q35-$Q$91)^2+(R35-$R$91)^2+(S35-$S$91)^2+(T35-$T$91)^2+(U35-$U$91)^2+(V35-$V$91)^2+(W35-$W$91)^2+(X35-$X$91)^2+(Y35-$Y$91)^2+(Z35-$Z$91)^2+(AA35-$AA$91)^2+(AB35-$AB$91)^2+(AC35-$AC$91)^2+(AD35-$AD$91)^2+(AE35-$AE$91)^2+(AF35-$AF$91)^2+(AG35-$AG$91)^2)</f>
        <v>2.0443801067214307</v>
      </c>
      <c r="GC35" s="36" t="s">
        <v>336</v>
      </c>
      <c r="GD35" s="37" t="s">
        <v>120</v>
      </c>
      <c r="GF35" s="44"/>
      <c r="GG35" s="36">
        <f>SQRT((A35-$A$92)^2+(B35-$B$92)^2+(C35-$C$92)^2+(D35-$D$92)^2+(E35-$E$92)^2+(F35-$F$92)^2+(G35-$G$92)^2+(H35-$H$92)^2+(I35-$I$92)^2+(J35-$J$92)^2+(K35-$K$92)^2+(L35-$L$92)^2+(M35-$M$92)^2+(N35-$N$92)^2+(O35-$O$92)^2+(P35-$P$92)^2+(Q35-$Q$92)^2+(R35-$R$92)^2+(S35-$S$92)^2+(T35-$T$92)^2+(U35-$U$92)^2+(V35-$V$92)^2+(W35-$W$92)^2+(X35-$X$92)^2+(Y35-$Y$92)^2+(Z35-$Z$92)^2+(AA35-$AA$92)^2+(AB35-$AB$92)^2+(AC35-$AC$92)^2+(AD35-$AD$92)^2+(AE35-$AE$92)^2+(AF35-$AF$92)^2+(AG35-$AG$92)^2)</f>
        <v>1.5728671572739037</v>
      </c>
      <c r="GH35" s="36" t="s">
        <v>333</v>
      </c>
      <c r="GI35" s="37" t="s">
        <v>120</v>
      </c>
      <c r="GK35" s="44"/>
      <c r="GL35" s="36">
        <f>SQRT((A35-$A$93)^2+(B35-$B$93)^2+(C35-$C$93)^2+(D35-$D$93)^2+(E35-$E$93)^2+(F35-$F$93)^2+(G35-$G$93)^2+(H35-$H$93)^2+(I35-$I$93)^2+(J35-$J$93)^2+(K35-$K$93)^2+(L35-$L$93)^2+(M35-$M$93)^2+(N35-$N$93)^2+(O35-$O$93)^2+(P35-$P$93)^2+(Q35-$Q$93)^2+(R35-$R$93)^2+(S35-$S$93)^2+(T35-$T$93)^2+(U35-$U$93)^2+(V35-$V$93)^2+(W35-$W$93)^2+(X35-$X$93)^2+(Y35-$Y$93)^2+(Z35-$Z$93)^2+(AA35-$AA$93)^2+(AB35-$AB$93)^2+(AC35-$AC$93)^2+(AD35-$AD$93)^2+(AE35-$AE$93)^2+(AF35-$AF$93)^2+(AG35-$AG$93)^2)</f>
        <v>2.3110025582015772</v>
      </c>
      <c r="GM35" s="36" t="s">
        <v>139</v>
      </c>
      <c r="GN35" s="37" t="s">
        <v>120</v>
      </c>
      <c r="GP35" s="44"/>
      <c r="GQ35" s="36">
        <f>SQRT((A35-$A$94)^2+(B35-$B$94)^2+(C35-$C$94)^2+(D35-$D$94)^2+(E35-$E$94)^2+(F35-$F$94)^2+(G35-$G$94)^2+(H35-$H$94)^2+(I35-$I$94)^2+(J35-$J$94)^2+(K35-$K$94)^2+(L35-$L$94)^2+(M35-$M$94)^2+(N35-$N$94)^2+(O35-$O$94)^2+(P35-$P$94)^2+(Q35-$Q$94)^2+(R35-$R$94)^2+(S35-$S$94)^2+(T35-$T$94)^2+(U35-$U$94)^2+(V35-$V$94)^2+(W35-$W$94)^2+(X35-$X$94)^2+(Y35-$Y$94)^2+(Z35-$Z$94)^2+(AA35-$AA$94)^2+(AB35-$AB$94)^2+(AC35-$AC$94)^2+(AD35-$AD$94)^2+(AE35-$AE$94)^2+(AF35-$AF$94)^2+(AG35-$AG$94)^2)</f>
        <v>1.7999320829618761</v>
      </c>
      <c r="GR35" s="36" t="s">
        <v>150</v>
      </c>
      <c r="GS35" s="37" t="s">
        <v>120</v>
      </c>
      <c r="GU35" s="44"/>
      <c r="GV35" s="36">
        <f>SQRT((A35-$A$95)^2+(B35-$B$95)^2+(C35-$C$95)^2+(D35-$D$95)^2+(E35-$E$95)^2+(F35-$F$95)^2+(G35-$G$95)^2+(H35-$H$95)^2+(I35-$I$95)^2+(J35-$J$95)^2+(K35-$K$95)^2+(L35-$L$95)^2+(M35-$M$95)^2+(N35-$N$95)^2+(O35-$O$95)^2+(P35-$P$95)^2+(Q35-$Q$95)^2+(R35-$R$95)^2+(S35-$S$95)^2+(T35-$T$95)^2+(U35-$U$95)^2+(V35-$V$95)^2+(W35-$W$95)^2+(X35-$X$95)^2+(Y35-$Y$95)^2+(Z35-$Z$95)^2+(AA35-$AA$95)^2+(AB35-$AB$95)^2+(AC35-$AC$95)^2+(AD35-$AD$95)^2+(AE35-$AE$95)^2+(AF35-$AF$95)^2+(AG35-$AG$95)^2)</f>
        <v>2.568533514847255</v>
      </c>
      <c r="GW35" s="36" t="s">
        <v>313</v>
      </c>
      <c r="GX35" s="37" t="s">
        <v>120</v>
      </c>
      <c r="GZ35" s="44"/>
      <c r="HA35" s="36">
        <f>SQRT((A35-$A$96)^2+(B35-$B$96)^2+(C35-$C$96)^2+(D35-$D$96)^2+(E35-$E$96)^2+(F35-$F$96)^2+(G35-$G$96)^2+(H35-$H$96)^2+(I35-$I$96)^2+(J35-$J$96)^2+(K35-$K$96)^2+(L35-$L$96)^2+(M35-$M$96)^2+(N35-$N$96)^2+(O35-$O$96)^2+(P35-$P$96)^2+(Q35-$Q$96)^2+(R35-$R$96)^2+(S35-$S$96)^2+(T35-$T$96)^2+(U35-$U$96)^2+(V35-$V$96)^2+(W35-$W$96)^2+(X35-$X$96)^2+(Y35-$Y$96)^2+(Z35-$Z$96)^2+(AA35-$AA$96)^2+(AB35-$AB$96)^2+(AC35-$AC$96)^2+(AD35-$AD$96)^2+(AE35-$AE$96)^2+(AF35-$AF$96)^2+(AG35-$AG$96)^2)</f>
        <v>2.5405234488314692</v>
      </c>
      <c r="HB35" s="36" t="s">
        <v>125</v>
      </c>
      <c r="HC35" s="37" t="s">
        <v>120</v>
      </c>
      <c r="HE35" s="44"/>
      <c r="HF35" s="36">
        <f>SQRT((A35-$A$97)^2+(B35-$B$97)^2+(C35-$C$97)^2+(D35-$D$97)^2+(E35-$E$97)^2+(F35-$F$97)^2+(G35-$G$97)^2+(H35-$H$97)^2+(I35-$I$97)^2+(J35-$J$97)^2+(K35-$K$97)^2+(L35-$L$97)^2+(M35-$M$97)^2+(N35-$N$97)^2+(O35-$O$97)^2+(P35-$P$97)^2+(Q35-$Q$97)^2+(R35-$R$97)^2+(S35-$S$97)^2+(T35-$T$97)^2+(U35-$U$97)^2+(V35-$V$97)^2+(W35-$W$97)^2+(X35-$X$97)^2+(Y35-$Y$97)^2+(Z35-$Z$97)^2+(AA35-$AA$97)^2+(AB35-$AB$97)^2+(AC35-$AC$97)^2+(AD35-$AD$97)^2+(AE35-$AE$97)^2+(AF35-$AF$97)^2+(AG35-$AG$97)^2)</f>
        <v>1.5438858948407013</v>
      </c>
      <c r="HG35" s="36" t="s">
        <v>131</v>
      </c>
      <c r="HH35" s="37" t="s">
        <v>120</v>
      </c>
      <c r="HJ35" s="44"/>
      <c r="HK35" s="36">
        <f>SQRT((A35-$A$98)^2+(B35-$B$98)^2+(C35-$C$98)^2+(D35-$D$98)^2+(E35-$E$98)^2+(F35-$F$98)^2+(G35-$G$98)^2+(H35-$H$98)^2+(I35-$I$98)^2+(J35-$J$98)^2+(K35-$K$98)^2+(L35-$L$98)^2+(M35-$M$98)^2+(N35-$N$98)^2+(O35-$O$98)^2+(P35-$P$98)^2+(Q35-$Q$98)^2+(R35-$R$98)^2+(S35-$S$98)^2+(T35-$T$98)^2+(U35-$U$98)^2+(V35-$V$98)^2+(W35-$W$98)^2+(X35-$X$98)^2+(Y35-$Y$98)^2+(Z35-$Z$98)^2+(AA35-$AA$98)^2+(AB35-$AB$98)^2+(AC35-$AC$98)^2+(AD35-$AD$98)^2+(AE35-$AE$98)^2+(AF35-$AF$98)^2+(AG35-$AG$98)^2)</f>
        <v>1.5438858948407013</v>
      </c>
      <c r="HL35" s="36" t="s">
        <v>131</v>
      </c>
      <c r="HM35" s="37" t="s">
        <v>120</v>
      </c>
      <c r="HO35" s="44"/>
      <c r="HP35" s="36">
        <f>SQRT((A35-$A$99)^2+(B35-$B$99)^2+(C35-$C$99)^2+(D35-$D$99)^2+(E35-$E$99)^2+(F35-$F$99)^2+(G35-$G$99)^2+(H35-$H$99)^2+(I35-$I$99)^2+(J35-$J$99)^2+(K35-$K$99)^2+(L35-$L$99)^2+(M35-$M$99)^2+(N35-$N$99)^2+(O35-$O$99)^2+(P35-$P$99)^2+(Q35-$Q$99)^2+(R35-$R$99)^2+(S35-$S$99)^2+(T35-$T$99)^2+(U35-$U$99)^2+(V35-$V$99)^2+(W35-$W$99)^2+(X35-$X$99)^2+(Y35-$Y$99)^2+(Z35-$Z$99)^2+(AA35-$AA$99)^2+(AB35-$AB$99)^2+(AC35-$AC$99)^2+(AD35-$AD$99)^2+(AE35-$AE$99)^2+(AF35-$AF$99)^2+(AG35-$AG$99)^2)</f>
        <v>1.5438858948407013</v>
      </c>
      <c r="HQ35" s="36" t="s">
        <v>131</v>
      </c>
      <c r="HR35" s="37" t="s">
        <v>120</v>
      </c>
      <c r="HT35" s="44"/>
      <c r="HU35" s="36">
        <f>SQRT((A35-$A$100)^2+(B35-$B$100)^2+(C35-$C$100)^2+(D35-$D$100)^2+(E35-$E$100)^2+(F35-$F$100)^2+(G35-$G$100)^2+(H35-$H$100)^2+(I35-$I$100)^2+(J35-$J$100)^2+(K35-$K$100)^2+(L35-$L$100)^2+(M35-$M$100)^2+(N35-$N$100)^2+(O35-$O$100)^2+(P35-$P$100)^2+(Q35-$Q$100)^2+(R35-$R$100)^2+(S35-$S$100)^2+(T35-$T$100)^2+(U35-$U$100)^2+(V35-$V$100)^2+(W35-$W$100)^2+(X35-$X$100)^2+(Y35-$Y$100)^2+(Z35-$Z$100)^2+(AA35-$AA$100)^2+(AB35-$AB$100)^2+(AC35-$AC$100)^2+(AD35-$AD$100)^2+(AE35-$AE$100)^2+(AF35-$AF$100)^2+(AG35-$AG$100)^2)</f>
        <v>1.5438858948407013</v>
      </c>
      <c r="HV35" s="36" t="s">
        <v>131</v>
      </c>
      <c r="HW35" s="37" t="s">
        <v>120</v>
      </c>
      <c r="HY35" s="44"/>
      <c r="HZ35" s="36">
        <f>SQRT((A35-$A$101)^2+(B35-$B$101)^2+(C35-$C$101)^2+(D35-$D$101)^2+(E35-$E$101)^2+(F35-$F$101)^2+(G35-$G$101)^2+(H35-$H$101)^2+(I35-$I$101)^2+(J35-$J$101)^2+(K35-$K$101)^2+(L35-$L$101)^2+(M35-$M$101)^2+(N35-$N$101)^2+(O35-$O$101)^2+(P35-$P$101)^2+(Q35-$Q$101)^2+(R35-$R$101)^2+(S35-$S$101)^2+(T35-$T$101)^2+(U35-$U$101)^2+(V35-$V$101)^2+(W35-$W$101)^2+(X35-$X$101)^2+(Y35-$Y$101)^2+(Z35-$Z$101)^2+(AA35-$AA$101)^2+(AB35-$AB$101)^2+(AC35-$AC$101)^2+(AD35-$AD$101)^2+(AE35-$AE$101)^2+(AF35-$AF$101)^2+(AG35-$AG$101)^2)</f>
        <v>2.176856412009526</v>
      </c>
      <c r="IA35" s="36" t="s">
        <v>125</v>
      </c>
      <c r="IB35" s="37" t="s">
        <v>120</v>
      </c>
    </row>
    <row r="36" spans="1:236" x14ac:dyDescent="0.35">
      <c r="A36" s="2">
        <v>0.5</v>
      </c>
      <c r="B36" s="2">
        <v>0.25</v>
      </c>
      <c r="C36" s="2">
        <v>0.33333333333333298</v>
      </c>
      <c r="D36" s="2">
        <v>0.66666666666666596</v>
      </c>
      <c r="E36" s="2">
        <v>0.33333333333333298</v>
      </c>
      <c r="F36" s="2">
        <v>1</v>
      </c>
      <c r="G36" s="2">
        <v>0.55555555555555503</v>
      </c>
      <c r="H36" s="2">
        <v>1</v>
      </c>
      <c r="I36" s="2">
        <v>0</v>
      </c>
      <c r="J36" s="2">
        <v>0</v>
      </c>
      <c r="K36" s="2">
        <v>0</v>
      </c>
      <c r="L36" s="2">
        <v>0.2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0</v>
      </c>
      <c r="AH36" s="2" t="s">
        <v>120</v>
      </c>
      <c r="AI36" s="42"/>
      <c r="AJ36" s="42"/>
      <c r="AL36" s="44"/>
      <c r="AM36" s="36">
        <f>SQRT((A36-$A$62)^2+(B36-$B$62)^2+(C36-$C$62)^2+(D36-$D$62)^2+(E36-$E$62)^2+(F36-$F$62)^2+(G36-$G$62)^2+(H36-$H$62)^2+(I36-$I$62)^2+(J36-$J$62)^2+(K36-$K$62)^2+(L36-$L$62)^2+(M36-$M$62)^2+(N36-$N$62)^2+(O36-$O$62)^2+(P36-$P$62)^2+(Q36-$Q$62)^2+(R36-$R$62)^2+(S36-$S$62)^2+(T36-$T$62)^2+(U36-$U$62)^2+(V36-$V$62)^2+(W36-$W$62)^2+(X36-$X$62)^2+(Y36-$Y$62)^2+(Z36-$Z$62)^2+(AA36-$AA$62)^2+(AB36-$AB$62)^2+(AC36-$AC$62)^2+(AD36-$AD$62)^2+(AE36-$AE$62)^2+(AF36-$AF$62)^2+(AG36-$AG$62)^2)</f>
        <v>1.6749792701868147</v>
      </c>
      <c r="AN36" s="36" t="s">
        <v>338</v>
      </c>
      <c r="AO36" s="37" t="s">
        <v>120</v>
      </c>
      <c r="AQ36" s="44"/>
      <c r="AR36" s="36">
        <f>SQRT((A36-$A$63)^2+(B36-$B$63)^2+(C36-$C$63)^2+(D36-$D$63)^2+(E36-$E$63)^2+(F36-$F$63)^2+(G36-$G$63)^2+(H36-$H$63)^2+(I36-$I$63)^2+(J36-$J$63)^2+(K36-$K$63)^2+(L36-$L$63)^2+(M36-$M$63)^2+(N36-$N$63)^2+(O36-$O$63)^2+(P36-$P$63)^2+(Q36-$Q$63)^2+(R36-$R$63)^2+(S36-$S$63)^2+(T36-$T$63)^2+(U36-$U$63)^2+(V36-$V$63)^2+(W36-$W$63)^2+(X36-$X$63)^2+(Y36-$Y$63)^2+(Z36-$Z$63)^2+(AA36-$AA$63)^2+(AB36-$AB$63)^2+(AC36-$AC$63)^2+(AD36-$AD$63)^2+(AE36-$AE$63)^2+(AF36-$AF$63)^2+(AG36-$AG$63)^2)</f>
        <v>0.9993191797324219</v>
      </c>
      <c r="AS36" s="36" t="s">
        <v>142</v>
      </c>
      <c r="AT36" s="37" t="s">
        <v>120</v>
      </c>
      <c r="AV36" s="44"/>
      <c r="AW36" s="36">
        <f>SQRT((A36-$A$64)^2+(B36-$B$64)^2+(C36-$C$64)^2+(D36-$D$64)^2+(E36-$E$64)^2+(F36-$F$64)^2+(G36-$G$64)^2+(H36-$H$64)^2+(I36-$I$64)^2+(J36-$J$64)^2+(K36-$K$64)^2+(L36-$L$64)^2+(M36-$M$64)^2+(N36-$N$64)^2+(O36-$O$64)^2+(P36-$P$64)^2+(Q36-$Q$64)^2+(R36-$R$64)^2+(S36-$S$64)^2+(T36-$T$64)^2+(U36-$U$64)^2+(V36-$V$64)^2+(W36-$W$64)^2+(X36-$X$64)^2+(Y36-$Y$64)^2+(Z36-$Z$64)^2+(AA36-$AA$64)^2+(AB36-$AB$64)^2+(AC36-$AC$64)^2+(AD36-$AD$64)^2+(AE36-$AE$64)^2+(AF36-$AF$64)^2+(AG36-$AG$64)^2)</f>
        <v>0.9993191797324219</v>
      </c>
      <c r="AX36" s="36" t="s">
        <v>142</v>
      </c>
      <c r="AY36" s="37" t="s">
        <v>120</v>
      </c>
      <c r="BA36" s="44"/>
      <c r="BB36" s="36">
        <f>SQRT((A36-$A$65)^2+(B36-$B$65)^2+(C36-$C$65)^2+(D36-$D$65)^2+(E36-$E$65)^2+(F36-$F$65)^2+(G36-$G$65)^2+(H36-$H$65)^2+(I36-$I$65)^2+(J36-$J$65)^2+(K36-$K$65)^2+(L36-$L$65)^2+(M36-$M$65)^2+(N36-$N$65)^2+(O36-$O$65)^2+(P36-$P$65)^2+(Q36-$Q$65)^2+(R36-$R$65)^2+(S36-$S$65)^2+(T36-$T$65)^2+(U36-$U$65)^2+(V36-$V$65)^2+(W36-$W$65)^2+(X36-$X$65)^2+(Y36-$Y$65)^2+(Z36-$Z$65)^2+(AA36-$AA$65)^2+(AB36-$AB$65)^2+(AC36-$AC$65)^2+(AD36-$AD$65)^2+(AE36-$AE$65)^2+(AF36-$AF$65)^2+(AG36-$AG$65)^2)</f>
        <v>0.9993191797324219</v>
      </c>
      <c r="BC36" s="36" t="s">
        <v>142</v>
      </c>
      <c r="BD36" s="37" t="s">
        <v>120</v>
      </c>
      <c r="BF36" s="44"/>
      <c r="BG36" s="36">
        <f>SQRT((A36-$A$66)^2+(B36-$B$66)^2+(C36-$C$66)^2+(D36-$D$66)^2+(E36-$E$66)^2+(F36-$F$66)^2+(G36-$G$66)^2+(H36-$H$66)^2+(I36-$I$66)^2+(J36-$J$66)^2+(K36-$K$66)^2+(L36-$L$66)^2+(M36-$M$66)^2+(N36-$N$66)^2+(O36-$O$66)^2+(P36-$P$66)^2+(Q36-$Q$66)^2+(R36-$R$66)^2+(S36-$S$66)^2+(T36-$T$66)^2+(U36-$U$66)^2+(V36-$V$66)^2+(W36-$W$66)^2+(X36-$X$66)^2+(Y36-$Y$66)^2+(Z36-$Z$66)^2+(AA36-$AA$66)^2+(AB36-$AB$66)^2+(AC36-$AC$66)^2+(AD36-$AD$66)^2+(AE36-$AE$66)^2+(AF36-$AF$66)^2+(AG36-$AG$66)^2)</f>
        <v>0.9993191797324219</v>
      </c>
      <c r="BH36" s="36" t="s">
        <v>142</v>
      </c>
      <c r="BI36" s="37" t="s">
        <v>120</v>
      </c>
      <c r="BK36" s="44"/>
      <c r="BL36" s="36">
        <f>SQRT((A36-$A$67)^2+(B36-$B$67)^2+(C36-$C$67)^2+(D36-$D$67)^2+(E36-$E$67)^2+(F36-$F$67)^2+(G36-$G$67)^2+(H36-$H$67)^2+(I36-$I$67)^2+(J36-$J$67)^2+(K36-$K$67)^2+(L36-$L$67)^2+(M36-$M$67)^2+(N36-$N$67)^2+(O36-$O$67)^2+(P36-$P$67)^2+(Q36-$Q$67)^2+(R36-$R$67)^2+(S36-$S$67)^2+(T36-$T$67)^2+(U36-$U$67)^2+(V36-$V$67)^2+(W36-$W$67)^2+(X36-$X$67)^2+(Y36-$Y$67)^2+(Z36-$Z$67)^2+(AA36-$AA$67)^2+(AB36-$AB$67)^2+(AC36-$AC$67)^2+(AD36-$AD$67)^2+(AE36-$AE$67)^2+(AF36-$AF$67)^2+(AG36-$AG$67)^2)</f>
        <v>0.9993191797324219</v>
      </c>
      <c r="BM36" s="36" t="s">
        <v>142</v>
      </c>
      <c r="BN36" s="37" t="s">
        <v>120</v>
      </c>
      <c r="BP36" s="44"/>
      <c r="BQ36" s="36">
        <f>SQRT((A36-$A$68)^2+(B36-$B$68)^2+(C36-$C$68)^2+(D36-$D$68)^2+(E36-$E$68)^2+(F36-$F$68)^2+(G36-$G$68)^2+(H36-$H$68)^2+(I36-$I$68)^2+(J36-$J$68)^2+(K36-$K$68)^2+(L36-$L$68)^2+(M36-$M$68)^2+(N36-$N$68)^2+(O36-$O$68)^2+(P36-$P$68)^2+(Q36-$Q$68)^2+(R36-$R$68)^2+(S36-$S$68)^2+(T36-$T$68)^2+(U36-$U$68)^2+(V36-$V$68)^2+(W36-$W$68)^2+(X36-$X$68)^2+(Y36-$Y$68)^2+(Z36-$Z$68)^2+(AA36-$AA$68)^2+(AB36-$AB$68)^2+(AC36-$AC$68)^2+(AD36-$AD$68)^2+(AE36-$AE$68)^2+(AF36-$AF$68)^2+(AG36-$AG$68)^2)</f>
        <v>0.9993191797324219</v>
      </c>
      <c r="BR36" s="36" t="s">
        <v>142</v>
      </c>
      <c r="BS36" s="37" t="s">
        <v>120</v>
      </c>
      <c r="BU36" s="44"/>
      <c r="BV36" s="36">
        <f>SQRT((A36-$A$69)^2+(B36-$B$69)^2+(C36-$C$69)^2+(D36-$D$69)^2+(E36-$E$69)^2+(F36-$F$69)^2+(G36-$G$69)^2+(H36-$H$69)^2+(I36-$I$69)^2+(J36-$J$69)^2+(K36-$K$69)^2+(L36-$L$69)^2+(M36-$M$69)^2+(N36-$N$69)^2+(O36-$O$69)^2+(P36-$P$69)^2+(Q36-$Q$69)^2+(R36-$R$69)^2+(S36-$S$69)^2+(T36-$T$69)^2+(U36-$U$69)^2+(V36-$V$69)^2+(W36-$W$69)^2+(X36-$X$69)^2+(Y36-$Y$69)^2+(Z36-$Z$69)^2+(AA36-$AA$69)^2+(AB36-$AB$69)^2+(AC36-$AC$69)^2+(AD36-$AD$69)^2+(AE36-$AE$69)^2+(AF36-$AF$69)^2+(AG36-$AG$69)^2)</f>
        <v>2.4318639772249266</v>
      </c>
      <c r="BW36" s="36" t="s">
        <v>141</v>
      </c>
      <c r="BX36" s="37" t="s">
        <v>120</v>
      </c>
      <c r="BZ36" s="44"/>
      <c r="CA36" s="36">
        <f>SQRT((A36-$A$70)^2+(B36-$B$70)^2+(C36-$C$70)^2+(D36-$D$70)^2+(E36-$E$70)^2+(F36-$F$70)^2+(G36-$G$70)^2+(H36-$H$70)^2+(I36-$I$70)^2+(J36-$J$70)^2+(K36-$K$70)^2+(L36-$L$70)^2+(M36-$M$70)^2+(N36-$N$70)^2+(O36-$O$70)^2+(P36-$P$70)^2+(Q36-$Q$70)^2+(R36-$R$70)^2+(S36-$S$70)^2+(T36-$T$70)^2+(U36-$U$70)^2+(V36-$V$70)^2+(W36-$W$70)^2+(X36-$X$70)^2+(Y36-$Y$70)^2+(Z36-$Z$70)^2+(AA36-$AA$70)^2+(AB36-$AB$70)^2+(AC36-$AC$70)^2+(AD36-$AD$70)^2+(AE36-$AE$70)^2+(AF36-$AF$70)^2+(AG36-$AG$70)^2)</f>
        <v>1.1602019765738767</v>
      </c>
      <c r="CB36" s="36" t="s">
        <v>124</v>
      </c>
      <c r="CC36" s="37" t="s">
        <v>120</v>
      </c>
      <c r="CE36" s="44"/>
      <c r="CF36" s="36">
        <f>SQRT((A36-$A$71)^2+(B36-$B$71)^2+(C36-$C$71)^2+(D36-$D$71)^2+(E36-$E$71)^2+(F36-$F$71)^2+(G36-$G$71)^2+(H36-$H$71)^2+(I36-$I$71)^2+(J36-$J$71)^2+(K36-$K$71)^2+(L36-$L$71)^2+(M36-$M$71)^2+(N36-$N$71)^2+(O36-$O$71)^2+(P36-$P$71)^2+(Q36-$Q$71)^2+(R36-$R$71)^2+(S36-$S$71)^2+(T36-$T$71)^2+(U36-$U$71)^2+(V36-$V$71)^2+(W36-$W$71)^2+(X36-$X$71)^2+(Y36-$Y$71)^2+(Z36-$Z$71)^2+(AA36-$AA$71)^2+(AB36-$AB$71)^2+(AC36-$AC$71)^2+(AD36-$AD$71)^2+(AE36-$AE$71)^2+(AF36-$AF$71)^2+(AG36-$AG$71)^2)</f>
        <v>0.61708252986788814</v>
      </c>
      <c r="CG36" s="36" t="s">
        <v>135</v>
      </c>
      <c r="CH36" s="37" t="s">
        <v>120</v>
      </c>
      <c r="CJ36" s="44"/>
      <c r="CK36" s="36">
        <f>SQRT((A36-$A$72)^2+(B36-$B$72)^2+(C36-$C$72)^2+(D36-$D$72)^2+(E36-$E$72)^2+(F36-$F$72)^2+(G36-$G$72)^2+(H36-$H$72)^2+(I36-$I$72)^2+(J36-$J$72)^2+(K36-$K$72)^2+(L36-$L$72)^2+(M36-$M$72)^2+(N36-$N$72)^2+(O36-$O$72)^2+(P36-$P$72)^2+(Q36-$Q$72)^2+(R36-$R$72)^2+(S36-$S$72)^2+(T36-$T$72)^2+(U36-$U$72)^2+(V36-$V$72)^2+(W36-$W$72)^2+(X36-$X$72)^2+(Y36-$Y$72)^2+(Z36-$Z$72)^2+(AA36-$AA$72)^2+(AB36-$AB$72)^2+(AC36-$AC$72)^2+(AD36-$AD$72)^2+(AE36-$AE$72)^2+(AF36-$AF$72)^2+(AG36-$AG$72)^2)</f>
        <v>1.3427057570081091</v>
      </c>
      <c r="CL36" s="36" t="s">
        <v>337</v>
      </c>
      <c r="CM36" s="37" t="s">
        <v>120</v>
      </c>
      <c r="CO36" s="44"/>
      <c r="CP36" s="36">
        <f>SQRT((A36-$A$73)^2+(B36-$B$73)^2+(C36-$C$73)^2+(D36-$D$73)^2+(E36-$E$73)^2+(F36-$F$73)^2+(G36-$G$73)^2+(H36-$H$73)^2+(I36-$I$73)^2+(J36-$J$73)^2+(K36-$K$73)^2+(L36-$L$73)^2+(M36-$M$73)^2+(N36-$N$73)^2+(O36-$O$73)^2+(P36-$P$73)^2+(Q36-$Q$73)^2+(R36-$R$73)^2+(S36-$S$73)^2+(T36-$T$73)^2+(U36-$U$73)^2+(V36-$V$73)^2+(W36-$W$73)^2+(X36-$X$73)^2+(Y36-$Y$73)^2+(Z36-$Z$73)^2+(AA36-$AA$73)^2+(AB36-$AB$73)^2+(AC36-$AC$73)^2+(AD36-$AD$73)^2+(AE36-$AE$73)^2+(AF36-$AF$73)^2+(AG36-$AG$73)^2)</f>
        <v>1.5965240019770728</v>
      </c>
      <c r="CQ36" s="36" t="s">
        <v>131</v>
      </c>
      <c r="CR36" s="37" t="s">
        <v>120</v>
      </c>
      <c r="CT36" s="44"/>
      <c r="CU36" s="36">
        <f>SQRT((A36-$A$74)^2+(B36-$B$74)^2+(C36-$C$74)^2+(D36-$D$74)^2+(E36-$E$74)^2+(F36-$F$74)^2+(G36-$G$74)^2+(H36-$H$74)^2+(I36-$I$74)^2+(J36-$J$74)^2+(K36-$K$74)^2+(L36-$L$74)^2+(M36-$M$74)^2+(N36-$N$74)^2+(O36-$O$74)^2+(P36-$P$74)^2+(Q36-$Q$74)^2+(R36-$R$74)^2+(S36-$S$74)^2+(T36-$T$74)^2+(U36-$U$74)^2+(V36-$V$74)^2+(W36-$W$74)^2+(X36-$X$74)^2+(Y36-$Y$74)^2+(Z36-$Z$74)^2+(AA36-$AA$74)^2+(AB36-$AB$74)^2+(AC36-$AC$74)^2+(AD36-$AD$74)^2+(AE36-$AE$74)^2+(AF36-$AF$74)^2+(AG36-$AG$74)^2)</f>
        <v>1.2494443209327541</v>
      </c>
      <c r="CV36" s="36" t="s">
        <v>135</v>
      </c>
      <c r="CW36" s="37" t="s">
        <v>120</v>
      </c>
      <c r="CY36" s="44"/>
      <c r="CZ36" s="36">
        <f>SQRT((A36-$A$75)^2+(B36-$B$75)^2+(C36-$C$75)^2+(D36-$D$75)^2+(E36-$E$75)^2+(F36-$F$75)^2+(G36-$G$75)^2+(H36-$H$75)^2+(I36-$I$75)^2+(J36-$J$75)^2+(K36-$K$75)^2+(L36-$L$75)^2+(M36-$M$75)^2+(N36-$N$75)^2+(O36-$O$75)^2+(P36-$P$75)^2+(Q36-$Q$75)^2+(R36-$R$75)^2+(S36-$S$75)^2+(T36-$T$75)^2+(U36-$U$75)^2+(V36-$V$75)^2+(W36-$W$75)^2+(X36-$X$75)^2+(Y36-$Y$75)^2+(Z36-$Z$75)^2+(AA36-$AA$75)^2+(AB36-$AB$75)^2+(AC36-$AC$75)^2+(AD36-$AD$75)^2+(AE36-$AE$75)^2+(AF36-$AF$75)^2+(AG36-$AG$75)^2)</f>
        <v>1.2775845264491201</v>
      </c>
      <c r="DA36" s="36" t="s">
        <v>337</v>
      </c>
      <c r="DB36" s="37" t="s">
        <v>120</v>
      </c>
      <c r="DD36" s="44"/>
      <c r="DE36" s="36">
        <f>SQRT((A36-$A$76)^2+(B36-$B$76)^2+(C36-$C$76)^2+(D36-$D$76)^2+(E36-$E$76)^2+(F36-$F$76)^2+(G36-$G$76)^2+(H36-$H$76)^2+(I36-$I$76)^2+(J36-$J$76)^2+(K36-$K$76)^2+(L36-$L$76)^2+(M36-$M$76)^2+(N36-$N$76)^2+(O36-$O$76)^2+(P36-$P$76)^2+(Q36-$Q$76)^2+(R36-$R$76)^2+(S36-$S$76)^2+(T36-$T$76)^2+(U36-$U$76)^2+(V36-$V$76)^2+(W36-$W$76)^2+(X36-$X$76)^2+(Y36-$Y$76)^2+(Z36-$Z$76)^2+(AA36-$AA$76)^2+(AB36-$AB$76)^2+(AC36-$AC$76)^2+(AD36-$AD$76)^2+(AE36-$AE$76)^2+(AF36-$AF$76)^2+(AG36-$AG$76)^2)</f>
        <v>0.88506120315678305</v>
      </c>
      <c r="DF36" s="36" t="s">
        <v>136</v>
      </c>
      <c r="DG36" s="37" t="s">
        <v>120</v>
      </c>
      <c r="DI36" s="44"/>
      <c r="DJ36" s="36">
        <f>SQRT((A36-$A$77)^2+(B36-$B$77)^2+(C36-$C$77)^2+(D36-$D$77)^2+(E36-$E$77)^2+(F36-$F$77)^2+(G36-$G$77)^2+(H36-$H$77)^2+(I36-$I$77)^2+(J36-$J$77)^2+(K36-$K$77)^2+(L36-$L$77)^2+(M36-$M$77)^2+(N36-$N$77)^2+(O36-$O$77)^2+(P36-$P$77)^2+(Q36-$Q$77)^2+(R36-$R$77)^2+(S36-$S$77)^2+(T36-$T$77)^2+(U36-$U$77)^2+(V36-$V$77)^2+(W36-$W$77)^2+(X36-$X$77)^2+(Y36-$Y$77)^2+(Z36-$Z$77)^2+(AA36-$AA$77)^2+(AB36-$AB$77)^2+(AC36-$AC$77)^2+(AD36-$AD$77)^2+(AE36-$AE$77)^2+(AF36-$AF$77)^2+(AG36-$AG$77)^2)</f>
        <v>1.89304281808709</v>
      </c>
      <c r="DK36" s="36" t="s">
        <v>333</v>
      </c>
      <c r="DL36" s="37" t="s">
        <v>120</v>
      </c>
      <c r="DN36" s="44"/>
      <c r="DO36" s="36">
        <f>SQRT((A36-$A$78)^2+(B36-$B$78)^2+(C36-$C$78)^2+(D36-$D$78)^2+(E36-$E$78)^2+(F36-$F$78)^2+(G36-$G$78)^2+(H36-$H$78)^2+(I36-$I$78)^2+(J36-$J$78)^2+(K36-$K$78)^2+(L36-$L$78)^2+(M36-$M$78)^2+(N36-$N$78)^2+(O36-$O$78)^2+(P36-$P$78)^2+(Q36-$Q$78)^2+(R36-$R$78)^2+(S36-$S$78)^2+(T36-$T$78)^2+(U36-$U$78)^2+(V36-$V$78)^2+(W36-$W$78)^2+(X36-$X$78)^2+(Y36-$Y$78)^2+(Z36-$Z$78)^2+(AA36-$AA$78)^2+(AB36-$AB$78)^2+(AC36-$AC$78)^2+(AD36-$AD$78)^2+(AE36-$AE$78)^2+(AF36-$AF$78)^2+(AG36-$AG$78)^2)</f>
        <v>1.3579812614650588</v>
      </c>
      <c r="DP36" s="36" t="s">
        <v>336</v>
      </c>
      <c r="DQ36" s="37" t="s">
        <v>120</v>
      </c>
      <c r="DS36" s="44"/>
      <c r="DT36" s="36">
        <f>SQRT((A36-$A$79)^2+(B36-$B$79)^2+(C36-$C$79)^2+(D36-$D$79)^2+(E36-$E$79)^2+(F36-$F$79)^2+(G36-$G$79)^2+(H36-$H$79)^2+(I36-$I$79)^2+(J36-$J$79)^2+(K36-$K$79)^2+(L36-$L$79)^2+(M36-$M$79)^2+(N36-$N$79)^2+(O36-$O$79)^2+(P36-$P$79)^2+(Q36-$Q$79)^2+(R36-$R$79)^2+(S36-$S$79)^2+(T36-$T$79)^2+(U36-$U$79)^2+(V36-$V$79)^2+(W36-$W$79)^2+(X36-$X$79)^2+(Y36-$Y$79)^2+(Z36-$Z$79)^2+(AA36-$AA$79)^2+(AB36-$AB$79)^2+(AC36-$AC$79)^2+(AD36-$AD$79)^2+(AE36-$AE$79)^2+(AF36-$AF$79)^2+(AG36-$AG$79)^2)</f>
        <v>0.95407415783816307</v>
      </c>
      <c r="DU36" s="36" t="s">
        <v>333</v>
      </c>
      <c r="DV36" s="37" t="s">
        <v>120</v>
      </c>
      <c r="DX36" s="44"/>
      <c r="DY36" s="36">
        <f>SQRT((A36-$A$80)^2+(B36-$B$80)^2+(C36-$C$80)^2+(D36-$D$80)^2+(E36-$E$80)^2+(F36-$F$80)^2+(G36-$G$80)^2+(H36-$H$80)^2+(I36-$I$80)^2+(J36-$J$80)^2+(K36-$K$80)^2+(L36-$L$80)^2+(M36-$M$80)^2+(N36-$N$80)^2+(O36-$O$80)^2+(P36-$P$80)^2+(Q36-$Q$80)^2+(R36-$R$80)^2+(S36-$S$80)^2+(T36-$T$80)^2+(U36-$U$80)^2+(V36-$V$80)^2+(W36-$W$80)^2+(X36-$X$80)^2+(Y36-$Y$80)^2+(Z36-$Z$80)^2+(AA36-$AA$80)^2+(AB36-$AB$80)^2+(AC36-$AC$80)^2+(AD36-$AD$80)^2+(AE36-$AE$80)^2+(AF36-$AF$80)^2+(AG36-$AG$80)^2)</f>
        <v>1.6090024514862893</v>
      </c>
      <c r="DZ36" s="36" t="s">
        <v>325</v>
      </c>
      <c r="EA36" s="37" t="s">
        <v>120</v>
      </c>
      <c r="EC36" s="44"/>
      <c r="ED36" s="36">
        <f>SQRT((A36-$A$81)^2+(B36-$B$81)^2+(C36-$C$81)^2+(D36-$D$81)^2+(E36-$E$81)^2+(F36-$F$81)^2+(G36-$G$81)^2+(H36-$H$81)^2+(I36-$I$81)^2+(J36-$J$81)^2+(K36-$K$81)^2+(L36-$L$81)^2+(M36-$M$81)^2+(N36-$N$81)^2+(O36-$O$81)^2+(P36-$P$81)^2+(Q36-$Q$81)^2+(R36-$R$81)^2+(S36-$S$81)^2+(T36-$T$81)^2+(U36-$U$81)^2+(V36-$V$81)^2+(W36-$W$81)^2+(X36-$X$81)^2+(Y36-$Y$81)^2+(Z36-$Z$81)^2+(AA36-$AA$81)^2+(AB36-$AB$81)^2+(AC36-$AC$81)^2+(AD36-$AD$81)^2+(AE36-$AE$81)^2+(AF36-$AF$81)^2+(AG36-$AG$81)^2)</f>
        <v>1.65</v>
      </c>
      <c r="EE36" s="36" t="s">
        <v>154</v>
      </c>
      <c r="EF36" s="37" t="s">
        <v>120</v>
      </c>
      <c r="EH36" s="44"/>
      <c r="EI36" s="36">
        <f>SQRT((A36-$A$82)^2+(B36-$B$82)^2+(C36-$C$82)^2+(D36-$D$82)^2+(E36-$E$82)^2+(F36-$F$82)^2+(G36-$G$82)^2+(H36-$H$82)^2+(I36-$I$82)^2+(J36-$J$82)^2+(K36-$K$82)^2+(L36-$L$82)^2+(M36-$M$82)^2+(N36-$N$82)^2+(O36-$O$82)^2+(P36-$P$82)^2+(Q36-$Q$82)^2+(R36-$R$82)^2+(S36-$S$82)^2+(T36-$T$82)^2+(U36-$U$82)^2+(V36-$V$82)^2+(W36-$W$82)^2+(X36-$X$82)^2+(Y36-$Y$82)^2+(Z36-$Z$82)^2+(AA36-$AA$82)^2+(AB36-$AB$82)^2+(AC36-$AC$82)^2+(AD36-$AD$82)^2+(AE36-$AE$82)^2+(AF36-$AF$82)^2+(AG36-$AG$82)^2)</f>
        <v>1.512797921381001</v>
      </c>
      <c r="EJ36" s="36" t="s">
        <v>128</v>
      </c>
      <c r="EK36" s="37" t="s">
        <v>120</v>
      </c>
      <c r="EM36" s="44"/>
      <c r="EN36" s="36">
        <f>SQRT((A36-$A$83)^2+(B36-$B$83)^2+(C36-$C$83)^2+(D36-$D$83)^2+(E36-$E$83)^2+(F36-$F$83)^2+(G36-$G$83)^2+(H36-$H$83)^2+(I36-$I$83)^2+(J36-$J$83)^2+(K36-$K$83)^2+(L36-$L$83)^2+(M36-$M$83)^2+(N36-$N$83)^2+(O36-$O$83)^2+(P36-$P$83)^2+(Q36-$Q$83)^2+(R36-$R$83)^2+(S36-$S$83)^2+(T36-$T$83)^2+(U36-$U$83)^2+(V36-$V$83)^2+(W36-$W$83)^2+(X36-$X$83)^2+(Y36-$Y$83)^2+(Z36-$Z$83)^2+(AA36-$AA$83)^2+(AB36-$AB$83)^2+(AC36-$AC$83)^2+(AD36-$AD$83)^2+(AE36-$AE$83)^2+(AF36-$AF$83)^2+(AG36-$AG$83)^2)</f>
        <v>1.3315412105448037</v>
      </c>
      <c r="EO36" s="36" t="s">
        <v>317</v>
      </c>
      <c r="EP36" s="37" t="s">
        <v>120</v>
      </c>
      <c r="ER36" s="44"/>
      <c r="ES36" s="36">
        <f>SQRT((A36-$A$84)^2+(B36-$B$84)^2+(C36-$C$84)^2+(D36-$D$84)^2+(E36-$E$84)^2+(F36-$F$84)^2+(G36-$G$84)^2+(H36-$H$84)^2+(I36-$I$84)^2+(J36-$J$84)^2+(K36-$K$84)^2+(L36-$L$84)^2+(M36-$M$84)^2+(N36-$N$84)^2+(O36-$O$84)^2+(P36-$P$84)^2+(Q36-$Q$84)^2+(R36-$R$84)^2+(S36-$S$84)^2+(T36-$T$84)^2+(U36-$U$84)^2+(V36-$V$84)^2+(W36-$W$84)^2+(X36-$X$84)^2+(Y36-$Y$84)^2+(Z36-$Z$84)^2+(AA36-$AA$84)^2+(AB36-$AB$84)^2+(AC36-$AC$84)^2+(AD36-$AD$84)^2+(AE36-$AE$84)^2+(AF36-$AF$84)^2+(AG36-$AG$84)^2)</f>
        <v>0.9993191797324219</v>
      </c>
      <c r="ET36" s="36" t="s">
        <v>142</v>
      </c>
      <c r="EU36" s="37" t="s">
        <v>120</v>
      </c>
      <c r="EW36" s="44"/>
      <c r="EX36" s="36">
        <f>SQRT((A36-$A$85)^2+(B36-$B$85)^2+(C36-$C$85)^2+(D36-$D$85)^2+(E36-$E$85)^2+(F36-$F$85)^2+(G36-$G$85)^2+(H36-$H$85)^2+(I36-$I$85)^2+(J36-$J$85)^2+(K36-$K$85)^2+(L36-$L$85)^2+(M36-$M$85)^2+(N36-$N$85)^2+(O36-$O$85)^2+(P36-$P$85)^2+(Q36-$Q$85)^2+(R36-$R$85)^2+(S36-$S$85)^2+(T36-$T$85)^2+(U36-$U$85)^2+(V36-$V$85)^2+(W36-$W$85)^2+(X36-$X$85)^2+(Y36-$Y$85)^2+(Z36-$Z$85)^2+(AA36-$AA$85)^2+(AB36-$AB$85)^2+(AC36-$AC$85)^2+(AD36-$AD$85)^2+(AE36-$AE$85)^2+(AF36-$AF$85)^2+(AG36-$AG$85)^2)</f>
        <v>0.9993191797324219</v>
      </c>
      <c r="EY36" s="36" t="s">
        <v>142</v>
      </c>
      <c r="EZ36" s="37" t="s">
        <v>120</v>
      </c>
      <c r="FB36" s="44"/>
      <c r="FC36" s="36">
        <f>SQRT((A36-$A$86)^2+(B36-$B$86)^2+(C36-$C$86)^2+(D36-$D$86)^2+(E36-$E$86)^2+(F36-$F$86)^2+(G36-$G$86)^2+(H36-$H$86)^2+(I36-$I$86)^2+(J36-$J$86)^2+(K36-$K$86)^2+(L36-$L$86)^2+(M36-$M$86)^2+(N36-$N$86)^2+(O36-$O$86)^2+(P36-$P$86)^2+(Q36-$Q$86)^2+(R36-$R$86)^2+(S36-$S$86)^2+(T36-$T$86)^2+(U36-$U$86)^2+(V36-$V$86)^2+(W36-$W$86)^2+(X36-$X$86)^2+(Y36-$Y$86)^2+(Z36-$Z$86)^2+(AA36-$AA$86)^2+(AB36-$AB$86)^2+(AC36-$AC$86)^2+(AD36-$AD$86)^2+(AE36-$AE$86)^2+(AF36-$AF$86)^2+(AG36-$AG$86)^2)</f>
        <v>0.9993191797324219</v>
      </c>
      <c r="FD36" s="36" t="s">
        <v>142</v>
      </c>
      <c r="FE36" s="37" t="s">
        <v>120</v>
      </c>
      <c r="FG36" s="44"/>
      <c r="FH36" s="36">
        <f>SQRT((A36-$A$87)^2+(B36-$B$87)^2+(C36-$C$87)^2+(D36-$D$87)^2+(E36-$E$87)^2+(F36-$F$87)^2+(G36-$G$87)^2+(H36-$H$87)^2+(I36-$I$87)^2+(J36-$J$87)^2+(K36-$K$87)^2+(L36-$L$87)^2+(M36-$M$87)^2+(N36-$N$87)^2+(O36-$O$87)^2+(P36-$P$87)^2+(Q36-$Q$87)^2+(R36-$R$87)^2+(S36-$S$87)^2+(T36-$T$87)^2+(U36-$U$87)^2+(V36-$V$87)^2+(W36-$W$87)^2+(X36-$X$87)^2+(Y36-$Y$87)^2+(Z36-$Z$87)^2+(AA36-$AA$87)^2+(AB36-$AB$87)^2+(AC36-$AC$87)^2+(AD36-$AD$87)^2+(AE36-$AE$87)^2+(AF36-$AF$87)^2+(AG36-$AG$87)^2)</f>
        <v>1.0671873729054748</v>
      </c>
      <c r="FI36" s="36" t="s">
        <v>131</v>
      </c>
      <c r="FJ36" s="37" t="s">
        <v>120</v>
      </c>
      <c r="FL36" s="44"/>
      <c r="FM36" s="36">
        <f>SQRT((A36-$A$88)^2+(B36-$B$88)^2+(C36-$C$88)^2+(D36-$D$88)^2+(E36-$E$88)^2+(F36-$F$88)^2+(G36-$G$88)^2+(H36-$H$88)^2+(I36-$I$88)^2+(J36-$J$88)^2+(K36-$K$88)^2+(L36-$L$88)^2+(M36-$M$88)^2+(N36-$N$88)^2+(O36-$O$88)^2+(P36-$P$88)^2+(Q36-$Q$88)^2+(R36-$R$88)^2+(S36-$S$88)^2+(T36-$T$88)^2+(U36-$U$88)^2+(V36-$V$88)^2+(W36-$W$88)^2+(X36-$X$88)^2+(Y36-$Y$88)^2+(Z36-$Z$88)^2+(AA36-$AA$88)^2+(AB36-$AB$88)^2+(AC36-$AC$88)^2+(AD36-$AD$88)^2+(AE36-$AE$88)^2+(AF36-$AF$88)^2+(AG36-$AG$88)^2)</f>
        <v>0.91981988804653025</v>
      </c>
      <c r="FN36" s="36" t="s">
        <v>151</v>
      </c>
      <c r="FO36" s="37" t="s">
        <v>120</v>
      </c>
      <c r="FQ36" s="44"/>
      <c r="FR36" s="36">
        <f>SQRT((A36-$A$89)^2+(B36-$B$89)^2+(C36-$C$89)^2+(D36-$D$89)^2+(E36-$E$89)^2+(F36-$F$89)^2+(G36-$G$89)^2+(H36-$H$89)^2+(I36-$I$89)^2+(J36-$J$89)^2+(K36-$K$89)^2+(L36-$L$89)^2+(M36-$M$89)^2+(N36-$N$89)^2+(O36-$O$89)^2+(P36-$P$89)^2+(Q36-$Q$89)^2+(R36-$R$89)^2+(S36-$S$89)^2+(T36-$T$89)^2+(U36-$U$89)^2+(V36-$V$89)^2+(W36-$W$89)^2+(X36-$X$89)^2+(Y36-$Y$89)^2+(Z36-$Z$89)^2+(AA36-$AA$89)^2+(AB36-$AB$89)^2+(AC36-$AC$89)^2+(AD36-$AD$89)^2+(AE36-$AE$89)^2+(AF36-$AF$89)^2+(AG36-$AG$89)^2)</f>
        <v>1.6224124698183942</v>
      </c>
      <c r="FS36" s="36" t="s">
        <v>331</v>
      </c>
      <c r="FT36" s="37" t="s">
        <v>120</v>
      </c>
      <c r="FV36" s="44"/>
      <c r="FW36" s="36">
        <f>SQRT((A36-$A$90)^2+(B36-$B$90)^2+(C36-$C$90)^2+(D36-$D$90)^2+(E36-$E$90)^2+(F36-$F$90)^2+(G36-$G$90)^2+(H36-$H$90)^2+(I36-$I$90)^2+(J36-$J$90)^2+(K36-$K$90)^2+(L36-$L$90)^2+(M36-$M$90)^2+(N36-$N$90)^2+(O36-$O$90)^2+(P36-$P$90)^2+(Q36-$Q$90)^2+(R36-$R$90)^2+(S36-$S$90)^2+(T36-$T$90)^2+(U36-$U$90)^2+(V36-$V$90)^2+(W36-$W$90)^2+(X36-$X$90)^2+(Y36-$Y$90)^2+(Z36-$Z$90)^2+(AA36-$AA$90)^2+(AB36-$AB$90)^2+(AC36-$AC$90)^2+(AD36-$AD$90)^2+(AE36-$AE$90)^2+(AF36-$AF$90)^2+(AG36-$AG$90)^2)</f>
        <v>1.4379769740081993</v>
      </c>
      <c r="FX36" s="36" t="s">
        <v>330</v>
      </c>
      <c r="FY36" s="37" t="s">
        <v>120</v>
      </c>
      <c r="GA36" s="44"/>
      <c r="GB36" s="36">
        <f>SQRT((A36-$A$91)^2+(B36-$B$91)^2+(C36-$C$91)^2+(D36-$D$91)^2+(E36-$E$91)^2+(F36-$F$91)^2+(G36-$G$91)^2+(H36-$H$91)^2+(I36-$I$91)^2+(J36-$J$91)^2+(K36-$K$91)^2+(L36-$L$91)^2+(M36-$M$91)^2+(N36-$N$91)^2+(O36-$O$91)^2+(P36-$P$91)^2+(Q36-$Q$91)^2+(R36-$R$91)^2+(S36-$S$91)^2+(T36-$T$91)^2+(U36-$U$91)^2+(V36-$V$91)^2+(W36-$W$91)^2+(X36-$X$91)^2+(Y36-$Y$91)^2+(Z36-$Z$91)^2+(AA36-$AA$91)^2+(AB36-$AB$91)^2+(AC36-$AC$91)^2+(AD36-$AD$91)^2+(AE36-$AE$91)^2+(AF36-$AF$91)^2+(AG36-$AG$91)^2)</f>
        <v>2.2806553639006677</v>
      </c>
      <c r="GC36" s="36" t="s">
        <v>139</v>
      </c>
      <c r="GD36" s="37" t="s">
        <v>120</v>
      </c>
      <c r="GF36" s="44"/>
      <c r="GG36" s="36">
        <f>SQRT((A36-$A$92)^2+(B36-$B$92)^2+(C36-$C$92)^2+(D36-$D$92)^2+(E36-$E$92)^2+(F36-$F$92)^2+(G36-$G$92)^2+(H36-$H$92)^2+(I36-$I$92)^2+(J36-$J$92)^2+(K36-$K$92)^2+(L36-$L$92)^2+(M36-$M$92)^2+(N36-$N$92)^2+(O36-$O$92)^2+(P36-$P$92)^2+(Q36-$Q$92)^2+(R36-$R$92)^2+(S36-$S$92)^2+(T36-$T$92)^2+(U36-$U$92)^2+(V36-$V$92)^2+(W36-$W$92)^2+(X36-$X$92)^2+(Y36-$Y$92)^2+(Z36-$Z$92)^2+(AA36-$AA$92)^2+(AB36-$AB$92)^2+(AC36-$AC$92)^2+(AD36-$AD$92)^2+(AE36-$AE$92)^2+(AF36-$AF$92)^2+(AG36-$AG$92)^2)</f>
        <v>1.6787765928402008</v>
      </c>
      <c r="GH36" s="36" t="s">
        <v>154</v>
      </c>
      <c r="GI36" s="37" t="s">
        <v>120</v>
      </c>
      <c r="GK36" s="44"/>
      <c r="GL36" s="36">
        <f>SQRT((A36-$A$93)^2+(B36-$B$93)^2+(C36-$C$93)^2+(D36-$D$93)^2+(E36-$E$93)^2+(F36-$F$93)^2+(G36-$G$93)^2+(H36-$H$93)^2+(I36-$I$93)^2+(J36-$J$93)^2+(K36-$K$93)^2+(L36-$L$93)^2+(M36-$M$93)^2+(N36-$N$93)^2+(O36-$O$93)^2+(P36-$P$93)^2+(Q36-$Q$93)^2+(R36-$R$93)^2+(S36-$S$93)^2+(T36-$T$93)^2+(U36-$U$93)^2+(V36-$V$93)^2+(W36-$W$93)^2+(X36-$X$93)^2+(Y36-$Y$93)^2+(Z36-$Z$93)^2+(AA36-$AA$93)^2+(AB36-$AB$93)^2+(AC36-$AC$93)^2+(AD36-$AD$93)^2+(AE36-$AE$93)^2+(AF36-$AF$93)^2+(AG36-$AG$93)^2)</f>
        <v>2.3610849671755192</v>
      </c>
      <c r="GM36" s="36" t="s">
        <v>153</v>
      </c>
      <c r="GN36" s="37" t="s">
        <v>120</v>
      </c>
      <c r="GP36" s="44"/>
      <c r="GQ36" s="36">
        <f>SQRT((A36-$A$94)^2+(B36-$B$94)^2+(C36-$C$94)^2+(D36-$D$94)^2+(E36-$E$94)^2+(F36-$F$94)^2+(G36-$G$94)^2+(H36-$H$94)^2+(I36-$I$94)^2+(J36-$J$94)^2+(K36-$K$94)^2+(L36-$L$94)^2+(M36-$M$94)^2+(N36-$N$94)^2+(O36-$O$94)^2+(P36-$P$94)^2+(Q36-$Q$94)^2+(R36-$R$94)^2+(S36-$S$94)^2+(T36-$T$94)^2+(U36-$U$94)^2+(V36-$V$94)^2+(W36-$W$94)^2+(X36-$X$94)^2+(Y36-$Y$94)^2+(Z36-$Z$94)^2+(AA36-$AA$94)^2+(AB36-$AB$94)^2+(AC36-$AC$94)^2+(AD36-$AD$94)^2+(AE36-$AE$94)^2+(AF36-$AF$94)^2+(AG36-$AG$94)^2)</f>
        <v>1.3164353365734005</v>
      </c>
      <c r="GR36" s="36" t="s">
        <v>336</v>
      </c>
      <c r="GS36" s="37" t="s">
        <v>120</v>
      </c>
      <c r="GU36" s="44"/>
      <c r="GV36" s="36">
        <f>SQRT((A36-$A$95)^2+(B36-$B$95)^2+(C36-$C$95)^2+(D36-$D$95)^2+(E36-$E$95)^2+(F36-$F$95)^2+(G36-$G$95)^2+(H36-$H$95)^2+(I36-$I$95)^2+(J36-$J$95)^2+(K36-$K$95)^2+(L36-$L$95)^2+(M36-$M$95)^2+(N36-$N$95)^2+(O36-$O$95)^2+(P36-$P$95)^2+(Q36-$Q$95)^2+(R36-$R$95)^2+(S36-$S$95)^2+(T36-$T$95)^2+(U36-$U$95)^2+(V36-$V$95)^2+(W36-$W$95)^2+(X36-$X$95)^2+(Y36-$Y$95)^2+(Z36-$Z$95)^2+(AA36-$AA$95)^2+(AB36-$AB$95)^2+(AC36-$AC$95)^2+(AD36-$AD$95)^2+(AE36-$AE$95)^2+(AF36-$AF$95)^2+(AG36-$AG$95)^2)</f>
        <v>2.3993633414813278</v>
      </c>
      <c r="GW36" s="36" t="s">
        <v>327</v>
      </c>
      <c r="GX36" s="37" t="s">
        <v>120</v>
      </c>
      <c r="GZ36" s="44"/>
      <c r="HA36" s="36">
        <f>SQRT((A36-$A$96)^2+(B36-$B$96)^2+(C36-$C$96)^2+(D36-$D$96)^2+(E36-$E$96)^2+(F36-$F$96)^2+(G36-$G$96)^2+(H36-$H$96)^2+(I36-$I$96)^2+(J36-$J$96)^2+(K36-$K$96)^2+(L36-$L$96)^2+(M36-$M$96)^2+(N36-$N$96)^2+(O36-$O$96)^2+(P36-$P$96)^2+(Q36-$Q$96)^2+(R36-$R$96)^2+(S36-$S$96)^2+(T36-$T$96)^2+(U36-$U$96)^2+(V36-$V$96)^2+(W36-$W$96)^2+(X36-$X$96)^2+(Y36-$Y$96)^2+(Z36-$Z$96)^2+(AA36-$AA$96)^2+(AB36-$AB$96)^2+(AC36-$AC$96)^2+(AD36-$AD$96)^2+(AE36-$AE$96)^2+(AF36-$AF$96)^2+(AG36-$AG$96)^2)</f>
        <v>2.2403496750879461</v>
      </c>
      <c r="HB36" s="36" t="s">
        <v>325</v>
      </c>
      <c r="HC36" s="37" t="s">
        <v>120</v>
      </c>
      <c r="HE36" s="44"/>
      <c r="HF36" s="36">
        <f>SQRT((A36-$A$97)^2+(B36-$B$97)^2+(C36-$C$97)^2+(D36-$D$97)^2+(E36-$E$97)^2+(F36-$F$97)^2+(G36-$G$97)^2+(H36-$H$97)^2+(I36-$I$97)^2+(J36-$J$97)^2+(K36-$K$97)^2+(L36-$L$97)^2+(M36-$M$97)^2+(N36-$N$97)^2+(O36-$O$97)^2+(P36-$P$97)^2+(Q36-$Q$97)^2+(R36-$R$97)^2+(S36-$S$97)^2+(T36-$T$97)^2+(U36-$U$97)^2+(V36-$V$97)^2+(W36-$W$97)^2+(X36-$X$97)^2+(Y36-$Y$97)^2+(Z36-$Z$97)^2+(AA36-$AA$97)^2+(AB36-$AB$97)^2+(AC36-$AC$97)^2+(AD36-$AD$97)^2+(AE36-$AE$97)^2+(AF36-$AF$97)^2+(AG36-$AG$97)^2)</f>
        <v>0.9993191797324219</v>
      </c>
      <c r="HG36" s="36" t="s">
        <v>142</v>
      </c>
      <c r="HH36" s="37" t="s">
        <v>120</v>
      </c>
      <c r="HJ36" s="44"/>
      <c r="HK36" s="36">
        <f>SQRT((A36-$A$98)^2+(B36-$B$98)^2+(C36-$C$98)^2+(D36-$D$98)^2+(E36-$E$98)^2+(F36-$F$98)^2+(G36-$G$98)^2+(H36-$H$98)^2+(I36-$I$98)^2+(J36-$J$98)^2+(K36-$K$98)^2+(L36-$L$98)^2+(M36-$M$98)^2+(N36-$N$98)^2+(O36-$O$98)^2+(P36-$P$98)^2+(Q36-$Q$98)^2+(R36-$R$98)^2+(S36-$S$98)^2+(T36-$T$98)^2+(U36-$U$98)^2+(V36-$V$98)^2+(W36-$W$98)^2+(X36-$X$98)^2+(Y36-$Y$98)^2+(Z36-$Z$98)^2+(AA36-$AA$98)^2+(AB36-$AB$98)^2+(AC36-$AC$98)^2+(AD36-$AD$98)^2+(AE36-$AE$98)^2+(AF36-$AF$98)^2+(AG36-$AG$98)^2)</f>
        <v>0.9993191797324219</v>
      </c>
      <c r="HL36" s="36" t="s">
        <v>142</v>
      </c>
      <c r="HM36" s="37" t="s">
        <v>120</v>
      </c>
      <c r="HO36" s="44"/>
      <c r="HP36" s="36">
        <f>SQRT((A36-$A$99)^2+(B36-$B$99)^2+(C36-$C$99)^2+(D36-$D$99)^2+(E36-$E$99)^2+(F36-$F$99)^2+(G36-$G$99)^2+(H36-$H$99)^2+(I36-$I$99)^2+(J36-$J$99)^2+(K36-$K$99)^2+(L36-$L$99)^2+(M36-$M$99)^2+(N36-$N$99)^2+(O36-$O$99)^2+(P36-$P$99)^2+(Q36-$Q$99)^2+(R36-$R$99)^2+(S36-$S$99)^2+(T36-$T$99)^2+(U36-$U$99)^2+(V36-$V$99)^2+(W36-$W$99)^2+(X36-$X$99)^2+(Y36-$Y$99)^2+(Z36-$Z$99)^2+(AA36-$AA$99)^2+(AB36-$AB$99)^2+(AC36-$AC$99)^2+(AD36-$AD$99)^2+(AE36-$AE$99)^2+(AF36-$AF$99)^2+(AG36-$AG$99)^2)</f>
        <v>0.9993191797324219</v>
      </c>
      <c r="HQ36" s="36" t="s">
        <v>142</v>
      </c>
      <c r="HR36" s="37" t="s">
        <v>120</v>
      </c>
      <c r="HT36" s="44"/>
      <c r="HU36" s="36">
        <f>SQRT((A36-$A$100)^2+(B36-$B$100)^2+(C36-$C$100)^2+(D36-$D$100)^2+(E36-$E$100)^2+(F36-$F$100)^2+(G36-$G$100)^2+(H36-$H$100)^2+(I36-$I$100)^2+(J36-$J$100)^2+(K36-$K$100)^2+(L36-$L$100)^2+(M36-$M$100)^2+(N36-$N$100)^2+(O36-$O$100)^2+(P36-$P$100)^2+(Q36-$Q$100)^2+(R36-$R$100)^2+(S36-$S$100)^2+(T36-$T$100)^2+(U36-$U$100)^2+(V36-$V$100)^2+(W36-$W$100)^2+(X36-$X$100)^2+(Y36-$Y$100)^2+(Z36-$Z$100)^2+(AA36-$AA$100)^2+(AB36-$AB$100)^2+(AC36-$AC$100)^2+(AD36-$AD$100)^2+(AE36-$AE$100)^2+(AF36-$AF$100)^2+(AG36-$AG$100)^2)</f>
        <v>0.9993191797324219</v>
      </c>
      <c r="HV36" s="36" t="s">
        <v>142</v>
      </c>
      <c r="HW36" s="37" t="s">
        <v>120</v>
      </c>
      <c r="HY36" s="44"/>
      <c r="HZ36" s="36">
        <f>SQRT((A36-$A$101)^2+(B36-$B$101)^2+(C36-$C$101)^2+(D36-$D$101)^2+(E36-$E$101)^2+(F36-$F$101)^2+(G36-$G$101)^2+(H36-$H$101)^2+(I36-$I$101)^2+(J36-$J$101)^2+(K36-$K$101)^2+(L36-$L$101)^2+(M36-$M$101)^2+(N36-$N$101)^2+(O36-$O$101)^2+(P36-$P$101)^2+(Q36-$Q$101)^2+(R36-$R$101)^2+(S36-$S$101)^2+(T36-$T$101)^2+(U36-$U$101)^2+(V36-$V$101)^2+(W36-$W$101)^2+(X36-$X$101)^2+(Y36-$Y$101)^2+(Z36-$Z$101)^2+(AA36-$AA$101)^2+(AB36-$AB$101)^2+(AC36-$AC$101)^2+(AD36-$AD$101)^2+(AE36-$AE$101)^2+(AF36-$AF$101)^2+(AG36-$AG$101)^2)</f>
        <v>1.653699556213952</v>
      </c>
      <c r="IA36" s="36" t="s">
        <v>154</v>
      </c>
      <c r="IB36" s="37" t="s">
        <v>120</v>
      </c>
    </row>
    <row r="37" spans="1:236" x14ac:dyDescent="0.35">
      <c r="A37" s="2">
        <v>0</v>
      </c>
      <c r="B37" s="2">
        <v>0.25</v>
      </c>
      <c r="C37" s="2">
        <v>0.33333333333333298</v>
      </c>
      <c r="D37" s="2">
        <v>1</v>
      </c>
      <c r="E37" s="2">
        <v>0.33333333333333298</v>
      </c>
      <c r="F37" s="2">
        <v>1</v>
      </c>
      <c r="G37" s="2">
        <v>0.55555555555555503</v>
      </c>
      <c r="H37" s="2">
        <v>1</v>
      </c>
      <c r="I37" s="2">
        <v>0.5</v>
      </c>
      <c r="J37" s="2">
        <v>1</v>
      </c>
      <c r="K37" s="2">
        <v>0</v>
      </c>
      <c r="L37" s="2">
        <v>0.2</v>
      </c>
      <c r="M37" s="2">
        <v>1</v>
      </c>
      <c r="N37" s="2">
        <v>0</v>
      </c>
      <c r="O37" s="2">
        <v>1</v>
      </c>
      <c r="P37" s="2">
        <v>0.4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0</v>
      </c>
      <c r="W37" s="2">
        <v>1</v>
      </c>
      <c r="X37" s="2">
        <v>1</v>
      </c>
      <c r="Y37" s="2">
        <v>1</v>
      </c>
      <c r="Z37" s="2">
        <v>0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0</v>
      </c>
      <c r="AH37" s="2" t="s">
        <v>120</v>
      </c>
      <c r="AI37" s="42"/>
      <c r="AJ37" s="42"/>
      <c r="AL37" s="44"/>
      <c r="AM37" s="36">
        <f>SQRT((A37-$A$62)^2+(B37-$B$62)^2+(C37-$C$62)^2+(D37-$D$62)^2+(E37-$E$62)^2+(F37-$F$62)^2+(G37-$G$62)^2+(H37-$H$62)^2+(I37-$I$62)^2+(J37-$J$62)^2+(K37-$K$62)^2+(L37-$L$62)^2+(M37-$M$62)^2+(N37-$N$62)^2+(O37-$O$62)^2+(P37-$P$62)^2+(Q37-$Q$62)^2+(R37-$R$62)^2+(S37-$S$62)^2+(T37-$T$62)^2+(U37-$U$62)^2+(V37-$V$62)^2+(W37-$W$62)^2+(X37-$X$62)^2+(Y37-$Y$62)^2+(Z37-$Z$62)^2+(AA37-$AA$62)^2+(AB37-$AB$62)^2+(AC37-$AC$62)^2+(AD37-$AD$62)^2+(AE37-$AE$62)^2+(AF37-$AF$62)^2+(AG37-$AG$62)^2)</f>
        <v>2.3497044731436145</v>
      </c>
      <c r="AN37" s="36" t="s">
        <v>327</v>
      </c>
      <c r="AO37" s="37" t="s">
        <v>120</v>
      </c>
      <c r="AQ37" s="44"/>
      <c r="AR37" s="36">
        <f>SQRT((A37-$A$63)^2+(B37-$B$63)^2+(C37-$C$63)^2+(D37-$D$63)^2+(E37-$E$63)^2+(F37-$F$63)^2+(G37-$G$63)^2+(H37-$H$63)^2+(I37-$I$63)^2+(J37-$J$63)^2+(K37-$K$63)^2+(L37-$L$63)^2+(M37-$M$63)^2+(N37-$N$63)^2+(O37-$O$63)^2+(P37-$P$63)^2+(Q37-$Q$63)^2+(R37-$R$63)^2+(S37-$S$63)^2+(T37-$T$63)^2+(U37-$U$63)^2+(V37-$V$63)^2+(W37-$W$63)^2+(X37-$X$63)^2+(Y37-$Y$63)^2+(Z37-$Z$63)^2+(AA37-$AA$63)^2+(AB37-$AB$63)^2+(AC37-$AC$63)^2+(AD37-$AD$63)^2+(AE37-$AE$63)^2+(AF37-$AF$63)^2+(AG37-$AG$63)^2)</f>
        <v>1.3858842853154341</v>
      </c>
      <c r="AS37" s="36" t="s">
        <v>316</v>
      </c>
      <c r="AT37" s="37" t="s">
        <v>120</v>
      </c>
      <c r="AV37" s="44"/>
      <c r="AW37" s="36">
        <f>SQRT((A37-$A$64)^2+(B37-$B$64)^2+(C37-$C$64)^2+(D37-$D$64)^2+(E37-$E$64)^2+(F37-$F$64)^2+(G37-$G$64)^2+(H37-$H$64)^2+(I37-$I$64)^2+(J37-$J$64)^2+(K37-$K$64)^2+(L37-$L$64)^2+(M37-$M$64)^2+(N37-$N$64)^2+(O37-$O$64)^2+(P37-$P$64)^2+(Q37-$Q$64)^2+(R37-$R$64)^2+(S37-$S$64)^2+(T37-$T$64)^2+(U37-$U$64)^2+(V37-$V$64)^2+(W37-$W$64)^2+(X37-$X$64)^2+(Y37-$Y$64)^2+(Z37-$Z$64)^2+(AA37-$AA$64)^2+(AB37-$AB$64)^2+(AC37-$AC$64)^2+(AD37-$AD$64)^2+(AE37-$AE$64)^2+(AF37-$AF$64)^2+(AG37-$AG$64)^2)</f>
        <v>1.3858842853154341</v>
      </c>
      <c r="AX37" s="36" t="s">
        <v>316</v>
      </c>
      <c r="AY37" s="37" t="s">
        <v>120</v>
      </c>
      <c r="BA37" s="44"/>
      <c r="BB37" s="36">
        <f>SQRT((A37-$A$65)^2+(B37-$B$65)^2+(C37-$C$65)^2+(D37-$D$65)^2+(E37-$E$65)^2+(F37-$F$65)^2+(G37-$G$65)^2+(H37-$H$65)^2+(I37-$I$65)^2+(J37-$J$65)^2+(K37-$K$65)^2+(L37-$L$65)^2+(M37-$M$65)^2+(N37-$N$65)^2+(O37-$O$65)^2+(P37-$P$65)^2+(Q37-$Q$65)^2+(R37-$R$65)^2+(S37-$S$65)^2+(T37-$T$65)^2+(U37-$U$65)^2+(V37-$V$65)^2+(W37-$W$65)^2+(X37-$X$65)^2+(Y37-$Y$65)^2+(Z37-$Z$65)^2+(AA37-$AA$65)^2+(AB37-$AB$65)^2+(AC37-$AC$65)^2+(AD37-$AD$65)^2+(AE37-$AE$65)^2+(AF37-$AF$65)^2+(AG37-$AG$65)^2)</f>
        <v>1.3858842853154341</v>
      </c>
      <c r="BC37" s="36" t="s">
        <v>316</v>
      </c>
      <c r="BD37" s="37" t="s">
        <v>120</v>
      </c>
      <c r="BF37" s="44"/>
      <c r="BG37" s="36">
        <f>SQRT((A37-$A$66)^2+(B37-$B$66)^2+(C37-$C$66)^2+(D37-$D$66)^2+(E37-$E$66)^2+(F37-$F$66)^2+(G37-$G$66)^2+(H37-$H$66)^2+(I37-$I$66)^2+(J37-$J$66)^2+(K37-$K$66)^2+(L37-$L$66)^2+(M37-$M$66)^2+(N37-$N$66)^2+(O37-$O$66)^2+(P37-$P$66)^2+(Q37-$Q$66)^2+(R37-$R$66)^2+(S37-$S$66)^2+(T37-$T$66)^2+(U37-$U$66)^2+(V37-$V$66)^2+(W37-$W$66)^2+(X37-$X$66)^2+(Y37-$Y$66)^2+(Z37-$Z$66)^2+(AA37-$AA$66)^2+(AB37-$AB$66)^2+(AC37-$AC$66)^2+(AD37-$AD$66)^2+(AE37-$AE$66)^2+(AF37-$AF$66)^2+(AG37-$AG$66)^2)</f>
        <v>1.3858842853154341</v>
      </c>
      <c r="BH37" s="36" t="s">
        <v>316</v>
      </c>
      <c r="BI37" s="37" t="s">
        <v>120</v>
      </c>
      <c r="BK37" s="44"/>
      <c r="BL37" s="36">
        <f>SQRT((A37-$A$67)^2+(B37-$B$67)^2+(C37-$C$67)^2+(D37-$D$67)^2+(E37-$E$67)^2+(F37-$F$67)^2+(G37-$G$67)^2+(H37-$H$67)^2+(I37-$I$67)^2+(J37-$J$67)^2+(K37-$K$67)^2+(L37-$L$67)^2+(M37-$M$67)^2+(N37-$N$67)^2+(O37-$O$67)^2+(P37-$P$67)^2+(Q37-$Q$67)^2+(R37-$R$67)^2+(S37-$S$67)^2+(T37-$T$67)^2+(U37-$U$67)^2+(V37-$V$67)^2+(W37-$W$67)^2+(X37-$X$67)^2+(Y37-$Y$67)^2+(Z37-$Z$67)^2+(AA37-$AA$67)^2+(AB37-$AB$67)^2+(AC37-$AC$67)^2+(AD37-$AD$67)^2+(AE37-$AE$67)^2+(AF37-$AF$67)^2+(AG37-$AG$67)^2)</f>
        <v>1.3858842853154341</v>
      </c>
      <c r="BM37" s="36" t="s">
        <v>316</v>
      </c>
      <c r="BN37" s="37" t="s">
        <v>120</v>
      </c>
      <c r="BP37" s="44"/>
      <c r="BQ37" s="36">
        <f>SQRT((A37-$A$68)^2+(B37-$B$68)^2+(C37-$C$68)^2+(D37-$D$68)^2+(E37-$E$68)^2+(F37-$F$68)^2+(G37-$G$68)^2+(H37-$H$68)^2+(I37-$I$68)^2+(J37-$J$68)^2+(K37-$K$68)^2+(L37-$L$68)^2+(M37-$M$68)^2+(N37-$N$68)^2+(O37-$O$68)^2+(P37-$P$68)^2+(Q37-$Q$68)^2+(R37-$R$68)^2+(S37-$S$68)^2+(T37-$T$68)^2+(U37-$U$68)^2+(V37-$V$68)^2+(W37-$W$68)^2+(X37-$X$68)^2+(Y37-$Y$68)^2+(Z37-$Z$68)^2+(AA37-$AA$68)^2+(AB37-$AB$68)^2+(AC37-$AC$68)^2+(AD37-$AD$68)^2+(AE37-$AE$68)^2+(AF37-$AF$68)^2+(AG37-$AG$68)^2)</f>
        <v>1.3858842853154341</v>
      </c>
      <c r="BR37" s="36" t="s">
        <v>316</v>
      </c>
      <c r="BS37" s="37" t="s">
        <v>120</v>
      </c>
      <c r="BU37" s="44"/>
      <c r="BV37" s="36">
        <f>SQRT((A37-$A$69)^2+(B37-$B$69)^2+(C37-$C$69)^2+(D37-$D$69)^2+(E37-$E$69)^2+(F37-$F$69)^2+(G37-$G$69)^2+(H37-$H$69)^2+(I37-$I$69)^2+(J37-$J$69)^2+(K37-$K$69)^2+(L37-$L$69)^2+(M37-$M$69)^2+(N37-$N$69)^2+(O37-$O$69)^2+(P37-$P$69)^2+(Q37-$Q$69)^2+(R37-$R$69)^2+(S37-$S$69)^2+(T37-$T$69)^2+(U37-$U$69)^2+(V37-$V$69)^2+(W37-$W$69)^2+(X37-$X$69)^2+(Y37-$Y$69)^2+(Z37-$Z$69)^2+(AA37-$AA$69)^2+(AB37-$AB$69)^2+(AC37-$AC$69)^2+(AD37-$AD$69)^2+(AE37-$AE$69)^2+(AF37-$AF$69)^2+(AG37-$AG$69)^2)</f>
        <v>2.4236781073981759</v>
      </c>
      <c r="BW37" s="36" t="s">
        <v>336</v>
      </c>
      <c r="BX37" s="37" t="s">
        <v>120</v>
      </c>
      <c r="BZ37" s="44"/>
      <c r="CA37" s="36">
        <f>SQRT((A37-$A$70)^2+(B37-$B$70)^2+(C37-$C$70)^2+(D37-$D$70)^2+(E37-$E$70)^2+(F37-$F$70)^2+(G37-$G$70)^2+(H37-$H$70)^2+(I37-$I$70)^2+(J37-$J$70)^2+(K37-$K$70)^2+(L37-$L$70)^2+(M37-$M$70)^2+(N37-$N$70)^2+(O37-$O$70)^2+(P37-$P$70)^2+(Q37-$Q$70)^2+(R37-$R$70)^2+(S37-$S$70)^2+(T37-$T$70)^2+(U37-$U$70)^2+(V37-$V$70)^2+(W37-$W$70)^2+(X37-$X$70)^2+(Y37-$Y$70)^2+(Z37-$Z$70)^2+(AA37-$AA$70)^2+(AB37-$AB$70)^2+(AC37-$AC$70)^2+(AD37-$AD$70)^2+(AE37-$AE$70)^2+(AF37-$AF$70)^2+(AG37-$AG$70)^2)</f>
        <v>1.9909410850710043</v>
      </c>
      <c r="CB37" s="36" t="s">
        <v>131</v>
      </c>
      <c r="CC37" s="37" t="s">
        <v>120</v>
      </c>
      <c r="CE37" s="44"/>
      <c r="CF37" s="36">
        <f>SQRT((A37-$A$71)^2+(B37-$B$71)^2+(C37-$C$71)^2+(D37-$D$71)^2+(E37-$E$71)^2+(F37-$F$71)^2+(G37-$G$71)^2+(H37-$H$71)^2+(I37-$I$71)^2+(J37-$J$71)^2+(K37-$K$71)^2+(L37-$L$71)^2+(M37-$M$71)^2+(N37-$N$71)^2+(O37-$O$71)^2+(P37-$P$71)^2+(Q37-$Q$71)^2+(R37-$R$71)^2+(S37-$S$71)^2+(T37-$T$71)^2+(U37-$U$71)^2+(V37-$V$71)^2+(W37-$W$71)^2+(X37-$X$71)^2+(Y37-$Y$71)^2+(Z37-$Z$71)^2+(AA37-$AA$71)^2+(AB37-$AB$71)^2+(AC37-$AC$71)^2+(AD37-$AD$71)^2+(AE37-$AE$71)^2+(AF37-$AF$71)^2+(AG37-$AG$71)^2)</f>
        <v>1.6828255880450784</v>
      </c>
      <c r="CG37" s="36" t="s">
        <v>338</v>
      </c>
      <c r="CH37" s="37" t="s">
        <v>120</v>
      </c>
      <c r="CJ37" s="44"/>
      <c r="CK37" s="36">
        <f>SQRT((A37-$A$72)^2+(B37-$B$72)^2+(C37-$C$72)^2+(D37-$D$72)^2+(E37-$E$72)^2+(F37-$F$72)^2+(G37-$G$72)^2+(H37-$H$72)^2+(I37-$I$72)^2+(J37-$J$72)^2+(K37-$K$72)^2+(L37-$L$72)^2+(M37-$M$72)^2+(N37-$N$72)^2+(O37-$O$72)^2+(P37-$P$72)^2+(Q37-$Q$72)^2+(R37-$R$72)^2+(S37-$S$72)^2+(T37-$T$72)^2+(U37-$U$72)^2+(V37-$V$72)^2+(W37-$W$72)^2+(X37-$X$72)^2+(Y37-$Y$72)^2+(Z37-$Z$72)^2+(AA37-$AA$72)^2+(AB37-$AB$72)^2+(AC37-$AC$72)^2+(AD37-$AD$72)^2+(AE37-$AE$72)^2+(AF37-$AF$72)^2+(AG37-$AG$72)^2)</f>
        <v>1.9659809185556563</v>
      </c>
      <c r="CL37" s="36" t="s">
        <v>329</v>
      </c>
      <c r="CM37" s="37" t="s">
        <v>120</v>
      </c>
      <c r="CO37" s="44"/>
      <c r="CP37" s="36">
        <f>SQRT((A37-$A$73)^2+(B37-$B$73)^2+(C37-$C$73)^2+(D37-$D$73)^2+(E37-$E$73)^2+(F37-$F$73)^2+(G37-$G$73)^2+(H37-$H$73)^2+(I37-$I$73)^2+(J37-$J$73)^2+(K37-$K$73)^2+(L37-$L$73)^2+(M37-$M$73)^2+(N37-$N$73)^2+(O37-$O$73)^2+(P37-$P$73)^2+(Q37-$Q$73)^2+(R37-$R$73)^2+(S37-$S$73)^2+(T37-$T$73)^2+(U37-$U$73)^2+(V37-$V$73)^2+(W37-$W$73)^2+(X37-$X$73)^2+(Y37-$Y$73)^2+(Z37-$Z$73)^2+(AA37-$AA$73)^2+(AB37-$AB$73)^2+(AC37-$AC$73)^2+(AD37-$AD$73)^2+(AE37-$AE$73)^2+(AF37-$AF$73)^2+(AG37-$AG$73)^2)</f>
        <v>2.0816659994661331</v>
      </c>
      <c r="CQ37" s="36" t="s">
        <v>317</v>
      </c>
      <c r="CR37" s="37" t="s">
        <v>120</v>
      </c>
      <c r="CT37" s="44"/>
      <c r="CU37" s="36">
        <f>SQRT((A37-$A$74)^2+(B37-$B$74)^2+(C37-$C$74)^2+(D37-$D$74)^2+(E37-$E$74)^2+(F37-$F$74)^2+(G37-$G$74)^2+(H37-$H$74)^2+(I37-$I$74)^2+(J37-$J$74)^2+(K37-$K$74)^2+(L37-$L$74)^2+(M37-$M$74)^2+(N37-$N$74)^2+(O37-$O$74)^2+(P37-$P$74)^2+(Q37-$Q$74)^2+(R37-$R$74)^2+(S37-$S$74)^2+(T37-$T$74)^2+(U37-$U$74)^2+(V37-$V$74)^2+(W37-$W$74)^2+(X37-$X$74)^2+(Y37-$Y$74)^2+(Z37-$Z$74)^2+(AA37-$AA$74)^2+(AB37-$AB$74)^2+(AC37-$AC$74)^2+(AD37-$AD$74)^2+(AE37-$AE$74)^2+(AF37-$AF$74)^2+(AG37-$AG$74)^2)</f>
        <v>1.8740923729160797</v>
      </c>
      <c r="CV37" s="36" t="s">
        <v>138</v>
      </c>
      <c r="CW37" s="37" t="s">
        <v>120</v>
      </c>
      <c r="CY37" s="44"/>
      <c r="CZ37" s="36">
        <f>SQRT((A37-$A$75)^2+(B37-$B$75)^2+(C37-$C$75)^2+(D37-$D$75)^2+(E37-$E$75)^2+(F37-$F$75)^2+(G37-$G$75)^2+(H37-$H$75)^2+(I37-$I$75)^2+(J37-$J$75)^2+(K37-$K$75)^2+(L37-$L$75)^2+(M37-$M$75)^2+(N37-$N$75)^2+(O37-$O$75)^2+(P37-$P$75)^2+(Q37-$Q$75)^2+(R37-$R$75)^2+(S37-$S$75)^2+(T37-$T$75)^2+(U37-$U$75)^2+(V37-$V$75)^2+(W37-$W$75)^2+(X37-$X$75)^2+(Y37-$Y$75)^2+(Z37-$Z$75)^2+(AA37-$AA$75)^2+(AB37-$AB$75)^2+(AC37-$AC$75)^2+(AD37-$AD$75)^2+(AE37-$AE$75)^2+(AF37-$AF$75)^2+(AG37-$AG$75)^2)</f>
        <v>1.8027756377319946</v>
      </c>
      <c r="DA37" s="36" t="s">
        <v>137</v>
      </c>
      <c r="DB37" s="37" t="s">
        <v>120</v>
      </c>
      <c r="DD37" s="44"/>
      <c r="DE37" s="36">
        <f>SQRT((A37-$A$76)^2+(B37-$B$76)^2+(C37-$C$76)^2+(D37-$D$76)^2+(E37-$E$76)^2+(F37-$F$76)^2+(G37-$G$76)^2+(H37-$H$76)^2+(I37-$I$76)^2+(J37-$J$76)^2+(K37-$K$76)^2+(L37-$L$76)^2+(M37-$M$76)^2+(N37-$N$76)^2+(O37-$O$76)^2+(P37-$P$76)^2+(Q37-$Q$76)^2+(R37-$R$76)^2+(S37-$S$76)^2+(T37-$T$76)^2+(U37-$U$76)^2+(V37-$V$76)^2+(W37-$W$76)^2+(X37-$X$76)^2+(Y37-$Y$76)^2+(Z37-$Z$76)^2+(AA37-$AA$76)^2+(AB37-$AB$76)^2+(AC37-$AC$76)^2+(AD37-$AD$76)^2+(AE37-$AE$76)^2+(AF37-$AF$76)^2+(AG37-$AG$76)^2)</f>
        <v>1.8740923729160797</v>
      </c>
      <c r="DF37" s="36" t="s">
        <v>326</v>
      </c>
      <c r="DG37" s="37" t="s">
        <v>120</v>
      </c>
      <c r="DI37" s="44"/>
      <c r="DJ37" s="36">
        <f>SQRT((A37-$A$77)^2+(B37-$B$77)^2+(C37-$C$77)^2+(D37-$D$77)^2+(E37-$E$77)^2+(F37-$F$77)^2+(G37-$G$77)^2+(H37-$H$77)^2+(I37-$I$77)^2+(J37-$J$77)^2+(K37-$K$77)^2+(L37-$L$77)^2+(M37-$M$77)^2+(N37-$N$77)^2+(O37-$O$77)^2+(P37-$P$77)^2+(Q37-$Q$77)^2+(R37-$R$77)^2+(S37-$S$77)^2+(T37-$T$77)^2+(U37-$U$77)^2+(V37-$V$77)^2+(W37-$W$77)^2+(X37-$X$77)^2+(Y37-$Y$77)^2+(Z37-$Z$77)^2+(AA37-$AA$77)^2+(AB37-$AB$77)^2+(AC37-$AC$77)^2+(AD37-$AD$77)^2+(AE37-$AE$77)^2+(AF37-$AF$77)^2+(AG37-$AG$77)^2)</f>
        <v>2.3760962382305419</v>
      </c>
      <c r="DK37" s="36" t="s">
        <v>139</v>
      </c>
      <c r="DL37" s="37" t="s">
        <v>120</v>
      </c>
      <c r="DN37" s="44"/>
      <c r="DO37" s="36">
        <f>SQRT((A37-$A$78)^2+(B37-$B$78)^2+(C37-$C$78)^2+(D37-$D$78)^2+(E37-$E$78)^2+(F37-$F$78)^2+(G37-$G$78)^2+(H37-$H$78)^2+(I37-$I$78)^2+(J37-$J$78)^2+(K37-$K$78)^2+(L37-$L$78)^2+(M37-$M$78)^2+(N37-$N$78)^2+(O37-$O$78)^2+(P37-$P$78)^2+(Q37-$Q$78)^2+(R37-$R$78)^2+(S37-$S$78)^2+(T37-$T$78)^2+(U37-$U$78)^2+(V37-$V$78)^2+(W37-$W$78)^2+(X37-$X$78)^2+(Y37-$Y$78)^2+(Z37-$Z$78)^2+(AA37-$AA$78)^2+(AB37-$AB$78)^2+(AC37-$AC$78)^2+(AD37-$AD$78)^2+(AE37-$AE$78)^2+(AF37-$AF$78)^2+(AG37-$AG$78)^2)</f>
        <v>1.8606157271903325</v>
      </c>
      <c r="DP37" s="36" t="s">
        <v>145</v>
      </c>
      <c r="DQ37" s="37" t="s">
        <v>120</v>
      </c>
      <c r="DS37" s="44"/>
      <c r="DT37" s="36">
        <f>SQRT((A37-$A$79)^2+(B37-$B$79)^2+(C37-$C$79)^2+(D37-$D$79)^2+(E37-$E$79)^2+(F37-$F$79)^2+(G37-$G$79)^2+(H37-$H$79)^2+(I37-$I$79)^2+(J37-$J$79)^2+(K37-$K$79)^2+(L37-$L$79)^2+(M37-$M$79)^2+(N37-$N$79)^2+(O37-$O$79)^2+(P37-$P$79)^2+(Q37-$Q$79)^2+(R37-$R$79)^2+(S37-$S$79)^2+(T37-$T$79)^2+(U37-$U$79)^2+(V37-$V$79)^2+(W37-$W$79)^2+(X37-$X$79)^2+(Y37-$Y$79)^2+(Z37-$Z$79)^2+(AA37-$AA$79)^2+(AB37-$AB$79)^2+(AC37-$AC$79)^2+(AD37-$AD$79)^2+(AE37-$AE$79)^2+(AF37-$AF$79)^2+(AG37-$AG$79)^2)</f>
        <v>1.7401250749392636</v>
      </c>
      <c r="DU37" s="36" t="s">
        <v>143</v>
      </c>
      <c r="DV37" s="37" t="s">
        <v>120</v>
      </c>
      <c r="DX37" s="44"/>
      <c r="DY37" s="36">
        <f>SQRT((A37-$A$80)^2+(B37-$B$80)^2+(C37-$C$80)^2+(D37-$D$80)^2+(E37-$E$80)^2+(F37-$F$80)^2+(G37-$G$80)^2+(H37-$H$80)^2+(I37-$I$80)^2+(J37-$J$80)^2+(K37-$K$80)^2+(L37-$L$80)^2+(M37-$M$80)^2+(N37-$N$80)^2+(O37-$O$80)^2+(P37-$P$80)^2+(Q37-$Q$80)^2+(R37-$R$80)^2+(S37-$S$80)^2+(T37-$T$80)^2+(U37-$U$80)^2+(V37-$V$80)^2+(W37-$W$80)^2+(X37-$X$80)^2+(Y37-$Y$80)^2+(Z37-$Z$80)^2+(AA37-$AA$80)^2+(AB37-$AB$80)^2+(AC37-$AC$80)^2+(AD37-$AD$80)^2+(AE37-$AE$80)^2+(AF37-$AF$80)^2+(AG37-$AG$80)^2)</f>
        <v>0.61101009266077877</v>
      </c>
      <c r="DZ37" s="36" t="s">
        <v>338</v>
      </c>
      <c r="EA37" s="37" t="s">
        <v>120</v>
      </c>
      <c r="EC37" s="44"/>
      <c r="ED37" s="36">
        <f>SQRT((A37-$A$81)^2+(B37-$B$81)^2+(C37-$C$81)^2+(D37-$D$81)^2+(E37-$E$81)^2+(F37-$F$81)^2+(G37-$G$81)^2+(H37-$H$81)^2+(I37-$I$81)^2+(J37-$J$81)^2+(K37-$K$81)^2+(L37-$L$81)^2+(M37-$M$81)^2+(N37-$N$81)^2+(O37-$O$81)^2+(P37-$P$81)^2+(Q37-$Q$81)^2+(R37-$R$81)^2+(S37-$S$81)^2+(T37-$T$81)^2+(U37-$U$81)^2+(V37-$V$81)^2+(W37-$W$81)^2+(X37-$X$81)^2+(Y37-$Y$81)^2+(Z37-$Z$81)^2+(AA37-$AA$81)^2+(AB37-$AB$81)^2+(AC37-$AC$81)^2+(AD37-$AD$81)^2+(AE37-$AE$81)^2+(AF37-$AF$81)^2+(AG37-$AG$81)^2)</f>
        <v>0.71200031210979409</v>
      </c>
      <c r="EE37" s="36" t="s">
        <v>325</v>
      </c>
      <c r="EF37" s="37" t="s">
        <v>120</v>
      </c>
      <c r="EH37" s="44"/>
      <c r="EI37" s="36">
        <f>SQRT((A37-$A$82)^2+(B37-$B$82)^2+(C37-$C$82)^2+(D37-$D$82)^2+(E37-$E$82)^2+(F37-$F$82)^2+(G37-$G$82)^2+(H37-$H$82)^2+(I37-$I$82)^2+(J37-$J$82)^2+(K37-$K$82)^2+(L37-$L$82)^2+(M37-$M$82)^2+(N37-$N$82)^2+(O37-$O$82)^2+(P37-$P$82)^2+(Q37-$Q$82)^2+(R37-$R$82)^2+(S37-$S$82)^2+(T37-$T$82)^2+(U37-$U$82)^2+(V37-$V$82)^2+(W37-$W$82)^2+(X37-$X$82)^2+(Y37-$Y$82)^2+(Z37-$Z$82)^2+(AA37-$AA$82)^2+(AB37-$AB$82)^2+(AC37-$AC$82)^2+(AD37-$AD$82)^2+(AE37-$AE$82)^2+(AF37-$AF$82)^2+(AG37-$AG$82)^2)</f>
        <v>2.1384578544781099</v>
      </c>
      <c r="EJ37" s="36" t="s">
        <v>142</v>
      </c>
      <c r="EK37" s="37" t="s">
        <v>120</v>
      </c>
      <c r="EM37" s="44"/>
      <c r="EN37" s="36">
        <f>SQRT((A37-$A$83)^2+(B37-$B$83)^2+(C37-$C$83)^2+(D37-$D$83)^2+(E37-$E$83)^2+(F37-$F$83)^2+(G37-$G$83)^2+(H37-$H$83)^2+(I37-$I$83)^2+(J37-$J$83)^2+(K37-$K$83)^2+(L37-$L$83)^2+(M37-$M$83)^2+(N37-$N$83)^2+(O37-$O$83)^2+(P37-$P$83)^2+(Q37-$Q$83)^2+(R37-$R$83)^2+(S37-$S$83)^2+(T37-$T$83)^2+(U37-$U$83)^2+(V37-$V$83)^2+(W37-$W$83)^2+(X37-$X$83)^2+(Y37-$Y$83)^2+(Z37-$Z$83)^2+(AA37-$AA$83)^2+(AB37-$AB$83)^2+(AC37-$AC$83)^2+(AD37-$AD$83)^2+(AE37-$AE$83)^2+(AF37-$AF$83)^2+(AG37-$AG$83)^2)</f>
        <v>1.9297961308102554</v>
      </c>
      <c r="EO37" s="36" t="s">
        <v>145</v>
      </c>
      <c r="EP37" s="37" t="s">
        <v>120</v>
      </c>
      <c r="ER37" s="44"/>
      <c r="ES37" s="36">
        <f>SQRT((A37-$A$84)^2+(B37-$B$84)^2+(C37-$C$84)^2+(D37-$D$84)^2+(E37-$E$84)^2+(F37-$F$84)^2+(G37-$G$84)^2+(H37-$H$84)^2+(I37-$I$84)^2+(J37-$J$84)^2+(K37-$K$84)^2+(L37-$L$84)^2+(M37-$M$84)^2+(N37-$N$84)^2+(O37-$O$84)^2+(P37-$P$84)^2+(Q37-$Q$84)^2+(R37-$R$84)^2+(S37-$S$84)^2+(T37-$T$84)^2+(U37-$U$84)^2+(V37-$V$84)^2+(W37-$W$84)^2+(X37-$X$84)^2+(Y37-$Y$84)^2+(Z37-$Z$84)^2+(AA37-$AA$84)^2+(AB37-$AB$84)^2+(AC37-$AC$84)^2+(AD37-$AD$84)^2+(AE37-$AE$84)^2+(AF37-$AF$84)^2+(AG37-$AG$84)^2)</f>
        <v>1.3858842853154341</v>
      </c>
      <c r="ET37" s="36" t="s">
        <v>316</v>
      </c>
      <c r="EU37" s="37" t="s">
        <v>120</v>
      </c>
      <c r="EW37" s="44"/>
      <c r="EX37" s="36">
        <f>SQRT((A37-$A$85)^2+(B37-$B$85)^2+(C37-$C$85)^2+(D37-$D$85)^2+(E37-$E$85)^2+(F37-$F$85)^2+(G37-$G$85)^2+(H37-$H$85)^2+(I37-$I$85)^2+(J37-$J$85)^2+(K37-$K$85)^2+(L37-$L$85)^2+(M37-$M$85)^2+(N37-$N$85)^2+(O37-$O$85)^2+(P37-$P$85)^2+(Q37-$Q$85)^2+(R37-$R$85)^2+(S37-$S$85)^2+(T37-$T$85)^2+(U37-$U$85)^2+(V37-$V$85)^2+(W37-$W$85)^2+(X37-$X$85)^2+(Y37-$Y$85)^2+(Z37-$Z$85)^2+(AA37-$AA$85)^2+(AB37-$AB$85)^2+(AC37-$AC$85)^2+(AD37-$AD$85)^2+(AE37-$AE$85)^2+(AF37-$AF$85)^2+(AG37-$AG$85)^2)</f>
        <v>1.3858842853154341</v>
      </c>
      <c r="EY37" s="36" t="s">
        <v>316</v>
      </c>
      <c r="EZ37" s="37" t="s">
        <v>120</v>
      </c>
      <c r="FB37" s="44"/>
      <c r="FC37" s="36">
        <f>SQRT((A37-$A$86)^2+(B37-$B$86)^2+(C37-$C$86)^2+(D37-$D$86)^2+(E37-$E$86)^2+(F37-$F$86)^2+(G37-$G$86)^2+(H37-$H$86)^2+(I37-$I$86)^2+(J37-$J$86)^2+(K37-$K$86)^2+(L37-$L$86)^2+(M37-$M$86)^2+(N37-$N$86)^2+(O37-$O$86)^2+(P37-$P$86)^2+(Q37-$Q$86)^2+(R37-$R$86)^2+(S37-$S$86)^2+(T37-$T$86)^2+(U37-$U$86)^2+(V37-$V$86)^2+(W37-$W$86)^2+(X37-$X$86)^2+(Y37-$Y$86)^2+(Z37-$Z$86)^2+(AA37-$AA$86)^2+(AB37-$AB$86)^2+(AC37-$AC$86)^2+(AD37-$AD$86)^2+(AE37-$AE$86)^2+(AF37-$AF$86)^2+(AG37-$AG$86)^2)</f>
        <v>1.3858842853154341</v>
      </c>
      <c r="FD37" s="36" t="s">
        <v>316</v>
      </c>
      <c r="FE37" s="37" t="s">
        <v>120</v>
      </c>
      <c r="FG37" s="44"/>
      <c r="FH37" s="36">
        <f>SQRT((A37-$A$87)^2+(B37-$B$87)^2+(C37-$C$87)^2+(D37-$D$87)^2+(E37-$E$87)^2+(F37-$F$87)^2+(G37-$G$87)^2+(H37-$H$87)^2+(I37-$I$87)^2+(J37-$J$87)^2+(K37-$K$87)^2+(L37-$L$87)^2+(M37-$M$87)^2+(N37-$N$87)^2+(O37-$O$87)^2+(P37-$P$87)^2+(Q37-$Q$87)^2+(R37-$R$87)^2+(S37-$S$87)^2+(T37-$T$87)^2+(U37-$U$87)^2+(V37-$V$87)^2+(W37-$W$87)^2+(X37-$X$87)^2+(Y37-$Y$87)^2+(Z37-$Z$87)^2+(AA37-$AA$87)^2+(AB37-$AB$87)^2+(AC37-$AC$87)^2+(AD37-$AD$87)^2+(AE37-$AE$87)^2+(AF37-$AF$87)^2+(AG37-$AG$87)^2)</f>
        <v>1.9347695814575268</v>
      </c>
      <c r="FI37" s="36" t="s">
        <v>150</v>
      </c>
      <c r="FJ37" s="37" t="s">
        <v>120</v>
      </c>
      <c r="FL37" s="44"/>
      <c r="FM37" s="36">
        <f>SQRT((A37-$A$88)^2+(B37-$B$88)^2+(C37-$C$88)^2+(D37-$D$88)^2+(E37-$E$88)^2+(F37-$F$88)^2+(G37-$G$88)^2+(H37-$H$88)^2+(I37-$I$88)^2+(J37-$J$88)^2+(K37-$K$88)^2+(L37-$L$88)^2+(M37-$M$88)^2+(N37-$N$88)^2+(O37-$O$88)^2+(P37-$P$88)^2+(Q37-$Q$88)^2+(R37-$R$88)^2+(S37-$S$88)^2+(T37-$T$88)^2+(U37-$U$88)^2+(V37-$V$88)^2+(W37-$W$88)^2+(X37-$X$88)^2+(Y37-$Y$88)^2+(Z37-$Z$88)^2+(AA37-$AA$88)^2+(AB37-$AB$88)^2+(AC37-$AC$88)^2+(AD37-$AD$88)^2+(AE37-$AE$88)^2+(AF37-$AF$88)^2+(AG37-$AG$88)^2)</f>
        <v>1.6557850651583634</v>
      </c>
      <c r="FN37" s="36" t="s">
        <v>138</v>
      </c>
      <c r="FO37" s="37" t="s">
        <v>120</v>
      </c>
      <c r="FQ37" s="44"/>
      <c r="FR37" s="36">
        <f>SQRT((A37-$A$89)^2+(B37-$B$89)^2+(C37-$C$89)^2+(D37-$D$89)^2+(E37-$E$89)^2+(F37-$F$89)^2+(G37-$G$89)^2+(H37-$H$89)^2+(I37-$I$89)^2+(J37-$J$89)^2+(K37-$K$89)^2+(L37-$L$89)^2+(M37-$M$89)^2+(N37-$N$89)^2+(O37-$O$89)^2+(P37-$P$89)^2+(Q37-$Q$89)^2+(R37-$R$89)^2+(S37-$S$89)^2+(T37-$T$89)^2+(U37-$U$89)^2+(V37-$V$89)^2+(W37-$W$89)^2+(X37-$X$89)^2+(Y37-$Y$89)^2+(Z37-$Z$89)^2+(AA37-$AA$89)^2+(AB37-$AB$89)^2+(AC37-$AC$89)^2+(AD37-$AD$89)^2+(AE37-$AE$89)^2+(AF37-$AF$89)^2+(AG37-$AG$89)^2)</f>
        <v>0.95742710775633799</v>
      </c>
      <c r="FS37" s="36" t="s">
        <v>337</v>
      </c>
      <c r="FT37" s="37" t="s">
        <v>120</v>
      </c>
      <c r="FV37" s="44"/>
      <c r="FW37" s="36">
        <f>SQRT((A37-$A$90)^2+(B37-$B$90)^2+(C37-$C$90)^2+(D37-$D$90)^2+(E37-$E$90)^2+(F37-$F$90)^2+(G37-$G$90)^2+(H37-$H$90)^2+(I37-$I$90)^2+(J37-$J$90)^2+(K37-$K$90)^2+(L37-$L$90)^2+(M37-$M$90)^2+(N37-$N$90)^2+(O37-$O$90)^2+(P37-$P$90)^2+(Q37-$Q$90)^2+(R37-$R$90)^2+(S37-$S$90)^2+(T37-$T$90)^2+(U37-$U$90)^2+(V37-$V$90)^2+(W37-$W$90)^2+(X37-$X$90)^2+(Y37-$Y$90)^2+(Z37-$Z$90)^2+(AA37-$AA$90)^2+(AB37-$AB$90)^2+(AC37-$AC$90)^2+(AD37-$AD$90)^2+(AE37-$AE$90)^2+(AF37-$AF$90)^2+(AG37-$AG$90)^2)</f>
        <v>2.2373098926066444</v>
      </c>
      <c r="FX37" s="36" t="s">
        <v>141</v>
      </c>
      <c r="FY37" s="37" t="s">
        <v>120</v>
      </c>
      <c r="GA37" s="44"/>
      <c r="GB37" s="36">
        <f>SQRT((A37-$A$91)^2+(B37-$B$91)^2+(C37-$C$91)^2+(D37-$D$91)^2+(E37-$E$91)^2+(F37-$F$91)^2+(G37-$G$91)^2+(H37-$H$91)^2+(I37-$I$91)^2+(J37-$J$91)^2+(K37-$K$91)^2+(L37-$L$91)^2+(M37-$M$91)^2+(N37-$N$91)^2+(O37-$O$91)^2+(P37-$P$91)^2+(Q37-$Q$91)^2+(R37-$R$91)^2+(S37-$S$91)^2+(T37-$T$91)^2+(U37-$U$91)^2+(V37-$V$91)^2+(W37-$W$91)^2+(X37-$X$91)^2+(Y37-$Y$91)^2+(Z37-$Z$91)^2+(AA37-$AA$91)^2+(AB37-$AB$91)^2+(AC37-$AC$91)^2+(AD37-$AD$91)^2+(AE37-$AE$91)^2+(AF37-$AF$91)^2+(AG37-$AG$91)^2)</f>
        <v>2.533168854309646</v>
      </c>
      <c r="GC37" s="36" t="s">
        <v>153</v>
      </c>
      <c r="GD37" s="37" t="s">
        <v>120</v>
      </c>
      <c r="GF37" s="44"/>
      <c r="GG37" s="36">
        <f>SQRT((A37-$A$92)^2+(B37-$B$92)^2+(C37-$C$92)^2+(D37-$D$92)^2+(E37-$E$92)^2+(F37-$F$92)^2+(G37-$G$92)^2+(H37-$H$92)^2+(I37-$I$92)^2+(J37-$J$92)^2+(K37-$K$92)^2+(L37-$L$92)^2+(M37-$M$92)^2+(N37-$N$92)^2+(O37-$O$92)^2+(P37-$P$92)^2+(Q37-$Q$92)^2+(R37-$R$92)^2+(S37-$S$92)^2+(T37-$T$92)^2+(U37-$U$92)^2+(V37-$V$92)^2+(W37-$W$92)^2+(X37-$X$92)^2+(Y37-$Y$92)^2+(Z37-$Z$92)^2+(AA37-$AA$92)^2+(AB37-$AB$92)^2+(AC37-$AC$92)^2+(AD37-$AD$92)^2+(AE37-$AE$92)^2+(AF37-$AF$92)^2+(AG37-$AG$92)^2)</f>
        <v>2.295517797748313</v>
      </c>
      <c r="GH37" s="36" t="s">
        <v>322</v>
      </c>
      <c r="GI37" s="37" t="s">
        <v>120</v>
      </c>
      <c r="GK37" s="44"/>
      <c r="GL37" s="36">
        <f>SQRT((A37-$A$93)^2+(B37-$B$93)^2+(C37-$C$93)^2+(D37-$D$93)^2+(E37-$E$93)^2+(F37-$F$93)^2+(G37-$G$93)^2+(H37-$H$93)^2+(I37-$I$93)^2+(J37-$J$93)^2+(K37-$K$93)^2+(L37-$L$93)^2+(M37-$M$93)^2+(N37-$N$93)^2+(O37-$O$93)^2+(P37-$P$93)^2+(Q37-$Q$93)^2+(R37-$R$93)^2+(S37-$S$93)^2+(T37-$T$93)^2+(U37-$U$93)^2+(V37-$V$93)^2+(W37-$W$93)^2+(X37-$X$93)^2+(Y37-$Y$93)^2+(Z37-$Z$93)^2+(AA37-$AA$93)^2+(AB37-$AB$93)^2+(AC37-$AC$93)^2+(AD37-$AD$93)^2+(AE37-$AE$93)^2+(AF37-$AF$93)^2+(AG37-$AG$93)^2)</f>
        <v>2.6164543438274119</v>
      </c>
      <c r="GM37" s="36" t="s">
        <v>314</v>
      </c>
      <c r="GN37" s="37" t="s">
        <v>120</v>
      </c>
      <c r="GP37" s="44"/>
      <c r="GQ37" s="36">
        <f>SQRT((A37-$A$94)^2+(B37-$B$94)^2+(C37-$C$94)^2+(D37-$D$94)^2+(E37-$E$94)^2+(F37-$F$94)^2+(G37-$G$94)^2+(H37-$H$94)^2+(I37-$I$94)^2+(J37-$J$94)^2+(K37-$K$94)^2+(L37-$L$94)^2+(M37-$M$94)^2+(N37-$N$94)^2+(O37-$O$94)^2+(P37-$P$94)^2+(Q37-$Q$94)^2+(R37-$R$94)^2+(S37-$S$94)^2+(T37-$T$94)^2+(U37-$U$94)^2+(V37-$V$94)^2+(W37-$W$94)^2+(X37-$X$94)^2+(Y37-$Y$94)^2+(Z37-$Z$94)^2+(AA37-$AA$94)^2+(AB37-$AB$94)^2+(AC37-$AC$94)^2+(AD37-$AD$94)^2+(AE37-$AE$94)^2+(AF37-$AF$94)^2+(AG37-$AG$94)^2)</f>
        <v>1.8606157271903325</v>
      </c>
      <c r="GR37" s="36" t="s">
        <v>153</v>
      </c>
      <c r="GS37" s="37" t="s">
        <v>120</v>
      </c>
      <c r="GU37" s="44"/>
      <c r="GV37" s="36">
        <f>SQRT((A37-$A$95)^2+(B37-$B$95)^2+(C37-$C$95)^2+(D37-$D$95)^2+(E37-$E$95)^2+(F37-$F$95)^2+(G37-$G$95)^2+(H37-$H$95)^2+(I37-$I$95)^2+(J37-$J$95)^2+(K37-$K$95)^2+(L37-$L$95)^2+(M37-$M$95)^2+(N37-$N$95)^2+(O37-$O$95)^2+(P37-$P$95)^2+(Q37-$Q$95)^2+(R37-$R$95)^2+(S37-$S$95)^2+(T37-$T$95)^2+(U37-$U$95)^2+(V37-$V$95)^2+(W37-$W$95)^2+(X37-$X$95)^2+(Y37-$Y$95)^2+(Z37-$Z$95)^2+(AA37-$AA$95)^2+(AB37-$AB$95)^2+(AC37-$AC$95)^2+(AD37-$AD$95)^2+(AE37-$AE$95)^2+(AF37-$AF$95)^2+(AG37-$AG$95)^2)</f>
        <v>2.8529224782083835</v>
      </c>
      <c r="GW37" s="36" t="s">
        <v>133</v>
      </c>
      <c r="GX37" s="37" t="s">
        <v>120</v>
      </c>
      <c r="GZ37" s="44"/>
      <c r="HA37" s="36">
        <f>SQRT((A37-$A$96)^2+(B37-$B$96)^2+(C37-$C$96)^2+(D37-$D$96)^2+(E37-$E$96)^2+(F37-$F$96)^2+(G37-$G$96)^2+(H37-$H$96)^2+(I37-$I$96)^2+(J37-$J$96)^2+(K37-$K$96)^2+(L37-$L$96)^2+(M37-$M$96)^2+(N37-$N$96)^2+(O37-$O$96)^2+(P37-$P$96)^2+(Q37-$Q$96)^2+(R37-$R$96)^2+(S37-$S$96)^2+(T37-$T$96)^2+(U37-$U$96)^2+(V37-$V$96)^2+(W37-$W$96)^2+(X37-$X$96)^2+(Y37-$Y$96)^2+(Z37-$Z$96)^2+(AA37-$AA$96)^2+(AB37-$AB$96)^2+(AC37-$AC$96)^2+(AD37-$AD$96)^2+(AE37-$AE$96)^2+(AF37-$AF$96)^2+(AG37-$AG$96)^2)</f>
        <v>2.7811368578734528</v>
      </c>
      <c r="HB37" s="36" t="s">
        <v>150</v>
      </c>
      <c r="HC37" s="37" t="s">
        <v>120</v>
      </c>
      <c r="HE37" s="44"/>
      <c r="HF37" s="36">
        <f>SQRT((A37-$A$97)^2+(B37-$B$97)^2+(C37-$C$97)^2+(D37-$D$97)^2+(E37-$E$97)^2+(F37-$F$97)^2+(G37-$G$97)^2+(H37-$H$97)^2+(I37-$I$97)^2+(J37-$J$97)^2+(K37-$K$97)^2+(L37-$L$97)^2+(M37-$M$97)^2+(N37-$N$97)^2+(O37-$O$97)^2+(P37-$P$97)^2+(Q37-$Q$97)^2+(R37-$R$97)^2+(S37-$S$97)^2+(T37-$T$97)^2+(U37-$U$97)^2+(V37-$V$97)^2+(W37-$W$97)^2+(X37-$X$97)^2+(Y37-$Y$97)^2+(Z37-$Z$97)^2+(AA37-$AA$97)^2+(AB37-$AB$97)^2+(AC37-$AC$97)^2+(AD37-$AD$97)^2+(AE37-$AE$97)^2+(AF37-$AF$97)^2+(AG37-$AG$97)^2)</f>
        <v>1.3858842853154341</v>
      </c>
      <c r="HG37" s="36" t="s">
        <v>316</v>
      </c>
      <c r="HH37" s="37" t="s">
        <v>120</v>
      </c>
      <c r="HJ37" s="44"/>
      <c r="HK37" s="36">
        <f>SQRT((A37-$A$98)^2+(B37-$B$98)^2+(C37-$C$98)^2+(D37-$D$98)^2+(E37-$E$98)^2+(F37-$F$98)^2+(G37-$G$98)^2+(H37-$H$98)^2+(I37-$I$98)^2+(J37-$J$98)^2+(K37-$K$98)^2+(L37-$L$98)^2+(M37-$M$98)^2+(N37-$N$98)^2+(O37-$O$98)^2+(P37-$P$98)^2+(Q37-$Q$98)^2+(R37-$R$98)^2+(S37-$S$98)^2+(T37-$T$98)^2+(U37-$U$98)^2+(V37-$V$98)^2+(W37-$W$98)^2+(X37-$X$98)^2+(Y37-$Y$98)^2+(Z37-$Z$98)^2+(AA37-$AA$98)^2+(AB37-$AB$98)^2+(AC37-$AC$98)^2+(AD37-$AD$98)^2+(AE37-$AE$98)^2+(AF37-$AF$98)^2+(AG37-$AG$98)^2)</f>
        <v>1.3858842853154341</v>
      </c>
      <c r="HL37" s="36" t="s">
        <v>316</v>
      </c>
      <c r="HM37" s="37" t="s">
        <v>120</v>
      </c>
      <c r="HO37" s="44"/>
      <c r="HP37" s="36">
        <f>SQRT((A37-$A$99)^2+(B37-$B$99)^2+(C37-$C$99)^2+(D37-$D$99)^2+(E37-$E$99)^2+(F37-$F$99)^2+(G37-$G$99)^2+(H37-$H$99)^2+(I37-$I$99)^2+(J37-$J$99)^2+(K37-$K$99)^2+(L37-$L$99)^2+(M37-$M$99)^2+(N37-$N$99)^2+(O37-$O$99)^2+(P37-$P$99)^2+(Q37-$Q$99)^2+(R37-$R$99)^2+(S37-$S$99)^2+(T37-$T$99)^2+(U37-$U$99)^2+(V37-$V$99)^2+(W37-$W$99)^2+(X37-$X$99)^2+(Y37-$Y$99)^2+(Z37-$Z$99)^2+(AA37-$AA$99)^2+(AB37-$AB$99)^2+(AC37-$AC$99)^2+(AD37-$AD$99)^2+(AE37-$AE$99)^2+(AF37-$AF$99)^2+(AG37-$AG$99)^2)</f>
        <v>1.3858842853154341</v>
      </c>
      <c r="HQ37" s="36" t="s">
        <v>316</v>
      </c>
      <c r="HR37" s="37" t="s">
        <v>120</v>
      </c>
      <c r="HT37" s="44"/>
      <c r="HU37" s="36">
        <f>SQRT((A37-$A$100)^2+(B37-$B$100)^2+(C37-$C$100)^2+(D37-$D$100)^2+(E37-$E$100)^2+(F37-$F$100)^2+(G37-$G$100)^2+(H37-$H$100)^2+(I37-$I$100)^2+(J37-$J$100)^2+(K37-$K$100)^2+(L37-$L$100)^2+(M37-$M$100)^2+(N37-$N$100)^2+(O37-$O$100)^2+(P37-$P$100)^2+(Q37-$Q$100)^2+(R37-$R$100)^2+(S37-$S$100)^2+(T37-$T$100)^2+(U37-$U$100)^2+(V37-$V$100)^2+(W37-$W$100)^2+(X37-$X$100)^2+(Y37-$Y$100)^2+(Z37-$Z$100)^2+(AA37-$AA$100)^2+(AB37-$AB$100)^2+(AC37-$AC$100)^2+(AD37-$AD$100)^2+(AE37-$AE$100)^2+(AF37-$AF$100)^2+(AG37-$AG$100)^2)</f>
        <v>1.3858842853154341</v>
      </c>
      <c r="HV37" s="36" t="s">
        <v>316</v>
      </c>
      <c r="HW37" s="37" t="s">
        <v>120</v>
      </c>
      <c r="HY37" s="44"/>
      <c r="HZ37" s="36">
        <f>SQRT((A37-$A$101)^2+(B37-$B$101)^2+(C37-$C$101)^2+(D37-$D$101)^2+(E37-$E$101)^2+(F37-$F$101)^2+(G37-$G$101)^2+(H37-$H$101)^2+(I37-$I$101)^2+(J37-$J$101)^2+(K37-$K$101)^2+(L37-$L$101)^2+(M37-$M$101)^2+(N37-$N$101)^2+(O37-$O$101)^2+(P37-$P$101)^2+(Q37-$Q$101)^2+(R37-$R$101)^2+(S37-$S$101)^2+(T37-$T$101)^2+(U37-$U$101)^2+(V37-$V$101)^2+(W37-$W$101)^2+(X37-$X$101)^2+(Y37-$Y$101)^2+(Z37-$Z$101)^2+(AA37-$AA$101)^2+(AB37-$AB$101)^2+(AC37-$AC$101)^2+(AD37-$AD$101)^2+(AE37-$AE$101)^2+(AF37-$AF$101)^2+(AG37-$AG$101)^2)</f>
        <v>0.82815054992032289</v>
      </c>
      <c r="IA37" s="36" t="s">
        <v>325</v>
      </c>
      <c r="IB37" s="37" t="s">
        <v>120</v>
      </c>
    </row>
    <row r="38" spans="1:236" x14ac:dyDescent="0.35">
      <c r="A38" s="2">
        <v>0.33333333333333298</v>
      </c>
      <c r="B38" s="2">
        <v>0</v>
      </c>
      <c r="C38" s="2">
        <v>0</v>
      </c>
      <c r="D38" s="2">
        <v>0.66666666666666596</v>
      </c>
      <c r="E38" s="2">
        <v>0</v>
      </c>
      <c r="F38" s="2">
        <v>1</v>
      </c>
      <c r="G38" s="2">
        <v>0.55555555555555503</v>
      </c>
      <c r="H38" s="2">
        <v>1</v>
      </c>
      <c r="I38" s="2">
        <v>0.5</v>
      </c>
      <c r="J38" s="2">
        <v>0</v>
      </c>
      <c r="K38" s="2">
        <v>0</v>
      </c>
      <c r="L38" s="2">
        <v>0.2</v>
      </c>
      <c r="M38" s="2">
        <v>0.5</v>
      </c>
      <c r="N38" s="2">
        <v>0</v>
      </c>
      <c r="O38" s="2">
        <v>0</v>
      </c>
      <c r="P38" s="2">
        <v>0.4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0.19565217391304299</v>
      </c>
      <c r="AH38" s="2" t="s">
        <v>120</v>
      </c>
      <c r="AI38" s="42"/>
      <c r="AJ38" s="42"/>
      <c r="AL38" s="44"/>
      <c r="AM38" s="36">
        <f>SQRT((A38-$A$62)^2+(B38-$B$62)^2+(C38-$C$62)^2+(D38-$D$62)^2+(E38-$E$62)^2+(F38-$F$62)^2+(G38-$G$62)^2+(H38-$H$62)^2+(I38-$I$62)^2+(J38-$J$62)^2+(K38-$K$62)^2+(L38-$L$62)^2+(M38-$M$62)^2+(N38-$N$62)^2+(O38-$O$62)^2+(P38-$P$62)^2+(Q38-$Q$62)^2+(R38-$R$62)^2+(S38-$S$62)^2+(T38-$T$62)^2+(U38-$U$62)^2+(V38-$V$62)^2+(W38-$W$62)^2+(X38-$X$62)^2+(Y38-$Y$62)^2+(Z38-$Z$62)^2+(AA38-$AA$62)^2+(AB38-$AB$62)^2+(AC38-$AC$62)^2+(AD38-$AD$62)^2+(AE38-$AE$62)^2+(AF38-$AF$62)^2+(AG38-$AG$62)^2)</f>
        <v>1.7590091263237471</v>
      </c>
      <c r="AN38" s="36" t="s">
        <v>313</v>
      </c>
      <c r="AO38" s="37" t="s">
        <v>120</v>
      </c>
      <c r="AQ38" s="44"/>
      <c r="AR38" s="36">
        <f>SQRT((A38-$A$63)^2+(B38-$B$63)^2+(C38-$C$63)^2+(D38-$D$63)^2+(E38-$E$63)^2+(F38-$F$63)^2+(G38-$G$63)^2+(H38-$H$63)^2+(I38-$I$63)^2+(J38-$J$63)^2+(K38-$K$63)^2+(L38-$L$63)^2+(M38-$M$63)^2+(N38-$N$63)^2+(O38-$O$63)^2+(P38-$P$63)^2+(Q38-$Q$63)^2+(R38-$R$63)^2+(S38-$S$63)^2+(T38-$T$63)^2+(U38-$U$63)^2+(V38-$V$63)^2+(W38-$W$63)^2+(X38-$X$63)^2+(Y38-$Y$63)^2+(Z38-$Z$63)^2+(AA38-$AA$63)^2+(AB38-$AB$63)^2+(AC38-$AC$63)^2+(AD38-$AD$63)^2+(AE38-$AE$63)^2+(AF38-$AF$63)^2+(AG38-$AG$63)^2)</f>
        <v>1.3258872282362757</v>
      </c>
      <c r="AS38" s="36" t="s">
        <v>326</v>
      </c>
      <c r="AT38" s="37" t="s">
        <v>120</v>
      </c>
      <c r="AV38" s="44"/>
      <c r="AW38" s="36">
        <f>SQRT((A38-$A$64)^2+(B38-$B$64)^2+(C38-$C$64)^2+(D38-$D$64)^2+(E38-$E$64)^2+(F38-$F$64)^2+(G38-$G$64)^2+(H38-$H$64)^2+(I38-$I$64)^2+(J38-$J$64)^2+(K38-$K$64)^2+(L38-$L$64)^2+(M38-$M$64)^2+(N38-$N$64)^2+(O38-$O$64)^2+(P38-$P$64)^2+(Q38-$Q$64)^2+(R38-$R$64)^2+(S38-$S$64)^2+(T38-$T$64)^2+(U38-$U$64)^2+(V38-$V$64)^2+(W38-$W$64)^2+(X38-$X$64)^2+(Y38-$Y$64)^2+(Z38-$Z$64)^2+(AA38-$AA$64)^2+(AB38-$AB$64)^2+(AC38-$AC$64)^2+(AD38-$AD$64)^2+(AE38-$AE$64)^2+(AF38-$AF$64)^2+(AG38-$AG$64)^2)</f>
        <v>1.3258872282362757</v>
      </c>
      <c r="AX38" s="36" t="s">
        <v>326</v>
      </c>
      <c r="AY38" s="37" t="s">
        <v>120</v>
      </c>
      <c r="BA38" s="44"/>
      <c r="BB38" s="36">
        <f>SQRT((A38-$A$65)^2+(B38-$B$65)^2+(C38-$C$65)^2+(D38-$D$65)^2+(E38-$E$65)^2+(F38-$F$65)^2+(G38-$G$65)^2+(H38-$H$65)^2+(I38-$I$65)^2+(J38-$J$65)^2+(K38-$K$65)^2+(L38-$L$65)^2+(M38-$M$65)^2+(N38-$N$65)^2+(O38-$O$65)^2+(P38-$P$65)^2+(Q38-$Q$65)^2+(R38-$R$65)^2+(S38-$S$65)^2+(T38-$T$65)^2+(U38-$U$65)^2+(V38-$V$65)^2+(W38-$W$65)^2+(X38-$X$65)^2+(Y38-$Y$65)^2+(Z38-$Z$65)^2+(AA38-$AA$65)^2+(AB38-$AB$65)^2+(AC38-$AC$65)^2+(AD38-$AD$65)^2+(AE38-$AE$65)^2+(AF38-$AF$65)^2+(AG38-$AG$65)^2)</f>
        <v>1.3258872282362757</v>
      </c>
      <c r="BC38" s="36" t="s">
        <v>326</v>
      </c>
      <c r="BD38" s="37" t="s">
        <v>120</v>
      </c>
      <c r="BF38" s="44"/>
      <c r="BG38" s="36">
        <f>SQRT((A38-$A$66)^2+(B38-$B$66)^2+(C38-$C$66)^2+(D38-$D$66)^2+(E38-$E$66)^2+(F38-$F$66)^2+(G38-$G$66)^2+(H38-$H$66)^2+(I38-$I$66)^2+(J38-$J$66)^2+(K38-$K$66)^2+(L38-$L$66)^2+(M38-$M$66)^2+(N38-$N$66)^2+(O38-$O$66)^2+(P38-$P$66)^2+(Q38-$Q$66)^2+(R38-$R$66)^2+(S38-$S$66)^2+(T38-$T$66)^2+(U38-$U$66)^2+(V38-$V$66)^2+(W38-$W$66)^2+(X38-$X$66)^2+(Y38-$Y$66)^2+(Z38-$Z$66)^2+(AA38-$AA$66)^2+(AB38-$AB$66)^2+(AC38-$AC$66)^2+(AD38-$AD$66)^2+(AE38-$AE$66)^2+(AF38-$AF$66)^2+(AG38-$AG$66)^2)</f>
        <v>1.3258872282362757</v>
      </c>
      <c r="BH38" s="36" t="s">
        <v>326</v>
      </c>
      <c r="BI38" s="37" t="s">
        <v>120</v>
      </c>
      <c r="BK38" s="44"/>
      <c r="BL38" s="36">
        <f>SQRT((A38-$A$67)^2+(B38-$B$67)^2+(C38-$C$67)^2+(D38-$D$67)^2+(E38-$E$67)^2+(F38-$F$67)^2+(G38-$G$67)^2+(H38-$H$67)^2+(I38-$I$67)^2+(J38-$J$67)^2+(K38-$K$67)^2+(L38-$L$67)^2+(M38-$M$67)^2+(N38-$N$67)^2+(O38-$O$67)^2+(P38-$P$67)^2+(Q38-$Q$67)^2+(R38-$R$67)^2+(S38-$S$67)^2+(T38-$T$67)^2+(U38-$U$67)^2+(V38-$V$67)^2+(W38-$W$67)^2+(X38-$X$67)^2+(Y38-$Y$67)^2+(Z38-$Z$67)^2+(AA38-$AA$67)^2+(AB38-$AB$67)^2+(AC38-$AC$67)^2+(AD38-$AD$67)^2+(AE38-$AE$67)^2+(AF38-$AF$67)^2+(AG38-$AG$67)^2)</f>
        <v>1.3258872282362757</v>
      </c>
      <c r="BM38" s="36" t="s">
        <v>326</v>
      </c>
      <c r="BN38" s="37" t="s">
        <v>120</v>
      </c>
      <c r="BP38" s="44"/>
      <c r="BQ38" s="36">
        <f>SQRT((A38-$A$68)^2+(B38-$B$68)^2+(C38-$C$68)^2+(D38-$D$68)^2+(E38-$E$68)^2+(F38-$F$68)^2+(G38-$G$68)^2+(H38-$H$68)^2+(I38-$I$68)^2+(J38-$J$68)^2+(K38-$K$68)^2+(L38-$L$68)^2+(M38-$M$68)^2+(N38-$N$68)^2+(O38-$O$68)^2+(P38-$P$68)^2+(Q38-$Q$68)^2+(R38-$R$68)^2+(S38-$S$68)^2+(T38-$T$68)^2+(U38-$U$68)^2+(V38-$V$68)^2+(W38-$W$68)^2+(X38-$X$68)^2+(Y38-$Y$68)^2+(Z38-$Z$68)^2+(AA38-$AA$68)^2+(AB38-$AB$68)^2+(AC38-$AC$68)^2+(AD38-$AD$68)^2+(AE38-$AE$68)^2+(AF38-$AF$68)^2+(AG38-$AG$68)^2)</f>
        <v>1.3258872282362757</v>
      </c>
      <c r="BR38" s="36" t="s">
        <v>326</v>
      </c>
      <c r="BS38" s="37" t="s">
        <v>120</v>
      </c>
      <c r="BU38" s="44"/>
      <c r="BV38" s="36">
        <f>SQRT((A38-$A$69)^2+(B38-$B$69)^2+(C38-$C$69)^2+(D38-$D$69)^2+(E38-$E$69)^2+(F38-$F$69)^2+(G38-$G$69)^2+(H38-$H$69)^2+(I38-$I$69)^2+(J38-$J$69)^2+(K38-$K$69)^2+(L38-$L$69)^2+(M38-$M$69)^2+(N38-$N$69)^2+(O38-$O$69)^2+(P38-$P$69)^2+(Q38-$Q$69)^2+(R38-$R$69)^2+(S38-$S$69)^2+(T38-$T$69)^2+(U38-$U$69)^2+(V38-$V$69)^2+(W38-$W$69)^2+(X38-$X$69)^2+(Y38-$Y$69)^2+(Z38-$Z$69)^2+(AA38-$AA$69)^2+(AB38-$AB$69)^2+(AC38-$AC$69)^2+(AD38-$AD$69)^2+(AE38-$AE$69)^2+(AF38-$AF$69)^2+(AG38-$AG$69)^2)</f>
        <v>2.4348146798209966</v>
      </c>
      <c r="BW38" s="36" t="s">
        <v>142</v>
      </c>
      <c r="BX38" s="37" t="s">
        <v>120</v>
      </c>
      <c r="BZ38" s="44"/>
      <c r="CA38" s="36">
        <f>SQRT((A38-$A$70)^2+(B38-$B$70)^2+(C38-$C$70)^2+(D38-$D$70)^2+(E38-$E$70)^2+(F38-$F$70)^2+(G38-$G$70)^2+(H38-$H$70)^2+(I38-$I$70)^2+(J38-$J$70)^2+(K38-$K$70)^2+(L38-$L$70)^2+(M38-$M$70)^2+(N38-$N$70)^2+(O38-$O$70)^2+(P38-$P$70)^2+(Q38-$Q$70)^2+(R38-$R$70)^2+(S38-$S$70)^2+(T38-$T$70)^2+(U38-$U$70)^2+(V38-$V$70)^2+(W38-$W$70)^2+(X38-$X$70)^2+(Y38-$Y$70)^2+(Z38-$Z$70)^2+(AA38-$AA$70)^2+(AB38-$AB$70)^2+(AC38-$AC$70)^2+(AD38-$AD$70)^2+(AE38-$AE$70)^2+(AF38-$AF$70)^2+(AG38-$AG$70)^2)</f>
        <v>1.3155717786807977</v>
      </c>
      <c r="CB38" s="36" t="s">
        <v>154</v>
      </c>
      <c r="CC38" s="37" t="s">
        <v>120</v>
      </c>
      <c r="CE38" s="44"/>
      <c r="CF38" s="36">
        <f>SQRT((A38-$A$71)^2+(B38-$B$71)^2+(C38-$C$71)^2+(D38-$D$71)^2+(E38-$E$71)^2+(F38-$F$71)^2+(G38-$G$71)^2+(H38-$H$71)^2+(I38-$I$71)^2+(J38-$J$71)^2+(K38-$K$71)^2+(L38-$L$71)^2+(M38-$M$71)^2+(N38-$N$71)^2+(O38-$O$71)^2+(P38-$P$71)^2+(Q38-$Q$71)^2+(R38-$R$71)^2+(S38-$S$71)^2+(T38-$T$71)^2+(U38-$U$71)^2+(V38-$V$71)^2+(W38-$W$71)^2+(X38-$X$71)^2+(Y38-$Y$71)^2+(Z38-$Z$71)^2+(AA38-$AA$71)^2+(AB38-$AB$71)^2+(AC38-$AC$71)^2+(AD38-$AD$71)^2+(AE38-$AE$71)^2+(AF38-$AF$71)^2+(AG38-$AG$71)^2)</f>
        <v>1.6837148723961624</v>
      </c>
      <c r="CG38" s="36" t="s">
        <v>143</v>
      </c>
      <c r="CH38" s="37" t="s">
        <v>120</v>
      </c>
      <c r="CJ38" s="44"/>
      <c r="CK38" s="36">
        <f>SQRT((A38-$A$72)^2+(B38-$B$72)^2+(C38-$C$72)^2+(D38-$D$72)^2+(E38-$E$72)^2+(F38-$F$72)^2+(G38-$G$72)^2+(H38-$H$72)^2+(I38-$I$72)^2+(J38-$J$72)^2+(K38-$K$72)^2+(L38-$L$72)^2+(M38-$M$72)^2+(N38-$N$72)^2+(O38-$O$72)^2+(P38-$P$72)^2+(Q38-$Q$72)^2+(R38-$R$72)^2+(S38-$S$72)^2+(T38-$T$72)^2+(U38-$U$72)^2+(V38-$V$72)^2+(W38-$W$72)^2+(X38-$X$72)^2+(Y38-$Y$72)^2+(Z38-$Z$72)^2+(AA38-$AA$72)^2+(AB38-$AB$72)^2+(AC38-$AC$72)^2+(AD38-$AD$72)^2+(AE38-$AE$72)^2+(AF38-$AF$72)^2+(AG38-$AG$72)^2)</f>
        <v>1.7853624921337814</v>
      </c>
      <c r="CL38" s="36" t="s">
        <v>146</v>
      </c>
      <c r="CM38" s="37" t="s">
        <v>120</v>
      </c>
      <c r="CO38" s="44"/>
      <c r="CP38" s="36">
        <f>SQRT((A38-$A$73)^2+(B38-$B$73)^2+(C38-$C$73)^2+(D38-$D$73)^2+(E38-$E$73)^2+(F38-$F$73)^2+(G38-$G$73)^2+(H38-$H$73)^2+(I38-$I$73)^2+(J38-$J$73)^2+(K38-$K$73)^2+(L38-$L$73)^2+(M38-$M$73)^2+(N38-$N$73)^2+(O38-$O$73)^2+(P38-$P$73)^2+(Q38-$Q$73)^2+(R38-$R$73)^2+(S38-$S$73)^2+(T38-$T$73)^2+(U38-$U$73)^2+(V38-$V$73)^2+(W38-$W$73)^2+(X38-$X$73)^2+(Y38-$Y$73)^2+(Z38-$Z$73)^2+(AA38-$AA$73)^2+(AB38-$AB$73)^2+(AC38-$AC$73)^2+(AD38-$AD$73)^2+(AE38-$AE$73)^2+(AF38-$AF$73)^2+(AG38-$AG$73)^2)</f>
        <v>1.5690413902341807</v>
      </c>
      <c r="CQ38" s="36" t="s">
        <v>322</v>
      </c>
      <c r="CR38" s="37" t="s">
        <v>120</v>
      </c>
      <c r="CT38" s="44"/>
      <c r="CU38" s="36">
        <f>SQRT((A38-$A$74)^2+(B38-$B$74)^2+(C38-$C$74)^2+(D38-$D$74)^2+(E38-$E$74)^2+(F38-$F$74)^2+(G38-$G$74)^2+(H38-$H$74)^2+(I38-$I$74)^2+(J38-$J$74)^2+(K38-$K$74)^2+(L38-$L$74)^2+(M38-$M$74)^2+(N38-$N$74)^2+(O38-$O$74)^2+(P38-$P$74)^2+(Q38-$Q$74)^2+(R38-$R$74)^2+(S38-$S$74)^2+(T38-$T$74)^2+(U38-$U$74)^2+(V38-$V$74)^2+(W38-$W$74)^2+(X38-$X$74)^2+(Y38-$Y$74)^2+(Z38-$Z$74)^2+(AA38-$AA$74)^2+(AB38-$AB$74)^2+(AC38-$AC$74)^2+(AD38-$AD$74)^2+(AE38-$AE$74)^2+(AF38-$AF$74)^2+(AG38-$AG$74)^2)</f>
        <v>1.878741244037025</v>
      </c>
      <c r="CV38" s="36" t="s">
        <v>141</v>
      </c>
      <c r="CW38" s="37" t="s">
        <v>120</v>
      </c>
      <c r="CY38" s="44"/>
      <c r="CZ38" s="36">
        <f>SQRT((A38-$A$75)^2+(B38-$B$75)^2+(C38-$C$75)^2+(D38-$D$75)^2+(E38-$E$75)^2+(F38-$F$75)^2+(G38-$G$75)^2+(H38-$H$75)^2+(I38-$I$75)^2+(J38-$J$75)^2+(K38-$K$75)^2+(L38-$L$75)^2+(M38-$M$75)^2+(N38-$N$75)^2+(O38-$O$75)^2+(P38-$P$75)^2+(Q38-$Q$75)^2+(R38-$R$75)^2+(S38-$S$75)^2+(T38-$T$75)^2+(U38-$U$75)^2+(V38-$V$75)^2+(W38-$W$75)^2+(X38-$X$75)^2+(Y38-$Y$75)^2+(Z38-$Z$75)^2+(AA38-$AA$75)^2+(AB38-$AB$75)^2+(AC38-$AC$75)^2+(AD38-$AD$75)^2+(AE38-$AE$75)^2+(AF38-$AF$75)^2+(AG38-$AG$75)^2)</f>
        <v>1.8680654865517399</v>
      </c>
      <c r="DA38" s="36" t="s">
        <v>135</v>
      </c>
      <c r="DB38" s="37" t="s">
        <v>120</v>
      </c>
      <c r="DD38" s="44"/>
      <c r="DE38" s="36">
        <f>SQRT((A38-$A$76)^2+(B38-$B$76)^2+(C38-$C$76)^2+(D38-$D$76)^2+(E38-$E$76)^2+(F38-$F$76)^2+(G38-$G$76)^2+(H38-$H$76)^2+(I38-$I$76)^2+(J38-$J$76)^2+(K38-$K$76)^2+(L38-$L$76)^2+(M38-$M$76)^2+(N38-$N$76)^2+(O38-$O$76)^2+(P38-$P$76)^2+(Q38-$Q$76)^2+(R38-$R$76)^2+(S38-$S$76)^2+(T38-$T$76)^2+(U38-$U$76)^2+(V38-$V$76)^2+(W38-$W$76)^2+(X38-$X$76)^2+(Y38-$Y$76)^2+(Z38-$Z$76)^2+(AA38-$AA$76)^2+(AB38-$AB$76)^2+(AC38-$AC$76)^2+(AD38-$AD$76)^2+(AE38-$AE$76)^2+(AF38-$AF$76)^2+(AG38-$AG$76)^2)</f>
        <v>1.7878297818059901</v>
      </c>
      <c r="DF38" s="36" t="s">
        <v>137</v>
      </c>
      <c r="DG38" s="37" t="s">
        <v>120</v>
      </c>
      <c r="DI38" s="44"/>
      <c r="DJ38" s="36">
        <f>SQRT((A38-$A$77)^2+(B38-$B$77)^2+(C38-$C$77)^2+(D38-$D$77)^2+(E38-$E$77)^2+(F38-$F$77)^2+(G38-$G$77)^2+(H38-$H$77)^2+(I38-$I$77)^2+(J38-$J$77)^2+(K38-$K$77)^2+(L38-$L$77)^2+(M38-$M$77)^2+(N38-$N$77)^2+(O38-$O$77)^2+(P38-$P$77)^2+(Q38-$Q$77)^2+(R38-$R$77)^2+(S38-$S$77)^2+(T38-$T$77)^2+(U38-$U$77)^2+(V38-$V$77)^2+(W38-$W$77)^2+(X38-$X$77)^2+(Y38-$Y$77)^2+(Z38-$Z$77)^2+(AA38-$AA$77)^2+(AB38-$AB$77)^2+(AC38-$AC$77)^2+(AD38-$AD$77)^2+(AE38-$AE$77)^2+(AF38-$AF$77)^2+(AG38-$AG$77)^2)</f>
        <v>2.0026237777923046</v>
      </c>
      <c r="DK38" s="36" t="s">
        <v>337</v>
      </c>
      <c r="DL38" s="37" t="s">
        <v>120</v>
      </c>
      <c r="DN38" s="44"/>
      <c r="DO38" s="36">
        <f>SQRT((A38-$A$78)^2+(B38-$B$78)^2+(C38-$C$78)^2+(D38-$D$78)^2+(E38-$E$78)^2+(F38-$F$78)^2+(G38-$G$78)^2+(H38-$H$78)^2+(I38-$I$78)^2+(J38-$J$78)^2+(K38-$K$78)^2+(L38-$L$78)^2+(M38-$M$78)^2+(N38-$N$78)^2+(O38-$O$78)^2+(P38-$P$78)^2+(Q38-$Q$78)^2+(R38-$R$78)^2+(S38-$S$78)^2+(T38-$T$78)^2+(U38-$U$78)^2+(V38-$V$78)^2+(W38-$W$78)^2+(X38-$X$78)^2+(Y38-$Y$78)^2+(Z38-$Z$78)^2+(AA38-$AA$78)^2+(AB38-$AB$78)^2+(AC38-$AC$78)^2+(AD38-$AD$78)^2+(AE38-$AE$78)^2+(AF38-$AF$78)^2+(AG38-$AG$78)^2)</f>
        <v>1.1303883305208782</v>
      </c>
      <c r="DP38" s="36" t="s">
        <v>144</v>
      </c>
      <c r="DQ38" s="37" t="s">
        <v>120</v>
      </c>
      <c r="DS38" s="44"/>
      <c r="DT38" s="36">
        <f>SQRT((A38-$A$79)^2+(B38-$B$79)^2+(C38-$C$79)^2+(D38-$D$79)^2+(E38-$E$79)^2+(F38-$F$79)^2+(G38-$G$79)^2+(H38-$H$79)^2+(I38-$I$79)^2+(J38-$J$79)^2+(K38-$K$79)^2+(L38-$L$79)^2+(M38-$M$79)^2+(N38-$N$79)^2+(O38-$O$79)^2+(P38-$P$79)^2+(Q38-$Q$79)^2+(R38-$R$79)^2+(S38-$S$79)^2+(T38-$T$79)^2+(U38-$U$79)^2+(V38-$V$79)^2+(W38-$W$79)^2+(X38-$X$79)^2+(Y38-$Y$79)^2+(Z38-$Z$79)^2+(AA38-$AA$79)^2+(AB38-$AB$79)^2+(AC38-$AC$79)^2+(AD38-$AD$79)^2+(AE38-$AE$79)^2+(AF38-$AF$79)^2+(AG38-$AG$79)^2)</f>
        <v>1.7087767487504117</v>
      </c>
      <c r="DU38" s="36" t="s">
        <v>146</v>
      </c>
      <c r="DV38" s="37" t="s">
        <v>120</v>
      </c>
      <c r="DX38" s="44"/>
      <c r="DY38" s="36">
        <f>SQRT((A38-$A$80)^2+(B38-$B$80)^2+(C38-$C$80)^2+(D38-$D$80)^2+(E38-$E$80)^2+(F38-$F$80)^2+(G38-$G$80)^2+(H38-$H$80)^2+(I38-$I$80)^2+(J38-$J$80)^2+(K38-$K$80)^2+(L38-$L$80)^2+(M38-$M$80)^2+(N38-$N$80)^2+(O38-$O$80)^2+(P38-$P$80)^2+(Q38-$Q$80)^2+(R38-$R$80)^2+(S38-$S$80)^2+(T38-$T$80)^2+(U38-$U$80)^2+(V38-$V$80)^2+(W38-$W$80)^2+(X38-$X$80)^2+(Y38-$Y$80)^2+(Z38-$Z$80)^2+(AA38-$AA$80)^2+(AB38-$AB$80)^2+(AC38-$AC$80)^2+(AD38-$AD$80)^2+(AE38-$AE$80)^2+(AF38-$AF$80)^2+(AG38-$AG$80)^2)</f>
        <v>2.1217659824466999</v>
      </c>
      <c r="DZ38" s="36" t="s">
        <v>331</v>
      </c>
      <c r="EA38" s="37" t="s">
        <v>120</v>
      </c>
      <c r="EC38" s="44"/>
      <c r="ED38" s="36">
        <f>SQRT((A38-$A$81)^2+(B38-$B$81)^2+(C38-$C$81)^2+(D38-$D$81)^2+(E38-$E$81)^2+(F38-$F$81)^2+(G38-$G$81)^2+(H38-$H$81)^2+(I38-$I$81)^2+(J38-$J$81)^2+(K38-$K$81)^2+(L38-$L$81)^2+(M38-$M$81)^2+(N38-$N$81)^2+(O38-$O$81)^2+(P38-$P$81)^2+(Q38-$Q$81)^2+(R38-$R$81)^2+(S38-$S$81)^2+(T38-$T$81)^2+(U38-$U$81)^2+(V38-$V$81)^2+(W38-$W$81)^2+(X38-$X$81)^2+(Y38-$Y$81)^2+(Z38-$Z$81)^2+(AA38-$AA$81)^2+(AB38-$AB$81)^2+(AC38-$AC$81)^2+(AD38-$AD$81)^2+(AE38-$AE$81)^2+(AF38-$AF$81)^2+(AG38-$AG$81)^2)</f>
        <v>2.0708162094104101</v>
      </c>
      <c r="EE38" s="36" t="s">
        <v>335</v>
      </c>
      <c r="EF38" s="37" t="s">
        <v>120</v>
      </c>
      <c r="EH38" s="44"/>
      <c r="EI38" s="36">
        <f>SQRT((A38-$A$82)^2+(B38-$B$82)^2+(C38-$C$82)^2+(D38-$D$82)^2+(E38-$E$82)^2+(F38-$F$82)^2+(G38-$G$82)^2+(H38-$H$82)^2+(I38-$I$82)^2+(J38-$J$82)^2+(K38-$K$82)^2+(L38-$L$82)^2+(M38-$M$82)^2+(N38-$N$82)^2+(O38-$O$82)^2+(P38-$P$82)^2+(Q38-$Q$82)^2+(R38-$R$82)^2+(S38-$S$82)^2+(T38-$T$82)^2+(U38-$U$82)^2+(V38-$V$82)^2+(W38-$W$82)^2+(X38-$X$82)^2+(Y38-$Y$82)^2+(Z38-$Z$82)^2+(AA38-$AA$82)^2+(AB38-$AB$82)^2+(AC38-$AC$82)^2+(AD38-$AD$82)^2+(AE38-$AE$82)^2+(AF38-$AF$82)^2+(AG38-$AG$82)^2)</f>
        <v>0.84983658559879716</v>
      </c>
      <c r="EJ38" s="36" t="s">
        <v>141</v>
      </c>
      <c r="EK38" s="37" t="s">
        <v>120</v>
      </c>
      <c r="EM38" s="44"/>
      <c r="EN38" s="36">
        <f>SQRT((A38-$A$83)^2+(B38-$B$83)^2+(C38-$C$83)^2+(D38-$D$83)^2+(E38-$E$83)^2+(F38-$F$83)^2+(G38-$G$83)^2+(H38-$H$83)^2+(I38-$I$83)^2+(J38-$J$83)^2+(K38-$K$83)^2+(L38-$L$83)^2+(M38-$M$83)^2+(N38-$N$83)^2+(O38-$O$83)^2+(P38-$P$83)^2+(Q38-$Q$83)^2+(R38-$R$83)^2+(S38-$S$83)^2+(T38-$T$83)^2+(U38-$U$83)^2+(V38-$V$83)^2+(W38-$W$83)^2+(X38-$X$83)^2+(Y38-$Y$83)^2+(Z38-$Z$83)^2+(AA38-$AA$83)^2+(AB38-$AB$83)^2+(AC38-$AC$83)^2+(AD38-$AD$83)^2+(AE38-$AE$83)^2+(AF38-$AF$83)^2+(AG38-$AG$83)^2)</f>
        <v>1.147945023848171</v>
      </c>
      <c r="EO38" s="36" t="s">
        <v>154</v>
      </c>
      <c r="EP38" s="37" t="s">
        <v>120</v>
      </c>
      <c r="ER38" s="44"/>
      <c r="ES38" s="36">
        <f>SQRT((A38-$A$84)^2+(B38-$B$84)^2+(C38-$C$84)^2+(D38-$D$84)^2+(E38-$E$84)^2+(F38-$F$84)^2+(G38-$G$84)^2+(H38-$H$84)^2+(I38-$I$84)^2+(J38-$J$84)^2+(K38-$K$84)^2+(L38-$L$84)^2+(M38-$M$84)^2+(N38-$N$84)^2+(O38-$O$84)^2+(P38-$P$84)^2+(Q38-$Q$84)^2+(R38-$R$84)^2+(S38-$S$84)^2+(T38-$T$84)^2+(U38-$U$84)^2+(V38-$V$84)^2+(W38-$W$84)^2+(X38-$X$84)^2+(Y38-$Y$84)^2+(Z38-$Z$84)^2+(AA38-$AA$84)^2+(AB38-$AB$84)^2+(AC38-$AC$84)^2+(AD38-$AD$84)^2+(AE38-$AE$84)^2+(AF38-$AF$84)^2+(AG38-$AG$84)^2)</f>
        <v>1.3258872282362757</v>
      </c>
      <c r="ET38" s="36" t="s">
        <v>326</v>
      </c>
      <c r="EU38" s="37" t="s">
        <v>120</v>
      </c>
      <c r="EW38" s="44"/>
      <c r="EX38" s="36">
        <f>SQRT((A38-$A$85)^2+(B38-$B$85)^2+(C38-$C$85)^2+(D38-$D$85)^2+(E38-$E$85)^2+(F38-$F$85)^2+(G38-$G$85)^2+(H38-$H$85)^2+(I38-$I$85)^2+(J38-$J$85)^2+(K38-$K$85)^2+(L38-$L$85)^2+(M38-$M$85)^2+(N38-$N$85)^2+(O38-$O$85)^2+(P38-$P$85)^2+(Q38-$Q$85)^2+(R38-$R$85)^2+(S38-$S$85)^2+(T38-$T$85)^2+(U38-$U$85)^2+(V38-$V$85)^2+(W38-$W$85)^2+(X38-$X$85)^2+(Y38-$Y$85)^2+(Z38-$Z$85)^2+(AA38-$AA$85)^2+(AB38-$AB$85)^2+(AC38-$AC$85)^2+(AD38-$AD$85)^2+(AE38-$AE$85)^2+(AF38-$AF$85)^2+(AG38-$AG$85)^2)</f>
        <v>1.3258872282362757</v>
      </c>
      <c r="EY38" s="36" t="s">
        <v>326</v>
      </c>
      <c r="EZ38" s="37" t="s">
        <v>120</v>
      </c>
      <c r="FB38" s="44"/>
      <c r="FC38" s="36">
        <f>SQRT((A38-$A$86)^2+(B38-$B$86)^2+(C38-$C$86)^2+(D38-$D$86)^2+(E38-$E$86)^2+(F38-$F$86)^2+(G38-$G$86)^2+(H38-$H$86)^2+(I38-$I$86)^2+(J38-$J$86)^2+(K38-$K$86)^2+(L38-$L$86)^2+(M38-$M$86)^2+(N38-$N$86)^2+(O38-$O$86)^2+(P38-$P$86)^2+(Q38-$Q$86)^2+(R38-$R$86)^2+(S38-$S$86)^2+(T38-$T$86)^2+(U38-$U$86)^2+(V38-$V$86)^2+(W38-$W$86)^2+(X38-$X$86)^2+(Y38-$Y$86)^2+(Z38-$Z$86)^2+(AA38-$AA$86)^2+(AB38-$AB$86)^2+(AC38-$AC$86)^2+(AD38-$AD$86)^2+(AE38-$AE$86)^2+(AF38-$AF$86)^2+(AG38-$AG$86)^2)</f>
        <v>1.3258872282362757</v>
      </c>
      <c r="FD38" s="36" t="s">
        <v>326</v>
      </c>
      <c r="FE38" s="37" t="s">
        <v>120</v>
      </c>
      <c r="FG38" s="44"/>
      <c r="FH38" s="36">
        <f>SQRT((A38-$A$87)^2+(B38-$B$87)^2+(C38-$C$87)^2+(D38-$D$87)^2+(E38-$E$87)^2+(F38-$F$87)^2+(G38-$G$87)^2+(H38-$H$87)^2+(I38-$I$87)^2+(J38-$J$87)^2+(K38-$K$87)^2+(L38-$L$87)^2+(M38-$M$87)^2+(N38-$N$87)^2+(O38-$O$87)^2+(P38-$P$87)^2+(Q38-$Q$87)^2+(R38-$R$87)^2+(S38-$S$87)^2+(T38-$T$87)^2+(U38-$U$87)^2+(V38-$V$87)^2+(W38-$W$87)^2+(X38-$X$87)^2+(Y38-$Y$87)^2+(Z38-$Z$87)^2+(AA38-$AA$87)^2+(AB38-$AB$87)^2+(AC38-$AC$87)^2+(AD38-$AD$87)^2+(AE38-$AE$87)^2+(AF38-$AF$87)^2+(AG38-$AG$87)^2)</f>
        <v>1.368170634192976</v>
      </c>
      <c r="FI38" s="36" t="s">
        <v>154</v>
      </c>
      <c r="FJ38" s="37" t="s">
        <v>120</v>
      </c>
      <c r="FL38" s="44"/>
      <c r="FM38" s="36">
        <f>SQRT((A38-$A$88)^2+(B38-$B$88)^2+(C38-$C$88)^2+(D38-$D$88)^2+(E38-$E$88)^2+(F38-$F$88)^2+(G38-$G$88)^2+(H38-$H$88)^2+(I38-$I$88)^2+(J38-$J$88)^2+(K38-$K$88)^2+(L38-$L$88)^2+(M38-$M$88)^2+(N38-$N$88)^2+(O38-$O$88)^2+(P38-$P$88)^2+(Q38-$Q$88)^2+(R38-$R$88)^2+(S38-$S$88)^2+(T38-$T$88)^2+(U38-$U$88)^2+(V38-$V$88)^2+(W38-$W$88)^2+(X38-$X$88)^2+(Y38-$Y$88)^2+(Z38-$Z$88)^2+(AA38-$AA$88)^2+(AB38-$AB$88)^2+(AC38-$AC$88)^2+(AD38-$AD$88)^2+(AE38-$AE$88)^2+(AF38-$AF$88)^2+(AG38-$AG$88)^2)</f>
        <v>1.566190067355677</v>
      </c>
      <c r="FN38" s="36" t="s">
        <v>317</v>
      </c>
      <c r="FO38" s="37" t="s">
        <v>120</v>
      </c>
      <c r="FQ38" s="44"/>
      <c r="FR38" s="36">
        <f>SQRT((A38-$A$89)^2+(B38-$B$89)^2+(C38-$C$89)^2+(D38-$D$89)^2+(E38-$E$89)^2+(F38-$F$89)^2+(G38-$G$89)^2+(H38-$H$89)^2+(I38-$I$89)^2+(J38-$J$89)^2+(K38-$K$89)^2+(L38-$L$89)^2+(M38-$M$89)^2+(N38-$N$89)^2+(O38-$O$89)^2+(P38-$P$89)^2+(Q38-$Q$89)^2+(R38-$R$89)^2+(S38-$S$89)^2+(T38-$T$89)^2+(U38-$U$89)^2+(V38-$V$89)^2+(W38-$W$89)^2+(X38-$X$89)^2+(Y38-$Y$89)^2+(Z38-$Z$89)^2+(AA38-$AA$89)^2+(AB38-$AB$89)^2+(AC38-$AC$89)^2+(AD38-$AD$89)^2+(AE38-$AE$89)^2+(AF38-$AF$89)^2+(AG38-$AG$89)^2)</f>
        <v>2.170689034446899</v>
      </c>
      <c r="FS38" s="36" t="s">
        <v>338</v>
      </c>
      <c r="FT38" s="37" t="s">
        <v>120</v>
      </c>
      <c r="FV38" s="44"/>
      <c r="FW38" s="36">
        <f>SQRT((A38-$A$90)^2+(B38-$B$90)^2+(C38-$C$90)^2+(D38-$D$90)^2+(E38-$E$90)^2+(F38-$F$90)^2+(G38-$G$90)^2+(H38-$H$90)^2+(I38-$I$90)^2+(J38-$J$90)^2+(K38-$K$90)^2+(L38-$L$90)^2+(M38-$M$90)^2+(N38-$N$90)^2+(O38-$O$90)^2+(P38-$P$90)^2+(Q38-$Q$90)^2+(R38-$R$90)^2+(S38-$S$90)^2+(T38-$T$90)^2+(U38-$U$90)^2+(V38-$V$90)^2+(W38-$W$90)^2+(X38-$X$90)^2+(Y38-$Y$90)^2+(Z38-$Z$90)^2+(AA38-$AA$90)^2+(AB38-$AB$90)^2+(AC38-$AC$90)^2+(AD38-$AD$90)^2+(AE38-$AE$90)^2+(AF38-$AF$90)^2+(AG38-$AG$90)^2)</f>
        <v>2.1777990629679649</v>
      </c>
      <c r="FX38" s="36" t="s">
        <v>140</v>
      </c>
      <c r="FY38" s="37" t="s">
        <v>120</v>
      </c>
      <c r="GA38" s="44"/>
      <c r="GB38" s="36">
        <f>SQRT((A38-$A$91)^2+(B38-$B$91)^2+(C38-$C$91)^2+(D38-$D$91)^2+(E38-$E$91)^2+(F38-$F$91)^2+(G38-$G$91)^2+(H38-$H$91)^2+(I38-$I$91)^2+(J38-$J$91)^2+(K38-$K$91)^2+(L38-$L$91)^2+(M38-$M$91)^2+(N38-$N$91)^2+(O38-$O$91)^2+(P38-$P$91)^2+(Q38-$Q$91)^2+(R38-$R$91)^2+(S38-$S$91)^2+(T38-$T$91)^2+(U38-$U$91)^2+(V38-$V$91)^2+(W38-$W$91)^2+(X38-$X$91)^2+(Y38-$Y$91)^2+(Z38-$Z$91)^2+(AA38-$AA$91)^2+(AB38-$AB$91)^2+(AC38-$AC$91)^2+(AD38-$AD$91)^2+(AE38-$AE$91)^2+(AF38-$AF$91)^2+(AG38-$AG$91)^2)</f>
        <v>2.0822970327446537</v>
      </c>
      <c r="GC38" s="36" t="s">
        <v>339</v>
      </c>
      <c r="GD38" s="37" t="s">
        <v>120</v>
      </c>
      <c r="GF38" s="44"/>
      <c r="GG38" s="36">
        <f>SQRT((A38-$A$92)^2+(B38-$B$92)^2+(C38-$C$92)^2+(D38-$D$92)^2+(E38-$E$92)^2+(F38-$F$92)^2+(G38-$G$92)^2+(H38-$H$92)^2+(I38-$I$92)^2+(J38-$J$92)^2+(K38-$K$92)^2+(L38-$L$92)^2+(M38-$M$92)^2+(N38-$N$92)^2+(O38-$O$92)^2+(P38-$P$92)^2+(Q38-$Q$92)^2+(R38-$R$92)^2+(S38-$S$92)^2+(T38-$T$92)^2+(U38-$U$92)^2+(V38-$V$92)^2+(W38-$W$92)^2+(X38-$X$92)^2+(Y38-$Y$92)^2+(Z38-$Z$92)^2+(AA38-$AA$92)^2+(AB38-$AB$92)^2+(AC38-$AC$92)^2+(AD38-$AD$92)^2+(AE38-$AE$92)^2+(AF38-$AF$92)^2+(AG38-$AG$92)^2)</f>
        <v>1.6775167475154136</v>
      </c>
      <c r="GH38" s="36" t="s">
        <v>145</v>
      </c>
      <c r="GI38" s="37" t="s">
        <v>120</v>
      </c>
      <c r="GK38" s="44"/>
      <c r="GL38" s="36">
        <f>SQRT((A38-$A$93)^2+(B38-$B$93)^2+(C38-$C$93)^2+(D38-$D$93)^2+(E38-$E$93)^2+(F38-$F$93)^2+(G38-$G$93)^2+(H38-$H$93)^2+(I38-$I$93)^2+(J38-$J$93)^2+(K38-$K$93)^2+(L38-$L$93)^2+(M38-$M$93)^2+(N38-$N$93)^2+(O38-$O$93)^2+(P38-$P$93)^2+(Q38-$Q$93)^2+(R38-$R$93)^2+(S38-$S$93)^2+(T38-$T$93)^2+(U38-$U$93)^2+(V38-$V$93)^2+(W38-$W$93)^2+(X38-$X$93)^2+(Y38-$Y$93)^2+(Z38-$Z$93)^2+(AA38-$AA$93)^2+(AB38-$AB$93)^2+(AC38-$AC$93)^2+(AD38-$AD$93)^2+(AE38-$AE$93)^2+(AF38-$AF$93)^2+(AG38-$AG$93)^2)</f>
        <v>2.1114181339663456</v>
      </c>
      <c r="GM38" s="36" t="s">
        <v>319</v>
      </c>
      <c r="GN38" s="37" t="s">
        <v>120</v>
      </c>
      <c r="GP38" s="44"/>
      <c r="GQ38" s="36">
        <f>SQRT((A38-$A$94)^2+(B38-$B$94)^2+(C38-$C$94)^2+(D38-$D$94)^2+(E38-$E$94)^2+(F38-$F$94)^2+(G38-$G$94)^2+(H38-$H$94)^2+(I38-$I$94)^2+(J38-$J$94)^2+(K38-$K$94)^2+(L38-$L$94)^2+(M38-$M$94)^2+(N38-$N$94)^2+(O38-$O$94)^2+(P38-$P$94)^2+(Q38-$Q$94)^2+(R38-$R$94)^2+(S38-$S$94)^2+(T38-$T$94)^2+(U38-$U$94)^2+(V38-$V$94)^2+(W38-$W$94)^2+(X38-$X$94)^2+(Y38-$Y$94)^2+(Z38-$Z$94)^2+(AA38-$AA$94)^2+(AB38-$AB$94)^2+(AC38-$AC$94)^2+(AD38-$AD$94)^2+(AE38-$AE$94)^2+(AF38-$AF$94)^2+(AG38-$AG$94)^2)</f>
        <v>1.4337208778404378</v>
      </c>
      <c r="GR38" s="36" t="s">
        <v>137</v>
      </c>
      <c r="GS38" s="37" t="s">
        <v>120</v>
      </c>
      <c r="GU38" s="44"/>
      <c r="GV38" s="36">
        <f>SQRT((A38-$A$95)^2+(B38-$B$95)^2+(C38-$C$95)^2+(D38-$D$95)^2+(E38-$E$95)^2+(F38-$F$95)^2+(G38-$G$95)^2+(H38-$H$95)^2+(I38-$I$95)^2+(J38-$J$95)^2+(K38-$K$95)^2+(L38-$L$95)^2+(M38-$M$95)^2+(N38-$N$95)^2+(O38-$O$95)^2+(P38-$P$95)^2+(Q38-$Q$95)^2+(R38-$R$95)^2+(S38-$S$95)^2+(T38-$T$95)^2+(U38-$U$95)^2+(V38-$V$95)^2+(W38-$W$95)^2+(X38-$X$95)^2+(Y38-$Y$95)^2+(Z38-$Z$95)^2+(AA38-$AA$95)^2+(AB38-$AB$95)^2+(AC38-$AC$95)^2+(AD38-$AD$95)^2+(AE38-$AE$95)^2+(AF38-$AF$95)^2+(AG38-$AG$95)^2)</f>
        <v>2.693294512063702</v>
      </c>
      <c r="GW38" s="36" t="s">
        <v>329</v>
      </c>
      <c r="GX38" s="37" t="s">
        <v>120</v>
      </c>
      <c r="GZ38" s="44"/>
      <c r="HA38" s="36">
        <f>SQRT((A38-$A$96)^2+(B38-$B$96)^2+(C38-$C$96)^2+(D38-$D$96)^2+(E38-$E$96)^2+(F38-$F$96)^2+(G38-$G$96)^2+(H38-$H$96)^2+(I38-$I$96)^2+(J38-$J$96)^2+(K38-$K$96)^2+(L38-$L$96)^2+(M38-$M$96)^2+(N38-$N$96)^2+(O38-$O$96)^2+(P38-$P$96)^2+(Q38-$Q$96)^2+(R38-$R$96)^2+(S38-$S$96)^2+(T38-$T$96)^2+(U38-$U$96)^2+(V38-$V$96)^2+(W38-$W$96)^2+(X38-$X$96)^2+(Y38-$Y$96)^2+(Z38-$Z$96)^2+(AA38-$AA$96)^2+(AB38-$AB$96)^2+(AC38-$AC$96)^2+(AD38-$AD$96)^2+(AE38-$AE$96)^2+(AF38-$AF$96)^2+(AG38-$AG$96)^2)</f>
        <v>2.6382763303678258</v>
      </c>
      <c r="HB38" s="36" t="s">
        <v>136</v>
      </c>
      <c r="HC38" s="37" t="s">
        <v>120</v>
      </c>
      <c r="HE38" s="44"/>
      <c r="HF38" s="36">
        <f>SQRT((A38-$A$97)^2+(B38-$B$97)^2+(C38-$C$97)^2+(D38-$D$97)^2+(E38-$E$97)^2+(F38-$F$97)^2+(G38-$G$97)^2+(H38-$H$97)^2+(I38-$I$97)^2+(J38-$J$97)^2+(K38-$K$97)^2+(L38-$L$97)^2+(M38-$M$97)^2+(N38-$N$97)^2+(O38-$O$97)^2+(P38-$P$97)^2+(Q38-$Q$97)^2+(R38-$R$97)^2+(S38-$S$97)^2+(T38-$T$97)^2+(U38-$U$97)^2+(V38-$V$97)^2+(W38-$W$97)^2+(X38-$X$97)^2+(Y38-$Y$97)^2+(Z38-$Z$97)^2+(AA38-$AA$97)^2+(AB38-$AB$97)^2+(AC38-$AC$97)^2+(AD38-$AD$97)^2+(AE38-$AE$97)^2+(AF38-$AF$97)^2+(AG38-$AG$97)^2)</f>
        <v>1.3258872282362757</v>
      </c>
      <c r="HG38" s="36" t="s">
        <v>326</v>
      </c>
      <c r="HH38" s="37" t="s">
        <v>120</v>
      </c>
      <c r="HJ38" s="44"/>
      <c r="HK38" s="36">
        <f>SQRT((A38-$A$98)^2+(B38-$B$98)^2+(C38-$C$98)^2+(D38-$D$98)^2+(E38-$E$98)^2+(F38-$F$98)^2+(G38-$G$98)^2+(H38-$H$98)^2+(I38-$I$98)^2+(J38-$J$98)^2+(K38-$K$98)^2+(L38-$L$98)^2+(M38-$M$98)^2+(N38-$N$98)^2+(O38-$O$98)^2+(P38-$P$98)^2+(Q38-$Q$98)^2+(R38-$R$98)^2+(S38-$S$98)^2+(T38-$T$98)^2+(U38-$U$98)^2+(V38-$V$98)^2+(W38-$W$98)^2+(X38-$X$98)^2+(Y38-$Y$98)^2+(Z38-$Z$98)^2+(AA38-$AA$98)^2+(AB38-$AB$98)^2+(AC38-$AC$98)^2+(AD38-$AD$98)^2+(AE38-$AE$98)^2+(AF38-$AF$98)^2+(AG38-$AG$98)^2)</f>
        <v>1.3258872282362757</v>
      </c>
      <c r="HL38" s="36" t="s">
        <v>326</v>
      </c>
      <c r="HM38" s="37" t="s">
        <v>120</v>
      </c>
      <c r="HO38" s="44"/>
      <c r="HP38" s="36">
        <f>SQRT((A38-$A$99)^2+(B38-$B$99)^2+(C38-$C$99)^2+(D38-$D$99)^2+(E38-$E$99)^2+(F38-$F$99)^2+(G38-$G$99)^2+(H38-$H$99)^2+(I38-$I$99)^2+(J38-$J$99)^2+(K38-$K$99)^2+(L38-$L$99)^2+(M38-$M$99)^2+(N38-$N$99)^2+(O38-$O$99)^2+(P38-$P$99)^2+(Q38-$Q$99)^2+(R38-$R$99)^2+(S38-$S$99)^2+(T38-$T$99)^2+(U38-$U$99)^2+(V38-$V$99)^2+(W38-$W$99)^2+(X38-$X$99)^2+(Y38-$Y$99)^2+(Z38-$Z$99)^2+(AA38-$AA$99)^2+(AB38-$AB$99)^2+(AC38-$AC$99)^2+(AD38-$AD$99)^2+(AE38-$AE$99)^2+(AF38-$AF$99)^2+(AG38-$AG$99)^2)</f>
        <v>1.3258872282362757</v>
      </c>
      <c r="HQ38" s="36" t="s">
        <v>326</v>
      </c>
      <c r="HR38" s="37" t="s">
        <v>120</v>
      </c>
      <c r="HT38" s="44"/>
      <c r="HU38" s="36">
        <f>SQRT((A38-$A$100)^2+(B38-$B$100)^2+(C38-$C$100)^2+(D38-$D$100)^2+(E38-$E$100)^2+(F38-$F$100)^2+(G38-$G$100)^2+(H38-$H$100)^2+(I38-$I$100)^2+(J38-$J$100)^2+(K38-$K$100)^2+(L38-$L$100)^2+(M38-$M$100)^2+(N38-$N$100)^2+(O38-$O$100)^2+(P38-$P$100)^2+(Q38-$Q$100)^2+(R38-$R$100)^2+(S38-$S$100)^2+(T38-$T$100)^2+(U38-$U$100)^2+(V38-$V$100)^2+(W38-$W$100)^2+(X38-$X$100)^2+(Y38-$Y$100)^2+(Z38-$Z$100)^2+(AA38-$AA$100)^2+(AB38-$AB$100)^2+(AC38-$AC$100)^2+(AD38-$AD$100)^2+(AE38-$AE$100)^2+(AF38-$AF$100)^2+(AG38-$AG$100)^2)</f>
        <v>1.3258872282362757</v>
      </c>
      <c r="HV38" s="36" t="s">
        <v>326</v>
      </c>
      <c r="HW38" s="37" t="s">
        <v>120</v>
      </c>
      <c r="HY38" s="44"/>
      <c r="HZ38" s="36">
        <f>SQRT((A38-$A$101)^2+(B38-$B$101)^2+(C38-$C$101)^2+(D38-$D$101)^2+(E38-$E$101)^2+(F38-$F$101)^2+(G38-$G$101)^2+(H38-$H$101)^2+(I38-$I$101)^2+(J38-$J$101)^2+(K38-$K$101)^2+(L38-$L$101)^2+(M38-$M$101)^2+(N38-$N$101)^2+(O38-$O$101)^2+(P38-$P$101)^2+(Q38-$Q$101)^2+(R38-$R$101)^2+(S38-$S$101)^2+(T38-$T$101)^2+(U38-$U$101)^2+(V38-$V$101)^2+(W38-$W$101)^2+(X38-$X$101)^2+(Y38-$Y$101)^2+(Z38-$Z$101)^2+(AA38-$AA$101)^2+(AB38-$AB$101)^2+(AC38-$AC$101)^2+(AD38-$AD$101)^2+(AE38-$AE$101)^2+(AF38-$AF$101)^2+(AG38-$AG$101)^2)</f>
        <v>2.0871170429409744</v>
      </c>
      <c r="IA38" s="36" t="s">
        <v>331</v>
      </c>
      <c r="IB38" s="37" t="s">
        <v>120</v>
      </c>
    </row>
    <row r="39" spans="1:236" x14ac:dyDescent="0.35">
      <c r="A39" s="2">
        <v>0.16666666666666599</v>
      </c>
      <c r="B39" s="2">
        <v>0.5</v>
      </c>
      <c r="C39" s="2">
        <v>0.23899371069182301</v>
      </c>
      <c r="D39" s="2">
        <v>1</v>
      </c>
      <c r="E39" s="2">
        <v>0.33333333333333298</v>
      </c>
      <c r="F39" s="2">
        <v>1</v>
      </c>
      <c r="G39" s="2">
        <v>0.55555555555555503</v>
      </c>
      <c r="H39" s="2">
        <v>1</v>
      </c>
      <c r="I39" s="2">
        <v>0</v>
      </c>
      <c r="J39" s="2">
        <v>0</v>
      </c>
      <c r="K39" s="2">
        <v>0</v>
      </c>
      <c r="L39" s="2">
        <v>0.2</v>
      </c>
      <c r="M39" s="2">
        <v>0.5</v>
      </c>
      <c r="N39" s="2">
        <v>0</v>
      </c>
      <c r="O39" s="2">
        <v>0</v>
      </c>
      <c r="P39" s="2">
        <v>0.4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0.19565217391304299</v>
      </c>
      <c r="AH39" s="2" t="s">
        <v>120</v>
      </c>
      <c r="AI39" s="42"/>
      <c r="AJ39" s="42"/>
      <c r="AL39" s="44"/>
      <c r="AM39" s="36">
        <f>SQRT((A39-$A$62)^2+(B39-$B$62)^2+(C39-$C$62)^2+(D39-$D$62)^2+(E39-$E$62)^2+(F39-$F$62)^2+(G39-$G$62)^2+(H39-$H$62)^2+(I39-$I$62)^2+(J39-$J$62)^2+(K39-$K$62)^2+(L39-$L$62)^2+(M39-$M$62)^2+(N39-$N$62)^2+(O39-$O$62)^2+(P39-$P$62)^2+(Q39-$Q$62)^2+(R39-$R$62)^2+(S39-$S$62)^2+(T39-$T$62)^2+(U39-$U$62)^2+(V39-$V$62)^2+(W39-$W$62)^2+(X39-$X$62)^2+(Y39-$Y$62)^2+(Z39-$Z$62)^2+(AA39-$AA$62)^2+(AB39-$AB$62)^2+(AC39-$AC$62)^2+(AD39-$AD$62)^2+(AE39-$AE$62)^2+(AF39-$AF$62)^2+(AG39-$AG$62)^2)</f>
        <v>2.4478361791139669</v>
      </c>
      <c r="AN39" s="36" t="s">
        <v>337</v>
      </c>
      <c r="AO39" s="37" t="s">
        <v>120</v>
      </c>
      <c r="AQ39" s="44"/>
      <c r="AR39" s="36">
        <f>SQRT((A39-$A$63)^2+(B39-$B$63)^2+(C39-$C$63)^2+(D39-$D$63)^2+(E39-$E$63)^2+(F39-$F$63)^2+(G39-$G$63)^2+(H39-$H$63)^2+(I39-$I$63)^2+(J39-$J$63)^2+(K39-$K$63)^2+(L39-$L$63)^2+(M39-$M$63)^2+(N39-$N$63)^2+(O39-$O$63)^2+(P39-$P$63)^2+(Q39-$Q$63)^2+(R39-$R$63)^2+(S39-$S$63)^2+(T39-$T$63)^2+(U39-$U$63)^2+(V39-$V$63)^2+(W39-$W$63)^2+(X39-$X$63)^2+(Y39-$Y$63)^2+(Z39-$Z$63)^2+(AA39-$AA$63)^2+(AB39-$AB$63)^2+(AC39-$AC$63)^2+(AD39-$AD$63)^2+(AE39-$AE$63)^2+(AF39-$AF$63)^2+(AG39-$AG$63)^2)</f>
        <v>1.4093194484027609</v>
      </c>
      <c r="AS39" s="36" t="s">
        <v>137</v>
      </c>
      <c r="AT39" s="37" t="s">
        <v>120</v>
      </c>
      <c r="AV39" s="44"/>
      <c r="AW39" s="36">
        <f>SQRT((A39-$A$64)^2+(B39-$B$64)^2+(C39-$C$64)^2+(D39-$D$64)^2+(E39-$E$64)^2+(F39-$F$64)^2+(G39-$G$64)^2+(H39-$H$64)^2+(I39-$I$64)^2+(J39-$J$64)^2+(K39-$K$64)^2+(L39-$L$64)^2+(M39-$M$64)^2+(N39-$N$64)^2+(O39-$O$64)^2+(P39-$P$64)^2+(Q39-$Q$64)^2+(R39-$R$64)^2+(S39-$S$64)^2+(T39-$T$64)^2+(U39-$U$64)^2+(V39-$V$64)^2+(W39-$W$64)^2+(X39-$X$64)^2+(Y39-$Y$64)^2+(Z39-$Z$64)^2+(AA39-$AA$64)^2+(AB39-$AB$64)^2+(AC39-$AC$64)^2+(AD39-$AD$64)^2+(AE39-$AE$64)^2+(AF39-$AF$64)^2+(AG39-$AG$64)^2)</f>
        <v>1.4093194484027609</v>
      </c>
      <c r="AX39" s="36" t="s">
        <v>137</v>
      </c>
      <c r="AY39" s="37" t="s">
        <v>120</v>
      </c>
      <c r="BA39" s="44"/>
      <c r="BB39" s="36">
        <f>SQRT((A39-$A$65)^2+(B39-$B$65)^2+(C39-$C$65)^2+(D39-$D$65)^2+(E39-$E$65)^2+(F39-$F$65)^2+(G39-$G$65)^2+(H39-$H$65)^2+(I39-$I$65)^2+(J39-$J$65)^2+(K39-$K$65)^2+(L39-$L$65)^2+(M39-$M$65)^2+(N39-$N$65)^2+(O39-$O$65)^2+(P39-$P$65)^2+(Q39-$Q$65)^2+(R39-$R$65)^2+(S39-$S$65)^2+(T39-$T$65)^2+(U39-$U$65)^2+(V39-$V$65)^2+(W39-$W$65)^2+(X39-$X$65)^2+(Y39-$Y$65)^2+(Z39-$Z$65)^2+(AA39-$AA$65)^2+(AB39-$AB$65)^2+(AC39-$AC$65)^2+(AD39-$AD$65)^2+(AE39-$AE$65)^2+(AF39-$AF$65)^2+(AG39-$AG$65)^2)</f>
        <v>1.4093194484027609</v>
      </c>
      <c r="BC39" s="36" t="s">
        <v>137</v>
      </c>
      <c r="BD39" s="37" t="s">
        <v>120</v>
      </c>
      <c r="BF39" s="44"/>
      <c r="BG39" s="36">
        <f>SQRT((A39-$A$66)^2+(B39-$B$66)^2+(C39-$C$66)^2+(D39-$D$66)^2+(E39-$E$66)^2+(F39-$F$66)^2+(G39-$G$66)^2+(H39-$H$66)^2+(I39-$I$66)^2+(J39-$J$66)^2+(K39-$K$66)^2+(L39-$L$66)^2+(M39-$M$66)^2+(N39-$N$66)^2+(O39-$O$66)^2+(P39-$P$66)^2+(Q39-$Q$66)^2+(R39-$R$66)^2+(S39-$S$66)^2+(T39-$T$66)^2+(U39-$U$66)^2+(V39-$V$66)^2+(W39-$W$66)^2+(X39-$X$66)^2+(Y39-$Y$66)^2+(Z39-$Z$66)^2+(AA39-$AA$66)^2+(AB39-$AB$66)^2+(AC39-$AC$66)^2+(AD39-$AD$66)^2+(AE39-$AE$66)^2+(AF39-$AF$66)^2+(AG39-$AG$66)^2)</f>
        <v>1.4093194484027609</v>
      </c>
      <c r="BH39" s="36" t="s">
        <v>137</v>
      </c>
      <c r="BI39" s="37" t="s">
        <v>120</v>
      </c>
      <c r="BK39" s="44"/>
      <c r="BL39" s="36">
        <f>SQRT((A39-$A$67)^2+(B39-$B$67)^2+(C39-$C$67)^2+(D39-$D$67)^2+(E39-$E$67)^2+(F39-$F$67)^2+(G39-$G$67)^2+(H39-$H$67)^2+(I39-$I$67)^2+(J39-$J$67)^2+(K39-$K$67)^2+(L39-$L$67)^2+(M39-$M$67)^2+(N39-$N$67)^2+(O39-$O$67)^2+(P39-$P$67)^2+(Q39-$Q$67)^2+(R39-$R$67)^2+(S39-$S$67)^2+(T39-$T$67)^2+(U39-$U$67)^2+(V39-$V$67)^2+(W39-$W$67)^2+(X39-$X$67)^2+(Y39-$Y$67)^2+(Z39-$Z$67)^2+(AA39-$AA$67)^2+(AB39-$AB$67)^2+(AC39-$AC$67)^2+(AD39-$AD$67)^2+(AE39-$AE$67)^2+(AF39-$AF$67)^2+(AG39-$AG$67)^2)</f>
        <v>1.4093194484027609</v>
      </c>
      <c r="BM39" s="36" t="s">
        <v>137</v>
      </c>
      <c r="BN39" s="37" t="s">
        <v>120</v>
      </c>
      <c r="BP39" s="44"/>
      <c r="BQ39" s="36">
        <f>SQRT((A39-$A$68)^2+(B39-$B$68)^2+(C39-$C$68)^2+(D39-$D$68)^2+(E39-$E$68)^2+(F39-$F$68)^2+(G39-$G$68)^2+(H39-$H$68)^2+(I39-$I$68)^2+(J39-$J$68)^2+(K39-$K$68)^2+(L39-$L$68)^2+(M39-$M$68)^2+(N39-$N$68)^2+(O39-$O$68)^2+(P39-$P$68)^2+(Q39-$Q$68)^2+(R39-$R$68)^2+(S39-$S$68)^2+(T39-$T$68)^2+(U39-$U$68)^2+(V39-$V$68)^2+(W39-$W$68)^2+(X39-$X$68)^2+(Y39-$Y$68)^2+(Z39-$Z$68)^2+(AA39-$AA$68)^2+(AB39-$AB$68)^2+(AC39-$AC$68)^2+(AD39-$AD$68)^2+(AE39-$AE$68)^2+(AF39-$AF$68)^2+(AG39-$AG$68)^2)</f>
        <v>1.4093194484027609</v>
      </c>
      <c r="BR39" s="36" t="s">
        <v>137</v>
      </c>
      <c r="BS39" s="37" t="s">
        <v>120</v>
      </c>
      <c r="BU39" s="44"/>
      <c r="BV39" s="36">
        <f>SQRT((A39-$A$69)^2+(B39-$B$69)^2+(C39-$C$69)^2+(D39-$D$69)^2+(E39-$E$69)^2+(F39-$F$69)^2+(G39-$G$69)^2+(H39-$H$69)^2+(I39-$I$69)^2+(J39-$J$69)^2+(K39-$K$69)^2+(L39-$L$69)^2+(M39-$M$69)^2+(N39-$N$69)^2+(O39-$O$69)^2+(P39-$P$69)^2+(Q39-$Q$69)^2+(R39-$R$69)^2+(S39-$S$69)^2+(T39-$T$69)^2+(U39-$U$69)^2+(V39-$V$69)^2+(W39-$W$69)^2+(X39-$X$69)^2+(Y39-$Y$69)^2+(Z39-$Z$69)^2+(AA39-$AA$69)^2+(AB39-$AB$69)^2+(AC39-$AC$69)^2+(AD39-$AD$69)^2+(AE39-$AE$69)^2+(AF39-$AF$69)^2+(AG39-$AG$69)^2)</f>
        <v>1.8956336021351274</v>
      </c>
      <c r="BW39" s="36" t="s">
        <v>332</v>
      </c>
      <c r="BX39" s="37" t="s">
        <v>120</v>
      </c>
      <c r="BZ39" s="44"/>
      <c r="CA39" s="36">
        <f>SQRT((A39-$A$70)^2+(B39-$B$70)^2+(C39-$C$70)^2+(D39-$D$70)^2+(E39-$E$70)^2+(F39-$F$70)^2+(G39-$G$70)^2+(H39-$H$70)^2+(I39-$I$70)^2+(J39-$J$70)^2+(K39-$K$70)^2+(L39-$L$70)^2+(M39-$M$70)^2+(N39-$N$70)^2+(O39-$O$70)^2+(P39-$P$70)^2+(Q39-$Q$70)^2+(R39-$R$70)^2+(S39-$S$70)^2+(T39-$T$70)^2+(U39-$U$70)^2+(V39-$V$70)^2+(W39-$W$70)^2+(X39-$X$70)^2+(Y39-$Y$70)^2+(Z39-$Z$70)^2+(AA39-$AA$70)^2+(AB39-$AB$70)^2+(AC39-$AC$70)^2+(AD39-$AD$70)^2+(AE39-$AE$70)^2+(AF39-$AF$70)^2+(AG39-$AG$70)^2)</f>
        <v>1.33593496182345</v>
      </c>
      <c r="CB39" s="36" t="s">
        <v>145</v>
      </c>
      <c r="CC39" s="37" t="s">
        <v>120</v>
      </c>
      <c r="CE39" s="44"/>
      <c r="CF39" s="36">
        <f>SQRT((A39-$A$71)^2+(B39-$B$71)^2+(C39-$C$71)^2+(D39-$D$71)^2+(E39-$E$71)^2+(F39-$F$71)^2+(G39-$G$71)^2+(H39-$H$71)^2+(I39-$I$71)^2+(J39-$J$71)^2+(K39-$K$71)^2+(L39-$L$71)^2+(M39-$M$71)^2+(N39-$N$71)^2+(O39-$O$71)^2+(P39-$P$71)^2+(Q39-$Q$71)^2+(R39-$R$71)^2+(S39-$S$71)^2+(T39-$T$71)^2+(U39-$U$71)^2+(V39-$V$71)^2+(W39-$W$71)^2+(X39-$X$71)^2+(Y39-$Y$71)^2+(Z39-$Z$71)^2+(AA39-$AA$71)^2+(AB39-$AB$71)^2+(AC39-$AC$71)^2+(AD39-$AD$71)^2+(AE39-$AE$71)^2+(AF39-$AF$71)^2+(AG39-$AG$71)^2)</f>
        <v>1.6072751268321595</v>
      </c>
      <c r="CG39" s="36" t="s">
        <v>324</v>
      </c>
      <c r="CH39" s="37" t="s">
        <v>120</v>
      </c>
      <c r="CJ39" s="44"/>
      <c r="CK39" s="36">
        <f>SQRT((A39-$A$72)^2+(B39-$B$72)^2+(C39-$C$72)^2+(D39-$D$72)^2+(E39-$E$72)^2+(F39-$F$72)^2+(G39-$G$72)^2+(H39-$H$72)^2+(I39-$I$72)^2+(J39-$J$72)^2+(K39-$K$72)^2+(L39-$L$72)^2+(M39-$M$72)^2+(N39-$N$72)^2+(O39-$O$72)^2+(P39-$P$72)^2+(Q39-$Q$72)^2+(R39-$R$72)^2+(S39-$S$72)^2+(T39-$T$72)^2+(U39-$U$72)^2+(V39-$V$72)^2+(W39-$W$72)^2+(X39-$X$72)^2+(Y39-$Y$72)^2+(Z39-$Z$72)^2+(AA39-$AA$72)^2+(AB39-$AB$72)^2+(AC39-$AC$72)^2+(AD39-$AD$72)^2+(AE39-$AE$72)^2+(AF39-$AF$72)^2+(AG39-$AG$72)^2)</f>
        <v>2.1647070910687791</v>
      </c>
      <c r="CL39" s="36" t="s">
        <v>328</v>
      </c>
      <c r="CM39" s="37" t="s">
        <v>120</v>
      </c>
      <c r="CO39" s="44"/>
      <c r="CP39" s="36">
        <f>SQRT((A39-$A$73)^2+(B39-$B$73)^2+(C39-$C$73)^2+(D39-$D$73)^2+(E39-$E$73)^2+(F39-$F$73)^2+(G39-$G$73)^2+(H39-$H$73)^2+(I39-$I$73)^2+(J39-$J$73)^2+(K39-$K$73)^2+(L39-$L$73)^2+(M39-$M$73)^2+(N39-$N$73)^2+(O39-$O$73)^2+(P39-$P$73)^2+(Q39-$Q$73)^2+(R39-$R$73)^2+(S39-$S$73)^2+(T39-$T$73)^2+(U39-$U$73)^2+(V39-$V$73)^2+(W39-$W$73)^2+(X39-$X$73)^2+(Y39-$Y$73)^2+(Z39-$Z$73)^2+(AA39-$AA$73)^2+(AB39-$AB$73)^2+(AC39-$AC$73)^2+(AD39-$AD$73)^2+(AE39-$AE$73)^2+(AF39-$AF$73)^2+(AG39-$AG$73)^2)</f>
        <v>1.6910587623016069</v>
      </c>
      <c r="CQ39" s="36" t="s">
        <v>336</v>
      </c>
      <c r="CR39" s="37" t="s">
        <v>120</v>
      </c>
      <c r="CT39" s="44"/>
      <c r="CU39" s="36">
        <f>SQRT((A39-$A$74)^2+(B39-$B$74)^2+(C39-$C$74)^2+(D39-$D$74)^2+(E39-$E$74)^2+(F39-$F$74)^2+(G39-$G$74)^2+(H39-$H$74)^2+(I39-$I$74)^2+(J39-$J$74)^2+(K39-$K$74)^2+(L39-$L$74)^2+(M39-$M$74)^2+(N39-$N$74)^2+(O39-$O$74)^2+(P39-$P$74)^2+(Q39-$Q$74)^2+(R39-$R$74)^2+(S39-$S$74)^2+(T39-$T$74)^2+(U39-$U$74)^2+(V39-$V$74)^2+(W39-$W$74)^2+(X39-$X$74)^2+(Y39-$Y$74)^2+(Z39-$Z$74)^2+(AA39-$AA$74)^2+(AB39-$AB$74)^2+(AC39-$AC$74)^2+(AD39-$AD$74)^2+(AE39-$AE$74)^2+(AF39-$AF$74)^2+(AG39-$AG$74)^2)</f>
        <v>1.9957487494397625</v>
      </c>
      <c r="CV39" s="36" t="s">
        <v>143</v>
      </c>
      <c r="CW39" s="37" t="s">
        <v>120</v>
      </c>
      <c r="CY39" s="44"/>
      <c r="CZ39" s="36">
        <f>SQRT((A39-$A$75)^2+(B39-$B$75)^2+(C39-$C$75)^2+(D39-$D$75)^2+(E39-$E$75)^2+(F39-$F$75)^2+(G39-$G$75)^2+(H39-$H$75)^2+(I39-$I$75)^2+(J39-$J$75)^2+(K39-$K$75)^2+(L39-$L$75)^2+(M39-$M$75)^2+(N39-$N$75)^2+(O39-$O$75)^2+(P39-$P$75)^2+(Q39-$Q$75)^2+(R39-$R$75)^2+(S39-$S$75)^2+(T39-$T$75)^2+(U39-$U$75)^2+(V39-$V$75)^2+(W39-$W$75)^2+(X39-$X$75)^2+(Y39-$Y$75)^2+(Z39-$Z$75)^2+(AA39-$AA$75)^2+(AB39-$AB$75)^2+(AC39-$AC$75)^2+(AD39-$AD$75)^2+(AE39-$AE$75)^2+(AF39-$AF$75)^2+(AG39-$AG$75)^2)</f>
        <v>1.9575244467896855</v>
      </c>
      <c r="DA39" s="36" t="s">
        <v>333</v>
      </c>
      <c r="DB39" s="37" t="s">
        <v>120</v>
      </c>
      <c r="DD39" s="44"/>
      <c r="DE39" s="36">
        <f>SQRT((A39-$A$76)^2+(B39-$B$76)^2+(C39-$C$76)^2+(D39-$D$76)^2+(E39-$E$76)^2+(F39-$F$76)^2+(G39-$G$76)^2+(H39-$H$76)^2+(I39-$I$76)^2+(J39-$J$76)^2+(K39-$K$76)^2+(L39-$L$76)^2+(M39-$M$76)^2+(N39-$N$76)^2+(O39-$O$76)^2+(P39-$P$76)^2+(Q39-$Q$76)^2+(R39-$R$76)^2+(S39-$S$76)^2+(T39-$T$76)^2+(U39-$U$76)^2+(V39-$V$76)^2+(W39-$W$76)^2+(X39-$X$76)^2+(Y39-$Y$76)^2+(Z39-$Z$76)^2+(AA39-$AA$76)^2+(AB39-$AB$76)^2+(AC39-$AC$76)^2+(AD39-$AD$76)^2+(AE39-$AE$76)^2+(AF39-$AF$76)^2+(AG39-$AG$76)^2)</f>
        <v>1.8811083505332518</v>
      </c>
      <c r="DF39" s="36" t="s">
        <v>135</v>
      </c>
      <c r="DG39" s="37" t="s">
        <v>120</v>
      </c>
      <c r="DI39" s="44"/>
      <c r="DJ39" s="36">
        <f>SQRT((A39-$A$77)^2+(B39-$B$77)^2+(C39-$C$77)^2+(D39-$D$77)^2+(E39-$E$77)^2+(F39-$F$77)^2+(G39-$G$77)^2+(H39-$H$77)^2+(I39-$I$77)^2+(J39-$J$77)^2+(K39-$K$77)^2+(L39-$L$77)^2+(M39-$M$77)^2+(N39-$N$77)^2+(O39-$O$77)^2+(P39-$P$77)^2+(Q39-$Q$77)^2+(R39-$R$77)^2+(S39-$S$77)^2+(T39-$T$77)^2+(U39-$U$77)^2+(V39-$V$77)^2+(W39-$W$77)^2+(X39-$X$77)^2+(Y39-$Y$77)^2+(Z39-$Z$77)^2+(AA39-$AA$77)^2+(AB39-$AB$77)^2+(AC39-$AC$77)^2+(AD39-$AD$77)^2+(AE39-$AE$77)^2+(AF39-$AF$77)^2+(AG39-$AG$77)^2)</f>
        <v>2.4957005943491324</v>
      </c>
      <c r="DK39" s="36" t="s">
        <v>327</v>
      </c>
      <c r="DL39" s="37" t="s">
        <v>120</v>
      </c>
      <c r="DN39" s="44"/>
      <c r="DO39" s="36">
        <f>SQRT((A39-$A$78)^2+(B39-$B$78)^2+(C39-$C$78)^2+(D39-$D$78)^2+(E39-$E$78)^2+(F39-$F$78)^2+(G39-$G$78)^2+(H39-$H$78)^2+(I39-$I$78)^2+(J39-$J$78)^2+(K39-$K$78)^2+(L39-$L$78)^2+(M39-$M$78)^2+(N39-$N$78)^2+(O39-$O$78)^2+(P39-$P$78)^2+(Q39-$Q$78)^2+(R39-$R$78)^2+(S39-$S$78)^2+(T39-$T$78)^2+(U39-$U$78)^2+(V39-$V$78)^2+(W39-$W$78)^2+(X39-$X$78)^2+(Y39-$Y$78)^2+(Z39-$Z$78)^2+(AA39-$AA$78)^2+(AB39-$AB$78)^2+(AC39-$AC$78)^2+(AD39-$AD$78)^2+(AE39-$AE$78)^2+(AF39-$AF$78)^2+(AG39-$AG$78)^2)</f>
        <v>1.4245491272583297</v>
      </c>
      <c r="DP39" s="36" t="s">
        <v>154</v>
      </c>
      <c r="DQ39" s="37" t="s">
        <v>120</v>
      </c>
      <c r="DS39" s="44"/>
      <c r="DT39" s="36">
        <f>SQRT((A39-$A$79)^2+(B39-$B$79)^2+(C39-$C$79)^2+(D39-$D$79)^2+(E39-$E$79)^2+(F39-$F$79)^2+(G39-$G$79)^2+(H39-$H$79)^2+(I39-$I$79)^2+(J39-$J$79)^2+(K39-$K$79)^2+(L39-$L$79)^2+(M39-$M$79)^2+(N39-$N$79)^2+(O39-$O$79)^2+(P39-$P$79)^2+(Q39-$Q$79)^2+(R39-$R$79)^2+(S39-$S$79)^2+(T39-$T$79)^2+(U39-$U$79)^2+(V39-$V$79)^2+(W39-$W$79)^2+(X39-$X$79)^2+(Y39-$Y$79)^2+(Z39-$Z$79)^2+(AA39-$AA$79)^2+(AB39-$AB$79)^2+(AC39-$AC$79)^2+(AD39-$AD$79)^2+(AE39-$AE$79)^2+(AF39-$AF$79)^2+(AG39-$AG$79)^2)</f>
        <v>1.7955252976304434</v>
      </c>
      <c r="DU39" s="36" t="s">
        <v>328</v>
      </c>
      <c r="DV39" s="37" t="s">
        <v>120</v>
      </c>
      <c r="DX39" s="44"/>
      <c r="DY39" s="36">
        <f>SQRT((A39-$A$80)^2+(B39-$B$80)^2+(C39-$C$80)^2+(D39-$D$80)^2+(E39-$E$80)^2+(F39-$F$80)^2+(G39-$G$80)^2+(H39-$H$80)^2+(I39-$I$80)^2+(J39-$J$80)^2+(K39-$K$80)^2+(L39-$L$80)^2+(M39-$M$80)^2+(N39-$N$80)^2+(O39-$O$80)^2+(P39-$P$80)^2+(Q39-$Q$80)^2+(R39-$R$80)^2+(S39-$S$80)^2+(T39-$T$80)^2+(U39-$U$80)^2+(V39-$V$80)^2+(W39-$W$80)^2+(X39-$X$80)^2+(Y39-$Y$80)^2+(Z39-$Z$80)^2+(AA39-$AA$80)^2+(AB39-$AB$80)^2+(AC39-$AC$80)^2+(AD39-$AD$80)^2+(AE39-$AE$80)^2+(AF39-$AF$80)^2+(AG39-$AG$80)^2)</f>
        <v>2.2135220210237443</v>
      </c>
      <c r="DZ39" s="36" t="s">
        <v>335</v>
      </c>
      <c r="EA39" s="37" t="s">
        <v>120</v>
      </c>
      <c r="EC39" s="44"/>
      <c r="ED39" s="36">
        <f>SQRT((A39-$A$81)^2+(B39-$B$81)^2+(C39-$C$81)^2+(D39-$D$81)^2+(E39-$E$81)^2+(F39-$F$81)^2+(G39-$G$81)^2+(H39-$H$81)^2+(I39-$I$81)^2+(J39-$J$81)^2+(K39-$K$81)^2+(L39-$L$81)^2+(M39-$M$81)^2+(N39-$N$81)^2+(O39-$O$81)^2+(P39-$P$81)^2+(Q39-$Q$81)^2+(R39-$R$81)^2+(S39-$S$81)^2+(T39-$T$81)^2+(U39-$U$81)^2+(V39-$V$81)^2+(W39-$W$81)^2+(X39-$X$81)^2+(Y39-$Y$81)^2+(Z39-$Z$81)^2+(AA39-$AA$81)^2+(AB39-$AB$81)^2+(AC39-$AC$81)^2+(AD39-$AD$81)^2+(AE39-$AE$81)^2+(AF39-$AF$81)^2+(AG39-$AG$81)^2)</f>
        <v>2.2572987766149049</v>
      </c>
      <c r="EE39" s="36" t="s">
        <v>331</v>
      </c>
      <c r="EF39" s="37" t="s">
        <v>120</v>
      </c>
      <c r="EH39" s="44"/>
      <c r="EI39" s="36">
        <f>SQRT((A39-$A$82)^2+(B39-$B$82)^2+(C39-$C$82)^2+(D39-$D$82)^2+(E39-$E$82)^2+(F39-$F$82)^2+(G39-$G$82)^2+(H39-$H$82)^2+(I39-$I$82)^2+(J39-$J$82)^2+(K39-$K$82)^2+(L39-$L$82)^2+(M39-$M$82)^2+(N39-$N$82)^2+(O39-$O$82)^2+(P39-$P$82)^2+(Q39-$Q$82)^2+(R39-$R$82)^2+(S39-$S$82)^2+(T39-$T$82)^2+(U39-$U$82)^2+(V39-$V$82)^2+(W39-$W$82)^2+(X39-$X$82)^2+(Y39-$Y$82)^2+(Z39-$Z$82)^2+(AA39-$AA$82)^2+(AB39-$AB$82)^2+(AC39-$AC$82)^2+(AD39-$AD$82)^2+(AE39-$AE$82)^2+(AF39-$AF$82)^2+(AG39-$AG$82)^2)</f>
        <v>1.6272027695677733</v>
      </c>
      <c r="EJ39" s="36" t="s">
        <v>332</v>
      </c>
      <c r="EK39" s="37" t="s">
        <v>120</v>
      </c>
      <c r="EM39" s="44"/>
      <c r="EN39" s="36">
        <f>SQRT((A39-$A$83)^2+(B39-$B$83)^2+(C39-$C$83)^2+(D39-$D$83)^2+(E39-$E$83)^2+(F39-$F$83)^2+(G39-$G$83)^2+(H39-$H$83)^2+(I39-$I$83)^2+(J39-$J$83)^2+(K39-$K$83)^2+(L39-$L$83)^2+(M39-$M$83)^2+(N39-$N$83)^2+(O39-$O$83)^2+(P39-$P$83)^2+(Q39-$Q$83)^2+(R39-$R$83)^2+(S39-$S$83)^2+(T39-$T$83)^2+(U39-$U$83)^2+(V39-$V$83)^2+(W39-$W$83)^2+(X39-$X$83)^2+(Y39-$Y$83)^2+(Z39-$Z$83)^2+(AA39-$AA$83)^2+(AB39-$AB$83)^2+(AC39-$AC$83)^2+(AD39-$AD$83)^2+(AE39-$AE$83)^2+(AF39-$AF$83)^2+(AG39-$AG$83)^2)</f>
        <v>1.476635136749624</v>
      </c>
      <c r="EO39" s="36" t="s">
        <v>150</v>
      </c>
      <c r="EP39" s="37" t="s">
        <v>120</v>
      </c>
      <c r="ER39" s="44"/>
      <c r="ES39" s="36">
        <f>SQRT((A39-$A$84)^2+(B39-$B$84)^2+(C39-$C$84)^2+(D39-$D$84)^2+(E39-$E$84)^2+(F39-$F$84)^2+(G39-$G$84)^2+(H39-$H$84)^2+(I39-$I$84)^2+(J39-$J$84)^2+(K39-$K$84)^2+(L39-$L$84)^2+(M39-$M$84)^2+(N39-$N$84)^2+(O39-$O$84)^2+(P39-$P$84)^2+(Q39-$Q$84)^2+(R39-$R$84)^2+(S39-$S$84)^2+(T39-$T$84)^2+(U39-$U$84)^2+(V39-$V$84)^2+(W39-$W$84)^2+(X39-$X$84)^2+(Y39-$Y$84)^2+(Z39-$Z$84)^2+(AA39-$AA$84)^2+(AB39-$AB$84)^2+(AC39-$AC$84)^2+(AD39-$AD$84)^2+(AE39-$AE$84)^2+(AF39-$AF$84)^2+(AG39-$AG$84)^2)</f>
        <v>1.4093194484027609</v>
      </c>
      <c r="ET39" s="36" t="s">
        <v>137</v>
      </c>
      <c r="EU39" s="37" t="s">
        <v>120</v>
      </c>
      <c r="EW39" s="44"/>
      <c r="EX39" s="36">
        <f>SQRT((A39-$A$85)^2+(B39-$B$85)^2+(C39-$C$85)^2+(D39-$D$85)^2+(E39-$E$85)^2+(F39-$F$85)^2+(G39-$G$85)^2+(H39-$H$85)^2+(I39-$I$85)^2+(J39-$J$85)^2+(K39-$K$85)^2+(L39-$L$85)^2+(M39-$M$85)^2+(N39-$N$85)^2+(O39-$O$85)^2+(P39-$P$85)^2+(Q39-$Q$85)^2+(R39-$R$85)^2+(S39-$S$85)^2+(T39-$T$85)^2+(U39-$U$85)^2+(V39-$V$85)^2+(W39-$W$85)^2+(X39-$X$85)^2+(Y39-$Y$85)^2+(Z39-$Z$85)^2+(AA39-$AA$85)^2+(AB39-$AB$85)^2+(AC39-$AC$85)^2+(AD39-$AD$85)^2+(AE39-$AE$85)^2+(AF39-$AF$85)^2+(AG39-$AG$85)^2)</f>
        <v>1.4093194484027609</v>
      </c>
      <c r="EY39" s="36" t="s">
        <v>137</v>
      </c>
      <c r="EZ39" s="37" t="s">
        <v>120</v>
      </c>
      <c r="FB39" s="44"/>
      <c r="FC39" s="36">
        <f>SQRT((A39-$A$86)^2+(B39-$B$86)^2+(C39-$C$86)^2+(D39-$D$86)^2+(E39-$E$86)^2+(F39-$F$86)^2+(G39-$G$86)^2+(H39-$H$86)^2+(I39-$I$86)^2+(J39-$J$86)^2+(K39-$K$86)^2+(L39-$L$86)^2+(M39-$M$86)^2+(N39-$N$86)^2+(O39-$O$86)^2+(P39-$P$86)^2+(Q39-$Q$86)^2+(R39-$R$86)^2+(S39-$S$86)^2+(T39-$T$86)^2+(U39-$U$86)^2+(V39-$V$86)^2+(W39-$W$86)^2+(X39-$X$86)^2+(Y39-$Y$86)^2+(Z39-$Z$86)^2+(AA39-$AA$86)^2+(AB39-$AB$86)^2+(AC39-$AC$86)^2+(AD39-$AD$86)^2+(AE39-$AE$86)^2+(AF39-$AF$86)^2+(AG39-$AG$86)^2)</f>
        <v>1.4093194484027609</v>
      </c>
      <c r="FD39" s="36" t="s">
        <v>137</v>
      </c>
      <c r="FE39" s="37" t="s">
        <v>120</v>
      </c>
      <c r="FG39" s="44"/>
      <c r="FH39" s="36">
        <f>SQRT((A39-$A$87)^2+(B39-$B$87)^2+(C39-$C$87)^2+(D39-$D$87)^2+(E39-$E$87)^2+(F39-$F$87)^2+(G39-$G$87)^2+(H39-$H$87)^2+(I39-$I$87)^2+(J39-$J$87)^2+(K39-$K$87)^2+(L39-$L$87)^2+(M39-$M$87)^2+(N39-$N$87)^2+(O39-$O$87)^2+(P39-$P$87)^2+(Q39-$Q$87)^2+(R39-$R$87)^2+(S39-$S$87)^2+(T39-$T$87)^2+(U39-$U$87)^2+(V39-$V$87)^2+(W39-$W$87)^2+(X39-$X$87)^2+(Y39-$Y$87)^2+(Z39-$Z$87)^2+(AA39-$AA$87)^2+(AB39-$AB$87)^2+(AC39-$AC$87)^2+(AD39-$AD$87)^2+(AE39-$AE$87)^2+(AF39-$AF$87)^2+(AG39-$AG$87)^2)</f>
        <v>1.3302931021233788</v>
      </c>
      <c r="FI39" s="36" t="s">
        <v>142</v>
      </c>
      <c r="FJ39" s="37" t="s">
        <v>120</v>
      </c>
      <c r="FL39" s="44"/>
      <c r="FM39" s="36">
        <f>SQRT((A39-$A$88)^2+(B39-$B$88)^2+(C39-$C$88)^2+(D39-$D$88)^2+(E39-$E$88)^2+(F39-$F$88)^2+(G39-$G$88)^2+(H39-$H$88)^2+(I39-$I$88)^2+(J39-$J$88)^2+(K39-$K$88)^2+(L39-$L$88)^2+(M39-$M$88)^2+(N39-$N$88)^2+(O39-$O$88)^2+(P39-$P$88)^2+(Q39-$Q$88)^2+(R39-$R$88)^2+(S39-$S$88)^2+(T39-$T$88)^2+(U39-$U$88)^2+(V39-$V$88)^2+(W39-$W$88)^2+(X39-$X$88)^2+(Y39-$Y$88)^2+(Z39-$Z$88)^2+(AA39-$AA$88)^2+(AB39-$AB$88)^2+(AC39-$AC$88)^2+(AD39-$AD$88)^2+(AE39-$AE$88)^2+(AF39-$AF$88)^2+(AG39-$AG$88)^2)</f>
        <v>1.6007810593582121</v>
      </c>
      <c r="FN39" s="36" t="s">
        <v>135</v>
      </c>
      <c r="FO39" s="37" t="s">
        <v>120</v>
      </c>
      <c r="FQ39" s="44"/>
      <c r="FR39" s="36">
        <f>SQRT((A39-$A$89)^2+(B39-$B$89)^2+(C39-$C$89)^2+(D39-$D$89)^2+(E39-$E$89)^2+(F39-$F$89)^2+(G39-$G$89)^2+(H39-$H$89)^2+(I39-$I$89)^2+(J39-$J$89)^2+(K39-$K$89)^2+(L39-$L$89)^2+(M39-$M$89)^2+(N39-$N$89)^2+(O39-$O$89)^2+(P39-$P$89)^2+(Q39-$Q$89)^2+(R39-$R$89)^2+(S39-$S$89)^2+(T39-$T$89)^2+(U39-$U$89)^2+(V39-$V$89)^2+(W39-$W$89)^2+(X39-$X$89)^2+(Y39-$Y$89)^2+(Z39-$Z$89)^2+(AA39-$AA$89)^2+(AB39-$AB$89)^2+(AC39-$AC$89)^2+(AD39-$AD$89)^2+(AE39-$AE$89)^2+(AF39-$AF$89)^2+(AG39-$AG$89)^2)</f>
        <v>2.297029909301076</v>
      </c>
      <c r="FS39" s="36" t="s">
        <v>151</v>
      </c>
      <c r="FT39" s="37" t="s">
        <v>120</v>
      </c>
      <c r="FV39" s="44"/>
      <c r="FW39" s="36">
        <f>SQRT((A39-$A$90)^2+(B39-$B$90)^2+(C39-$C$90)^2+(D39-$D$90)^2+(E39-$E$90)^2+(F39-$F$90)^2+(G39-$G$90)^2+(H39-$H$90)^2+(I39-$I$90)^2+(J39-$J$90)^2+(K39-$K$90)^2+(L39-$L$90)^2+(M39-$M$90)^2+(N39-$N$90)^2+(O39-$O$90)^2+(P39-$P$90)^2+(Q39-$Q$90)^2+(R39-$R$90)^2+(S39-$S$90)^2+(T39-$T$90)^2+(U39-$U$90)^2+(V39-$V$90)^2+(W39-$W$90)^2+(X39-$X$90)^2+(Y39-$Y$90)^2+(Z39-$Z$90)^2+(AA39-$AA$90)^2+(AB39-$AB$90)^2+(AC39-$AC$90)^2+(AD39-$AD$90)^2+(AE39-$AE$90)^2+(AF39-$AF$90)^2+(AG39-$AG$90)^2)</f>
        <v>2.1282590304852622</v>
      </c>
      <c r="FX39" s="36" t="s">
        <v>333</v>
      </c>
      <c r="FY39" s="37" t="s">
        <v>120</v>
      </c>
      <c r="GA39" s="44"/>
      <c r="GB39" s="36">
        <f>SQRT((A39-$A$91)^2+(B39-$B$91)^2+(C39-$C$91)^2+(D39-$D$91)^2+(E39-$E$91)^2+(F39-$F$91)^2+(G39-$G$91)^2+(H39-$H$91)^2+(I39-$I$91)^2+(J39-$J$91)^2+(K39-$K$91)^2+(L39-$L$91)^2+(M39-$M$91)^2+(N39-$N$91)^2+(O39-$O$91)^2+(P39-$P$91)^2+(Q39-$Q$91)^2+(R39-$R$91)^2+(S39-$S$91)^2+(T39-$T$91)^2+(U39-$U$91)^2+(V39-$V$91)^2+(W39-$W$91)^2+(X39-$X$91)^2+(Y39-$Y$91)^2+(Z39-$Z$91)^2+(AA39-$AA$91)^2+(AB39-$AB$91)^2+(AC39-$AC$91)^2+(AD39-$AD$91)^2+(AE39-$AE$91)^2+(AF39-$AF$91)^2+(AG39-$AG$91)^2)</f>
        <v>2.4560064770306136</v>
      </c>
      <c r="GC39" s="36" t="s">
        <v>140</v>
      </c>
      <c r="GD39" s="37" t="s">
        <v>120</v>
      </c>
      <c r="GF39" s="44"/>
      <c r="GG39" s="36">
        <f>SQRT((A39-$A$92)^2+(B39-$B$92)^2+(C39-$C$92)^2+(D39-$D$92)^2+(E39-$E$92)^2+(F39-$F$92)^2+(G39-$G$92)^2+(H39-$H$92)^2+(I39-$I$92)^2+(J39-$J$92)^2+(K39-$K$92)^2+(L39-$L$92)^2+(M39-$M$92)^2+(N39-$N$92)^2+(O39-$O$92)^2+(P39-$P$92)^2+(Q39-$Q$92)^2+(R39-$R$92)^2+(S39-$S$92)^2+(T39-$T$92)^2+(U39-$U$92)^2+(V39-$V$92)^2+(W39-$W$92)^2+(X39-$X$92)^2+(Y39-$Y$92)^2+(Z39-$Z$92)^2+(AA39-$AA$92)^2+(AB39-$AB$92)^2+(AC39-$AC$92)^2+(AD39-$AD$92)^2+(AE39-$AE$92)^2+(AF39-$AF$92)^2+(AG39-$AG$92)^2)</f>
        <v>1.2162099599438692</v>
      </c>
      <c r="GH39" s="36" t="s">
        <v>150</v>
      </c>
      <c r="GI39" s="37" t="s">
        <v>120</v>
      </c>
      <c r="GK39" s="44"/>
      <c r="GL39" s="36">
        <f>SQRT((A39-$A$93)^2+(B39-$B$93)^2+(C39-$C$93)^2+(D39-$D$93)^2+(E39-$E$93)^2+(F39-$F$93)^2+(G39-$G$93)^2+(H39-$H$93)^2+(I39-$I$93)^2+(J39-$J$93)^2+(K39-$K$93)^2+(L39-$L$93)^2+(M39-$M$93)^2+(N39-$N$93)^2+(O39-$O$93)^2+(P39-$P$93)^2+(Q39-$Q$93)^2+(R39-$R$93)^2+(S39-$S$93)^2+(T39-$T$93)^2+(U39-$U$93)^2+(V39-$V$93)^2+(W39-$W$93)^2+(X39-$X$93)^2+(Y39-$Y$93)^2+(Z39-$Z$93)^2+(AA39-$AA$93)^2+(AB39-$AB$93)^2+(AC39-$AC$93)^2+(AD39-$AD$93)^2+(AE39-$AE$93)^2+(AF39-$AF$93)^2+(AG39-$AG$93)^2)</f>
        <v>2.3778337660738735</v>
      </c>
      <c r="GM39" s="36" t="s">
        <v>317</v>
      </c>
      <c r="GN39" s="37" t="s">
        <v>120</v>
      </c>
      <c r="GP39" s="44"/>
      <c r="GQ39" s="36">
        <f>SQRT((A39-$A$94)^2+(B39-$B$94)^2+(C39-$C$94)^2+(D39-$D$94)^2+(E39-$E$94)^2+(F39-$F$94)^2+(G39-$G$94)^2+(H39-$H$94)^2+(I39-$I$94)^2+(J39-$J$94)^2+(K39-$K$94)^2+(L39-$L$94)^2+(M39-$M$94)^2+(N39-$N$94)^2+(O39-$O$94)^2+(P39-$P$94)^2+(Q39-$Q$94)^2+(R39-$R$94)^2+(S39-$S$94)^2+(T39-$T$94)^2+(U39-$U$94)^2+(V39-$V$94)^2+(W39-$W$94)^2+(X39-$X$94)^2+(Y39-$Y$94)^2+(Z39-$Z$94)^2+(AA39-$AA$94)^2+(AB39-$AB$94)^2+(AC39-$AC$94)^2+(AD39-$AD$94)^2+(AE39-$AE$94)^2+(AF39-$AF$94)^2+(AG39-$AG$94)^2)</f>
        <v>1.2836622816336978</v>
      </c>
      <c r="GR39" s="36" t="s">
        <v>154</v>
      </c>
      <c r="GS39" s="37" t="s">
        <v>120</v>
      </c>
      <c r="GU39" s="44"/>
      <c r="GV39" s="36">
        <f>SQRT((A39-$A$95)^2+(B39-$B$95)^2+(C39-$C$95)^2+(D39-$D$95)^2+(E39-$E$95)^2+(F39-$F$95)^2+(G39-$G$95)^2+(H39-$H$95)^2+(I39-$I$95)^2+(J39-$J$95)^2+(K39-$K$95)^2+(L39-$L$95)^2+(M39-$M$95)^2+(N39-$N$95)^2+(O39-$O$95)^2+(P39-$P$95)^2+(Q39-$Q$95)^2+(R39-$R$95)^2+(S39-$S$95)^2+(T39-$T$95)^2+(U39-$U$95)^2+(V39-$V$95)^2+(W39-$W$95)^2+(X39-$X$95)^2+(Y39-$Y$95)^2+(Z39-$Z$95)^2+(AA39-$AA$95)^2+(AB39-$AB$95)^2+(AC39-$AC$95)^2+(AD39-$AD$95)^2+(AE39-$AE$95)^2+(AF39-$AF$95)^2+(AG39-$AG$95)^2)</f>
        <v>3.0193557057786777</v>
      </c>
      <c r="GW39" s="36" t="s">
        <v>333</v>
      </c>
      <c r="GX39" s="37" t="s">
        <v>120</v>
      </c>
      <c r="GZ39" s="44"/>
      <c r="HA39" s="36">
        <f>SQRT((A39-$A$96)^2+(B39-$B$96)^2+(C39-$C$96)^2+(D39-$D$96)^2+(E39-$E$96)^2+(F39-$F$96)^2+(G39-$G$96)^2+(H39-$H$96)^2+(I39-$I$96)^2+(J39-$J$96)^2+(K39-$K$96)^2+(L39-$L$96)^2+(M39-$M$96)^2+(N39-$N$96)^2+(O39-$O$96)^2+(P39-$P$96)^2+(Q39-$Q$96)^2+(R39-$R$96)^2+(S39-$S$96)^2+(T39-$T$96)^2+(U39-$U$96)^2+(V39-$V$96)^2+(W39-$W$96)^2+(X39-$X$96)^2+(Y39-$Y$96)^2+(Z39-$Z$96)^2+(AA39-$AA$96)^2+(AB39-$AB$96)^2+(AC39-$AC$96)^2+(AD39-$AD$96)^2+(AE39-$AE$96)^2+(AF39-$AF$96)^2+(AG39-$AG$96)^2)</f>
        <v>2.8753469336985007</v>
      </c>
      <c r="HB39" s="36" t="s">
        <v>313</v>
      </c>
      <c r="HC39" s="37" t="s">
        <v>120</v>
      </c>
      <c r="HE39" s="44"/>
      <c r="HF39" s="36">
        <f>SQRT((A39-$A$97)^2+(B39-$B$97)^2+(C39-$C$97)^2+(D39-$D$97)^2+(E39-$E$97)^2+(F39-$F$97)^2+(G39-$G$97)^2+(H39-$H$97)^2+(I39-$I$97)^2+(J39-$J$97)^2+(K39-$K$97)^2+(L39-$L$97)^2+(M39-$M$97)^2+(N39-$N$97)^2+(O39-$O$97)^2+(P39-$P$97)^2+(Q39-$Q$97)^2+(R39-$R$97)^2+(S39-$S$97)^2+(T39-$T$97)^2+(U39-$U$97)^2+(V39-$V$97)^2+(W39-$W$97)^2+(X39-$X$97)^2+(Y39-$Y$97)^2+(Z39-$Z$97)^2+(AA39-$AA$97)^2+(AB39-$AB$97)^2+(AC39-$AC$97)^2+(AD39-$AD$97)^2+(AE39-$AE$97)^2+(AF39-$AF$97)^2+(AG39-$AG$97)^2)</f>
        <v>1.4093194484027609</v>
      </c>
      <c r="HG39" s="36" t="s">
        <v>137</v>
      </c>
      <c r="HH39" s="37" t="s">
        <v>120</v>
      </c>
      <c r="HJ39" s="44"/>
      <c r="HK39" s="36">
        <f>SQRT((A39-$A$98)^2+(B39-$B$98)^2+(C39-$C$98)^2+(D39-$D$98)^2+(E39-$E$98)^2+(F39-$F$98)^2+(G39-$G$98)^2+(H39-$H$98)^2+(I39-$I$98)^2+(J39-$J$98)^2+(K39-$K$98)^2+(L39-$L$98)^2+(M39-$M$98)^2+(N39-$N$98)^2+(O39-$O$98)^2+(P39-$P$98)^2+(Q39-$Q$98)^2+(R39-$R$98)^2+(S39-$S$98)^2+(T39-$T$98)^2+(U39-$U$98)^2+(V39-$V$98)^2+(W39-$W$98)^2+(X39-$X$98)^2+(Y39-$Y$98)^2+(Z39-$Z$98)^2+(AA39-$AA$98)^2+(AB39-$AB$98)^2+(AC39-$AC$98)^2+(AD39-$AD$98)^2+(AE39-$AE$98)^2+(AF39-$AF$98)^2+(AG39-$AG$98)^2)</f>
        <v>1.4093194484027609</v>
      </c>
      <c r="HL39" s="36" t="s">
        <v>137</v>
      </c>
      <c r="HM39" s="37" t="s">
        <v>120</v>
      </c>
      <c r="HO39" s="44"/>
      <c r="HP39" s="36">
        <f>SQRT((A39-$A$99)^2+(B39-$B$99)^2+(C39-$C$99)^2+(D39-$D$99)^2+(E39-$E$99)^2+(F39-$F$99)^2+(G39-$G$99)^2+(H39-$H$99)^2+(I39-$I$99)^2+(J39-$J$99)^2+(K39-$K$99)^2+(L39-$L$99)^2+(M39-$M$99)^2+(N39-$N$99)^2+(O39-$O$99)^2+(P39-$P$99)^2+(Q39-$Q$99)^2+(R39-$R$99)^2+(S39-$S$99)^2+(T39-$T$99)^2+(U39-$U$99)^2+(V39-$V$99)^2+(W39-$W$99)^2+(X39-$X$99)^2+(Y39-$Y$99)^2+(Z39-$Z$99)^2+(AA39-$AA$99)^2+(AB39-$AB$99)^2+(AC39-$AC$99)^2+(AD39-$AD$99)^2+(AE39-$AE$99)^2+(AF39-$AF$99)^2+(AG39-$AG$99)^2)</f>
        <v>1.4093194484027609</v>
      </c>
      <c r="HQ39" s="36" t="s">
        <v>137</v>
      </c>
      <c r="HR39" s="37" t="s">
        <v>120</v>
      </c>
      <c r="HT39" s="44"/>
      <c r="HU39" s="36">
        <f>SQRT((A39-$A$100)^2+(B39-$B$100)^2+(C39-$C$100)^2+(D39-$D$100)^2+(E39-$E$100)^2+(F39-$F$100)^2+(G39-$G$100)^2+(H39-$H$100)^2+(I39-$I$100)^2+(J39-$J$100)^2+(K39-$K$100)^2+(L39-$L$100)^2+(M39-$M$100)^2+(N39-$N$100)^2+(O39-$O$100)^2+(P39-$P$100)^2+(Q39-$Q$100)^2+(R39-$R$100)^2+(S39-$S$100)^2+(T39-$T$100)^2+(U39-$U$100)^2+(V39-$V$100)^2+(W39-$W$100)^2+(X39-$X$100)^2+(Y39-$Y$100)^2+(Z39-$Z$100)^2+(AA39-$AA$100)^2+(AB39-$AB$100)^2+(AC39-$AC$100)^2+(AD39-$AD$100)^2+(AE39-$AE$100)^2+(AF39-$AF$100)^2+(AG39-$AG$100)^2)</f>
        <v>1.4093194484027609</v>
      </c>
      <c r="HV39" s="36" t="s">
        <v>137</v>
      </c>
      <c r="HW39" s="37" t="s">
        <v>120</v>
      </c>
      <c r="HY39" s="44"/>
      <c r="HZ39" s="36">
        <f>SQRT((A39-$A$101)^2+(B39-$B$101)^2+(C39-$C$101)^2+(D39-$D$101)^2+(E39-$E$101)^2+(F39-$F$101)^2+(G39-$G$101)^2+(H39-$H$101)^2+(I39-$I$101)^2+(J39-$J$101)^2+(K39-$K$101)^2+(L39-$L$101)^2+(M39-$M$101)^2+(N39-$N$101)^2+(O39-$O$101)^2+(P39-$P$101)^2+(Q39-$Q$101)^2+(R39-$R$101)^2+(S39-$S$101)^2+(T39-$T$101)^2+(U39-$U$101)^2+(V39-$V$101)^2+(W39-$W$101)^2+(X39-$X$101)^2+(Y39-$Y$101)^2+(Z39-$Z$101)^2+(AA39-$AA$101)^2+(AB39-$AB$101)^2+(AC39-$AC$101)^2+(AD39-$AD$101)^2+(AE39-$AE$101)^2+(AF39-$AF$101)^2+(AG39-$AG$101)^2)</f>
        <v>2.2844542237130692</v>
      </c>
      <c r="IA39" s="36" t="s">
        <v>335</v>
      </c>
      <c r="IB39" s="37" t="s">
        <v>120</v>
      </c>
    </row>
    <row r="40" spans="1:236" x14ac:dyDescent="0.35">
      <c r="A40" s="2">
        <v>0</v>
      </c>
      <c r="B40" s="2">
        <v>0.23765432098765399</v>
      </c>
      <c r="C40" s="2">
        <v>0.23899371069182301</v>
      </c>
      <c r="D40" s="2">
        <v>0.53703703703703698</v>
      </c>
      <c r="E40" s="2">
        <v>0.12757201646090499</v>
      </c>
      <c r="F40" s="2">
        <v>0.94805194805194803</v>
      </c>
      <c r="G40" s="2">
        <v>0.55692729766803795</v>
      </c>
      <c r="H40" s="2">
        <v>0.936708860759493</v>
      </c>
      <c r="I40" s="2">
        <v>0.407407407407407</v>
      </c>
      <c r="J40" s="2">
        <v>0.19478737997256501</v>
      </c>
      <c r="K40" s="2">
        <v>5.5555555555555497E-2</v>
      </c>
      <c r="L40" s="2">
        <v>0.158904109589041</v>
      </c>
      <c r="M40" s="2">
        <v>0.95061728395061695</v>
      </c>
      <c r="N40" s="2">
        <v>6.1728395061728301E-2</v>
      </c>
      <c r="O40" s="2">
        <v>0.189873417721519</v>
      </c>
      <c r="P40" s="2">
        <v>0.32345679012345602</v>
      </c>
      <c r="Q40" s="2">
        <v>0.98765432098765404</v>
      </c>
      <c r="R40" s="2">
        <v>0.76543209876543195</v>
      </c>
      <c r="S40" s="2">
        <v>0.97530864197530798</v>
      </c>
      <c r="T40" s="2">
        <v>1</v>
      </c>
      <c r="U40" s="2">
        <v>1</v>
      </c>
      <c r="V40" s="2">
        <v>0.11111111111111099</v>
      </c>
      <c r="W40" s="2">
        <v>1</v>
      </c>
      <c r="X40" s="2">
        <v>0.97530864197530798</v>
      </c>
      <c r="Y40" s="2">
        <v>0.90123456790123402</v>
      </c>
      <c r="Z40" s="2">
        <v>0.44444444444444398</v>
      </c>
      <c r="AA40" s="2">
        <v>1</v>
      </c>
      <c r="AB40" s="2">
        <v>1</v>
      </c>
      <c r="AC40" s="2">
        <v>1</v>
      </c>
      <c r="AD40" s="2">
        <v>1</v>
      </c>
      <c r="AE40" s="2">
        <v>0.938271604938271</v>
      </c>
      <c r="AF40" s="2">
        <v>1</v>
      </c>
      <c r="AG40" s="2">
        <v>0.19565217391304299</v>
      </c>
      <c r="AH40" s="2" t="s">
        <v>120</v>
      </c>
      <c r="AI40" s="42"/>
      <c r="AJ40" s="42"/>
      <c r="AL40" s="44"/>
      <c r="AM40" s="36">
        <f>SQRT((A40-$A$62)^2+(B40-$B$62)^2+(C40-$C$62)^2+(D40-$D$62)^2+(E40-$E$62)^2+(F40-$F$62)^2+(G40-$G$62)^2+(H40-$H$62)^2+(I40-$I$62)^2+(J40-$J$62)^2+(K40-$K$62)^2+(L40-$L$62)^2+(M40-$M$62)^2+(N40-$N$62)^2+(O40-$O$62)^2+(P40-$P$62)^2+(Q40-$Q$62)^2+(R40-$R$62)^2+(S40-$S$62)^2+(T40-$T$62)^2+(U40-$U$62)^2+(V40-$V$62)^2+(W40-$W$62)^2+(X40-$X$62)^2+(Y40-$Y$62)^2+(Z40-$Z$62)^2+(AA40-$AA$62)^2+(AB40-$AB$62)^2+(AC40-$AC$62)^2+(AD40-$AD$62)^2+(AE40-$AE$62)^2+(AF40-$AF$62)^2+(AG40-$AG$62)^2)</f>
        <v>1.5556691766058219</v>
      </c>
      <c r="AN40" s="36" t="s">
        <v>144</v>
      </c>
      <c r="AO40" s="37" t="s">
        <v>120</v>
      </c>
      <c r="AQ40" s="44"/>
      <c r="AR40" s="36">
        <f>SQRT((A40-$A$63)^2+(B40-$B$63)^2+(C40-$C$63)^2+(D40-$D$63)^2+(E40-$E$63)^2+(F40-$F$63)^2+(G40-$G$63)^2+(H40-$H$63)^2+(I40-$I$63)^2+(J40-$J$63)^2+(K40-$K$63)^2+(L40-$L$63)^2+(M40-$M$63)^2+(N40-$N$63)^2+(O40-$O$63)^2+(P40-$P$63)^2+(Q40-$Q$63)^2+(R40-$R$63)^2+(S40-$S$63)^2+(T40-$T$63)^2+(U40-$U$63)^2+(V40-$V$63)^2+(W40-$W$63)^2+(X40-$X$63)^2+(Y40-$Y$63)^2+(Z40-$Z$63)^2+(AA40-$AA$63)^2+(AB40-$AB$63)^2+(AC40-$AC$63)^2+(AD40-$AD$63)^2+(AE40-$AE$63)^2+(AF40-$AF$63)^2+(AG40-$AG$63)^2)</f>
        <v>0</v>
      </c>
      <c r="AS40" s="36" t="s">
        <v>315</v>
      </c>
      <c r="AT40" s="37" t="s">
        <v>120</v>
      </c>
      <c r="AV40" s="44"/>
      <c r="AW40" s="36">
        <f>SQRT((A40-$A$64)^2+(B40-$B$64)^2+(C40-$C$64)^2+(D40-$D$64)^2+(E40-$E$64)^2+(F40-$F$64)^2+(G40-$G$64)^2+(H40-$H$64)^2+(I40-$I$64)^2+(J40-$J$64)^2+(K40-$K$64)^2+(L40-$L$64)^2+(M40-$M$64)^2+(N40-$N$64)^2+(O40-$O$64)^2+(P40-$P$64)^2+(Q40-$Q$64)^2+(R40-$R$64)^2+(S40-$S$64)^2+(T40-$T$64)^2+(U40-$U$64)^2+(V40-$V$64)^2+(W40-$W$64)^2+(X40-$X$64)^2+(Y40-$Y$64)^2+(Z40-$Z$64)^2+(AA40-$AA$64)^2+(AB40-$AB$64)^2+(AC40-$AC$64)^2+(AD40-$AD$64)^2+(AE40-$AE$64)^2+(AF40-$AF$64)^2+(AG40-$AG$64)^2)</f>
        <v>0</v>
      </c>
      <c r="AX40" s="36" t="s">
        <v>315</v>
      </c>
      <c r="AY40" s="37" t="s">
        <v>120</v>
      </c>
      <c r="BA40" s="44"/>
      <c r="BB40" s="36">
        <f>SQRT((A40-$A$65)^2+(B40-$B$65)^2+(C40-$C$65)^2+(D40-$D$65)^2+(E40-$E$65)^2+(F40-$F$65)^2+(G40-$G$65)^2+(H40-$H$65)^2+(I40-$I$65)^2+(J40-$J$65)^2+(K40-$K$65)^2+(L40-$L$65)^2+(M40-$M$65)^2+(N40-$N$65)^2+(O40-$O$65)^2+(P40-$P$65)^2+(Q40-$Q$65)^2+(R40-$R$65)^2+(S40-$S$65)^2+(T40-$T$65)^2+(U40-$U$65)^2+(V40-$V$65)^2+(W40-$W$65)^2+(X40-$X$65)^2+(Y40-$Y$65)^2+(Z40-$Z$65)^2+(AA40-$AA$65)^2+(AB40-$AB$65)^2+(AC40-$AC$65)^2+(AD40-$AD$65)^2+(AE40-$AE$65)^2+(AF40-$AF$65)^2+(AG40-$AG$65)^2)</f>
        <v>0</v>
      </c>
      <c r="BC40" s="36" t="s">
        <v>315</v>
      </c>
      <c r="BD40" s="37" t="s">
        <v>120</v>
      </c>
      <c r="BF40" s="44"/>
      <c r="BG40" s="36">
        <f>SQRT((A40-$A$66)^2+(B40-$B$66)^2+(C40-$C$66)^2+(D40-$D$66)^2+(E40-$E$66)^2+(F40-$F$66)^2+(G40-$G$66)^2+(H40-$H$66)^2+(I40-$I$66)^2+(J40-$J$66)^2+(K40-$K$66)^2+(L40-$L$66)^2+(M40-$M$66)^2+(N40-$N$66)^2+(O40-$O$66)^2+(P40-$P$66)^2+(Q40-$Q$66)^2+(R40-$R$66)^2+(S40-$S$66)^2+(T40-$T$66)^2+(U40-$U$66)^2+(V40-$V$66)^2+(W40-$W$66)^2+(X40-$X$66)^2+(Y40-$Y$66)^2+(Z40-$Z$66)^2+(AA40-$AA$66)^2+(AB40-$AB$66)^2+(AC40-$AC$66)^2+(AD40-$AD$66)^2+(AE40-$AE$66)^2+(AF40-$AF$66)^2+(AG40-$AG$66)^2)</f>
        <v>0</v>
      </c>
      <c r="BH40" s="36" t="s">
        <v>315</v>
      </c>
      <c r="BI40" s="37" t="s">
        <v>120</v>
      </c>
      <c r="BK40" s="44"/>
      <c r="BL40" s="36">
        <f>SQRT((A40-$A$67)^2+(B40-$B$67)^2+(C40-$C$67)^2+(D40-$D$67)^2+(E40-$E$67)^2+(F40-$F$67)^2+(G40-$G$67)^2+(H40-$H$67)^2+(I40-$I$67)^2+(J40-$J$67)^2+(K40-$K$67)^2+(L40-$L$67)^2+(M40-$M$67)^2+(N40-$N$67)^2+(O40-$O$67)^2+(P40-$P$67)^2+(Q40-$Q$67)^2+(R40-$R$67)^2+(S40-$S$67)^2+(T40-$T$67)^2+(U40-$U$67)^2+(V40-$V$67)^2+(W40-$W$67)^2+(X40-$X$67)^2+(Y40-$Y$67)^2+(Z40-$Z$67)^2+(AA40-$AA$67)^2+(AB40-$AB$67)^2+(AC40-$AC$67)^2+(AD40-$AD$67)^2+(AE40-$AE$67)^2+(AF40-$AF$67)^2+(AG40-$AG$67)^2)</f>
        <v>0</v>
      </c>
      <c r="BM40" s="36" t="s">
        <v>315</v>
      </c>
      <c r="BN40" s="37" t="s">
        <v>120</v>
      </c>
      <c r="BP40" s="44"/>
      <c r="BQ40" s="36">
        <f>SQRT((A40-$A$68)^2+(B40-$B$68)^2+(C40-$C$68)^2+(D40-$D$68)^2+(E40-$E$68)^2+(F40-$F$68)^2+(G40-$G$68)^2+(H40-$H$68)^2+(I40-$I$68)^2+(J40-$J$68)^2+(K40-$K$68)^2+(L40-$L$68)^2+(M40-$M$68)^2+(N40-$N$68)^2+(O40-$O$68)^2+(P40-$P$68)^2+(Q40-$Q$68)^2+(R40-$R$68)^2+(S40-$S$68)^2+(T40-$T$68)^2+(U40-$U$68)^2+(V40-$V$68)^2+(W40-$W$68)^2+(X40-$X$68)^2+(Y40-$Y$68)^2+(Z40-$Z$68)^2+(AA40-$AA$68)^2+(AB40-$AB$68)^2+(AC40-$AC$68)^2+(AD40-$AD$68)^2+(AE40-$AE$68)^2+(AF40-$AF$68)^2+(AG40-$AG$68)^2)</f>
        <v>0</v>
      </c>
      <c r="BR40" s="36" t="s">
        <v>315</v>
      </c>
      <c r="BS40" s="37" t="s">
        <v>120</v>
      </c>
      <c r="BU40" s="44"/>
      <c r="BV40" s="36">
        <f>SQRT((A40-$A$69)^2+(B40-$B$69)^2+(C40-$C$69)^2+(D40-$D$69)^2+(E40-$E$69)^2+(F40-$F$69)^2+(G40-$G$69)^2+(H40-$H$69)^2+(I40-$I$69)^2+(J40-$J$69)^2+(K40-$K$69)^2+(L40-$L$69)^2+(M40-$M$69)^2+(N40-$N$69)^2+(O40-$O$69)^2+(P40-$P$69)^2+(Q40-$Q$69)^2+(R40-$R$69)^2+(S40-$S$69)^2+(T40-$T$69)^2+(U40-$U$69)^2+(V40-$V$69)^2+(W40-$W$69)^2+(X40-$X$69)^2+(Y40-$Y$69)^2+(Z40-$Z$69)^2+(AA40-$AA$69)^2+(AB40-$AB$69)^2+(AC40-$AC$69)^2+(AD40-$AD$69)^2+(AE40-$AE$69)^2+(AF40-$AF$69)^2+(AG40-$AG$69)^2)</f>
        <v>2.0037487409898285</v>
      </c>
      <c r="BW40" s="36" t="s">
        <v>128</v>
      </c>
      <c r="BX40" s="37" t="s">
        <v>120</v>
      </c>
      <c r="BZ40" s="44"/>
      <c r="CA40" s="36">
        <f>SQRT((A40-$A$70)^2+(B40-$B$70)^2+(C40-$C$70)^2+(D40-$D$70)^2+(E40-$E$70)^2+(F40-$F$70)^2+(G40-$G$70)^2+(H40-$H$70)^2+(I40-$I$70)^2+(J40-$J$70)^2+(K40-$K$70)^2+(L40-$L$70)^2+(M40-$M$70)^2+(N40-$N$70)^2+(O40-$O$70)^2+(P40-$P$70)^2+(Q40-$Q$70)^2+(R40-$R$70)^2+(S40-$S$70)^2+(T40-$T$70)^2+(U40-$U$70)^2+(V40-$V$70)^2+(W40-$W$70)^2+(X40-$X$70)^2+(Y40-$Y$70)^2+(Z40-$Z$70)^2+(AA40-$AA$70)^2+(AB40-$AB$70)^2+(AC40-$AC$70)^2+(AD40-$AD$70)^2+(AE40-$AE$70)^2+(AF40-$AF$70)^2+(AG40-$AG$70)^2)</f>
        <v>1.0640423434918624</v>
      </c>
      <c r="CB40" s="36" t="s">
        <v>142</v>
      </c>
      <c r="CC40" s="37" t="s">
        <v>120</v>
      </c>
      <c r="CE40" s="44"/>
      <c r="CF40" s="36">
        <f>SQRT((A40-$A$71)^2+(B40-$B$71)^2+(C40-$C$71)^2+(D40-$D$71)^2+(E40-$E$71)^2+(F40-$F$71)^2+(G40-$G$71)^2+(H40-$H$71)^2+(I40-$I$71)^2+(J40-$J$71)^2+(K40-$K$71)^2+(L40-$L$71)^2+(M40-$M$71)^2+(N40-$N$71)^2+(O40-$O$71)^2+(P40-$P$71)^2+(Q40-$Q$71)^2+(R40-$R$71)^2+(S40-$S$71)^2+(T40-$T$71)^2+(U40-$U$71)^2+(V40-$V$71)^2+(W40-$W$71)^2+(X40-$X$71)^2+(Y40-$Y$71)^2+(Z40-$Z$71)^2+(AA40-$AA$71)^2+(AB40-$AB$71)^2+(AC40-$AC$71)^2+(AD40-$AD$71)^2+(AE40-$AE$71)^2+(AF40-$AF$71)^2+(AG40-$AG$71)^2)</f>
        <v>0.94620473085599832</v>
      </c>
      <c r="CG40" s="36" t="s">
        <v>146</v>
      </c>
      <c r="CH40" s="37" t="s">
        <v>120</v>
      </c>
      <c r="CJ40" s="44"/>
      <c r="CK40" s="36">
        <f>SQRT((A40-$A$72)^2+(B40-$B$72)^2+(C40-$C$72)^2+(D40-$D$72)^2+(E40-$E$72)^2+(F40-$F$72)^2+(G40-$G$72)^2+(H40-$H$72)^2+(I40-$I$72)^2+(J40-$J$72)^2+(K40-$K$72)^2+(L40-$L$72)^2+(M40-$M$72)^2+(N40-$N$72)^2+(O40-$O$72)^2+(P40-$P$72)^2+(Q40-$Q$72)^2+(R40-$R$72)^2+(S40-$S$72)^2+(T40-$T$72)^2+(U40-$U$72)^2+(V40-$V$72)^2+(W40-$W$72)^2+(X40-$X$72)^2+(Y40-$Y$72)^2+(Z40-$Z$72)^2+(AA40-$AA$72)^2+(AB40-$AB$72)^2+(AC40-$AC$72)^2+(AD40-$AD$72)^2+(AE40-$AE$72)^2+(AF40-$AF$72)^2+(AG40-$AG$72)^2)</f>
        <v>1.220617044171155</v>
      </c>
      <c r="CL40" s="36" t="s">
        <v>138</v>
      </c>
      <c r="CM40" s="37" t="s">
        <v>120</v>
      </c>
      <c r="CO40" s="44"/>
      <c r="CP40" s="36">
        <f>SQRT((A40-$A$73)^2+(B40-$B$73)^2+(C40-$C$73)^2+(D40-$D$73)^2+(E40-$E$73)^2+(F40-$F$73)^2+(G40-$G$73)^2+(H40-$H$73)^2+(I40-$I$73)^2+(J40-$J$73)^2+(K40-$K$73)^2+(L40-$L$73)^2+(M40-$M$73)^2+(N40-$N$73)^2+(O40-$O$73)^2+(P40-$P$73)^2+(Q40-$Q$73)^2+(R40-$R$73)^2+(S40-$S$73)^2+(T40-$T$73)^2+(U40-$U$73)^2+(V40-$V$73)^2+(W40-$W$73)^2+(X40-$X$73)^2+(Y40-$Y$73)^2+(Z40-$Z$73)^2+(AA40-$AA$73)^2+(AB40-$AB$73)^2+(AC40-$AC$73)^2+(AD40-$AD$73)^2+(AE40-$AE$73)^2+(AF40-$AF$73)^2+(AG40-$AG$73)^2)</f>
        <v>1.1043048958919004</v>
      </c>
      <c r="CQ40" s="36" t="s">
        <v>140</v>
      </c>
      <c r="CR40" s="37" t="s">
        <v>120</v>
      </c>
      <c r="CT40" s="44"/>
      <c r="CU40" s="36">
        <f>SQRT((A40-$A$74)^2+(B40-$B$74)^2+(C40-$C$74)^2+(D40-$D$74)^2+(E40-$E$74)^2+(F40-$F$74)^2+(G40-$G$74)^2+(H40-$H$74)^2+(I40-$I$74)^2+(J40-$J$74)^2+(K40-$K$74)^2+(L40-$L$74)^2+(M40-$M$74)^2+(N40-$N$74)^2+(O40-$O$74)^2+(P40-$P$74)^2+(Q40-$Q$74)^2+(R40-$R$74)^2+(S40-$S$74)^2+(T40-$T$74)^2+(U40-$U$74)^2+(V40-$V$74)^2+(W40-$W$74)^2+(X40-$X$74)^2+(Y40-$Y$74)^2+(Z40-$Z$74)^2+(AA40-$AA$74)^2+(AB40-$AB$74)^2+(AC40-$AC$74)^2+(AD40-$AD$74)^2+(AE40-$AE$74)^2+(AF40-$AF$74)^2+(AG40-$AG$74)^2)</f>
        <v>1.1273103941258655</v>
      </c>
      <c r="CV40" s="36" t="s">
        <v>324</v>
      </c>
      <c r="CW40" s="37" t="s">
        <v>120</v>
      </c>
      <c r="CY40" s="44"/>
      <c r="CZ40" s="36">
        <f>SQRT((A40-$A$75)^2+(B40-$B$75)^2+(C40-$C$75)^2+(D40-$D$75)^2+(E40-$E$75)^2+(F40-$F$75)^2+(G40-$G$75)^2+(H40-$H$75)^2+(I40-$I$75)^2+(J40-$J$75)^2+(K40-$K$75)^2+(L40-$L$75)^2+(M40-$M$75)^2+(N40-$N$75)^2+(O40-$O$75)^2+(P40-$P$75)^2+(Q40-$Q$75)^2+(R40-$R$75)^2+(S40-$S$75)^2+(T40-$T$75)^2+(U40-$U$75)^2+(V40-$V$75)^2+(W40-$W$75)^2+(X40-$X$75)^2+(Y40-$Y$75)^2+(Z40-$Z$75)^2+(AA40-$AA$75)^2+(AB40-$AB$75)^2+(AC40-$AC$75)^2+(AD40-$AD$75)^2+(AE40-$AE$75)^2+(AF40-$AF$75)^2+(AG40-$AG$75)^2)</f>
        <v>1.0124449904297892</v>
      </c>
      <c r="DA40" s="36" t="s">
        <v>327</v>
      </c>
      <c r="DB40" s="37" t="s">
        <v>120</v>
      </c>
      <c r="DD40" s="44"/>
      <c r="DE40" s="36">
        <f>SQRT((A40-$A$76)^2+(B40-$B$76)^2+(C40-$C$76)^2+(D40-$D$76)^2+(E40-$E$76)^2+(F40-$F$76)^2+(G40-$G$76)^2+(H40-$H$76)^2+(I40-$I$76)^2+(J40-$J$76)^2+(K40-$K$76)^2+(L40-$L$76)^2+(M40-$M$76)^2+(N40-$N$76)^2+(O40-$O$76)^2+(P40-$P$76)^2+(Q40-$Q$76)^2+(R40-$R$76)^2+(S40-$S$76)^2+(T40-$T$76)^2+(U40-$U$76)^2+(V40-$V$76)^2+(W40-$W$76)^2+(X40-$X$76)^2+(Y40-$Y$76)^2+(Z40-$Z$76)^2+(AA40-$AA$76)^2+(AB40-$AB$76)^2+(AC40-$AC$76)^2+(AD40-$AD$76)^2+(AE40-$AE$76)^2+(AF40-$AF$76)^2+(AG40-$AG$76)^2)</f>
        <v>1.0310017925746982</v>
      </c>
      <c r="DF40" s="36" t="s">
        <v>151</v>
      </c>
      <c r="DG40" s="37" t="s">
        <v>120</v>
      </c>
      <c r="DI40" s="44"/>
      <c r="DJ40" s="36">
        <f>SQRT((A40-$A$77)^2+(B40-$B$77)^2+(C40-$C$77)^2+(D40-$D$77)^2+(E40-$E$77)^2+(F40-$F$77)^2+(G40-$G$77)^2+(H40-$H$77)^2+(I40-$I$77)^2+(J40-$J$77)^2+(K40-$K$77)^2+(L40-$L$77)^2+(M40-$M$77)^2+(N40-$N$77)^2+(O40-$O$77)^2+(P40-$P$77)^2+(Q40-$Q$77)^2+(R40-$R$77)^2+(S40-$S$77)^2+(T40-$T$77)^2+(U40-$U$77)^2+(V40-$V$77)^2+(W40-$W$77)^2+(X40-$X$77)^2+(Y40-$Y$77)^2+(Z40-$Z$77)^2+(AA40-$AA$77)^2+(AB40-$AB$77)^2+(AC40-$AC$77)^2+(AD40-$AD$77)^2+(AE40-$AE$77)^2+(AF40-$AF$77)^2+(AG40-$AG$77)^2)</f>
        <v>1.6546970659891436</v>
      </c>
      <c r="DK40" s="36" t="s">
        <v>338</v>
      </c>
      <c r="DL40" s="37" t="s">
        <v>120</v>
      </c>
      <c r="DN40" s="44"/>
      <c r="DO40" s="36">
        <f>SQRT((A40-$A$78)^2+(B40-$B$78)^2+(C40-$C$78)^2+(D40-$D$78)^2+(E40-$E$78)^2+(F40-$F$78)^2+(G40-$G$78)^2+(H40-$H$78)^2+(I40-$I$78)^2+(J40-$J$78)^2+(K40-$K$78)^2+(L40-$L$78)^2+(M40-$M$78)^2+(N40-$N$78)^2+(O40-$O$78)^2+(P40-$P$78)^2+(Q40-$Q$78)^2+(R40-$R$78)^2+(S40-$S$78)^2+(T40-$T$78)^2+(U40-$U$78)^2+(V40-$V$78)^2+(W40-$W$78)^2+(X40-$X$78)^2+(Y40-$Y$78)^2+(Z40-$Z$78)^2+(AA40-$AA$78)^2+(AB40-$AB$78)^2+(AC40-$AC$78)^2+(AD40-$AD$78)^2+(AE40-$AE$78)^2+(AF40-$AF$78)^2+(AG40-$AG$78)^2)</f>
        <v>0.81948592966179457</v>
      </c>
      <c r="DP40" s="36" t="s">
        <v>141</v>
      </c>
      <c r="DQ40" s="37" t="s">
        <v>120</v>
      </c>
      <c r="DS40" s="44"/>
      <c r="DT40" s="36">
        <f>SQRT((A40-$A$79)^2+(B40-$B$79)^2+(C40-$C$79)^2+(D40-$D$79)^2+(E40-$E$79)^2+(F40-$F$79)^2+(G40-$G$79)^2+(H40-$H$79)^2+(I40-$I$79)^2+(J40-$J$79)^2+(K40-$K$79)^2+(L40-$L$79)^2+(M40-$M$79)^2+(N40-$N$79)^2+(O40-$O$79)^2+(P40-$P$79)^2+(Q40-$Q$79)^2+(R40-$R$79)^2+(S40-$S$79)^2+(T40-$T$79)^2+(U40-$U$79)^2+(V40-$V$79)^2+(W40-$W$79)^2+(X40-$X$79)^2+(Y40-$Y$79)^2+(Z40-$Z$79)^2+(AA40-$AA$79)^2+(AB40-$AB$79)^2+(AC40-$AC$79)^2+(AD40-$AD$79)^2+(AE40-$AE$79)^2+(AF40-$AF$79)^2+(AG40-$AG$79)^2)</f>
        <v>1.0607054265756746</v>
      </c>
      <c r="DU40" s="36" t="s">
        <v>323</v>
      </c>
      <c r="DV40" s="37" t="s">
        <v>120</v>
      </c>
      <c r="DX40" s="44"/>
      <c r="DY40" s="36">
        <f>SQRT((A40-$A$80)^2+(B40-$B$80)^2+(C40-$C$80)^2+(D40-$D$80)^2+(E40-$E$80)^2+(F40-$F$80)^2+(G40-$G$80)^2+(H40-$H$80)^2+(I40-$I$80)^2+(J40-$J$80)^2+(K40-$K$80)^2+(L40-$L$80)^2+(M40-$M$80)^2+(N40-$N$80)^2+(O40-$O$80)^2+(P40-$P$80)^2+(Q40-$Q$80)^2+(R40-$R$80)^2+(S40-$S$80)^2+(T40-$T$80)^2+(U40-$U$80)^2+(V40-$V$80)^2+(W40-$W$80)^2+(X40-$X$80)^2+(Y40-$Y$80)^2+(Z40-$Z$80)^2+(AA40-$AA$80)^2+(AB40-$AB$80)^2+(AC40-$AC$80)^2+(AD40-$AD$80)^2+(AE40-$AE$80)^2+(AF40-$AF$80)^2+(AG40-$AG$80)^2)</f>
        <v>1.3534230834799195</v>
      </c>
      <c r="DZ40" s="36" t="s">
        <v>133</v>
      </c>
      <c r="EA40" s="37" t="s">
        <v>120</v>
      </c>
      <c r="EC40" s="44"/>
      <c r="ED40" s="36">
        <f>SQRT((A40-$A$81)^2+(B40-$B$81)^2+(C40-$C$81)^2+(D40-$D$81)^2+(E40-$E$81)^2+(F40-$F$81)^2+(G40-$G$81)^2+(H40-$H$81)^2+(I40-$I$81)^2+(J40-$J$81)^2+(K40-$K$81)^2+(L40-$L$81)^2+(M40-$M$81)^2+(N40-$N$81)^2+(O40-$O$81)^2+(P40-$P$81)^2+(Q40-$Q$81)^2+(R40-$R$81)^2+(S40-$S$81)^2+(T40-$T$81)^2+(U40-$U$81)^2+(V40-$V$81)^2+(W40-$W$81)^2+(X40-$X$81)^2+(Y40-$Y$81)^2+(Z40-$Z$81)^2+(AA40-$AA$81)^2+(AB40-$AB$81)^2+(AC40-$AC$81)^2+(AD40-$AD$81)^2+(AE40-$AE$81)^2+(AF40-$AF$81)^2+(AG40-$AG$81)^2)</f>
        <v>1.3830175663760051</v>
      </c>
      <c r="EE40" s="36" t="s">
        <v>337</v>
      </c>
      <c r="EF40" s="37" t="s">
        <v>120</v>
      </c>
      <c r="EH40" s="44"/>
      <c r="EI40" s="36">
        <f>SQRT((A40-$A$82)^2+(B40-$B$82)^2+(C40-$C$82)^2+(D40-$D$82)^2+(E40-$E$82)^2+(F40-$F$82)^2+(G40-$G$82)^2+(H40-$H$82)^2+(I40-$I$82)^2+(J40-$J$82)^2+(K40-$K$82)^2+(L40-$L$82)^2+(M40-$M$82)^2+(N40-$N$82)^2+(O40-$O$82)^2+(P40-$P$82)^2+(Q40-$Q$82)^2+(R40-$R$82)^2+(S40-$S$82)^2+(T40-$T$82)^2+(U40-$U$82)^2+(V40-$V$82)^2+(W40-$W$82)^2+(X40-$X$82)^2+(Y40-$Y$82)^2+(Z40-$Z$82)^2+(AA40-$AA$82)^2+(AB40-$AB$82)^2+(AC40-$AC$82)^2+(AD40-$AD$82)^2+(AE40-$AE$82)^2+(AF40-$AF$82)^2+(AG40-$AG$82)^2)</f>
        <v>1.3010042798714898</v>
      </c>
      <c r="EJ40" s="36" t="s">
        <v>154</v>
      </c>
      <c r="EK40" s="37" t="s">
        <v>120</v>
      </c>
      <c r="EM40" s="44"/>
      <c r="EN40" s="36">
        <f>SQRT((A40-$A$83)^2+(B40-$B$83)^2+(C40-$C$83)^2+(D40-$D$83)^2+(E40-$E$83)^2+(F40-$F$83)^2+(G40-$G$83)^2+(H40-$H$83)^2+(I40-$I$83)^2+(J40-$J$83)^2+(K40-$K$83)^2+(L40-$L$83)^2+(M40-$M$83)^2+(N40-$N$83)^2+(O40-$O$83)^2+(P40-$P$83)^2+(Q40-$Q$83)^2+(R40-$R$83)^2+(S40-$S$83)^2+(T40-$T$83)^2+(U40-$U$83)^2+(V40-$V$83)^2+(W40-$W$83)^2+(X40-$X$83)^2+(Y40-$Y$83)^2+(Z40-$Z$83)^2+(AA40-$AA$83)^2+(AB40-$AB$83)^2+(AC40-$AC$83)^2+(AD40-$AD$83)^2+(AE40-$AE$83)^2+(AF40-$AF$83)^2+(AG40-$AG$83)^2)</f>
        <v>0.95777923081026062</v>
      </c>
      <c r="EO40" s="36" t="s">
        <v>144</v>
      </c>
      <c r="EP40" s="37" t="s">
        <v>120</v>
      </c>
      <c r="ER40" s="44"/>
      <c r="ES40" s="36">
        <f>SQRT((A40-$A$84)^2+(B40-$B$84)^2+(C40-$C$84)^2+(D40-$D$84)^2+(E40-$E$84)^2+(F40-$F$84)^2+(G40-$G$84)^2+(H40-$H$84)^2+(I40-$I$84)^2+(J40-$J$84)^2+(K40-$K$84)^2+(L40-$L$84)^2+(M40-$M$84)^2+(N40-$N$84)^2+(O40-$O$84)^2+(P40-$P$84)^2+(Q40-$Q$84)^2+(R40-$R$84)^2+(S40-$S$84)^2+(T40-$T$84)^2+(U40-$U$84)^2+(V40-$V$84)^2+(W40-$W$84)^2+(X40-$X$84)^2+(Y40-$Y$84)^2+(Z40-$Z$84)^2+(AA40-$AA$84)^2+(AB40-$AB$84)^2+(AC40-$AC$84)^2+(AD40-$AD$84)^2+(AE40-$AE$84)^2+(AF40-$AF$84)^2+(AG40-$AG$84)^2)</f>
        <v>0</v>
      </c>
      <c r="ET40" s="36" t="s">
        <v>315</v>
      </c>
      <c r="EU40" s="37" t="s">
        <v>120</v>
      </c>
      <c r="EW40" s="44"/>
      <c r="EX40" s="36">
        <f>SQRT((A40-$A$85)^2+(B40-$B$85)^2+(C40-$C$85)^2+(D40-$D$85)^2+(E40-$E$85)^2+(F40-$F$85)^2+(G40-$G$85)^2+(H40-$H$85)^2+(I40-$I$85)^2+(J40-$J$85)^2+(K40-$K$85)^2+(L40-$L$85)^2+(M40-$M$85)^2+(N40-$N$85)^2+(O40-$O$85)^2+(P40-$P$85)^2+(Q40-$Q$85)^2+(R40-$R$85)^2+(S40-$S$85)^2+(T40-$T$85)^2+(U40-$U$85)^2+(V40-$V$85)^2+(W40-$W$85)^2+(X40-$X$85)^2+(Y40-$Y$85)^2+(Z40-$Z$85)^2+(AA40-$AA$85)^2+(AB40-$AB$85)^2+(AC40-$AC$85)^2+(AD40-$AD$85)^2+(AE40-$AE$85)^2+(AF40-$AF$85)^2+(AG40-$AG$85)^2)</f>
        <v>0</v>
      </c>
      <c r="EY40" s="36" t="s">
        <v>315</v>
      </c>
      <c r="EZ40" s="37" t="s">
        <v>120</v>
      </c>
      <c r="FB40" s="44"/>
      <c r="FC40" s="36">
        <f>SQRT((A40-$A$86)^2+(B40-$B$86)^2+(C40-$C$86)^2+(D40-$D$86)^2+(E40-$E$86)^2+(F40-$F$86)^2+(G40-$G$86)^2+(H40-$H$86)^2+(I40-$I$86)^2+(J40-$J$86)^2+(K40-$K$86)^2+(L40-$L$86)^2+(M40-$M$86)^2+(N40-$N$86)^2+(O40-$O$86)^2+(P40-$P$86)^2+(Q40-$Q$86)^2+(R40-$R$86)^2+(S40-$S$86)^2+(T40-$T$86)^2+(U40-$U$86)^2+(V40-$V$86)^2+(W40-$W$86)^2+(X40-$X$86)^2+(Y40-$Y$86)^2+(Z40-$Z$86)^2+(AA40-$AA$86)^2+(AB40-$AB$86)^2+(AC40-$AC$86)^2+(AD40-$AD$86)^2+(AE40-$AE$86)^2+(AF40-$AF$86)^2+(AG40-$AG$86)^2)</f>
        <v>0</v>
      </c>
      <c r="FD40" s="36" t="s">
        <v>315</v>
      </c>
      <c r="FE40" s="37" t="s">
        <v>120</v>
      </c>
      <c r="FG40" s="44"/>
      <c r="FH40" s="36">
        <f>SQRT((A40-$A$87)^2+(B40-$B$87)^2+(C40-$C$87)^2+(D40-$D$87)^2+(E40-$E$87)^2+(F40-$F$87)^2+(G40-$G$87)^2+(H40-$H$87)^2+(I40-$I$87)^2+(J40-$J$87)^2+(K40-$K$87)^2+(L40-$L$87)^2+(M40-$M$87)^2+(N40-$N$87)^2+(O40-$O$87)^2+(P40-$P$87)^2+(Q40-$Q$87)^2+(R40-$R$87)^2+(S40-$S$87)^2+(T40-$T$87)^2+(U40-$U$87)^2+(V40-$V$87)^2+(W40-$W$87)^2+(X40-$X$87)^2+(Y40-$Y$87)^2+(Z40-$Z$87)^2+(AA40-$AA$87)^2+(AB40-$AB$87)^2+(AC40-$AC$87)^2+(AD40-$AD$87)^2+(AE40-$AE$87)^2+(AF40-$AF$87)^2+(AG40-$AG$87)^2)</f>
        <v>0.97200717336145681</v>
      </c>
      <c r="FI40" s="36" t="s">
        <v>141</v>
      </c>
      <c r="FJ40" s="37" t="s">
        <v>120</v>
      </c>
      <c r="FL40" s="44"/>
      <c r="FM40" s="36">
        <f>SQRT((A40-$A$88)^2+(B40-$B$88)^2+(C40-$C$88)^2+(D40-$D$88)^2+(E40-$E$88)^2+(F40-$F$88)^2+(G40-$G$88)^2+(H40-$H$88)^2+(I40-$I$88)^2+(J40-$J$88)^2+(K40-$K$88)^2+(L40-$L$88)^2+(M40-$M$88)^2+(N40-$N$88)^2+(O40-$O$88)^2+(P40-$P$88)^2+(Q40-$Q$88)^2+(R40-$R$88)^2+(S40-$S$88)^2+(T40-$T$88)^2+(U40-$U$88)^2+(V40-$V$88)^2+(W40-$W$88)^2+(X40-$X$88)^2+(Y40-$Y$88)^2+(Z40-$Z$88)^2+(AA40-$AA$88)^2+(AB40-$AB$88)^2+(AC40-$AC$88)^2+(AD40-$AD$88)^2+(AE40-$AE$88)^2+(AF40-$AF$88)^2+(AG40-$AG$88)^2)</f>
        <v>1.1348474957061225</v>
      </c>
      <c r="FN40" s="36" t="s">
        <v>324</v>
      </c>
      <c r="FO40" s="37" t="s">
        <v>120</v>
      </c>
      <c r="FQ40" s="44"/>
      <c r="FR40" s="36">
        <f>SQRT((A40-$A$89)^2+(B40-$B$89)^2+(C40-$C$89)^2+(D40-$D$89)^2+(E40-$E$89)^2+(F40-$F$89)^2+(G40-$G$89)^2+(H40-$H$89)^2+(I40-$I$89)^2+(J40-$J$89)^2+(K40-$K$89)^2+(L40-$L$89)^2+(M40-$M$89)^2+(N40-$N$89)^2+(O40-$O$89)^2+(P40-$P$89)^2+(Q40-$Q$89)^2+(R40-$R$89)^2+(S40-$S$89)^2+(T40-$T$89)^2+(U40-$U$89)^2+(V40-$V$89)^2+(W40-$W$89)^2+(X40-$X$89)^2+(Y40-$Y$89)^2+(Z40-$Z$89)^2+(AA40-$AA$89)^2+(AB40-$AB$89)^2+(AC40-$AC$89)^2+(AD40-$AD$89)^2+(AE40-$AE$89)^2+(AF40-$AF$89)^2+(AG40-$AG$89)^2)</f>
        <v>1.5464558617671604</v>
      </c>
      <c r="FS40" s="36" t="s">
        <v>325</v>
      </c>
      <c r="FT40" s="37" t="s">
        <v>120</v>
      </c>
      <c r="FV40" s="44"/>
      <c r="FW40" s="36">
        <f>SQRT((A40-$A$90)^2+(B40-$B$90)^2+(C40-$C$90)^2+(D40-$D$90)^2+(E40-$E$90)^2+(F40-$F$90)^2+(G40-$G$90)^2+(H40-$H$90)^2+(I40-$I$90)^2+(J40-$J$90)^2+(K40-$K$90)^2+(L40-$L$90)^2+(M40-$M$90)^2+(N40-$N$90)^2+(O40-$O$90)^2+(P40-$P$90)^2+(Q40-$Q$90)^2+(R40-$R$90)^2+(S40-$S$90)^2+(T40-$T$90)^2+(U40-$U$90)^2+(V40-$V$90)^2+(W40-$W$90)^2+(X40-$X$90)^2+(Y40-$Y$90)^2+(Z40-$Z$90)^2+(AA40-$AA$90)^2+(AB40-$AB$90)^2+(AC40-$AC$90)^2+(AD40-$AD$90)^2+(AE40-$AE$90)^2+(AF40-$AF$90)^2+(AG40-$AG$90)^2)</f>
        <v>1.5349934074665983</v>
      </c>
      <c r="FX40" s="36" t="s">
        <v>137</v>
      </c>
      <c r="FY40" s="37" t="s">
        <v>120</v>
      </c>
      <c r="GA40" s="44"/>
      <c r="GB40" s="36">
        <f>SQRT((A40-$A$91)^2+(B40-$B$91)^2+(C40-$C$91)^2+(D40-$D$91)^2+(E40-$E$91)^2+(F40-$F$91)^2+(G40-$G$91)^2+(H40-$H$91)^2+(I40-$I$91)^2+(J40-$J$91)^2+(K40-$K$91)^2+(L40-$L$91)^2+(M40-$M$91)^2+(N40-$N$91)^2+(O40-$O$91)^2+(P40-$P$91)^2+(Q40-$Q$91)^2+(R40-$R$91)^2+(S40-$S$91)^2+(T40-$T$91)^2+(U40-$U$91)^2+(V40-$V$91)^2+(W40-$W$91)^2+(X40-$X$91)^2+(Y40-$Y$91)^2+(Z40-$Z$91)^2+(AA40-$AA$91)^2+(AB40-$AB$91)^2+(AC40-$AC$91)^2+(AD40-$AD$91)^2+(AE40-$AE$91)^2+(AF40-$AF$91)^2+(AG40-$AG$91)^2)</f>
        <v>1.6928697576375886</v>
      </c>
      <c r="GC40" s="36" t="s">
        <v>314</v>
      </c>
      <c r="GD40" s="37" t="s">
        <v>120</v>
      </c>
      <c r="GF40" s="44"/>
      <c r="GG40" s="36">
        <f>SQRT((A40-$A$92)^2+(B40-$B$92)^2+(C40-$C$92)^2+(D40-$D$92)^2+(E40-$E$92)^2+(F40-$F$92)^2+(G40-$G$92)^2+(H40-$H$92)^2+(I40-$I$92)^2+(J40-$J$92)^2+(K40-$K$92)^2+(L40-$L$92)^2+(M40-$M$92)^2+(N40-$N$92)^2+(O40-$O$92)^2+(P40-$P$92)^2+(Q40-$Q$92)^2+(R40-$R$92)^2+(S40-$S$92)^2+(T40-$T$92)^2+(U40-$U$92)^2+(V40-$V$92)^2+(W40-$W$92)^2+(X40-$X$92)^2+(Y40-$Y$92)^2+(Z40-$Z$92)^2+(AA40-$AA$92)^2+(AB40-$AB$92)^2+(AC40-$AC$92)^2+(AD40-$AD$92)^2+(AE40-$AE$92)^2+(AF40-$AF$92)^2+(AG40-$AG$92)^2)</f>
        <v>1.5192471934052019</v>
      </c>
      <c r="GH40" s="36" t="s">
        <v>327</v>
      </c>
      <c r="GI40" s="37" t="s">
        <v>120</v>
      </c>
      <c r="GK40" s="44"/>
      <c r="GL40" s="36">
        <f>SQRT((A40-$A$93)^2+(B40-$B$93)^2+(C40-$C$93)^2+(D40-$D$93)^2+(E40-$E$93)^2+(F40-$F$93)^2+(G40-$G$93)^2+(H40-$H$93)^2+(I40-$I$93)^2+(J40-$J$93)^2+(K40-$K$93)^2+(L40-$L$93)^2+(M40-$M$93)^2+(N40-$N$93)^2+(O40-$O$93)^2+(P40-$P$93)^2+(Q40-$Q$93)^2+(R40-$R$93)^2+(S40-$S$93)^2+(T40-$T$93)^2+(U40-$U$93)^2+(V40-$V$93)^2+(W40-$W$93)^2+(X40-$X$93)^2+(Y40-$Y$93)^2+(Z40-$Z$93)^2+(AA40-$AA$93)^2+(AB40-$AB$93)^2+(AC40-$AC$93)^2+(AD40-$AD$93)^2+(AE40-$AE$93)^2+(AF40-$AF$93)^2+(AG40-$AG$93)^2)</f>
        <v>1.7785055277960402</v>
      </c>
      <c r="GM40" s="36" t="s">
        <v>322</v>
      </c>
      <c r="GN40" s="37" t="s">
        <v>120</v>
      </c>
      <c r="GP40" s="44"/>
      <c r="GQ40" s="36">
        <f>SQRT((A40-$A$94)^2+(B40-$B$94)^2+(C40-$C$94)^2+(D40-$D$94)^2+(E40-$E$94)^2+(F40-$F$94)^2+(G40-$G$94)^2+(H40-$H$94)^2+(I40-$I$94)^2+(J40-$J$94)^2+(K40-$K$94)^2+(L40-$L$94)^2+(M40-$M$94)^2+(N40-$N$94)^2+(O40-$O$94)^2+(P40-$P$94)^2+(Q40-$Q$94)^2+(R40-$R$94)^2+(S40-$S$94)^2+(T40-$T$94)^2+(U40-$U$94)^2+(V40-$V$94)^2+(W40-$W$94)^2+(X40-$X$94)^2+(Y40-$Y$94)^2+(Z40-$Z$94)^2+(AA40-$AA$94)^2+(AB40-$AB$94)^2+(AC40-$AC$94)^2+(AD40-$AD$94)^2+(AE40-$AE$94)^2+(AF40-$AF$94)^2+(AG40-$AG$94)^2)</f>
        <v>1.0229963837983551</v>
      </c>
      <c r="GR40" s="36" t="s">
        <v>313</v>
      </c>
      <c r="GS40" s="37" t="s">
        <v>120</v>
      </c>
      <c r="GU40" s="44"/>
      <c r="GV40" s="36">
        <f>SQRT((A40-$A$95)^2+(B40-$B$95)^2+(C40-$C$95)^2+(D40-$D$95)^2+(E40-$E$95)^2+(F40-$F$95)^2+(G40-$G$95)^2+(H40-$H$95)^2+(I40-$I$95)^2+(J40-$J$95)^2+(K40-$K$95)^2+(L40-$L$95)^2+(M40-$M$95)^2+(N40-$N$95)^2+(O40-$O$95)^2+(P40-$P$95)^2+(Q40-$Q$95)^2+(R40-$R$95)^2+(S40-$S$95)^2+(T40-$T$95)^2+(U40-$U$95)^2+(V40-$V$95)^2+(W40-$W$95)^2+(X40-$X$95)^2+(Y40-$Y$95)^2+(Z40-$Z$95)^2+(AA40-$AA$95)^2+(AB40-$AB$95)^2+(AC40-$AC$95)^2+(AD40-$AD$95)^2+(AE40-$AE$95)^2+(AF40-$AF$95)^2+(AG40-$AG$95)^2)</f>
        <v>2.248679199469116</v>
      </c>
      <c r="GW40" s="36" t="s">
        <v>150</v>
      </c>
      <c r="GX40" s="37" t="s">
        <v>120</v>
      </c>
      <c r="GZ40" s="44"/>
      <c r="HA40" s="36">
        <f>SQRT((A40-$A$96)^2+(B40-$B$96)^2+(C40-$C$96)^2+(D40-$D$96)^2+(E40-$E$96)^2+(F40-$F$96)^2+(G40-$G$96)^2+(H40-$H$96)^2+(I40-$I$96)^2+(J40-$J$96)^2+(K40-$K$96)^2+(L40-$L$96)^2+(M40-$M$96)^2+(N40-$N$96)^2+(O40-$O$96)^2+(P40-$P$96)^2+(Q40-$Q$96)^2+(R40-$R$96)^2+(S40-$S$96)^2+(T40-$T$96)^2+(U40-$U$96)^2+(V40-$V$96)^2+(W40-$W$96)^2+(X40-$X$96)^2+(Y40-$Y$96)^2+(Z40-$Z$96)^2+(AA40-$AA$96)^2+(AB40-$AB$96)^2+(AC40-$AC$96)^2+(AD40-$AD$96)^2+(AE40-$AE$96)^2+(AF40-$AF$96)^2+(AG40-$AG$96)^2)</f>
        <v>2.1132636339302331</v>
      </c>
      <c r="HB40" s="36" t="s">
        <v>337</v>
      </c>
      <c r="HC40" s="37" t="s">
        <v>120</v>
      </c>
      <c r="HE40" s="44"/>
      <c r="HF40" s="36">
        <f>SQRT((A40-$A$97)^2+(B40-$B$97)^2+(C40-$C$97)^2+(D40-$D$97)^2+(E40-$E$97)^2+(F40-$F$97)^2+(G40-$G$97)^2+(H40-$H$97)^2+(I40-$I$97)^2+(J40-$J$97)^2+(K40-$K$97)^2+(L40-$L$97)^2+(M40-$M$97)^2+(N40-$N$97)^2+(O40-$O$97)^2+(P40-$P$97)^2+(Q40-$Q$97)^2+(R40-$R$97)^2+(S40-$S$97)^2+(T40-$T$97)^2+(U40-$U$97)^2+(V40-$V$97)^2+(W40-$W$97)^2+(X40-$X$97)^2+(Y40-$Y$97)^2+(Z40-$Z$97)^2+(AA40-$AA$97)^2+(AB40-$AB$97)^2+(AC40-$AC$97)^2+(AD40-$AD$97)^2+(AE40-$AE$97)^2+(AF40-$AF$97)^2+(AG40-$AG$97)^2)</f>
        <v>0</v>
      </c>
      <c r="HG40" s="36" t="s">
        <v>315</v>
      </c>
      <c r="HH40" s="37" t="s">
        <v>120</v>
      </c>
      <c r="HJ40" s="44"/>
      <c r="HK40" s="36">
        <f>SQRT((A40-$A$98)^2+(B40-$B$98)^2+(C40-$C$98)^2+(D40-$D$98)^2+(E40-$E$98)^2+(F40-$F$98)^2+(G40-$G$98)^2+(H40-$H$98)^2+(I40-$I$98)^2+(J40-$J$98)^2+(K40-$K$98)^2+(L40-$L$98)^2+(M40-$M$98)^2+(N40-$N$98)^2+(O40-$O$98)^2+(P40-$P$98)^2+(Q40-$Q$98)^2+(R40-$R$98)^2+(S40-$S$98)^2+(T40-$T$98)^2+(U40-$U$98)^2+(V40-$V$98)^2+(W40-$W$98)^2+(X40-$X$98)^2+(Y40-$Y$98)^2+(Z40-$Z$98)^2+(AA40-$AA$98)^2+(AB40-$AB$98)^2+(AC40-$AC$98)^2+(AD40-$AD$98)^2+(AE40-$AE$98)^2+(AF40-$AF$98)^2+(AG40-$AG$98)^2)</f>
        <v>0</v>
      </c>
      <c r="HL40" s="36" t="s">
        <v>315</v>
      </c>
      <c r="HM40" s="37" t="s">
        <v>120</v>
      </c>
      <c r="HO40" s="44"/>
      <c r="HP40" s="36">
        <f>SQRT((A40-$A$99)^2+(B40-$B$99)^2+(C40-$C$99)^2+(D40-$D$99)^2+(E40-$E$99)^2+(F40-$F$99)^2+(G40-$G$99)^2+(H40-$H$99)^2+(I40-$I$99)^2+(J40-$J$99)^2+(K40-$K$99)^2+(L40-$L$99)^2+(M40-$M$99)^2+(N40-$N$99)^2+(O40-$O$99)^2+(P40-$P$99)^2+(Q40-$Q$99)^2+(R40-$R$99)^2+(S40-$S$99)^2+(T40-$T$99)^2+(U40-$U$99)^2+(V40-$V$99)^2+(W40-$W$99)^2+(X40-$X$99)^2+(Y40-$Y$99)^2+(Z40-$Z$99)^2+(AA40-$AA$99)^2+(AB40-$AB$99)^2+(AC40-$AC$99)^2+(AD40-$AD$99)^2+(AE40-$AE$99)^2+(AF40-$AF$99)^2+(AG40-$AG$99)^2)</f>
        <v>0</v>
      </c>
      <c r="HQ40" s="36" t="s">
        <v>315</v>
      </c>
      <c r="HR40" s="37" t="s">
        <v>120</v>
      </c>
      <c r="HT40" s="44"/>
      <c r="HU40" s="36">
        <f>SQRT((A40-$A$100)^2+(B40-$B$100)^2+(C40-$C$100)^2+(D40-$D$100)^2+(E40-$E$100)^2+(F40-$F$100)^2+(G40-$G$100)^2+(H40-$H$100)^2+(I40-$I$100)^2+(J40-$J$100)^2+(K40-$K$100)^2+(L40-$L$100)^2+(M40-$M$100)^2+(N40-$N$100)^2+(O40-$O$100)^2+(P40-$P$100)^2+(Q40-$Q$100)^2+(R40-$R$100)^2+(S40-$S$100)^2+(T40-$T$100)^2+(U40-$U$100)^2+(V40-$V$100)^2+(W40-$W$100)^2+(X40-$X$100)^2+(Y40-$Y$100)^2+(Z40-$Z$100)^2+(AA40-$AA$100)^2+(AB40-$AB$100)^2+(AC40-$AC$100)^2+(AD40-$AD$100)^2+(AE40-$AE$100)^2+(AF40-$AF$100)^2+(AG40-$AG$100)^2)</f>
        <v>0</v>
      </c>
      <c r="HV40" s="36" t="s">
        <v>315</v>
      </c>
      <c r="HW40" s="37" t="s">
        <v>120</v>
      </c>
      <c r="HY40" s="44"/>
      <c r="HZ40" s="36">
        <f>SQRT((A40-$A$101)^2+(B40-$B$101)^2+(C40-$C$101)^2+(D40-$D$101)^2+(E40-$E$101)^2+(F40-$F$101)^2+(G40-$G$101)^2+(H40-$H$101)^2+(I40-$I$101)^2+(J40-$J$101)^2+(K40-$K$101)^2+(L40-$L$101)^2+(M40-$M$101)^2+(N40-$N$101)^2+(O40-$O$101)^2+(P40-$P$101)^2+(Q40-$Q$101)^2+(R40-$R$101)^2+(S40-$S$101)^2+(T40-$T$101)^2+(U40-$U$101)^2+(V40-$V$101)^2+(W40-$W$101)^2+(X40-$X$101)^2+(Y40-$Y$101)^2+(Z40-$Z$101)^2+(AA40-$AA$101)^2+(AB40-$AB$101)^2+(AC40-$AC$101)^2+(AD40-$AD$101)^2+(AE40-$AE$101)^2+(AF40-$AF$101)^2+(AG40-$AG$101)^2)</f>
        <v>1.4405513255795901</v>
      </c>
      <c r="IA40" s="36" t="s">
        <v>337</v>
      </c>
      <c r="IB40" s="37" t="s">
        <v>120</v>
      </c>
    </row>
    <row r="41" spans="1:236" x14ac:dyDescent="0.35">
      <c r="A41" s="2">
        <v>0.5</v>
      </c>
      <c r="B41" s="2">
        <v>0.5</v>
      </c>
      <c r="C41" s="2">
        <v>0.23899371069182301</v>
      </c>
      <c r="D41" s="2">
        <v>0.66666666666666596</v>
      </c>
      <c r="E41" s="2">
        <v>0</v>
      </c>
      <c r="F41" s="2">
        <v>1</v>
      </c>
      <c r="G41" s="2">
        <v>0.55555555555555503</v>
      </c>
      <c r="H41" s="2">
        <v>1</v>
      </c>
      <c r="I41" s="2">
        <v>0</v>
      </c>
      <c r="J41" s="2">
        <v>0</v>
      </c>
      <c r="K41" s="2">
        <v>0.5</v>
      </c>
      <c r="L41" s="2">
        <v>0.158904109589041</v>
      </c>
      <c r="M41" s="2">
        <v>1</v>
      </c>
      <c r="N41" s="2">
        <v>0</v>
      </c>
      <c r="O41" s="2">
        <v>0</v>
      </c>
      <c r="P41" s="2">
        <v>0.4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0</v>
      </c>
      <c r="W41" s="2">
        <v>1</v>
      </c>
      <c r="X41" s="2">
        <v>1</v>
      </c>
      <c r="Y41" s="2">
        <v>1</v>
      </c>
      <c r="Z41" s="2">
        <v>0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0.19565217391304299</v>
      </c>
      <c r="AH41" s="2" t="s">
        <v>120</v>
      </c>
      <c r="AI41" s="42"/>
      <c r="AJ41" s="42"/>
      <c r="AL41" s="44"/>
      <c r="AM41" s="36">
        <f>SQRT((A41-$A$62)^2+(B41-$B$62)^2+(C41-$C$62)^2+(D41-$D$62)^2+(E41-$E$62)^2+(F41-$F$62)^2+(G41-$G$62)^2+(H41-$H$62)^2+(I41-$I$62)^2+(J41-$J$62)^2+(K41-$K$62)^2+(L41-$L$62)^2+(M41-$M$62)^2+(N41-$N$62)^2+(O41-$O$62)^2+(P41-$P$62)^2+(Q41-$Q$62)^2+(R41-$R$62)^2+(S41-$S$62)^2+(T41-$T$62)^2+(U41-$U$62)^2+(V41-$V$62)^2+(W41-$W$62)^2+(X41-$X$62)^2+(Y41-$Y$62)^2+(Z41-$Z$62)^2+(AA41-$AA$62)^2+(AB41-$AB$62)^2+(AC41-$AC$62)^2+(AD41-$AD$62)^2+(AE41-$AE$62)^2+(AF41-$AF$62)^2+(AG41-$AG$62)^2)</f>
        <v>1.793268818167024</v>
      </c>
      <c r="AN41" s="36" t="s">
        <v>136</v>
      </c>
      <c r="AO41" s="37" t="s">
        <v>120</v>
      </c>
      <c r="AQ41" s="44"/>
      <c r="AR41" s="36">
        <f>SQRT((A41-$A$63)^2+(B41-$B$63)^2+(C41-$C$63)^2+(D41-$D$63)^2+(E41-$E$63)^2+(F41-$F$63)^2+(G41-$G$63)^2+(H41-$H$63)^2+(I41-$I$63)^2+(J41-$J$63)^2+(K41-$K$63)^2+(L41-$L$63)^2+(M41-$M$63)^2+(N41-$N$63)^2+(O41-$O$63)^2+(P41-$P$63)^2+(Q41-$Q$63)^2+(R41-$R$63)^2+(S41-$S$63)^2+(T41-$T$63)^2+(U41-$U$63)^2+(V41-$V$63)^2+(W41-$W$63)^2+(X41-$X$63)^2+(Y41-$Y$63)^2+(Z41-$Z$63)^2+(AA41-$AA$63)^2+(AB41-$AB$63)^2+(AC41-$AC$63)^2+(AD41-$AD$63)^2+(AE41-$AE$63)^2+(AF41-$AF$63)^2+(AG41-$AG$63)^2)</f>
        <v>1.0431006494725459</v>
      </c>
      <c r="AS41" s="36" t="s">
        <v>135</v>
      </c>
      <c r="AT41" s="37" t="s">
        <v>120</v>
      </c>
      <c r="AV41" s="44"/>
      <c r="AW41" s="36">
        <f>SQRT((A41-$A$64)^2+(B41-$B$64)^2+(C41-$C$64)^2+(D41-$D$64)^2+(E41-$E$64)^2+(F41-$F$64)^2+(G41-$G$64)^2+(H41-$H$64)^2+(I41-$I$64)^2+(J41-$J$64)^2+(K41-$K$64)^2+(L41-$L$64)^2+(M41-$M$64)^2+(N41-$N$64)^2+(O41-$O$64)^2+(P41-$P$64)^2+(Q41-$Q$64)^2+(R41-$R$64)^2+(S41-$S$64)^2+(T41-$T$64)^2+(U41-$U$64)^2+(V41-$V$64)^2+(W41-$W$64)^2+(X41-$X$64)^2+(Y41-$Y$64)^2+(Z41-$Z$64)^2+(AA41-$AA$64)^2+(AB41-$AB$64)^2+(AC41-$AC$64)^2+(AD41-$AD$64)^2+(AE41-$AE$64)^2+(AF41-$AF$64)^2+(AG41-$AG$64)^2)</f>
        <v>1.0431006494725459</v>
      </c>
      <c r="AX41" s="36" t="s">
        <v>135</v>
      </c>
      <c r="AY41" s="37" t="s">
        <v>120</v>
      </c>
      <c r="BA41" s="44"/>
      <c r="BB41" s="36">
        <f>SQRT((A41-$A$65)^2+(B41-$B$65)^2+(C41-$C$65)^2+(D41-$D$65)^2+(E41-$E$65)^2+(F41-$F$65)^2+(G41-$G$65)^2+(H41-$H$65)^2+(I41-$I$65)^2+(J41-$J$65)^2+(K41-$K$65)^2+(L41-$L$65)^2+(M41-$M$65)^2+(N41-$N$65)^2+(O41-$O$65)^2+(P41-$P$65)^2+(Q41-$Q$65)^2+(R41-$R$65)^2+(S41-$S$65)^2+(T41-$T$65)^2+(U41-$U$65)^2+(V41-$V$65)^2+(W41-$W$65)^2+(X41-$X$65)^2+(Y41-$Y$65)^2+(Z41-$Z$65)^2+(AA41-$AA$65)^2+(AB41-$AB$65)^2+(AC41-$AC$65)^2+(AD41-$AD$65)^2+(AE41-$AE$65)^2+(AF41-$AF$65)^2+(AG41-$AG$65)^2)</f>
        <v>1.0431006494725459</v>
      </c>
      <c r="BC41" s="36" t="s">
        <v>135</v>
      </c>
      <c r="BD41" s="37" t="s">
        <v>120</v>
      </c>
      <c r="BF41" s="44"/>
      <c r="BG41" s="36">
        <f>SQRT((A41-$A$66)^2+(B41-$B$66)^2+(C41-$C$66)^2+(D41-$D$66)^2+(E41-$E$66)^2+(F41-$F$66)^2+(G41-$G$66)^2+(H41-$H$66)^2+(I41-$I$66)^2+(J41-$J$66)^2+(K41-$K$66)^2+(L41-$L$66)^2+(M41-$M$66)^2+(N41-$N$66)^2+(O41-$O$66)^2+(P41-$P$66)^2+(Q41-$Q$66)^2+(R41-$R$66)^2+(S41-$S$66)^2+(T41-$T$66)^2+(U41-$U$66)^2+(V41-$V$66)^2+(W41-$W$66)^2+(X41-$X$66)^2+(Y41-$Y$66)^2+(Z41-$Z$66)^2+(AA41-$AA$66)^2+(AB41-$AB$66)^2+(AC41-$AC$66)^2+(AD41-$AD$66)^2+(AE41-$AE$66)^2+(AF41-$AF$66)^2+(AG41-$AG$66)^2)</f>
        <v>1.0431006494725459</v>
      </c>
      <c r="BH41" s="36" t="s">
        <v>135</v>
      </c>
      <c r="BI41" s="37" t="s">
        <v>120</v>
      </c>
      <c r="BK41" s="44"/>
      <c r="BL41" s="36">
        <f>SQRT((A41-$A$67)^2+(B41-$B$67)^2+(C41-$C$67)^2+(D41-$D$67)^2+(E41-$E$67)^2+(F41-$F$67)^2+(G41-$G$67)^2+(H41-$H$67)^2+(I41-$I$67)^2+(J41-$J$67)^2+(K41-$K$67)^2+(L41-$L$67)^2+(M41-$M$67)^2+(N41-$N$67)^2+(O41-$O$67)^2+(P41-$P$67)^2+(Q41-$Q$67)^2+(R41-$R$67)^2+(S41-$S$67)^2+(T41-$T$67)^2+(U41-$U$67)^2+(V41-$V$67)^2+(W41-$W$67)^2+(X41-$X$67)^2+(Y41-$Y$67)^2+(Z41-$Z$67)^2+(AA41-$AA$67)^2+(AB41-$AB$67)^2+(AC41-$AC$67)^2+(AD41-$AD$67)^2+(AE41-$AE$67)^2+(AF41-$AF$67)^2+(AG41-$AG$67)^2)</f>
        <v>1.0431006494725459</v>
      </c>
      <c r="BM41" s="36" t="s">
        <v>135</v>
      </c>
      <c r="BN41" s="37" t="s">
        <v>120</v>
      </c>
      <c r="BP41" s="44"/>
      <c r="BQ41" s="36">
        <f>SQRT((A41-$A$68)^2+(B41-$B$68)^2+(C41-$C$68)^2+(D41-$D$68)^2+(E41-$E$68)^2+(F41-$F$68)^2+(G41-$G$68)^2+(H41-$H$68)^2+(I41-$I$68)^2+(J41-$J$68)^2+(K41-$K$68)^2+(L41-$L$68)^2+(M41-$M$68)^2+(N41-$N$68)^2+(O41-$O$68)^2+(P41-$P$68)^2+(Q41-$Q$68)^2+(R41-$R$68)^2+(S41-$S$68)^2+(T41-$T$68)^2+(U41-$U$68)^2+(V41-$V$68)^2+(W41-$W$68)^2+(X41-$X$68)^2+(Y41-$Y$68)^2+(Z41-$Z$68)^2+(AA41-$AA$68)^2+(AB41-$AB$68)^2+(AC41-$AC$68)^2+(AD41-$AD$68)^2+(AE41-$AE$68)^2+(AF41-$AF$68)^2+(AG41-$AG$68)^2)</f>
        <v>1.0431006494725459</v>
      </c>
      <c r="BR41" s="36" t="s">
        <v>135</v>
      </c>
      <c r="BS41" s="37" t="s">
        <v>120</v>
      </c>
      <c r="BU41" s="44"/>
      <c r="BV41" s="36">
        <f>SQRT((A41-$A$69)^2+(B41-$B$69)^2+(C41-$C$69)^2+(D41-$D$69)^2+(E41-$E$69)^2+(F41-$F$69)^2+(G41-$G$69)^2+(H41-$H$69)^2+(I41-$I$69)^2+(J41-$J$69)^2+(K41-$K$69)^2+(L41-$L$69)^2+(M41-$M$69)^2+(N41-$N$69)^2+(O41-$O$69)^2+(P41-$P$69)^2+(Q41-$Q$69)^2+(R41-$R$69)^2+(S41-$S$69)^2+(T41-$T$69)^2+(U41-$U$69)^2+(V41-$V$69)^2+(W41-$W$69)^2+(X41-$X$69)^2+(Y41-$Y$69)^2+(Z41-$Z$69)^2+(AA41-$AA$69)^2+(AB41-$AB$69)^2+(AC41-$AC$69)^2+(AD41-$AD$69)^2+(AE41-$AE$69)^2+(AF41-$AF$69)^2+(AG41-$AG$69)^2)</f>
        <v>2.3996675911471148</v>
      </c>
      <c r="BW41" s="36" t="s">
        <v>328</v>
      </c>
      <c r="BX41" s="37" t="s">
        <v>120</v>
      </c>
      <c r="BZ41" s="44"/>
      <c r="CA41" s="36">
        <f>SQRT((A41-$A$70)^2+(B41-$B$70)^2+(C41-$C$70)^2+(D41-$D$70)^2+(E41-$E$70)^2+(F41-$F$70)^2+(G41-$G$70)^2+(H41-$H$70)^2+(I41-$I$70)^2+(J41-$J$70)^2+(K41-$K$70)^2+(L41-$L$70)^2+(M41-$M$70)^2+(N41-$N$70)^2+(O41-$O$70)^2+(P41-$P$70)^2+(Q41-$Q$70)^2+(R41-$R$70)^2+(S41-$S$70)^2+(T41-$T$70)^2+(U41-$U$70)^2+(V41-$V$70)^2+(W41-$W$70)^2+(X41-$X$70)^2+(Y41-$Y$70)^2+(Z41-$Z$70)^2+(AA41-$AA$70)^2+(AB41-$AB$70)^2+(AC41-$AC$70)^2+(AD41-$AD$70)^2+(AE41-$AE$70)^2+(AF41-$AF$70)^2+(AG41-$AG$70)^2)</f>
        <v>1.1584328422426771</v>
      </c>
      <c r="CB41" s="36" t="s">
        <v>141</v>
      </c>
      <c r="CC41" s="37" t="s">
        <v>120</v>
      </c>
      <c r="CE41" s="44"/>
      <c r="CF41" s="36">
        <f>SQRT((A41-$A$71)^2+(B41-$B$71)^2+(C41-$C$71)^2+(D41-$D$71)^2+(E41-$E$71)^2+(F41-$F$71)^2+(G41-$G$71)^2+(H41-$H$71)^2+(I41-$I$71)^2+(J41-$J$71)^2+(K41-$K$71)^2+(L41-$L$71)^2+(M41-$M$71)^2+(N41-$N$71)^2+(O41-$O$71)^2+(P41-$P$71)^2+(Q41-$Q$71)^2+(R41-$R$71)^2+(S41-$S$71)^2+(T41-$T$71)^2+(U41-$U$71)^2+(V41-$V$71)^2+(W41-$W$71)^2+(X41-$X$71)^2+(Y41-$Y$71)^2+(Z41-$Z$71)^2+(AA41-$AA$71)^2+(AB41-$AB$71)^2+(AC41-$AC$71)^2+(AD41-$AD$71)^2+(AE41-$AE$71)^2+(AF41-$AF$71)^2+(AG41-$AG$71)^2)</f>
        <v>0.50168602951315033</v>
      </c>
      <c r="CG41" s="36" t="s">
        <v>328</v>
      </c>
      <c r="CH41" s="37" t="s">
        <v>120</v>
      </c>
      <c r="CJ41" s="44"/>
      <c r="CK41" s="36">
        <f>SQRT((A41-$A$72)^2+(B41-$B$72)^2+(C41-$C$72)^2+(D41-$D$72)^2+(E41-$E$72)^2+(F41-$F$72)^2+(G41-$G$72)^2+(H41-$H$72)^2+(I41-$I$72)^2+(J41-$J$72)^2+(K41-$K$72)^2+(L41-$L$72)^2+(M41-$M$72)^2+(N41-$N$72)^2+(O41-$O$72)^2+(P41-$P$72)^2+(Q41-$Q$72)^2+(R41-$R$72)^2+(S41-$S$72)^2+(T41-$T$72)^2+(U41-$U$72)^2+(V41-$V$72)^2+(W41-$W$72)^2+(X41-$X$72)^2+(Y41-$Y$72)^2+(Z41-$Z$72)^2+(AA41-$AA$72)^2+(AB41-$AB$72)^2+(AC41-$AC$72)^2+(AD41-$AD$72)^2+(AE41-$AE$72)^2+(AF41-$AF$72)^2+(AG41-$AG$72)^2)</f>
        <v>1.3411773832879961</v>
      </c>
      <c r="CL41" s="36" t="s">
        <v>137</v>
      </c>
      <c r="CM41" s="37" t="s">
        <v>120</v>
      </c>
      <c r="CO41" s="44"/>
      <c r="CP41" s="36">
        <f>SQRT((A41-$A$73)^2+(B41-$B$73)^2+(C41-$C$73)^2+(D41-$D$73)^2+(E41-$E$73)^2+(F41-$F$73)^2+(G41-$G$73)^2+(H41-$H$73)^2+(I41-$I$73)^2+(J41-$J$73)^2+(K41-$K$73)^2+(L41-$L$73)^2+(M41-$M$73)^2+(N41-$N$73)^2+(O41-$O$73)^2+(P41-$P$73)^2+(Q41-$Q$73)^2+(R41-$R$73)^2+(S41-$S$73)^2+(T41-$T$73)^2+(U41-$U$73)^2+(V41-$V$73)^2+(W41-$W$73)^2+(X41-$X$73)^2+(Y41-$Y$73)^2+(Z41-$Z$73)^2+(AA41-$AA$73)^2+(AB41-$AB$73)^2+(AC41-$AC$73)^2+(AD41-$AD$73)^2+(AE41-$AE$73)^2+(AF41-$AF$73)^2+(AG41-$AG$73)^2)</f>
        <v>1.6245449786150858</v>
      </c>
      <c r="CQ41" s="36" t="s">
        <v>145</v>
      </c>
      <c r="CR41" s="37" t="s">
        <v>120</v>
      </c>
      <c r="CT41" s="44"/>
      <c r="CU41" s="36">
        <f>SQRT((A41-$A$74)^2+(B41-$B$74)^2+(C41-$C$74)^2+(D41-$D$74)^2+(E41-$E$74)^2+(F41-$F$74)^2+(G41-$G$74)^2+(H41-$H$74)^2+(I41-$I$74)^2+(J41-$J$74)^2+(K41-$K$74)^2+(L41-$L$74)^2+(M41-$M$74)^2+(N41-$N$74)^2+(O41-$O$74)^2+(P41-$P$74)^2+(Q41-$Q$74)^2+(R41-$R$74)^2+(S41-$S$74)^2+(T41-$T$74)^2+(U41-$U$74)^2+(V41-$V$74)^2+(W41-$W$74)^2+(X41-$X$74)^2+(Y41-$Y$74)^2+(Z41-$Z$74)^2+(AA41-$AA$74)^2+(AB41-$AB$74)^2+(AC41-$AC$74)^2+(AD41-$AD$74)^2+(AE41-$AE$74)^2+(AF41-$AF$74)^2+(AG41-$AG$74)^2)</f>
        <v>1.278643911963502</v>
      </c>
      <c r="CV41" s="36" t="s">
        <v>327</v>
      </c>
      <c r="CW41" s="37" t="s">
        <v>120</v>
      </c>
      <c r="CY41" s="44"/>
      <c r="CZ41" s="36">
        <f>SQRT((A41-$A$75)^2+(B41-$B$75)^2+(C41-$C$75)^2+(D41-$D$75)^2+(E41-$E$75)^2+(F41-$F$75)^2+(G41-$G$75)^2+(H41-$H$75)^2+(I41-$I$75)^2+(J41-$J$75)^2+(K41-$K$75)^2+(L41-$L$75)^2+(M41-$M$75)^2+(N41-$N$75)^2+(O41-$O$75)^2+(P41-$P$75)^2+(Q41-$Q$75)^2+(R41-$R$75)^2+(S41-$S$75)^2+(T41-$T$75)^2+(U41-$U$75)^2+(V41-$V$75)^2+(W41-$W$75)^2+(X41-$X$75)^2+(Y41-$Y$75)^2+(Z41-$Z$75)^2+(AA41-$AA$75)^2+(AB41-$AB$75)^2+(AC41-$AC$75)^2+(AD41-$AD$75)^2+(AE41-$AE$75)^2+(AF41-$AF$75)^2+(AG41-$AG$75)^2)</f>
        <v>1.3124327490872907</v>
      </c>
      <c r="DA41" s="36" t="s">
        <v>315</v>
      </c>
      <c r="DB41" s="37" t="s">
        <v>120</v>
      </c>
      <c r="DD41" s="44"/>
      <c r="DE41" s="36">
        <f>SQRT((A41-$A$76)^2+(B41-$B$76)^2+(C41-$C$76)^2+(D41-$D$76)^2+(E41-$E$76)^2+(F41-$F$76)^2+(G41-$G$76)^2+(H41-$H$76)^2+(I41-$I$76)^2+(J41-$J$76)^2+(K41-$K$76)^2+(L41-$L$76)^2+(M41-$M$76)^2+(N41-$N$76)^2+(O41-$O$76)^2+(P41-$P$76)^2+(Q41-$Q$76)^2+(R41-$R$76)^2+(S41-$S$76)^2+(T41-$T$76)^2+(U41-$U$76)^2+(V41-$V$76)^2+(W41-$W$76)^2+(X41-$X$76)^2+(Y41-$Y$76)^2+(Z41-$Z$76)^2+(AA41-$AA$76)^2+(AB41-$AB$76)^2+(AC41-$AC$76)^2+(AD41-$AD$76)^2+(AE41-$AE$76)^2+(AF41-$AF$76)^2+(AG41-$AG$76)^2)</f>
        <v>0.94341358276861631</v>
      </c>
      <c r="DF41" s="36" t="s">
        <v>143</v>
      </c>
      <c r="DG41" s="37" t="s">
        <v>120</v>
      </c>
      <c r="DI41" s="44"/>
      <c r="DJ41" s="36">
        <f>SQRT((A41-$A$77)^2+(B41-$B$77)^2+(C41-$C$77)^2+(D41-$D$77)^2+(E41-$E$77)^2+(F41-$F$77)^2+(G41-$G$77)^2+(H41-$H$77)^2+(I41-$I$77)^2+(J41-$J$77)^2+(K41-$K$77)^2+(L41-$L$77)^2+(M41-$M$77)^2+(N41-$N$77)^2+(O41-$O$77)^2+(P41-$P$77)^2+(Q41-$Q$77)^2+(R41-$R$77)^2+(S41-$S$77)^2+(T41-$T$77)^2+(U41-$U$77)^2+(V41-$V$77)^2+(W41-$W$77)^2+(X41-$X$77)^2+(Y41-$Y$77)^2+(Z41-$Z$77)^2+(AA41-$AA$77)^2+(AB41-$AB$77)^2+(AC41-$AC$77)^2+(AD41-$AD$77)^2+(AE41-$AE$77)^2+(AF41-$AF$77)^2+(AG41-$AG$77)^2)</f>
        <v>1.916938907030614</v>
      </c>
      <c r="DK41" s="36" t="s">
        <v>137</v>
      </c>
      <c r="DL41" s="37" t="s">
        <v>120</v>
      </c>
      <c r="DN41" s="44"/>
      <c r="DO41" s="36">
        <f>SQRT((A41-$A$78)^2+(B41-$B$78)^2+(C41-$C$78)^2+(D41-$D$78)^2+(E41-$E$78)^2+(F41-$F$78)^2+(G41-$G$78)^2+(H41-$H$78)^2+(I41-$I$78)^2+(J41-$J$78)^2+(K41-$K$78)^2+(L41-$L$78)^2+(M41-$M$78)^2+(N41-$N$78)^2+(O41-$O$78)^2+(P41-$P$78)^2+(Q41-$Q$78)^2+(R41-$R$78)^2+(S41-$S$78)^2+(T41-$T$78)^2+(U41-$U$78)^2+(V41-$V$78)^2+(W41-$W$78)^2+(X41-$X$78)^2+(Y41-$Y$78)^2+(Z41-$Z$78)^2+(AA41-$AA$78)^2+(AB41-$AB$78)^2+(AC41-$AC$78)^2+(AD41-$AD$78)^2+(AE41-$AE$78)^2+(AF41-$AF$78)^2+(AG41-$AG$78)^2)</f>
        <v>1.3856110482635551</v>
      </c>
      <c r="DP41" s="36" t="s">
        <v>142</v>
      </c>
      <c r="DQ41" s="37" t="s">
        <v>120</v>
      </c>
      <c r="DS41" s="44"/>
      <c r="DT41" s="36">
        <f>SQRT((A41-$A$79)^2+(B41-$B$79)^2+(C41-$C$79)^2+(D41-$D$79)^2+(E41-$E$79)^2+(F41-$F$79)^2+(G41-$G$79)^2+(H41-$H$79)^2+(I41-$I$79)^2+(J41-$J$79)^2+(K41-$K$79)^2+(L41-$L$79)^2+(M41-$M$79)^2+(N41-$N$79)^2+(O41-$O$79)^2+(P41-$P$79)^2+(Q41-$Q$79)^2+(R41-$R$79)^2+(S41-$S$79)^2+(T41-$T$79)^2+(U41-$U$79)^2+(V41-$V$79)^2+(W41-$W$79)^2+(X41-$X$79)^2+(Y41-$Y$79)^2+(Z41-$Z$79)^2+(AA41-$AA$79)^2+(AB41-$AB$79)^2+(AC41-$AC$79)^2+(AD41-$AD$79)^2+(AE41-$AE$79)^2+(AF41-$AF$79)^2+(AG41-$AG$79)^2)</f>
        <v>0.5270462766947297</v>
      </c>
      <c r="DU41" s="36" t="s">
        <v>329</v>
      </c>
      <c r="DV41" s="37" t="s">
        <v>120</v>
      </c>
      <c r="DX41" s="44"/>
      <c r="DY41" s="36">
        <f>SQRT((A41-$A$80)^2+(B41-$B$80)^2+(C41-$C$80)^2+(D41-$D$80)^2+(E41-$E$80)^2+(F41-$F$80)^2+(G41-$G$80)^2+(H41-$H$80)^2+(I41-$I$80)^2+(J41-$J$80)^2+(K41-$K$80)^2+(L41-$L$80)^2+(M41-$M$80)^2+(N41-$N$80)^2+(O41-$O$80)^2+(P41-$P$80)^2+(Q41-$Q$80)^2+(R41-$R$80)^2+(S41-$S$80)^2+(T41-$T$80)^2+(U41-$U$80)^2+(V41-$V$80)^2+(W41-$W$80)^2+(X41-$X$80)^2+(Y41-$Y$80)^2+(Z41-$Z$80)^2+(AA41-$AA$80)^2+(AB41-$AB$80)^2+(AC41-$AC$80)^2+(AD41-$AD$80)^2+(AE41-$AE$80)^2+(AF41-$AF$80)^2+(AG41-$AG$80)^2)</f>
        <v>1.6317806321252577</v>
      </c>
      <c r="DZ41" s="36" t="s">
        <v>337</v>
      </c>
      <c r="EA41" s="37" t="s">
        <v>120</v>
      </c>
      <c r="EC41" s="44"/>
      <c r="ED41" s="36">
        <f>SQRT((A41-$A$81)^2+(B41-$B$81)^2+(C41-$C$81)^2+(D41-$D$81)^2+(E41-$E$81)^2+(F41-$F$81)^2+(G41-$G$81)^2+(H41-$H$81)^2+(I41-$I$81)^2+(J41-$J$81)^2+(K41-$K$81)^2+(L41-$L$81)^2+(M41-$M$81)^2+(N41-$N$81)^2+(O41-$O$81)^2+(P41-$P$81)^2+(Q41-$Q$81)^2+(R41-$R$81)^2+(S41-$S$81)^2+(T41-$T$81)^2+(U41-$U$81)^2+(V41-$V$81)^2+(W41-$W$81)^2+(X41-$X$81)^2+(Y41-$Y$81)^2+(Z41-$Z$81)^2+(AA41-$AA$81)^2+(AB41-$AB$81)^2+(AC41-$AC$81)^2+(AD41-$AD$81)^2+(AE41-$AE$81)^2+(AF41-$AF$81)^2+(AG41-$AG$81)^2)</f>
        <v>1.6955425140330731</v>
      </c>
      <c r="EE41" s="36" t="s">
        <v>333</v>
      </c>
      <c r="EF41" s="37" t="s">
        <v>120</v>
      </c>
      <c r="EH41" s="44"/>
      <c r="EI41" s="36">
        <f>SQRT((A41-$A$82)^2+(B41-$B$82)^2+(C41-$C$82)^2+(D41-$D$82)^2+(E41-$E$82)^2+(F41-$F$82)^2+(G41-$G$82)^2+(H41-$H$82)^2+(I41-$I$82)^2+(J41-$J$82)^2+(K41-$K$82)^2+(L41-$L$82)^2+(M41-$M$82)^2+(N41-$N$82)^2+(O41-$O$82)^2+(P41-$P$82)^2+(Q41-$Q$82)^2+(R41-$R$82)^2+(S41-$S$82)^2+(T41-$T$82)^2+(U41-$U$82)^2+(V41-$V$82)^2+(W41-$W$82)^2+(X41-$X$82)^2+(Y41-$Y$82)^2+(Z41-$Z$82)^2+(AA41-$AA$82)^2+(AB41-$AB$82)^2+(AC41-$AC$82)^2+(AD41-$AD$82)^2+(AE41-$AE$82)^2+(AF41-$AF$82)^2+(AG41-$AG$82)^2)</f>
        <v>1.6277216363671341</v>
      </c>
      <c r="EJ41" s="36" t="s">
        <v>131</v>
      </c>
      <c r="EK41" s="37" t="s">
        <v>120</v>
      </c>
      <c r="EM41" s="44"/>
      <c r="EN41" s="36">
        <f>SQRT((A41-$A$83)^2+(B41-$B$83)^2+(C41-$C$83)^2+(D41-$D$83)^2+(E41-$E$83)^2+(F41-$F$83)^2+(G41-$G$83)^2+(H41-$H$83)^2+(I41-$I$83)^2+(J41-$J$83)^2+(K41-$K$83)^2+(L41-$L$83)^2+(M41-$M$83)^2+(N41-$N$83)^2+(O41-$O$83)^2+(P41-$P$83)^2+(Q41-$Q$83)^2+(R41-$R$83)^2+(S41-$S$83)^2+(T41-$T$83)^2+(U41-$U$83)^2+(V41-$V$83)^2+(W41-$W$83)^2+(X41-$X$83)^2+(Y41-$Y$83)^2+(Z41-$Z$83)^2+(AA41-$AA$83)^2+(AB41-$AB$83)^2+(AC41-$AC$83)^2+(AD41-$AD$83)^2+(AE41-$AE$83)^2+(AF41-$AF$83)^2+(AG41-$AG$83)^2)</f>
        <v>1.353650069181298</v>
      </c>
      <c r="EO41" s="36" t="s">
        <v>142</v>
      </c>
      <c r="EP41" s="37" t="s">
        <v>120</v>
      </c>
      <c r="ER41" s="44"/>
      <c r="ES41" s="36">
        <f>SQRT((A41-$A$84)^2+(B41-$B$84)^2+(C41-$C$84)^2+(D41-$D$84)^2+(E41-$E$84)^2+(F41-$F$84)^2+(G41-$G$84)^2+(H41-$H$84)^2+(I41-$I$84)^2+(J41-$J$84)^2+(K41-$K$84)^2+(L41-$L$84)^2+(M41-$M$84)^2+(N41-$N$84)^2+(O41-$O$84)^2+(P41-$P$84)^2+(Q41-$Q$84)^2+(R41-$R$84)^2+(S41-$S$84)^2+(T41-$T$84)^2+(U41-$U$84)^2+(V41-$V$84)^2+(W41-$W$84)^2+(X41-$X$84)^2+(Y41-$Y$84)^2+(Z41-$Z$84)^2+(AA41-$AA$84)^2+(AB41-$AB$84)^2+(AC41-$AC$84)^2+(AD41-$AD$84)^2+(AE41-$AE$84)^2+(AF41-$AF$84)^2+(AG41-$AG$84)^2)</f>
        <v>1.0431006494725459</v>
      </c>
      <c r="ET41" s="36" t="s">
        <v>135</v>
      </c>
      <c r="EU41" s="37" t="s">
        <v>120</v>
      </c>
      <c r="EW41" s="44"/>
      <c r="EX41" s="36">
        <f>SQRT((A41-$A$85)^2+(B41-$B$85)^2+(C41-$C$85)^2+(D41-$D$85)^2+(E41-$E$85)^2+(F41-$F$85)^2+(G41-$G$85)^2+(H41-$H$85)^2+(I41-$I$85)^2+(J41-$J$85)^2+(K41-$K$85)^2+(L41-$L$85)^2+(M41-$M$85)^2+(N41-$N$85)^2+(O41-$O$85)^2+(P41-$P$85)^2+(Q41-$Q$85)^2+(R41-$R$85)^2+(S41-$S$85)^2+(T41-$T$85)^2+(U41-$U$85)^2+(V41-$V$85)^2+(W41-$W$85)^2+(X41-$X$85)^2+(Y41-$Y$85)^2+(Z41-$Z$85)^2+(AA41-$AA$85)^2+(AB41-$AB$85)^2+(AC41-$AC$85)^2+(AD41-$AD$85)^2+(AE41-$AE$85)^2+(AF41-$AF$85)^2+(AG41-$AG$85)^2)</f>
        <v>1.0431006494725459</v>
      </c>
      <c r="EY41" s="36" t="s">
        <v>135</v>
      </c>
      <c r="EZ41" s="37" t="s">
        <v>120</v>
      </c>
      <c r="FB41" s="44"/>
      <c r="FC41" s="36">
        <f>SQRT((A41-$A$86)^2+(B41-$B$86)^2+(C41-$C$86)^2+(D41-$D$86)^2+(E41-$E$86)^2+(F41-$F$86)^2+(G41-$G$86)^2+(H41-$H$86)^2+(I41-$I$86)^2+(J41-$J$86)^2+(K41-$K$86)^2+(L41-$L$86)^2+(M41-$M$86)^2+(N41-$N$86)^2+(O41-$O$86)^2+(P41-$P$86)^2+(Q41-$Q$86)^2+(R41-$R$86)^2+(S41-$S$86)^2+(T41-$T$86)^2+(U41-$U$86)^2+(V41-$V$86)^2+(W41-$W$86)^2+(X41-$X$86)^2+(Y41-$Y$86)^2+(Z41-$Z$86)^2+(AA41-$AA$86)^2+(AB41-$AB$86)^2+(AC41-$AC$86)^2+(AD41-$AD$86)^2+(AE41-$AE$86)^2+(AF41-$AF$86)^2+(AG41-$AG$86)^2)</f>
        <v>1.0431006494725459</v>
      </c>
      <c r="FD41" s="36" t="s">
        <v>135</v>
      </c>
      <c r="FE41" s="37" t="s">
        <v>120</v>
      </c>
      <c r="FG41" s="44"/>
      <c r="FH41" s="36">
        <f>SQRT((A41-$A$87)^2+(B41-$B$87)^2+(C41-$C$87)^2+(D41-$D$87)^2+(E41-$E$87)^2+(F41-$F$87)^2+(G41-$G$87)^2+(H41-$H$87)^2+(I41-$I$87)^2+(J41-$J$87)^2+(K41-$K$87)^2+(L41-$L$87)^2+(M41-$M$87)^2+(N41-$N$87)^2+(O41-$O$87)^2+(P41-$P$87)^2+(Q41-$Q$87)^2+(R41-$R$87)^2+(S41-$S$87)^2+(T41-$T$87)^2+(U41-$U$87)^2+(V41-$V$87)^2+(W41-$W$87)^2+(X41-$X$87)^2+(Y41-$Y$87)^2+(Z41-$Z$87)^2+(AA41-$AA$87)^2+(AB41-$AB$87)^2+(AC41-$AC$87)^2+(AD41-$AD$87)^2+(AE41-$AE$87)^2+(AF41-$AF$87)^2+(AG41-$AG$87)^2)</f>
        <v>1.244647093574516</v>
      </c>
      <c r="FI41" s="36" t="s">
        <v>145</v>
      </c>
      <c r="FJ41" s="37" t="s">
        <v>120</v>
      </c>
      <c r="FL41" s="44"/>
      <c r="FM41" s="36">
        <f>SQRT((A41-$A$88)^2+(B41-$B$88)^2+(C41-$C$88)^2+(D41-$D$88)^2+(E41-$E$88)^2+(F41-$F$88)^2+(G41-$G$88)^2+(H41-$H$88)^2+(I41-$I$88)^2+(J41-$J$88)^2+(K41-$K$88)^2+(L41-$L$88)^2+(M41-$M$88)^2+(N41-$N$88)^2+(O41-$O$88)^2+(P41-$P$88)^2+(Q41-$Q$88)^2+(R41-$R$88)^2+(S41-$S$88)^2+(T41-$T$88)^2+(U41-$U$88)^2+(V41-$V$88)^2+(W41-$W$88)^2+(X41-$X$88)^2+(Y41-$Y$88)^2+(Z41-$Z$88)^2+(AA41-$AA$88)^2+(AB41-$AB$88)^2+(AC41-$AC$88)^2+(AD41-$AD$88)^2+(AE41-$AE$88)^2+(AF41-$AF$88)^2+(AG41-$AG$88)^2)</f>
        <v>1.0315953044719957</v>
      </c>
      <c r="FN41" s="36" t="s">
        <v>123</v>
      </c>
      <c r="FO41" s="37" t="s">
        <v>120</v>
      </c>
      <c r="FQ41" s="44"/>
      <c r="FR41" s="36">
        <f>SQRT((A41-$A$89)^2+(B41-$B$89)^2+(C41-$C$89)^2+(D41-$D$89)^2+(E41-$E$89)^2+(F41-$F$89)^2+(G41-$G$89)^2+(H41-$H$89)^2+(I41-$I$89)^2+(J41-$J$89)^2+(K41-$K$89)^2+(L41-$L$89)^2+(M41-$M$89)^2+(N41-$N$89)^2+(O41-$O$89)^2+(P41-$P$89)^2+(Q41-$Q$89)^2+(R41-$R$89)^2+(S41-$S$89)^2+(T41-$T$89)^2+(U41-$U$89)^2+(V41-$V$89)^2+(W41-$W$89)^2+(X41-$X$89)^2+(Y41-$Y$89)^2+(Z41-$Z$89)^2+(AA41-$AA$89)^2+(AB41-$AB$89)^2+(AC41-$AC$89)^2+(AD41-$AD$89)^2+(AE41-$AE$89)^2+(AF41-$AF$89)^2+(AG41-$AG$89)^2)</f>
        <v>1.6499938547997151</v>
      </c>
      <c r="FS41" s="36" t="s">
        <v>138</v>
      </c>
      <c r="FT41" s="37" t="s">
        <v>120</v>
      </c>
      <c r="FV41" s="44"/>
      <c r="FW41" s="36">
        <f>SQRT((A41-$A$90)^2+(B41-$B$90)^2+(C41-$C$90)^2+(D41-$D$90)^2+(E41-$E$90)^2+(F41-$F$90)^2+(G41-$G$90)^2+(H41-$H$90)^2+(I41-$I$90)^2+(J41-$J$90)^2+(K41-$K$90)^2+(L41-$L$90)^2+(M41-$M$90)^2+(N41-$N$90)^2+(O41-$O$90)^2+(P41-$P$90)^2+(Q41-$Q$90)^2+(R41-$R$90)^2+(S41-$S$90)^2+(T41-$T$90)^2+(U41-$U$90)^2+(V41-$V$90)^2+(W41-$W$90)^2+(X41-$X$90)^2+(Y41-$Y$90)^2+(Z41-$Z$90)^2+(AA41-$AA$90)^2+(AB41-$AB$90)^2+(AC41-$AC$90)^2+(AD41-$AD$90)^2+(AE41-$AE$90)^2+(AF41-$AF$90)^2+(AG41-$AG$90)^2)</f>
        <v>1.514105278593312</v>
      </c>
      <c r="FX41" s="36" t="s">
        <v>326</v>
      </c>
      <c r="FY41" s="37" t="s">
        <v>120</v>
      </c>
      <c r="GA41" s="44"/>
      <c r="GB41" s="36">
        <f>SQRT((A41-$A$91)^2+(B41-$B$91)^2+(C41-$C$91)^2+(D41-$D$91)^2+(E41-$E$91)^2+(F41-$F$91)^2+(G41-$G$91)^2+(H41-$H$91)^2+(I41-$I$91)^2+(J41-$J$91)^2+(K41-$K$91)^2+(L41-$L$91)^2+(M41-$M$91)^2+(N41-$N$91)^2+(O41-$O$91)^2+(P41-$P$91)^2+(Q41-$Q$91)^2+(R41-$R$91)^2+(S41-$S$91)^2+(T41-$T$91)^2+(U41-$U$91)^2+(V41-$V$91)^2+(W41-$W$91)^2+(X41-$X$91)^2+(Y41-$Y$91)^2+(Z41-$Z$91)^2+(AA41-$AA$91)^2+(AB41-$AB$91)^2+(AC41-$AC$91)^2+(AD41-$AD$91)^2+(AE41-$AE$91)^2+(AF41-$AF$91)^2+(AG41-$AG$91)^2)</f>
        <v>2.3405343688716553</v>
      </c>
      <c r="GC41" s="36" t="s">
        <v>145</v>
      </c>
      <c r="GD41" s="37" t="s">
        <v>120</v>
      </c>
      <c r="GF41" s="44"/>
      <c r="GG41" s="36">
        <f>SQRT((A41-$A$92)^2+(B41-$B$92)^2+(C41-$C$92)^2+(D41-$D$92)^2+(E41-$E$92)^2+(F41-$F$92)^2+(G41-$G$92)^2+(H41-$H$92)^2+(I41-$I$92)^2+(J41-$J$92)^2+(K41-$K$92)^2+(L41-$L$92)^2+(M41-$M$92)^2+(N41-$N$92)^2+(O41-$O$92)^2+(P41-$P$92)^2+(Q41-$Q$92)^2+(R41-$R$92)^2+(S41-$S$92)^2+(T41-$T$92)^2+(U41-$U$92)^2+(V41-$V$92)^2+(W41-$W$92)^2+(X41-$X$92)^2+(Y41-$Y$92)^2+(Z41-$Z$92)^2+(AA41-$AA$92)^2+(AB41-$AB$92)^2+(AC41-$AC$92)^2+(AD41-$AD$92)^2+(AE41-$AE$92)^2+(AF41-$AF$92)^2+(AG41-$AG$92)^2)</f>
        <v>1.6775544319659703</v>
      </c>
      <c r="GH41" s="36" t="s">
        <v>140</v>
      </c>
      <c r="GI41" s="37" t="s">
        <v>120</v>
      </c>
      <c r="GK41" s="44"/>
      <c r="GL41" s="36">
        <f>SQRT((A41-$A$93)^2+(B41-$B$93)^2+(C41-$C$93)^2+(D41-$D$93)^2+(E41-$E$93)^2+(F41-$F$93)^2+(G41-$G$93)^2+(H41-$H$93)^2+(I41-$I$93)^2+(J41-$J$93)^2+(K41-$K$93)^2+(L41-$L$93)^2+(M41-$M$93)^2+(N41-$N$93)^2+(O41-$O$93)^2+(P41-$P$93)^2+(Q41-$Q$93)^2+(R41-$R$93)^2+(S41-$S$93)^2+(T41-$T$93)^2+(U41-$U$93)^2+(V41-$V$93)^2+(W41-$W$93)^2+(X41-$X$93)^2+(Y41-$Y$93)^2+(Z41-$Z$93)^2+(AA41-$AA$93)^2+(AB41-$AB$93)^2+(AC41-$AC$93)^2+(AD41-$AD$93)^2+(AE41-$AE$93)^2+(AF41-$AF$93)^2+(AG41-$AG$93)^2)</f>
        <v>2.3747302868168725</v>
      </c>
      <c r="GM41" s="36" t="s">
        <v>326</v>
      </c>
      <c r="GN41" s="37" t="s">
        <v>120</v>
      </c>
      <c r="GP41" s="44"/>
      <c r="GQ41" s="36">
        <f>SQRT((A41-$A$94)^2+(B41-$B$94)^2+(C41-$C$94)^2+(D41-$D$94)^2+(E41-$E$94)^2+(F41-$F$94)^2+(G41-$G$94)^2+(H41-$H$94)^2+(I41-$I$94)^2+(J41-$J$94)^2+(K41-$K$94)^2+(L41-$L$94)^2+(M41-$M$94)^2+(N41-$N$94)^2+(O41-$O$94)^2+(P41-$P$94)^2+(Q41-$Q$94)^2+(R41-$R$94)^2+(S41-$S$94)^2+(T41-$T$94)^2+(U41-$U$94)^2+(V41-$V$94)^2+(W41-$W$94)^2+(X41-$X$94)^2+(Y41-$Y$94)^2+(Z41-$Z$94)^2+(AA41-$AA$94)^2+(AB41-$AB$94)^2+(AC41-$AC$94)^2+(AD41-$AD$94)^2+(AE41-$AE$94)^2+(AF41-$AF$94)^2+(AG41-$AG$94)^2)</f>
        <v>1.4470391044965389</v>
      </c>
      <c r="GR41" s="36" t="s">
        <v>131</v>
      </c>
      <c r="GS41" s="37" t="s">
        <v>120</v>
      </c>
      <c r="GU41" s="44"/>
      <c r="GV41" s="36">
        <f>SQRT((A41-$A$95)^2+(B41-$B$95)^2+(C41-$C$95)^2+(D41-$D$95)^2+(E41-$E$95)^2+(F41-$F$95)^2+(G41-$G$95)^2+(H41-$H$95)^2+(I41-$I$95)^2+(J41-$J$95)^2+(K41-$K$95)^2+(L41-$L$95)^2+(M41-$M$95)^2+(N41-$N$95)^2+(O41-$O$95)^2+(P41-$P$95)^2+(Q41-$Q$95)^2+(R41-$R$95)^2+(S41-$S$95)^2+(T41-$T$95)^2+(U41-$U$95)^2+(V41-$V$95)^2+(W41-$W$95)^2+(X41-$X$95)^2+(Y41-$Y$95)^2+(Z41-$Z$95)^2+(AA41-$AA$95)^2+(AB41-$AB$95)^2+(AC41-$AC$95)^2+(AD41-$AD$95)^2+(AE41-$AE$95)^2+(AF41-$AF$95)^2+(AG41-$AG$95)^2)</f>
        <v>2.4958583416007483</v>
      </c>
      <c r="GW41" s="36" t="s">
        <v>324</v>
      </c>
      <c r="GX41" s="37" t="s">
        <v>120</v>
      </c>
      <c r="GZ41" s="44"/>
      <c r="HA41" s="36">
        <f>SQRT((A41-$A$96)^2+(B41-$B$96)^2+(C41-$C$96)^2+(D41-$D$96)^2+(E41-$E$96)^2+(F41-$F$96)^2+(G41-$G$96)^2+(H41-$H$96)^2+(I41-$I$96)^2+(J41-$J$96)^2+(K41-$K$96)^2+(L41-$L$96)^2+(M41-$M$96)^2+(N41-$N$96)^2+(O41-$O$96)^2+(P41-$P$96)^2+(Q41-$Q$96)^2+(R41-$R$96)^2+(S41-$S$96)^2+(T41-$T$96)^2+(U41-$U$96)^2+(V41-$V$96)^2+(W41-$W$96)^2+(X41-$X$96)^2+(Y41-$Y$96)^2+(Z41-$Z$96)^2+(AA41-$AA$96)^2+(AB41-$AB$96)^2+(AC41-$AC$96)^2+(AD41-$AD$96)^2+(AE41-$AE$96)^2+(AF41-$AF$96)^2+(AG41-$AG$96)^2)</f>
        <v>2.3398916059073924</v>
      </c>
      <c r="HB41" s="36" t="s">
        <v>135</v>
      </c>
      <c r="HC41" s="37" t="s">
        <v>120</v>
      </c>
      <c r="HE41" s="44"/>
      <c r="HF41" s="36">
        <f>SQRT((A41-$A$97)^2+(B41-$B$97)^2+(C41-$C$97)^2+(D41-$D$97)^2+(E41-$E$97)^2+(F41-$F$97)^2+(G41-$G$97)^2+(H41-$H$97)^2+(I41-$I$97)^2+(J41-$J$97)^2+(K41-$K$97)^2+(L41-$L$97)^2+(M41-$M$97)^2+(N41-$N$97)^2+(O41-$O$97)^2+(P41-$P$97)^2+(Q41-$Q$97)^2+(R41-$R$97)^2+(S41-$S$97)^2+(T41-$T$97)^2+(U41-$U$97)^2+(V41-$V$97)^2+(W41-$W$97)^2+(X41-$X$97)^2+(Y41-$Y$97)^2+(Z41-$Z$97)^2+(AA41-$AA$97)^2+(AB41-$AB$97)^2+(AC41-$AC$97)^2+(AD41-$AD$97)^2+(AE41-$AE$97)^2+(AF41-$AF$97)^2+(AG41-$AG$97)^2)</f>
        <v>1.0431006494725459</v>
      </c>
      <c r="HG41" s="36" t="s">
        <v>135</v>
      </c>
      <c r="HH41" s="37" t="s">
        <v>120</v>
      </c>
      <c r="HJ41" s="44"/>
      <c r="HK41" s="36">
        <f>SQRT((A41-$A$98)^2+(B41-$B$98)^2+(C41-$C$98)^2+(D41-$D$98)^2+(E41-$E$98)^2+(F41-$F$98)^2+(G41-$G$98)^2+(H41-$H$98)^2+(I41-$I$98)^2+(J41-$J$98)^2+(K41-$K$98)^2+(L41-$L$98)^2+(M41-$M$98)^2+(N41-$N$98)^2+(O41-$O$98)^2+(P41-$P$98)^2+(Q41-$Q$98)^2+(R41-$R$98)^2+(S41-$S$98)^2+(T41-$T$98)^2+(U41-$U$98)^2+(V41-$V$98)^2+(W41-$W$98)^2+(X41-$X$98)^2+(Y41-$Y$98)^2+(Z41-$Z$98)^2+(AA41-$AA$98)^2+(AB41-$AB$98)^2+(AC41-$AC$98)^2+(AD41-$AD$98)^2+(AE41-$AE$98)^2+(AF41-$AF$98)^2+(AG41-$AG$98)^2)</f>
        <v>1.0431006494725459</v>
      </c>
      <c r="HL41" s="36" t="s">
        <v>135</v>
      </c>
      <c r="HM41" s="37" t="s">
        <v>120</v>
      </c>
      <c r="HO41" s="44"/>
      <c r="HP41" s="36">
        <f>SQRT((A41-$A$99)^2+(B41-$B$99)^2+(C41-$C$99)^2+(D41-$D$99)^2+(E41-$E$99)^2+(F41-$F$99)^2+(G41-$G$99)^2+(H41-$H$99)^2+(I41-$I$99)^2+(J41-$J$99)^2+(K41-$K$99)^2+(L41-$L$99)^2+(M41-$M$99)^2+(N41-$N$99)^2+(O41-$O$99)^2+(P41-$P$99)^2+(Q41-$Q$99)^2+(R41-$R$99)^2+(S41-$S$99)^2+(T41-$T$99)^2+(U41-$U$99)^2+(V41-$V$99)^2+(W41-$W$99)^2+(X41-$X$99)^2+(Y41-$Y$99)^2+(Z41-$Z$99)^2+(AA41-$AA$99)^2+(AB41-$AB$99)^2+(AC41-$AC$99)^2+(AD41-$AD$99)^2+(AE41-$AE$99)^2+(AF41-$AF$99)^2+(AG41-$AG$99)^2)</f>
        <v>1.0431006494725459</v>
      </c>
      <c r="HQ41" s="36" t="s">
        <v>135</v>
      </c>
      <c r="HR41" s="37" t="s">
        <v>120</v>
      </c>
      <c r="HT41" s="44"/>
      <c r="HU41" s="36">
        <f>SQRT((A41-$A$100)^2+(B41-$B$100)^2+(C41-$C$100)^2+(D41-$D$100)^2+(E41-$E$100)^2+(F41-$F$100)^2+(G41-$G$100)^2+(H41-$H$100)^2+(I41-$I$100)^2+(J41-$J$100)^2+(K41-$K$100)^2+(L41-$L$100)^2+(M41-$M$100)^2+(N41-$N$100)^2+(O41-$O$100)^2+(P41-$P$100)^2+(Q41-$Q$100)^2+(R41-$R$100)^2+(S41-$S$100)^2+(T41-$T$100)^2+(U41-$U$100)^2+(V41-$V$100)^2+(W41-$W$100)^2+(X41-$X$100)^2+(Y41-$Y$100)^2+(Z41-$Z$100)^2+(AA41-$AA$100)^2+(AB41-$AB$100)^2+(AC41-$AC$100)^2+(AD41-$AD$100)^2+(AE41-$AE$100)^2+(AF41-$AF$100)^2+(AG41-$AG$100)^2)</f>
        <v>1.0431006494725459</v>
      </c>
      <c r="HV41" s="36" t="s">
        <v>135</v>
      </c>
      <c r="HW41" s="37" t="s">
        <v>120</v>
      </c>
      <c r="HY41" s="44"/>
      <c r="HZ41" s="36">
        <f>SQRT((A41-$A$101)^2+(B41-$B$101)^2+(C41-$C$101)^2+(D41-$D$101)^2+(E41-$E$101)^2+(F41-$F$101)^2+(G41-$G$101)^2+(H41-$H$101)^2+(I41-$I$101)^2+(J41-$J$101)^2+(K41-$K$101)^2+(L41-$L$101)^2+(M41-$M$101)^2+(N41-$N$101)^2+(O41-$O$101)^2+(P41-$P$101)^2+(Q41-$Q$101)^2+(R41-$R$101)^2+(S41-$S$101)^2+(T41-$T$101)^2+(U41-$U$101)^2+(V41-$V$101)^2+(W41-$W$101)^2+(X41-$X$101)^2+(Y41-$Y$101)^2+(Z41-$Z$101)^2+(AA41-$AA$101)^2+(AB41-$AB$101)^2+(AC41-$AC$101)^2+(AD41-$AD$101)^2+(AE41-$AE$101)^2+(AF41-$AF$101)^2+(AG41-$AG$101)^2)</f>
        <v>1.6942987584695421</v>
      </c>
      <c r="IA41" s="36" t="s">
        <v>133</v>
      </c>
      <c r="IB41" s="37" t="s">
        <v>120</v>
      </c>
    </row>
    <row r="42" spans="1:236" x14ac:dyDescent="0.35">
      <c r="A42" s="2">
        <v>0.33333333333333298</v>
      </c>
      <c r="B42" s="2">
        <v>0.23765432098765399</v>
      </c>
      <c r="C42" s="2">
        <v>0.23899371069182301</v>
      </c>
      <c r="D42" s="2">
        <v>0.53703703703703698</v>
      </c>
      <c r="E42" s="2">
        <v>0.12757201646090499</v>
      </c>
      <c r="F42" s="2">
        <v>0.94805194805194803</v>
      </c>
      <c r="G42" s="2">
        <v>0.55692729766803795</v>
      </c>
      <c r="H42" s="2">
        <v>0.936708860759493</v>
      </c>
      <c r="I42" s="2">
        <v>0.407407407407407</v>
      </c>
      <c r="J42" s="2">
        <v>0.19478737997256501</v>
      </c>
      <c r="K42" s="2">
        <v>5.5555555555555497E-2</v>
      </c>
      <c r="L42" s="2">
        <v>0.158904109589041</v>
      </c>
      <c r="M42" s="2">
        <v>0.95061728395061695</v>
      </c>
      <c r="N42" s="2">
        <v>6.1728395061728301E-2</v>
      </c>
      <c r="O42" s="2">
        <v>0.189873417721519</v>
      </c>
      <c r="P42" s="2">
        <v>0.32345679012345602</v>
      </c>
      <c r="Q42" s="2">
        <v>0.98765432098765404</v>
      </c>
      <c r="R42" s="2">
        <v>0.76543209876543195</v>
      </c>
      <c r="S42" s="2">
        <v>0.97530864197530798</v>
      </c>
      <c r="T42" s="2">
        <v>1</v>
      </c>
      <c r="U42" s="2">
        <v>1</v>
      </c>
      <c r="V42" s="2">
        <v>0.11111111111111099</v>
      </c>
      <c r="W42" s="2">
        <v>1</v>
      </c>
      <c r="X42" s="2">
        <v>0.97530864197530798</v>
      </c>
      <c r="Y42" s="2">
        <v>0.90123456790123402</v>
      </c>
      <c r="Z42" s="2">
        <v>0.44444444444444398</v>
      </c>
      <c r="AA42" s="2">
        <v>1</v>
      </c>
      <c r="AB42" s="2">
        <v>1</v>
      </c>
      <c r="AC42" s="2">
        <v>1</v>
      </c>
      <c r="AD42" s="2">
        <v>1</v>
      </c>
      <c r="AE42" s="2">
        <v>0.938271604938271</v>
      </c>
      <c r="AF42" s="2">
        <v>1</v>
      </c>
      <c r="AG42" s="2">
        <v>0.19565217391304299</v>
      </c>
      <c r="AH42" s="2" t="s">
        <v>120</v>
      </c>
      <c r="AI42" s="42"/>
      <c r="AJ42" s="42"/>
      <c r="AL42" s="44"/>
      <c r="AM42" s="36">
        <f>SQRT((A42-$A$62)^2+(B42-$B$62)^2+(C42-$C$62)^2+(D42-$D$62)^2+(E42-$E$62)^2+(F42-$F$62)^2+(G42-$G$62)^2+(H42-$H$62)^2+(I42-$I$62)^2+(J42-$J$62)^2+(K42-$K$62)^2+(L42-$L$62)^2+(M42-$M$62)^2+(N42-$N$62)^2+(O42-$O$62)^2+(P42-$P$62)^2+(Q42-$Q$62)^2+(R42-$R$62)^2+(S42-$S$62)^2+(T42-$T$62)^2+(U42-$U$62)^2+(V42-$V$62)^2+(W42-$W$62)^2+(X42-$X$62)^2+(Y42-$Y$62)^2+(Z42-$Z$62)^2+(AA42-$AA$62)^2+(AB42-$AB$62)^2+(AC42-$AC$62)^2+(AD42-$AD$62)^2+(AE42-$AE$62)^2+(AF42-$AF$62)^2+(AG42-$AG$62)^2)</f>
        <v>1.4825263454047668</v>
      </c>
      <c r="AN42" s="36" t="s">
        <v>324</v>
      </c>
      <c r="AO42" s="37" t="s">
        <v>120</v>
      </c>
      <c r="AQ42" s="44"/>
      <c r="AR42" s="36">
        <f>SQRT((A42-$A$63)^2+(B42-$B$63)^2+(C42-$C$63)^2+(D42-$D$63)^2+(E42-$E$63)^2+(F42-$F$63)^2+(G42-$G$63)^2+(H42-$H$63)^2+(I42-$I$63)^2+(J42-$J$63)^2+(K42-$K$63)^2+(L42-$L$63)^2+(M42-$M$63)^2+(N42-$N$63)^2+(O42-$O$63)^2+(P42-$P$63)^2+(Q42-$Q$63)^2+(R42-$R$63)^2+(S42-$S$63)^2+(T42-$T$63)^2+(U42-$U$63)^2+(V42-$V$63)^2+(W42-$W$63)^2+(X42-$X$63)^2+(Y42-$Y$63)^2+(Z42-$Z$63)^2+(AA42-$AA$63)^2+(AB42-$AB$63)^2+(AC42-$AC$63)^2+(AD42-$AD$63)^2+(AE42-$AE$63)^2+(AF42-$AF$63)^2+(AG42-$AG$63)^2)</f>
        <v>0.33333333333333298</v>
      </c>
      <c r="AS42" s="36" t="s">
        <v>317</v>
      </c>
      <c r="AT42" s="37" t="s">
        <v>120</v>
      </c>
      <c r="AV42" s="44"/>
      <c r="AW42" s="36">
        <f>SQRT((A42-$A$64)^2+(B42-$B$64)^2+(C42-$C$64)^2+(D42-$D$64)^2+(E42-$E$64)^2+(F42-$F$64)^2+(G42-$G$64)^2+(H42-$H$64)^2+(I42-$I$64)^2+(J42-$J$64)^2+(K42-$K$64)^2+(L42-$L$64)^2+(M42-$M$64)^2+(N42-$N$64)^2+(O42-$O$64)^2+(P42-$P$64)^2+(Q42-$Q$64)^2+(R42-$R$64)^2+(S42-$S$64)^2+(T42-$T$64)^2+(U42-$U$64)^2+(V42-$V$64)^2+(W42-$W$64)^2+(X42-$X$64)^2+(Y42-$Y$64)^2+(Z42-$Z$64)^2+(AA42-$AA$64)^2+(AB42-$AB$64)^2+(AC42-$AC$64)^2+(AD42-$AD$64)^2+(AE42-$AE$64)^2+(AF42-$AF$64)^2+(AG42-$AG$64)^2)</f>
        <v>0.33333333333333298</v>
      </c>
      <c r="AX42" s="36" t="s">
        <v>317</v>
      </c>
      <c r="AY42" s="37" t="s">
        <v>120</v>
      </c>
      <c r="BA42" s="44"/>
      <c r="BB42" s="36">
        <f>SQRT((A42-$A$65)^2+(B42-$B$65)^2+(C42-$C$65)^2+(D42-$D$65)^2+(E42-$E$65)^2+(F42-$F$65)^2+(G42-$G$65)^2+(H42-$H$65)^2+(I42-$I$65)^2+(J42-$J$65)^2+(K42-$K$65)^2+(L42-$L$65)^2+(M42-$M$65)^2+(N42-$N$65)^2+(O42-$O$65)^2+(P42-$P$65)^2+(Q42-$Q$65)^2+(R42-$R$65)^2+(S42-$S$65)^2+(T42-$T$65)^2+(U42-$U$65)^2+(V42-$V$65)^2+(W42-$W$65)^2+(X42-$X$65)^2+(Y42-$Y$65)^2+(Z42-$Z$65)^2+(AA42-$AA$65)^2+(AB42-$AB$65)^2+(AC42-$AC$65)^2+(AD42-$AD$65)^2+(AE42-$AE$65)^2+(AF42-$AF$65)^2+(AG42-$AG$65)^2)</f>
        <v>0.33333333333333298</v>
      </c>
      <c r="BC42" s="36" t="s">
        <v>317</v>
      </c>
      <c r="BD42" s="37" t="s">
        <v>120</v>
      </c>
      <c r="BF42" s="44"/>
      <c r="BG42" s="36">
        <f>SQRT((A42-$A$66)^2+(B42-$B$66)^2+(C42-$C$66)^2+(D42-$D$66)^2+(E42-$E$66)^2+(F42-$F$66)^2+(G42-$G$66)^2+(H42-$H$66)^2+(I42-$I$66)^2+(J42-$J$66)^2+(K42-$K$66)^2+(L42-$L$66)^2+(M42-$M$66)^2+(N42-$N$66)^2+(O42-$O$66)^2+(P42-$P$66)^2+(Q42-$Q$66)^2+(R42-$R$66)^2+(S42-$S$66)^2+(T42-$T$66)^2+(U42-$U$66)^2+(V42-$V$66)^2+(W42-$W$66)^2+(X42-$X$66)^2+(Y42-$Y$66)^2+(Z42-$Z$66)^2+(AA42-$AA$66)^2+(AB42-$AB$66)^2+(AC42-$AC$66)^2+(AD42-$AD$66)^2+(AE42-$AE$66)^2+(AF42-$AF$66)^2+(AG42-$AG$66)^2)</f>
        <v>0.33333333333333298</v>
      </c>
      <c r="BH42" s="36" t="s">
        <v>317</v>
      </c>
      <c r="BI42" s="37" t="s">
        <v>120</v>
      </c>
      <c r="BK42" s="44"/>
      <c r="BL42" s="36">
        <f>SQRT((A42-$A$67)^2+(B42-$B$67)^2+(C42-$C$67)^2+(D42-$D$67)^2+(E42-$E$67)^2+(F42-$F$67)^2+(G42-$G$67)^2+(H42-$H$67)^2+(I42-$I$67)^2+(J42-$J$67)^2+(K42-$K$67)^2+(L42-$L$67)^2+(M42-$M$67)^2+(N42-$N$67)^2+(O42-$O$67)^2+(P42-$P$67)^2+(Q42-$Q$67)^2+(R42-$R$67)^2+(S42-$S$67)^2+(T42-$T$67)^2+(U42-$U$67)^2+(V42-$V$67)^2+(W42-$W$67)^2+(X42-$X$67)^2+(Y42-$Y$67)^2+(Z42-$Z$67)^2+(AA42-$AA$67)^2+(AB42-$AB$67)^2+(AC42-$AC$67)^2+(AD42-$AD$67)^2+(AE42-$AE$67)^2+(AF42-$AF$67)^2+(AG42-$AG$67)^2)</f>
        <v>0.33333333333333298</v>
      </c>
      <c r="BM42" s="36" t="s">
        <v>317</v>
      </c>
      <c r="BN42" s="37" t="s">
        <v>120</v>
      </c>
      <c r="BP42" s="44"/>
      <c r="BQ42" s="36">
        <f>SQRT((A42-$A$68)^2+(B42-$B$68)^2+(C42-$C$68)^2+(D42-$D$68)^2+(E42-$E$68)^2+(F42-$F$68)^2+(G42-$G$68)^2+(H42-$H$68)^2+(I42-$I$68)^2+(J42-$J$68)^2+(K42-$K$68)^2+(L42-$L$68)^2+(M42-$M$68)^2+(N42-$N$68)^2+(O42-$O$68)^2+(P42-$P$68)^2+(Q42-$Q$68)^2+(R42-$R$68)^2+(S42-$S$68)^2+(T42-$T$68)^2+(U42-$U$68)^2+(V42-$V$68)^2+(W42-$W$68)^2+(X42-$X$68)^2+(Y42-$Y$68)^2+(Z42-$Z$68)^2+(AA42-$AA$68)^2+(AB42-$AB$68)^2+(AC42-$AC$68)^2+(AD42-$AD$68)^2+(AE42-$AE$68)^2+(AF42-$AF$68)^2+(AG42-$AG$68)^2)</f>
        <v>0.33333333333333298</v>
      </c>
      <c r="BR42" s="36" t="s">
        <v>317</v>
      </c>
      <c r="BS42" s="37" t="s">
        <v>120</v>
      </c>
      <c r="BU42" s="44"/>
      <c r="BV42" s="36">
        <f>SQRT((A42-$A$69)^2+(B42-$B$69)^2+(C42-$C$69)^2+(D42-$D$69)^2+(E42-$E$69)^2+(F42-$F$69)^2+(G42-$G$69)^2+(H42-$H$69)^2+(I42-$I$69)^2+(J42-$J$69)^2+(K42-$K$69)^2+(L42-$L$69)^2+(M42-$M$69)^2+(N42-$N$69)^2+(O42-$O$69)^2+(P42-$P$69)^2+(Q42-$Q$69)^2+(R42-$R$69)^2+(S42-$S$69)^2+(T42-$T$69)^2+(U42-$U$69)^2+(V42-$V$69)^2+(W42-$W$69)^2+(X42-$X$69)^2+(Y42-$Y$69)^2+(Z42-$Z$69)^2+(AA42-$AA$69)^2+(AB42-$AB$69)^2+(AC42-$AC$69)^2+(AD42-$AD$69)^2+(AE42-$AE$69)^2+(AF42-$AF$69)^2+(AG42-$AG$69)^2)</f>
        <v>2.0312853389244538</v>
      </c>
      <c r="BW42" s="36" t="s">
        <v>154</v>
      </c>
      <c r="BX42" s="37" t="s">
        <v>120</v>
      </c>
      <c r="BZ42" s="44"/>
      <c r="CA42" s="36">
        <f>SQRT((A42-$A$70)^2+(B42-$B$70)^2+(C42-$C$70)^2+(D42-$D$70)^2+(E42-$E$70)^2+(F42-$F$70)^2+(G42-$G$70)^2+(H42-$H$70)^2+(I42-$I$70)^2+(J42-$J$70)^2+(K42-$K$70)^2+(L42-$L$70)^2+(M42-$M$70)^2+(N42-$N$70)^2+(O42-$O$70)^2+(P42-$P$70)^2+(Q42-$Q$70)^2+(R42-$R$70)^2+(S42-$S$70)^2+(T42-$T$70)^2+(U42-$U$70)^2+(V42-$V$70)^2+(W42-$W$70)^2+(X42-$X$70)^2+(Y42-$Y$70)^2+(Z42-$Z$70)^2+(AA42-$AA$70)^2+(AB42-$AB$70)^2+(AC42-$AC$70)^2+(AD42-$AD$70)^2+(AE42-$AE$70)^2+(AF42-$AF$70)^2+(AG42-$AG$70)^2)</f>
        <v>0.8937856428754728</v>
      </c>
      <c r="CB42" s="36" t="s">
        <v>327</v>
      </c>
      <c r="CC42" s="37" t="s">
        <v>120</v>
      </c>
      <c r="CE42" s="44"/>
      <c r="CF42" s="36">
        <f>SQRT((A42-$A$71)^2+(B42-$B$71)^2+(C42-$C$71)^2+(D42-$D$71)^2+(E42-$E$71)^2+(F42-$F$71)^2+(G42-$G$71)^2+(H42-$H$71)^2+(I42-$I$71)^2+(J42-$J$71)^2+(K42-$K$71)^2+(L42-$L$71)^2+(M42-$M$71)^2+(N42-$N$71)^2+(O42-$O$71)^2+(P42-$P$71)^2+(Q42-$Q$71)^2+(R42-$R$71)^2+(S42-$S$71)^2+(T42-$T$71)^2+(U42-$U$71)^2+(V42-$V$71)^2+(W42-$W$71)^2+(X42-$X$71)^2+(Y42-$Y$71)^2+(Z42-$Z$71)^2+(AA42-$AA$71)^2+(AB42-$AB$71)^2+(AC42-$AC$71)^2+(AD42-$AD$71)^2+(AE42-$AE$71)^2+(AF42-$AF$71)^2+(AG42-$AG$71)^2)</f>
        <v>0.82041524271069588</v>
      </c>
      <c r="CG42" s="36" t="s">
        <v>317</v>
      </c>
      <c r="CH42" s="37" t="s">
        <v>120</v>
      </c>
      <c r="CJ42" s="44"/>
      <c r="CK42" s="36">
        <f>SQRT((A42-$A$72)^2+(B42-$B$72)^2+(C42-$C$72)^2+(D42-$D$72)^2+(E42-$E$72)^2+(F42-$F$72)^2+(G42-$G$72)^2+(H42-$H$72)^2+(I42-$I$72)^2+(J42-$J$72)^2+(K42-$K$72)^2+(L42-$L$72)^2+(M42-$M$72)^2+(N42-$N$72)^2+(O42-$O$72)^2+(P42-$P$72)^2+(Q42-$Q$72)^2+(R42-$R$72)^2+(S42-$S$72)^2+(T42-$T$72)^2+(U42-$U$72)^2+(V42-$V$72)^2+(W42-$W$72)^2+(X42-$X$72)^2+(Y42-$Y$72)^2+(Z42-$Z$72)^2+(AA42-$AA$72)^2+(AB42-$AB$72)^2+(AC42-$AC$72)^2+(AD42-$AD$72)^2+(AE42-$AE$72)^2+(AF42-$AF$72)^2+(AG42-$AG$72)^2)</f>
        <v>1.075440670231415</v>
      </c>
      <c r="CL42" s="36" t="s">
        <v>325</v>
      </c>
      <c r="CM42" s="37" t="s">
        <v>120</v>
      </c>
      <c r="CO42" s="44"/>
      <c r="CP42" s="36">
        <f>SQRT((A42-$A$73)^2+(B42-$B$73)^2+(C42-$C$73)^2+(D42-$D$73)^2+(E42-$E$73)^2+(F42-$F$73)^2+(G42-$G$73)^2+(H42-$H$73)^2+(I42-$I$73)^2+(J42-$J$73)^2+(K42-$K$73)^2+(L42-$L$73)^2+(M42-$M$73)^2+(N42-$N$73)^2+(O42-$O$73)^2+(P42-$P$73)^2+(Q42-$Q$73)^2+(R42-$R$73)^2+(S42-$S$73)^2+(T42-$T$73)^2+(U42-$U$73)^2+(V42-$V$73)^2+(W42-$W$73)^2+(X42-$X$73)^2+(Y42-$Y$73)^2+(Z42-$Z$73)^2+(AA42-$AA$73)^2+(AB42-$AB$73)^2+(AC42-$AC$73)^2+(AD42-$AD$73)^2+(AE42-$AE$73)^2+(AF42-$AF$73)^2+(AG42-$AG$73)^2)</f>
        <v>1.0527954179135233</v>
      </c>
      <c r="CQ42" s="36" t="s">
        <v>150</v>
      </c>
      <c r="CR42" s="37" t="s">
        <v>120</v>
      </c>
      <c r="CT42" s="44"/>
      <c r="CU42" s="36">
        <f>SQRT((A42-$A$74)^2+(B42-$B$74)^2+(C42-$C$74)^2+(D42-$D$74)^2+(E42-$E$74)^2+(F42-$F$74)^2+(G42-$G$74)^2+(H42-$H$74)^2+(I42-$I$74)^2+(J42-$J$74)^2+(K42-$K$74)^2+(L42-$L$74)^2+(M42-$M$74)^2+(N42-$N$74)^2+(O42-$O$74)^2+(P42-$P$74)^2+(Q42-$Q$74)^2+(R42-$R$74)^2+(S42-$S$74)^2+(T42-$T$74)^2+(U42-$U$74)^2+(V42-$V$74)^2+(W42-$W$74)^2+(X42-$X$74)^2+(Y42-$Y$74)^2+(Z42-$Z$74)^2+(AA42-$AA$74)^2+(AB42-$AB$74)^2+(AC42-$AC$74)^2+(AD42-$AD$74)^2+(AE42-$AE$74)^2+(AF42-$AF$74)^2+(AG42-$AG$74)^2)</f>
        <v>1.0240148936817239</v>
      </c>
      <c r="CV42" s="36" t="s">
        <v>137</v>
      </c>
      <c r="CW42" s="37" t="s">
        <v>120</v>
      </c>
      <c r="CY42" s="44"/>
      <c r="CZ42" s="36">
        <f>SQRT((A42-$A$75)^2+(B42-$B$75)^2+(C42-$C$75)^2+(D42-$D$75)^2+(E42-$E$75)^2+(F42-$F$75)^2+(G42-$G$75)^2+(H42-$H$75)^2+(I42-$I$75)^2+(J42-$J$75)^2+(K42-$K$75)^2+(L42-$L$75)^2+(M42-$M$75)^2+(N42-$N$75)^2+(O42-$O$75)^2+(P42-$P$75)^2+(Q42-$Q$75)^2+(R42-$R$75)^2+(S42-$S$75)^2+(T42-$T$75)^2+(U42-$U$75)^2+(V42-$V$75)^2+(W42-$W$75)^2+(X42-$X$75)^2+(Y42-$Y$75)^2+(Z42-$Z$75)^2+(AA42-$AA$75)^2+(AB42-$AB$75)^2+(AC42-$AC$75)^2+(AD42-$AD$75)^2+(AE42-$AE$75)^2+(AF42-$AF$75)^2+(AG42-$AG$75)^2)</f>
        <v>1.0124449904297892</v>
      </c>
      <c r="DA42" s="36" t="s">
        <v>134</v>
      </c>
      <c r="DB42" s="37" t="s">
        <v>120</v>
      </c>
      <c r="DD42" s="44"/>
      <c r="DE42" s="36">
        <f>SQRT((A42-$A$76)^2+(B42-$B$76)^2+(C42-$C$76)^2+(D42-$D$76)^2+(E42-$E$76)^2+(F42-$F$76)^2+(G42-$G$76)^2+(H42-$H$76)^2+(I42-$I$76)^2+(J42-$J$76)^2+(K42-$K$76)^2+(L42-$L$76)^2+(M42-$M$76)^2+(N42-$N$76)^2+(O42-$O$76)^2+(P42-$P$76)^2+(Q42-$Q$76)^2+(R42-$R$76)^2+(S42-$S$76)^2+(T42-$T$76)^2+(U42-$U$76)^2+(V42-$V$76)^2+(W42-$W$76)^2+(X42-$X$76)^2+(Y42-$Y$76)^2+(Z42-$Z$76)^2+(AA42-$AA$76)^2+(AB42-$AB$76)^2+(AC42-$AC$76)^2+(AD42-$AD$76)^2+(AE42-$AE$76)^2+(AF42-$AF$76)^2+(AG42-$AG$76)^2)</f>
        <v>0.97562984024738097</v>
      </c>
      <c r="DF42" s="36" t="s">
        <v>324</v>
      </c>
      <c r="DG42" s="37" t="s">
        <v>120</v>
      </c>
      <c r="DI42" s="44"/>
      <c r="DJ42" s="36">
        <f>SQRT((A42-$A$77)^2+(B42-$B$77)^2+(C42-$C$77)^2+(D42-$D$77)^2+(E42-$E$77)^2+(F42-$F$77)^2+(G42-$G$77)^2+(H42-$H$77)^2+(I42-$I$77)^2+(J42-$J$77)^2+(K42-$K$77)^2+(L42-$L$77)^2+(M42-$M$77)^2+(N42-$N$77)^2+(O42-$O$77)^2+(P42-$P$77)^2+(Q42-$Q$77)^2+(R42-$R$77)^2+(S42-$S$77)^2+(T42-$T$77)^2+(U42-$U$77)^2+(V42-$V$77)^2+(W42-$W$77)^2+(X42-$X$77)^2+(Y42-$Y$77)^2+(Z42-$Z$77)^2+(AA42-$AA$77)^2+(AB42-$AB$77)^2+(AC42-$AC$77)^2+(AD42-$AD$77)^2+(AE42-$AE$77)^2+(AF42-$AF$77)^2+(AG42-$AG$77)^2)</f>
        <v>1.6546970659891438</v>
      </c>
      <c r="DK42" s="36" t="s">
        <v>135</v>
      </c>
      <c r="DL42" s="37" t="s">
        <v>120</v>
      </c>
      <c r="DN42" s="44"/>
      <c r="DO42" s="36">
        <f>SQRT((A42-$A$78)^2+(B42-$B$78)^2+(C42-$C$78)^2+(D42-$D$78)^2+(E42-$E$78)^2+(F42-$F$78)^2+(G42-$G$78)^2+(H42-$H$78)^2+(I42-$I$78)^2+(J42-$J$78)^2+(K42-$K$78)^2+(L42-$L$78)^2+(M42-$M$78)^2+(N42-$N$78)^2+(O42-$O$78)^2+(P42-$P$78)^2+(Q42-$Q$78)^2+(R42-$R$78)^2+(S42-$S$78)^2+(T42-$T$78)^2+(U42-$U$78)^2+(V42-$V$78)^2+(W42-$W$78)^2+(X42-$X$78)^2+(Y42-$Y$78)^2+(Z42-$Z$78)^2+(AA42-$AA$78)^2+(AB42-$AB$78)^2+(AC42-$AC$78)^2+(AD42-$AD$78)^2+(AE42-$AE$78)^2+(AF42-$AF$78)^2+(AG42-$AG$78)^2)</f>
        <v>0.81948592966179468</v>
      </c>
      <c r="DP42" s="36" t="s">
        <v>150</v>
      </c>
      <c r="DQ42" s="37" t="s">
        <v>120</v>
      </c>
      <c r="DS42" s="44"/>
      <c r="DT42" s="36">
        <f>SQRT((A42-$A$79)^2+(B42-$B$79)^2+(C42-$C$79)^2+(D42-$D$79)^2+(E42-$E$79)^2+(F42-$F$79)^2+(G42-$G$79)^2+(H42-$H$79)^2+(I42-$I$79)^2+(J42-$J$79)^2+(K42-$K$79)^2+(L42-$L$79)^2+(M42-$M$79)^2+(N42-$N$79)^2+(O42-$O$79)^2+(P42-$P$79)^2+(Q42-$Q$79)^2+(R42-$R$79)^2+(S42-$S$79)^2+(T42-$T$79)^2+(U42-$U$79)^2+(V42-$V$79)^2+(W42-$W$79)^2+(X42-$X$79)^2+(Y42-$Y$79)^2+(Z42-$Z$79)^2+(AA42-$AA$79)^2+(AB42-$AB$79)^2+(AC42-$AC$79)^2+(AD42-$AD$79)^2+(AE42-$AE$79)^2+(AF42-$AF$79)^2+(AG42-$AG$79)^2)</f>
        <v>0.88981046781533824</v>
      </c>
      <c r="DU42" s="36" t="s">
        <v>141</v>
      </c>
      <c r="DV42" s="37" t="s">
        <v>120</v>
      </c>
      <c r="DX42" s="44"/>
      <c r="DY42" s="36">
        <f>SQRT((A42-$A$80)^2+(B42-$B$80)^2+(C42-$C$80)^2+(D42-$D$80)^2+(E42-$E$80)^2+(F42-$F$80)^2+(G42-$G$80)^2+(H42-$H$80)^2+(I42-$I$80)^2+(J42-$J$80)^2+(K42-$K$80)^2+(L42-$L$80)^2+(M42-$M$80)^2+(N42-$N$80)^2+(O42-$O$80)^2+(P42-$P$80)^2+(Q42-$Q$80)^2+(R42-$R$80)^2+(S42-$S$80)^2+(T42-$T$80)^2+(U42-$U$80)^2+(V42-$V$80)^2+(W42-$W$80)^2+(X42-$X$80)^2+(Y42-$Y$80)^2+(Z42-$Z$80)^2+(AA42-$AA$80)^2+(AB42-$AB$80)^2+(AC42-$AC$80)^2+(AD42-$AD$80)^2+(AE42-$AE$80)^2+(AF42-$AF$80)^2+(AG42-$AG$80)^2)</f>
        <v>1.3117327974039463</v>
      </c>
      <c r="DZ42" s="36" t="s">
        <v>146</v>
      </c>
      <c r="EA42" s="37" t="s">
        <v>120</v>
      </c>
      <c r="EC42" s="44"/>
      <c r="ED42" s="36">
        <f>SQRT((A42-$A$81)^2+(B42-$B$81)^2+(C42-$C$81)^2+(D42-$D$81)^2+(E42-$E$81)^2+(F42-$F$81)^2+(G42-$G$81)^2+(H42-$H$81)^2+(I42-$I$81)^2+(J42-$J$81)^2+(K42-$K$81)^2+(L42-$L$81)^2+(M42-$M$81)^2+(N42-$N$81)^2+(O42-$O$81)^2+(P42-$P$81)^2+(Q42-$Q$81)^2+(R42-$R$81)^2+(S42-$S$81)^2+(T42-$T$81)^2+(U42-$U$81)^2+(V42-$V$81)^2+(W42-$W$81)^2+(X42-$X$81)^2+(Y42-$Y$81)^2+(Z42-$Z$81)^2+(AA42-$AA$81)^2+(AB42-$AB$81)^2+(AC42-$AC$81)^2+(AD42-$AD$81)^2+(AE42-$AE$81)^2+(AF42-$AF$81)^2+(AG42-$AG$81)^2)</f>
        <v>1.3422468021170686</v>
      </c>
      <c r="EE42" s="36" t="s">
        <v>133</v>
      </c>
      <c r="EF42" s="37" t="s">
        <v>120</v>
      </c>
      <c r="EH42" s="44"/>
      <c r="EI42" s="36">
        <f>SQRT((A42-$A$82)^2+(B42-$B$82)^2+(C42-$C$82)^2+(D42-$D$82)^2+(E42-$E$82)^2+(F42-$F$82)^2+(G42-$G$82)^2+(H42-$H$82)^2+(I42-$I$82)^2+(J42-$J$82)^2+(K42-$K$82)^2+(L42-$L$82)^2+(M42-$M$82)^2+(N42-$N$82)^2+(O42-$O$82)^2+(P42-$P$82)^2+(Q42-$Q$82)^2+(R42-$R$82)^2+(S42-$S$82)^2+(T42-$T$82)^2+(U42-$U$82)^2+(V42-$V$82)^2+(W42-$W$82)^2+(X42-$X$82)^2+(Y42-$Y$82)^2+(Z42-$Z$82)^2+(AA42-$AA$82)^2+(AB42-$AB$82)^2+(AC42-$AC$82)^2+(AD42-$AD$82)^2+(AE42-$AE$82)^2+(AF42-$AF$82)^2+(AG42-$AG$82)^2)</f>
        <v>1.257577442996185</v>
      </c>
      <c r="EJ42" s="36" t="s">
        <v>145</v>
      </c>
      <c r="EK42" s="37" t="s">
        <v>120</v>
      </c>
      <c r="EM42" s="44"/>
      <c r="EN42" s="36">
        <f>SQRT((A42-$A$83)^2+(B42-$B$83)^2+(C42-$C$83)^2+(D42-$D$83)^2+(E42-$E$83)^2+(F42-$F$83)^2+(G42-$G$83)^2+(H42-$H$83)^2+(I42-$I$83)^2+(J42-$J$83)^2+(K42-$K$83)^2+(L42-$L$83)^2+(M42-$M$83)^2+(N42-$N$83)^2+(O42-$O$83)^2+(P42-$P$83)^2+(Q42-$Q$83)^2+(R42-$R$83)^2+(S42-$S$83)^2+(T42-$T$83)^2+(U42-$U$83)^2+(V42-$V$83)^2+(W42-$W$83)^2+(X42-$X$83)^2+(Y42-$Y$83)^2+(Z42-$Z$83)^2+(AA42-$AA$83)^2+(AB42-$AB$83)^2+(AC42-$AC$83)^2+(AD42-$AD$83)^2+(AE42-$AE$83)^2+(AF42-$AF$83)^2+(AG42-$AG$83)^2)</f>
        <v>0.83373786812719042</v>
      </c>
      <c r="EO42" s="36" t="s">
        <v>141</v>
      </c>
      <c r="EP42" s="37" t="s">
        <v>120</v>
      </c>
      <c r="ER42" s="44"/>
      <c r="ES42" s="36">
        <f>SQRT((A42-$A$84)^2+(B42-$B$84)^2+(C42-$C$84)^2+(D42-$D$84)^2+(E42-$E$84)^2+(F42-$F$84)^2+(G42-$G$84)^2+(H42-$H$84)^2+(I42-$I$84)^2+(J42-$J$84)^2+(K42-$K$84)^2+(L42-$L$84)^2+(M42-$M$84)^2+(N42-$N$84)^2+(O42-$O$84)^2+(P42-$P$84)^2+(Q42-$Q$84)^2+(R42-$R$84)^2+(S42-$S$84)^2+(T42-$T$84)^2+(U42-$U$84)^2+(V42-$V$84)^2+(W42-$W$84)^2+(X42-$X$84)^2+(Y42-$Y$84)^2+(Z42-$Z$84)^2+(AA42-$AA$84)^2+(AB42-$AB$84)^2+(AC42-$AC$84)^2+(AD42-$AD$84)^2+(AE42-$AE$84)^2+(AF42-$AF$84)^2+(AG42-$AG$84)^2)</f>
        <v>0.33333333333333298</v>
      </c>
      <c r="ET42" s="36" t="s">
        <v>317</v>
      </c>
      <c r="EU42" s="37" t="s">
        <v>120</v>
      </c>
      <c r="EW42" s="44"/>
      <c r="EX42" s="36">
        <f>SQRT((A42-$A$85)^2+(B42-$B$85)^2+(C42-$C$85)^2+(D42-$D$85)^2+(E42-$E$85)^2+(F42-$F$85)^2+(G42-$G$85)^2+(H42-$H$85)^2+(I42-$I$85)^2+(J42-$J$85)^2+(K42-$K$85)^2+(L42-$L$85)^2+(M42-$M$85)^2+(N42-$N$85)^2+(O42-$O$85)^2+(P42-$P$85)^2+(Q42-$Q$85)^2+(R42-$R$85)^2+(S42-$S$85)^2+(T42-$T$85)^2+(U42-$U$85)^2+(V42-$V$85)^2+(W42-$W$85)^2+(X42-$X$85)^2+(Y42-$Y$85)^2+(Z42-$Z$85)^2+(AA42-$AA$85)^2+(AB42-$AB$85)^2+(AC42-$AC$85)^2+(AD42-$AD$85)^2+(AE42-$AE$85)^2+(AF42-$AF$85)^2+(AG42-$AG$85)^2)</f>
        <v>0.33333333333333298</v>
      </c>
      <c r="EY42" s="36" t="s">
        <v>317</v>
      </c>
      <c r="EZ42" s="37" t="s">
        <v>120</v>
      </c>
      <c r="FB42" s="44"/>
      <c r="FC42" s="36">
        <f>SQRT((A42-$A$86)^2+(B42-$B$86)^2+(C42-$C$86)^2+(D42-$D$86)^2+(E42-$E$86)^2+(F42-$F$86)^2+(G42-$G$86)^2+(H42-$H$86)^2+(I42-$I$86)^2+(J42-$J$86)^2+(K42-$K$86)^2+(L42-$L$86)^2+(M42-$M$86)^2+(N42-$N$86)^2+(O42-$O$86)^2+(P42-$P$86)^2+(Q42-$Q$86)^2+(R42-$R$86)^2+(S42-$S$86)^2+(T42-$T$86)^2+(U42-$U$86)^2+(V42-$V$86)^2+(W42-$W$86)^2+(X42-$X$86)^2+(Y42-$Y$86)^2+(Z42-$Z$86)^2+(AA42-$AA$86)^2+(AB42-$AB$86)^2+(AC42-$AC$86)^2+(AD42-$AD$86)^2+(AE42-$AE$86)^2+(AF42-$AF$86)^2+(AG42-$AG$86)^2)</f>
        <v>0.33333333333333298</v>
      </c>
      <c r="FD42" s="36" t="s">
        <v>317</v>
      </c>
      <c r="FE42" s="37" t="s">
        <v>120</v>
      </c>
      <c r="FG42" s="44"/>
      <c r="FH42" s="36">
        <f>SQRT((A42-$A$87)^2+(B42-$B$87)^2+(C42-$C$87)^2+(D42-$D$87)^2+(E42-$E$87)^2+(F42-$F$87)^2+(G42-$G$87)^2+(H42-$H$87)^2+(I42-$I$87)^2+(J42-$J$87)^2+(K42-$K$87)^2+(L42-$L$87)^2+(M42-$M$87)^2+(N42-$N$87)^2+(O42-$O$87)^2+(P42-$P$87)^2+(Q42-$Q$87)^2+(R42-$R$87)^2+(S42-$S$87)^2+(T42-$T$87)^2+(U42-$U$87)^2+(V42-$V$87)^2+(W42-$W$87)^2+(X42-$X$87)^2+(Y42-$Y$87)^2+(Z42-$Z$87)^2+(AA42-$AA$87)^2+(AB42-$AB$87)^2+(AC42-$AC$87)^2+(AD42-$AD$87)^2+(AE42-$AE$87)^2+(AF42-$AF$87)^2+(AG42-$AG$87)^2)</f>
        <v>0.91306452891075462</v>
      </c>
      <c r="FI42" s="36" t="s">
        <v>146</v>
      </c>
      <c r="FJ42" s="37" t="s">
        <v>120</v>
      </c>
      <c r="FL42" s="44"/>
      <c r="FM42" s="36">
        <f>SQRT((A42-$A$88)^2+(B42-$B$88)^2+(C42-$C$88)^2+(D42-$D$88)^2+(E42-$E$88)^2+(F42-$F$88)^2+(G42-$G$88)^2+(H42-$H$88)^2+(I42-$I$88)^2+(J42-$J$88)^2+(K42-$K$88)^2+(L42-$L$88)^2+(M42-$M$88)^2+(N42-$N$88)^2+(O42-$O$88)^2+(P42-$P$88)^2+(Q42-$Q$88)^2+(R42-$R$88)^2+(S42-$S$88)^2+(T42-$T$88)^2+(U42-$U$88)^2+(V42-$V$88)^2+(W42-$W$88)^2+(X42-$X$88)^2+(Y42-$Y$88)^2+(Z42-$Z$88)^2+(AA42-$AA$88)^2+(AB42-$AB$88)^2+(AC42-$AC$88)^2+(AD42-$AD$88)^2+(AE42-$AE$88)^2+(AF42-$AF$88)^2+(AG42-$AG$88)^2)</f>
        <v>0.97700844682997778</v>
      </c>
      <c r="FN42" s="36" t="s">
        <v>329</v>
      </c>
      <c r="FO42" s="37" t="s">
        <v>120</v>
      </c>
      <c r="FQ42" s="44"/>
      <c r="FR42" s="36">
        <f>SQRT((A42-$A$89)^2+(B42-$B$89)^2+(C42-$C$89)^2+(D42-$D$89)^2+(E42-$E$89)^2+(F42-$F$89)^2+(G42-$G$89)^2+(H42-$H$89)^2+(I42-$I$89)^2+(J42-$J$89)^2+(K42-$K$89)^2+(L42-$L$89)^2+(M42-$M$89)^2+(N42-$N$89)^2+(O42-$O$89)^2+(P42-$P$89)^2+(Q42-$Q$89)^2+(R42-$R$89)^2+(S42-$S$89)^2+(T42-$T$89)^2+(U42-$U$89)^2+(V42-$V$89)^2+(W42-$W$89)^2+(X42-$X$89)^2+(Y42-$Y$89)^2+(Z42-$Z$89)^2+(AA42-$AA$89)^2+(AB42-$AB$89)^2+(AC42-$AC$89)^2+(AD42-$AD$89)^2+(AE42-$AE$89)^2+(AF42-$AF$89)^2+(AG42-$AG$89)^2)</f>
        <v>1.3953785464702997</v>
      </c>
      <c r="FS42" s="36" t="s">
        <v>335</v>
      </c>
      <c r="FT42" s="37" t="s">
        <v>120</v>
      </c>
      <c r="FV42" s="44"/>
      <c r="FW42" s="36">
        <f>SQRT((A42-$A$90)^2+(B42-$B$90)^2+(C42-$C$90)^2+(D42-$D$90)^2+(E42-$E$90)^2+(F42-$F$90)^2+(G42-$G$90)^2+(H42-$H$90)^2+(I42-$I$90)^2+(J42-$J$90)^2+(K42-$K$90)^2+(L42-$L$90)^2+(M42-$M$90)^2+(N42-$N$90)^2+(O42-$O$90)^2+(P42-$P$90)^2+(Q42-$Q$90)^2+(R42-$R$90)^2+(S42-$S$90)^2+(T42-$T$90)^2+(U42-$U$90)^2+(V42-$V$90)^2+(W42-$W$90)^2+(X42-$X$90)^2+(Y42-$Y$90)^2+(Z42-$Z$90)^2+(AA42-$AA$90)^2+(AB42-$AB$90)^2+(AC42-$AC$90)^2+(AD42-$AD$90)^2+(AE42-$AE$90)^2+(AF42-$AF$90)^2+(AG42-$AG$90)^2)</f>
        <v>1.4222768463392019</v>
      </c>
      <c r="FX42" s="36" t="s">
        <v>338</v>
      </c>
      <c r="FY42" s="37" t="s">
        <v>120</v>
      </c>
      <c r="GA42" s="44"/>
      <c r="GB42" s="36">
        <f>SQRT((A42-$A$91)^2+(B42-$B$91)^2+(C42-$C$91)^2+(D42-$D$91)^2+(E42-$E$91)^2+(F42-$F$91)^2+(G42-$G$91)^2+(H42-$H$91)^2+(I42-$I$91)^2+(J42-$J$91)^2+(K42-$K$91)^2+(L42-$L$91)^2+(M42-$M$91)^2+(N42-$N$91)^2+(O42-$O$91)^2+(P42-$P$91)^2+(Q42-$Q$91)^2+(R42-$R$91)^2+(S42-$S$91)^2+(T42-$T$91)^2+(U42-$U$91)^2+(V42-$V$91)^2+(W42-$W$91)^2+(X42-$X$91)^2+(Y42-$Y$91)^2+(Z42-$Z$91)^2+(AA42-$AA$91)^2+(AB42-$AB$91)^2+(AC42-$AC$91)^2+(AD42-$AD$91)^2+(AE42-$AE$91)^2+(AF42-$AF$91)^2+(AG42-$AG$91)^2)</f>
        <v>1.6928697576375888</v>
      </c>
      <c r="GC42" s="36" t="s">
        <v>319</v>
      </c>
      <c r="GD42" s="37" t="s">
        <v>120</v>
      </c>
      <c r="GF42" s="44"/>
      <c r="GG42" s="36">
        <f>SQRT((A42-$A$92)^2+(B42-$B$92)^2+(C42-$C$92)^2+(D42-$D$92)^2+(E42-$E$92)^2+(F42-$F$92)^2+(G42-$G$92)^2+(H42-$H$92)^2+(I42-$I$92)^2+(J42-$J$92)^2+(K42-$K$92)^2+(L42-$L$92)^2+(M42-$M$92)^2+(N42-$N$92)^2+(O42-$O$92)^2+(P42-$P$92)^2+(Q42-$Q$92)^2+(R42-$R$92)^2+(S42-$S$92)^2+(T42-$T$92)^2+(U42-$U$92)^2+(V42-$V$92)^2+(W42-$W$92)^2+(X42-$X$92)^2+(Y42-$Y$92)^2+(Z42-$Z$92)^2+(AA42-$AA$92)^2+(AB42-$AB$92)^2+(AC42-$AC$92)^2+(AD42-$AD$92)^2+(AE42-$AE$92)^2+(AF42-$AF$92)^2+(AG42-$AG$92)^2)</f>
        <v>1.3238415611824654</v>
      </c>
      <c r="GH42" s="36" t="s">
        <v>324</v>
      </c>
      <c r="GI42" s="37" t="s">
        <v>120</v>
      </c>
      <c r="GK42" s="44"/>
      <c r="GL42" s="36">
        <f>SQRT((A42-$A$93)^2+(B42-$B$93)^2+(C42-$C$93)^2+(D42-$D$93)^2+(E42-$E$93)^2+(F42-$F$93)^2+(G42-$G$93)^2+(H42-$H$93)^2+(I42-$I$93)^2+(J42-$J$93)^2+(K42-$K$93)^2+(L42-$L$93)^2+(M42-$M$93)^2+(N42-$N$93)^2+(O42-$O$93)^2+(P42-$P$93)^2+(Q42-$Q$93)^2+(R42-$R$93)^2+(S42-$S$93)^2+(T42-$T$93)^2+(U42-$U$93)^2+(V42-$V$93)^2+(W42-$W$93)^2+(X42-$X$93)^2+(Y42-$Y$93)^2+(Z42-$Z$93)^2+(AA42-$AA$93)^2+(AB42-$AB$93)^2+(AC42-$AC$93)^2+(AD42-$AD$93)^2+(AE42-$AE$93)^2+(AF42-$AF$93)^2+(AG42-$AG$93)^2)</f>
        <v>1.8094731342333277</v>
      </c>
      <c r="GM42" s="36" t="s">
        <v>145</v>
      </c>
      <c r="GN42" s="37" t="s">
        <v>120</v>
      </c>
      <c r="GP42" s="44"/>
      <c r="GQ42" s="36">
        <f>SQRT((A42-$A$94)^2+(B42-$B$94)^2+(C42-$C$94)^2+(D42-$D$94)^2+(E42-$E$94)^2+(F42-$F$94)^2+(G42-$G$94)^2+(H42-$H$94)^2+(I42-$I$94)^2+(J42-$J$94)^2+(K42-$K$94)^2+(L42-$L$94)^2+(M42-$M$94)^2+(N42-$N$94)^2+(O42-$O$94)^2+(P42-$P$94)^2+(Q42-$Q$94)^2+(R42-$R$94)^2+(S42-$S$94)^2+(T42-$T$94)^2+(U42-$U$94)^2+(V42-$V$94)^2+(W42-$W$94)^2+(X42-$X$94)^2+(Y42-$Y$94)^2+(Z42-$Z$94)^2+(AA42-$AA$94)^2+(AB42-$AB$94)^2+(AC42-$AC$94)^2+(AD42-$AD$94)^2+(AE42-$AE$94)^2+(AF42-$AF$94)^2+(AG42-$AG$94)^2)</f>
        <v>1.075933414471185</v>
      </c>
      <c r="GR42" s="36" t="s">
        <v>143</v>
      </c>
      <c r="GS42" s="37" t="s">
        <v>120</v>
      </c>
      <c r="GU42" s="44"/>
      <c r="GV42" s="36">
        <f>SQRT((A42-$A$95)^2+(B42-$B$95)^2+(C42-$C$95)^2+(D42-$D$95)^2+(E42-$E$95)^2+(F42-$F$95)^2+(G42-$G$95)^2+(H42-$H$95)^2+(I42-$I$95)^2+(J42-$J$95)^2+(K42-$K$95)^2+(L42-$L$95)^2+(M42-$M$95)^2+(N42-$N$95)^2+(O42-$O$95)^2+(P42-$P$95)^2+(Q42-$Q$95)^2+(R42-$R$95)^2+(S42-$S$95)^2+(T42-$T$95)^2+(U42-$U$95)^2+(V42-$V$95)^2+(W42-$W$95)^2+(X42-$X$95)^2+(Y42-$Y$95)^2+(Z42-$Z$95)^2+(AA42-$AA$95)^2+(AB42-$AB$95)^2+(AC42-$AC$95)^2+(AD42-$AD$95)^2+(AE42-$AE$95)^2+(AF42-$AF$95)^2+(AG42-$AG$95)^2)</f>
        <v>2.1732981407970082</v>
      </c>
      <c r="GW42" s="36" t="s">
        <v>143</v>
      </c>
      <c r="GX42" s="37" t="s">
        <v>120</v>
      </c>
      <c r="GZ42" s="44"/>
      <c r="HA42" s="36">
        <f>SQRT((A42-$A$96)^2+(B42-$B$96)^2+(C42-$C$96)^2+(D42-$D$96)^2+(E42-$E$96)^2+(F42-$F$96)^2+(G42-$G$96)^2+(H42-$H$96)^2+(I42-$I$96)^2+(J42-$J$96)^2+(K42-$K$96)^2+(L42-$L$96)^2+(M42-$M$96)^2+(N42-$N$96)^2+(O42-$O$96)^2+(P42-$P$96)^2+(Q42-$Q$96)^2+(R42-$R$96)^2+(S42-$S$96)^2+(T42-$T$96)^2+(U42-$U$96)^2+(V42-$V$96)^2+(W42-$W$96)^2+(X42-$X$96)^2+(Y42-$Y$96)^2+(Z42-$Z$96)^2+(AA42-$AA$96)^2+(AB42-$AB$96)^2+(AC42-$AC$96)^2+(AD42-$AD$96)^2+(AE42-$AE$96)^2+(AF42-$AF$96)^2+(AG42-$AG$96)^2)</f>
        <v>2.0600147970997176</v>
      </c>
      <c r="HB42" s="36" t="s">
        <v>142</v>
      </c>
      <c r="HC42" s="37" t="s">
        <v>120</v>
      </c>
      <c r="HE42" s="44"/>
      <c r="HF42" s="36">
        <f>SQRT((A42-$A$97)^2+(B42-$B$97)^2+(C42-$C$97)^2+(D42-$D$97)^2+(E42-$E$97)^2+(F42-$F$97)^2+(G42-$G$97)^2+(H42-$H$97)^2+(I42-$I$97)^2+(J42-$J$97)^2+(K42-$K$97)^2+(L42-$L$97)^2+(M42-$M$97)^2+(N42-$N$97)^2+(O42-$O$97)^2+(P42-$P$97)^2+(Q42-$Q$97)^2+(R42-$R$97)^2+(S42-$S$97)^2+(T42-$T$97)^2+(U42-$U$97)^2+(V42-$V$97)^2+(W42-$W$97)^2+(X42-$X$97)^2+(Y42-$Y$97)^2+(Z42-$Z$97)^2+(AA42-$AA$97)^2+(AB42-$AB$97)^2+(AC42-$AC$97)^2+(AD42-$AD$97)^2+(AE42-$AE$97)^2+(AF42-$AF$97)^2+(AG42-$AG$97)^2)</f>
        <v>0.33333333333333298</v>
      </c>
      <c r="HG42" s="36" t="s">
        <v>317</v>
      </c>
      <c r="HH42" s="37" t="s">
        <v>120</v>
      </c>
      <c r="HJ42" s="44"/>
      <c r="HK42" s="36">
        <f>SQRT((A42-$A$98)^2+(B42-$B$98)^2+(C42-$C$98)^2+(D42-$D$98)^2+(E42-$E$98)^2+(F42-$F$98)^2+(G42-$G$98)^2+(H42-$H$98)^2+(I42-$I$98)^2+(J42-$J$98)^2+(K42-$K$98)^2+(L42-$L$98)^2+(M42-$M$98)^2+(N42-$N$98)^2+(O42-$O$98)^2+(P42-$P$98)^2+(Q42-$Q$98)^2+(R42-$R$98)^2+(S42-$S$98)^2+(T42-$T$98)^2+(U42-$U$98)^2+(V42-$V$98)^2+(W42-$W$98)^2+(X42-$X$98)^2+(Y42-$Y$98)^2+(Z42-$Z$98)^2+(AA42-$AA$98)^2+(AB42-$AB$98)^2+(AC42-$AC$98)^2+(AD42-$AD$98)^2+(AE42-$AE$98)^2+(AF42-$AF$98)^2+(AG42-$AG$98)^2)</f>
        <v>0.33333333333333298</v>
      </c>
      <c r="HL42" s="36" t="s">
        <v>317</v>
      </c>
      <c r="HM42" s="37" t="s">
        <v>120</v>
      </c>
      <c r="HO42" s="44"/>
      <c r="HP42" s="36">
        <f>SQRT((A42-$A$99)^2+(B42-$B$99)^2+(C42-$C$99)^2+(D42-$D$99)^2+(E42-$E$99)^2+(F42-$F$99)^2+(G42-$G$99)^2+(H42-$H$99)^2+(I42-$I$99)^2+(J42-$J$99)^2+(K42-$K$99)^2+(L42-$L$99)^2+(M42-$M$99)^2+(N42-$N$99)^2+(O42-$O$99)^2+(P42-$P$99)^2+(Q42-$Q$99)^2+(R42-$R$99)^2+(S42-$S$99)^2+(T42-$T$99)^2+(U42-$U$99)^2+(V42-$V$99)^2+(W42-$W$99)^2+(X42-$X$99)^2+(Y42-$Y$99)^2+(Z42-$Z$99)^2+(AA42-$AA$99)^2+(AB42-$AB$99)^2+(AC42-$AC$99)^2+(AD42-$AD$99)^2+(AE42-$AE$99)^2+(AF42-$AF$99)^2+(AG42-$AG$99)^2)</f>
        <v>0.33333333333333298</v>
      </c>
      <c r="HQ42" s="36" t="s">
        <v>317</v>
      </c>
      <c r="HR42" s="37" t="s">
        <v>120</v>
      </c>
      <c r="HT42" s="44"/>
      <c r="HU42" s="36">
        <f>SQRT((A42-$A$100)^2+(B42-$B$100)^2+(C42-$C$100)^2+(D42-$D$100)^2+(E42-$E$100)^2+(F42-$F$100)^2+(G42-$G$100)^2+(H42-$H$100)^2+(I42-$I$100)^2+(J42-$J$100)^2+(K42-$K$100)^2+(L42-$L$100)^2+(M42-$M$100)^2+(N42-$N$100)^2+(O42-$O$100)^2+(P42-$P$100)^2+(Q42-$Q$100)^2+(R42-$R$100)^2+(S42-$S$100)^2+(T42-$T$100)^2+(U42-$U$100)^2+(V42-$V$100)^2+(W42-$W$100)^2+(X42-$X$100)^2+(Y42-$Y$100)^2+(Z42-$Z$100)^2+(AA42-$AA$100)^2+(AB42-$AB$100)^2+(AC42-$AC$100)^2+(AD42-$AD$100)^2+(AE42-$AE$100)^2+(AF42-$AF$100)^2+(AG42-$AG$100)^2)</f>
        <v>0.33333333333333298</v>
      </c>
      <c r="HV42" s="36" t="s">
        <v>317</v>
      </c>
      <c r="HW42" s="37" t="s">
        <v>120</v>
      </c>
      <c r="HY42" s="44"/>
      <c r="HZ42" s="36">
        <f>SQRT((A42-$A$101)^2+(B42-$B$101)^2+(C42-$C$101)^2+(D42-$D$101)^2+(E42-$E$101)^2+(F42-$F$101)^2+(G42-$G$101)^2+(H42-$H$101)^2+(I42-$I$101)^2+(J42-$J$101)^2+(K42-$K$101)^2+(L42-$L$101)^2+(M42-$M$101)^2+(N42-$N$101)^2+(O42-$O$101)^2+(P42-$P$101)^2+(Q42-$Q$101)^2+(R42-$R$101)^2+(S42-$S$101)^2+(T42-$T$101)^2+(U42-$U$101)^2+(V42-$V$101)^2+(W42-$W$101)^2+(X42-$X$101)^2+(Y42-$Y$101)^2+(Z42-$Z$101)^2+(AA42-$AA$101)^2+(AB42-$AB$101)^2+(AC42-$AC$101)^2+(AD42-$AD$101)^2+(AE42-$AE$101)^2+(AF42-$AF$101)^2+(AG42-$AG$101)^2)</f>
        <v>1.3612369005455633</v>
      </c>
      <c r="IA42" s="36" t="s">
        <v>151</v>
      </c>
      <c r="IB42" s="37" t="s">
        <v>120</v>
      </c>
    </row>
    <row r="43" spans="1:236" x14ac:dyDescent="0.35">
      <c r="A43" s="2">
        <v>0.5</v>
      </c>
      <c r="B43" s="2">
        <v>0.5</v>
      </c>
      <c r="C43" s="2">
        <v>0.23899371069182301</v>
      </c>
      <c r="D43" s="2">
        <v>0.66666666666666596</v>
      </c>
      <c r="E43" s="2">
        <v>0</v>
      </c>
      <c r="F43" s="2">
        <v>1</v>
      </c>
      <c r="G43" s="2">
        <v>0.55555555555555503</v>
      </c>
      <c r="H43" s="2">
        <v>1</v>
      </c>
      <c r="I43" s="2">
        <v>0.5</v>
      </c>
      <c r="J43" s="2">
        <v>0</v>
      </c>
      <c r="K43" s="2">
        <v>0</v>
      </c>
      <c r="L43" s="2">
        <v>0.2</v>
      </c>
      <c r="M43" s="2">
        <v>1</v>
      </c>
      <c r="N43" s="2">
        <v>0</v>
      </c>
      <c r="O43" s="2">
        <v>0</v>
      </c>
      <c r="P43" s="2">
        <v>0.4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0.19565217391304299</v>
      </c>
      <c r="AH43" s="2" t="s">
        <v>120</v>
      </c>
      <c r="AI43" s="42"/>
      <c r="AJ43" s="42"/>
      <c r="AL43" s="44"/>
      <c r="AM43" s="36">
        <f>SQRT((A43-$A$62)^2+(B43-$B$62)^2+(C43-$C$62)^2+(D43-$D$62)^2+(E43-$E$62)^2+(F43-$F$62)^2+(G43-$G$62)^2+(H43-$H$62)^2+(I43-$I$62)^2+(J43-$J$62)^2+(K43-$K$62)^2+(L43-$L$62)^2+(M43-$M$62)^2+(N43-$N$62)^2+(O43-$O$62)^2+(P43-$P$62)^2+(Q43-$Q$62)^2+(R43-$R$62)^2+(S43-$S$62)^2+(T43-$T$62)^2+(U43-$U$62)^2+(V43-$V$62)^2+(W43-$W$62)^2+(X43-$X$62)^2+(Y43-$Y$62)^2+(Z43-$Z$62)^2+(AA43-$AA$62)^2+(AB43-$AB$62)^2+(AC43-$AC$62)^2+(AD43-$AD$62)^2+(AE43-$AE$62)^2+(AF43-$AF$62)^2+(AG43-$AG$62)^2)</f>
        <v>1.9272063153698635</v>
      </c>
      <c r="AN43" s="36" t="s">
        <v>135</v>
      </c>
      <c r="AO43" s="37" t="s">
        <v>120</v>
      </c>
      <c r="AQ43" s="44"/>
      <c r="AR43" s="36">
        <f>SQRT((A43-$A$63)^2+(B43-$B$63)^2+(C43-$C$63)^2+(D43-$D$63)^2+(E43-$E$63)^2+(F43-$F$63)^2+(G43-$G$63)^2+(H43-$H$63)^2+(I43-$I$63)^2+(J43-$J$63)^2+(K43-$K$63)^2+(L43-$L$63)^2+(M43-$M$63)^2+(N43-$N$63)^2+(O43-$O$63)^2+(P43-$P$63)^2+(Q43-$Q$63)^2+(R43-$R$63)^2+(S43-$S$63)^2+(T43-$T$63)^2+(U43-$U$63)^2+(V43-$V$63)^2+(W43-$W$63)^2+(X43-$X$63)^2+(Y43-$Y$63)^2+(Z43-$Z$63)^2+(AA43-$AA$63)^2+(AB43-$AB$63)^2+(AC43-$AC$63)^2+(AD43-$AD$63)^2+(AE43-$AE$63)^2+(AF43-$AF$63)^2+(AG43-$AG$63)^2)</f>
        <v>0.92141581080312329</v>
      </c>
      <c r="AS43" s="36" t="s">
        <v>339</v>
      </c>
      <c r="AT43" s="37" t="s">
        <v>120</v>
      </c>
      <c r="AV43" s="44"/>
      <c r="AW43" s="36">
        <f>SQRT((A43-$A$64)^2+(B43-$B$64)^2+(C43-$C$64)^2+(D43-$D$64)^2+(E43-$E$64)^2+(F43-$F$64)^2+(G43-$G$64)^2+(H43-$H$64)^2+(I43-$I$64)^2+(J43-$J$64)^2+(K43-$K$64)^2+(L43-$L$64)^2+(M43-$M$64)^2+(N43-$N$64)^2+(O43-$O$64)^2+(P43-$P$64)^2+(Q43-$Q$64)^2+(R43-$R$64)^2+(S43-$S$64)^2+(T43-$T$64)^2+(U43-$U$64)^2+(V43-$V$64)^2+(W43-$W$64)^2+(X43-$X$64)^2+(Y43-$Y$64)^2+(Z43-$Z$64)^2+(AA43-$AA$64)^2+(AB43-$AB$64)^2+(AC43-$AC$64)^2+(AD43-$AD$64)^2+(AE43-$AE$64)^2+(AF43-$AF$64)^2+(AG43-$AG$64)^2)</f>
        <v>0.92141581080312329</v>
      </c>
      <c r="AX43" s="36" t="s">
        <v>339</v>
      </c>
      <c r="AY43" s="37" t="s">
        <v>120</v>
      </c>
      <c r="BA43" s="44"/>
      <c r="BB43" s="36">
        <f>SQRT((A43-$A$65)^2+(B43-$B$65)^2+(C43-$C$65)^2+(D43-$D$65)^2+(E43-$E$65)^2+(F43-$F$65)^2+(G43-$G$65)^2+(H43-$H$65)^2+(I43-$I$65)^2+(J43-$J$65)^2+(K43-$K$65)^2+(L43-$L$65)^2+(M43-$M$65)^2+(N43-$N$65)^2+(O43-$O$65)^2+(P43-$P$65)^2+(Q43-$Q$65)^2+(R43-$R$65)^2+(S43-$S$65)^2+(T43-$T$65)^2+(U43-$U$65)^2+(V43-$V$65)^2+(W43-$W$65)^2+(X43-$X$65)^2+(Y43-$Y$65)^2+(Z43-$Z$65)^2+(AA43-$AA$65)^2+(AB43-$AB$65)^2+(AC43-$AC$65)^2+(AD43-$AD$65)^2+(AE43-$AE$65)^2+(AF43-$AF$65)^2+(AG43-$AG$65)^2)</f>
        <v>0.92141581080312329</v>
      </c>
      <c r="BC43" s="36" t="s">
        <v>339</v>
      </c>
      <c r="BD43" s="37" t="s">
        <v>120</v>
      </c>
      <c r="BF43" s="44"/>
      <c r="BG43" s="36">
        <f>SQRT((A43-$A$66)^2+(B43-$B$66)^2+(C43-$C$66)^2+(D43-$D$66)^2+(E43-$E$66)^2+(F43-$F$66)^2+(G43-$G$66)^2+(H43-$H$66)^2+(I43-$I$66)^2+(J43-$J$66)^2+(K43-$K$66)^2+(L43-$L$66)^2+(M43-$M$66)^2+(N43-$N$66)^2+(O43-$O$66)^2+(P43-$P$66)^2+(Q43-$Q$66)^2+(R43-$R$66)^2+(S43-$S$66)^2+(T43-$T$66)^2+(U43-$U$66)^2+(V43-$V$66)^2+(W43-$W$66)^2+(X43-$X$66)^2+(Y43-$Y$66)^2+(Z43-$Z$66)^2+(AA43-$AA$66)^2+(AB43-$AB$66)^2+(AC43-$AC$66)^2+(AD43-$AD$66)^2+(AE43-$AE$66)^2+(AF43-$AF$66)^2+(AG43-$AG$66)^2)</f>
        <v>0.92141581080312329</v>
      </c>
      <c r="BH43" s="36" t="s">
        <v>339</v>
      </c>
      <c r="BI43" s="37" t="s">
        <v>120</v>
      </c>
      <c r="BK43" s="44"/>
      <c r="BL43" s="36">
        <f>SQRT((A43-$A$67)^2+(B43-$B$67)^2+(C43-$C$67)^2+(D43-$D$67)^2+(E43-$E$67)^2+(F43-$F$67)^2+(G43-$G$67)^2+(H43-$H$67)^2+(I43-$I$67)^2+(J43-$J$67)^2+(K43-$K$67)^2+(L43-$L$67)^2+(M43-$M$67)^2+(N43-$N$67)^2+(O43-$O$67)^2+(P43-$P$67)^2+(Q43-$Q$67)^2+(R43-$R$67)^2+(S43-$S$67)^2+(T43-$T$67)^2+(U43-$U$67)^2+(V43-$V$67)^2+(W43-$W$67)^2+(X43-$X$67)^2+(Y43-$Y$67)^2+(Z43-$Z$67)^2+(AA43-$AA$67)^2+(AB43-$AB$67)^2+(AC43-$AC$67)^2+(AD43-$AD$67)^2+(AE43-$AE$67)^2+(AF43-$AF$67)^2+(AG43-$AG$67)^2)</f>
        <v>0.92141581080312329</v>
      </c>
      <c r="BM43" s="36" t="s">
        <v>339</v>
      </c>
      <c r="BN43" s="37" t="s">
        <v>120</v>
      </c>
      <c r="BP43" s="44"/>
      <c r="BQ43" s="36">
        <f>SQRT((A43-$A$68)^2+(B43-$B$68)^2+(C43-$C$68)^2+(D43-$D$68)^2+(E43-$E$68)^2+(F43-$F$68)^2+(G43-$G$68)^2+(H43-$H$68)^2+(I43-$I$68)^2+(J43-$J$68)^2+(K43-$K$68)^2+(L43-$L$68)^2+(M43-$M$68)^2+(N43-$N$68)^2+(O43-$O$68)^2+(P43-$P$68)^2+(Q43-$Q$68)^2+(R43-$R$68)^2+(S43-$S$68)^2+(T43-$T$68)^2+(U43-$U$68)^2+(V43-$V$68)^2+(W43-$W$68)^2+(X43-$X$68)^2+(Y43-$Y$68)^2+(Z43-$Z$68)^2+(AA43-$AA$68)^2+(AB43-$AB$68)^2+(AC43-$AC$68)^2+(AD43-$AD$68)^2+(AE43-$AE$68)^2+(AF43-$AF$68)^2+(AG43-$AG$68)^2)</f>
        <v>0.92141581080312329</v>
      </c>
      <c r="BR43" s="36" t="s">
        <v>339</v>
      </c>
      <c r="BS43" s="37" t="s">
        <v>120</v>
      </c>
      <c r="BU43" s="44"/>
      <c r="BV43" s="36">
        <f>SQRT((A43-$A$69)^2+(B43-$B$69)^2+(C43-$C$69)^2+(D43-$D$69)^2+(E43-$E$69)^2+(F43-$F$69)^2+(G43-$G$69)^2+(H43-$H$69)^2+(I43-$I$69)^2+(J43-$J$69)^2+(K43-$K$69)^2+(L43-$L$69)^2+(M43-$M$69)^2+(N43-$N$69)^2+(O43-$O$69)^2+(P43-$P$69)^2+(Q43-$Q$69)^2+(R43-$R$69)^2+(S43-$S$69)^2+(T43-$T$69)^2+(U43-$U$69)^2+(V43-$V$69)^2+(W43-$W$69)^2+(X43-$X$69)^2+(Y43-$Y$69)^2+(Z43-$Z$69)^2+(AA43-$AA$69)^2+(AB43-$AB$69)^2+(AC43-$AC$69)^2+(AD43-$AD$69)^2+(AE43-$AE$69)^2+(AF43-$AF$69)^2+(AG43-$AG$69)^2)</f>
        <v>2.1817638323637287</v>
      </c>
      <c r="BW43" s="36" t="s">
        <v>322</v>
      </c>
      <c r="BX43" s="37" t="s">
        <v>120</v>
      </c>
      <c r="BZ43" s="44"/>
      <c r="CA43" s="36">
        <f>SQRT((A43-$A$70)^2+(B43-$B$70)^2+(C43-$C$70)^2+(D43-$D$70)^2+(E43-$E$70)^2+(F43-$F$70)^2+(G43-$G$70)^2+(H43-$H$70)^2+(I43-$I$70)^2+(J43-$J$70)^2+(K43-$K$70)^2+(L43-$L$70)^2+(M43-$M$70)^2+(N43-$N$70)^2+(O43-$O$70)^2+(P43-$P$70)^2+(Q43-$Q$70)^2+(R43-$R$70)^2+(S43-$S$70)^2+(T43-$T$70)^2+(U43-$U$70)^2+(V43-$V$70)^2+(W43-$W$70)^2+(X43-$X$70)^2+(Y43-$Y$70)^2+(Z43-$Z$70)^2+(AA43-$AA$70)^2+(AB43-$AB$70)^2+(AC43-$AC$70)^2+(AD43-$AD$70)^2+(AE43-$AE$70)^2+(AF43-$AF$70)^2+(AG43-$AG$70)^2)</f>
        <v>0.58333333333333315</v>
      </c>
      <c r="CB43" s="36" t="s">
        <v>135</v>
      </c>
      <c r="CC43" s="37" t="s">
        <v>120</v>
      </c>
      <c r="CE43" s="44"/>
      <c r="CF43" s="36">
        <f>SQRT((A43-$A$71)^2+(B43-$B$71)^2+(C43-$C$71)^2+(D43-$D$71)^2+(E43-$E$71)^2+(F43-$F$71)^2+(G43-$G$71)^2+(H43-$H$71)^2+(I43-$I$71)^2+(J43-$J$71)^2+(K43-$K$71)^2+(L43-$L$71)^2+(M43-$M$71)^2+(N43-$N$71)^2+(O43-$O$71)^2+(P43-$P$71)^2+(Q43-$Q$71)^2+(R43-$R$71)^2+(S43-$S$71)^2+(T43-$T$71)^2+(U43-$U$71)^2+(V43-$V$71)^2+(W43-$W$71)^2+(X43-$X$71)^2+(Y43-$Y$71)^2+(Z43-$Z$71)^2+(AA43-$AA$71)^2+(AB43-$AB$71)^2+(AC43-$AC$71)^2+(AD43-$AD$71)^2+(AE43-$AE$71)^2+(AF43-$AF$71)^2+(AG43-$AG$71)^2)</f>
        <v>1.1180339887498949</v>
      </c>
      <c r="CG43" s="36" t="s">
        <v>137</v>
      </c>
      <c r="CH43" s="37" t="s">
        <v>120</v>
      </c>
      <c r="CJ43" s="44"/>
      <c r="CK43" s="36">
        <f>SQRT((A43-$A$72)^2+(B43-$B$72)^2+(C43-$C$72)^2+(D43-$D$72)^2+(E43-$E$72)^2+(F43-$F$72)^2+(G43-$G$72)^2+(H43-$H$72)^2+(I43-$I$72)^2+(J43-$J$72)^2+(K43-$K$72)^2+(L43-$L$72)^2+(M43-$M$72)^2+(N43-$N$72)^2+(O43-$O$72)^2+(P43-$P$72)^2+(Q43-$Q$72)^2+(R43-$R$72)^2+(S43-$S$72)^2+(T43-$T$72)^2+(U43-$U$72)^2+(V43-$V$72)^2+(W43-$W$72)^2+(X43-$X$72)^2+(Y43-$Y$72)^2+(Z43-$Z$72)^2+(AA43-$AA$72)^2+(AB43-$AB$72)^2+(AC43-$AC$72)^2+(AD43-$AD$72)^2+(AE43-$AE$72)^2+(AF43-$AF$72)^2+(AG43-$AG$72)^2)</f>
        <v>1.3405476124459612</v>
      </c>
      <c r="CL43" s="36" t="s">
        <v>316</v>
      </c>
      <c r="CM43" s="37" t="s">
        <v>120</v>
      </c>
      <c r="CO43" s="44"/>
      <c r="CP43" s="36">
        <f>SQRT((A43-$A$73)^2+(B43-$B$73)^2+(C43-$C$73)^2+(D43-$D$73)^2+(E43-$E$73)^2+(F43-$F$73)^2+(G43-$G$73)^2+(H43-$H$73)^2+(I43-$I$73)^2+(J43-$J$73)^2+(K43-$K$73)^2+(L43-$L$73)^2+(M43-$M$73)^2+(N43-$N$73)^2+(O43-$O$73)^2+(P43-$P$73)^2+(Q43-$Q$73)^2+(R43-$R$73)^2+(S43-$S$73)^2+(T43-$T$73)^2+(U43-$U$73)^2+(V43-$V$73)^2+(W43-$W$73)^2+(X43-$X$73)^2+(Y43-$Y$73)^2+(Z43-$Z$73)^2+(AA43-$AA$73)^2+(AB43-$AB$73)^2+(AC43-$AC$73)^2+(AD43-$AD$73)^2+(AE43-$AE$73)^2+(AF43-$AF$73)^2+(AG43-$AG$73)^2)</f>
        <v>1.0665165330808613</v>
      </c>
      <c r="CQ43" s="36" t="s">
        <v>142</v>
      </c>
      <c r="CR43" s="37" t="s">
        <v>120</v>
      </c>
      <c r="CT43" s="44"/>
      <c r="CU43" s="36">
        <f>SQRT((A43-$A$74)^2+(B43-$B$74)^2+(C43-$C$74)^2+(D43-$D$74)^2+(E43-$E$74)^2+(F43-$F$74)^2+(G43-$G$74)^2+(H43-$H$74)^2+(I43-$I$74)^2+(J43-$J$74)^2+(K43-$K$74)^2+(L43-$L$74)^2+(M43-$M$74)^2+(N43-$N$74)^2+(O43-$O$74)^2+(P43-$P$74)^2+(Q43-$Q$74)^2+(R43-$R$74)^2+(S43-$S$74)^2+(T43-$T$74)^2+(U43-$U$74)^2+(V43-$V$74)^2+(W43-$W$74)^2+(X43-$X$74)^2+(Y43-$Y$74)^2+(Z43-$Z$74)^2+(AA43-$AA$74)^2+(AB43-$AB$74)^2+(AC43-$AC$74)^2+(AD43-$AD$74)^2+(AE43-$AE$74)^2+(AF43-$AF$74)^2+(AG43-$AG$74)^2)</f>
        <v>1.4661786172076858</v>
      </c>
      <c r="CV43" s="36" t="s">
        <v>329</v>
      </c>
      <c r="CW43" s="37" t="s">
        <v>120</v>
      </c>
      <c r="CY43" s="44"/>
      <c r="CZ43" s="36">
        <f>SQRT((A43-$A$75)^2+(B43-$B$75)^2+(C43-$C$75)^2+(D43-$D$75)^2+(E43-$E$75)^2+(F43-$F$75)^2+(G43-$G$75)^2+(H43-$H$75)^2+(I43-$I$75)^2+(J43-$J$75)^2+(K43-$K$75)^2+(L43-$L$75)^2+(M43-$M$75)^2+(N43-$N$75)^2+(O43-$O$75)^2+(P43-$P$75)^2+(Q43-$Q$75)^2+(R43-$R$75)^2+(S43-$S$75)^2+(T43-$T$75)^2+(U43-$U$75)^2+(V43-$V$75)^2+(W43-$W$75)^2+(X43-$X$75)^2+(Y43-$Y$75)^2+(Z43-$Z$75)^2+(AA43-$AA$75)^2+(AB43-$AB$75)^2+(AC43-$AC$75)^2+(AD43-$AD$75)^2+(AE43-$AE$75)^2+(AF43-$AF$75)^2+(AG43-$AG$75)^2)</f>
        <v>1.4902318103798997</v>
      </c>
      <c r="DA43" s="36" t="s">
        <v>143</v>
      </c>
      <c r="DB43" s="37" t="s">
        <v>120</v>
      </c>
      <c r="DD43" s="44"/>
      <c r="DE43" s="36">
        <f>SQRT((A43-$A$76)^2+(B43-$B$76)^2+(C43-$C$76)^2+(D43-$D$76)^2+(E43-$E$76)^2+(F43-$F$76)^2+(G43-$G$76)^2+(H43-$H$76)^2+(I43-$I$76)^2+(J43-$J$76)^2+(K43-$K$76)^2+(L43-$L$76)^2+(M43-$M$76)^2+(N43-$N$76)^2+(O43-$O$76)^2+(P43-$P$76)^2+(Q43-$Q$76)^2+(R43-$R$76)^2+(S43-$S$76)^2+(T43-$T$76)^2+(U43-$U$76)^2+(V43-$V$76)^2+(W43-$W$76)^2+(X43-$X$76)^2+(Y43-$Y$76)^2+(Z43-$Z$76)^2+(AA43-$AA$76)^2+(AB43-$AB$76)^2+(AC43-$AC$76)^2+(AD43-$AD$76)^2+(AE43-$AE$76)^2+(AF43-$AF$76)^2+(AG43-$AG$76)^2)</f>
        <v>1.3681746817491045</v>
      </c>
      <c r="DF43" s="36" t="s">
        <v>146</v>
      </c>
      <c r="DG43" s="37" t="s">
        <v>120</v>
      </c>
      <c r="DI43" s="44"/>
      <c r="DJ43" s="36">
        <f>SQRT((A43-$A$77)^2+(B43-$B$77)^2+(C43-$C$77)^2+(D43-$D$77)^2+(E43-$E$77)^2+(F43-$F$77)^2+(G43-$G$77)^2+(H43-$H$77)^2+(I43-$I$77)^2+(J43-$J$77)^2+(K43-$K$77)^2+(L43-$L$77)^2+(M43-$M$77)^2+(N43-$N$77)^2+(O43-$O$77)^2+(P43-$P$77)^2+(Q43-$Q$77)^2+(R43-$R$77)^2+(S43-$S$77)^2+(T43-$T$77)^2+(U43-$U$77)^2+(V43-$V$77)^2+(W43-$W$77)^2+(X43-$X$77)^2+(Y43-$Y$77)^2+(Z43-$Z$77)^2+(AA43-$AA$77)^2+(AB43-$AB$77)^2+(AC43-$AC$77)^2+(AD43-$AD$77)^2+(AE43-$AE$77)^2+(AF43-$AF$77)^2+(AG43-$AG$77)^2)</f>
        <v>2.0427838605880591</v>
      </c>
      <c r="DK43" s="36" t="s">
        <v>313</v>
      </c>
      <c r="DL43" s="37" t="s">
        <v>120</v>
      </c>
      <c r="DN43" s="44"/>
      <c r="DO43" s="36">
        <f>SQRT((A43-$A$78)^2+(B43-$B$78)^2+(C43-$C$78)^2+(D43-$D$78)^2+(E43-$E$78)^2+(F43-$F$78)^2+(G43-$G$78)^2+(H43-$H$78)^2+(I43-$I$78)^2+(J43-$J$78)^2+(K43-$K$78)^2+(L43-$L$78)^2+(M43-$M$78)^2+(N43-$N$78)^2+(O43-$O$78)^2+(P43-$P$78)^2+(Q43-$Q$78)^2+(R43-$R$78)^2+(S43-$S$78)^2+(T43-$T$78)^2+(U43-$U$78)^2+(V43-$V$78)^2+(W43-$W$78)^2+(X43-$X$78)^2+(Y43-$Y$78)^2+(Z43-$Z$78)^2+(AA43-$AA$78)^2+(AB43-$AB$78)^2+(AC43-$AC$78)^2+(AD43-$AD$78)^2+(AE43-$AE$78)^2+(AF43-$AF$78)^2+(AG43-$AG$78)^2)</f>
        <v>0.64670635133834764</v>
      </c>
      <c r="DP43" s="36" t="s">
        <v>137</v>
      </c>
      <c r="DQ43" s="37" t="s">
        <v>120</v>
      </c>
      <c r="DS43" s="44"/>
      <c r="DT43" s="36">
        <f>SQRT((A43-$A$79)^2+(B43-$B$79)^2+(C43-$C$79)^2+(D43-$D$79)^2+(E43-$E$79)^2+(F43-$F$79)^2+(G43-$G$79)^2+(H43-$H$79)^2+(I43-$I$79)^2+(J43-$J$79)^2+(K43-$K$79)^2+(L43-$L$79)^2+(M43-$M$79)^2+(N43-$N$79)^2+(O43-$O$79)^2+(P43-$P$79)^2+(Q43-$Q$79)^2+(R43-$R$79)^2+(S43-$S$79)^2+(T43-$T$79)^2+(U43-$U$79)^2+(V43-$V$79)^2+(W43-$W$79)^2+(X43-$X$79)^2+(Y43-$Y$79)^2+(Z43-$Z$79)^2+(AA43-$AA$79)^2+(AB43-$AB$79)^2+(AC43-$AC$79)^2+(AD43-$AD$79)^2+(AE43-$AE$79)^2+(AF43-$AF$79)^2+(AG43-$AG$79)^2)</f>
        <v>1.1311351157074239</v>
      </c>
      <c r="DU43" s="36" t="s">
        <v>138</v>
      </c>
      <c r="DV43" s="37" t="s">
        <v>120</v>
      </c>
      <c r="DX43" s="44"/>
      <c r="DY43" s="36">
        <f>SQRT((A43-$A$80)^2+(B43-$B$80)^2+(C43-$C$80)^2+(D43-$D$80)^2+(E43-$E$80)^2+(F43-$F$80)^2+(G43-$G$80)^2+(H43-$H$80)^2+(I43-$I$80)^2+(J43-$J$80)^2+(K43-$K$80)^2+(L43-$L$80)^2+(M43-$M$80)^2+(N43-$N$80)^2+(O43-$O$80)^2+(P43-$P$80)^2+(Q43-$Q$80)^2+(R43-$R$80)^2+(S43-$S$80)^2+(T43-$T$80)^2+(U43-$U$80)^2+(V43-$V$80)^2+(W43-$W$80)^2+(X43-$X$80)^2+(Y43-$Y$80)^2+(Z43-$Z$80)^2+(AA43-$AA$80)^2+(AB43-$AB$80)^2+(AC43-$AC$80)^2+(AD43-$AD$80)^2+(AE43-$AE$80)^2+(AF43-$AF$80)^2+(AG43-$AG$80)^2)</f>
        <v>1.7825424301639554</v>
      </c>
      <c r="DZ43" s="36" t="s">
        <v>328</v>
      </c>
      <c r="EA43" s="37" t="s">
        <v>120</v>
      </c>
      <c r="EC43" s="44"/>
      <c r="ED43" s="36">
        <f>SQRT((A43-$A$81)^2+(B43-$B$81)^2+(C43-$C$81)^2+(D43-$D$81)^2+(E43-$E$81)^2+(F43-$F$81)^2+(G43-$G$81)^2+(H43-$H$81)^2+(I43-$I$81)^2+(J43-$J$81)^2+(K43-$K$81)^2+(L43-$L$81)^2+(M43-$M$81)^2+(N43-$N$81)^2+(O43-$O$81)^2+(P43-$P$81)^2+(Q43-$Q$81)^2+(R43-$R$81)^2+(S43-$S$81)^2+(T43-$T$81)^2+(U43-$U$81)^2+(V43-$V$81)^2+(W43-$W$81)^2+(X43-$X$81)^2+(Y43-$Y$81)^2+(Z43-$Z$81)^2+(AA43-$AA$81)^2+(AB43-$AB$81)^2+(AC43-$AC$81)^2+(AD43-$AD$81)^2+(AE43-$AE$81)^2+(AF43-$AF$81)^2+(AG43-$AG$81)^2)</f>
        <v>1.836620686120279</v>
      </c>
      <c r="EE43" s="36" t="s">
        <v>151</v>
      </c>
      <c r="EF43" s="37" t="s">
        <v>120</v>
      </c>
      <c r="EH43" s="44"/>
      <c r="EI43" s="36">
        <f>SQRT((A43-$A$82)^2+(B43-$B$82)^2+(C43-$C$82)^2+(D43-$D$82)^2+(E43-$E$82)^2+(F43-$F$82)^2+(G43-$G$82)^2+(H43-$H$82)^2+(I43-$I$82)^2+(J43-$J$82)^2+(K43-$K$82)^2+(L43-$L$82)^2+(M43-$M$82)^2+(N43-$N$82)^2+(O43-$O$82)^2+(P43-$P$82)^2+(Q43-$Q$82)^2+(R43-$R$82)^2+(S43-$S$82)^2+(T43-$T$82)^2+(U43-$U$82)^2+(V43-$V$82)^2+(W43-$W$82)^2+(X43-$X$82)^2+(Y43-$Y$82)^2+(Z43-$Z$82)^2+(AA43-$AA$82)^2+(AB43-$AB$82)^2+(AC43-$AC$82)^2+(AD43-$AD$82)^2+(AE43-$AE$82)^2+(AF43-$AF$82)^2+(AG43-$AG$82)^2)</f>
        <v>1.283662281633698</v>
      </c>
      <c r="EJ43" s="36" t="s">
        <v>137</v>
      </c>
      <c r="EK43" s="37" t="s">
        <v>120</v>
      </c>
      <c r="EM43" s="44"/>
      <c r="EN43" s="36">
        <f>SQRT((A43-$A$83)^2+(B43-$B$83)^2+(C43-$C$83)^2+(D43-$D$83)^2+(E43-$E$83)^2+(F43-$F$83)^2+(G43-$G$83)^2+(H43-$H$83)^2+(I43-$I$83)^2+(J43-$J$83)^2+(K43-$K$83)^2+(L43-$L$83)^2+(M43-$M$83)^2+(N43-$N$83)^2+(O43-$O$83)^2+(P43-$P$83)^2+(Q43-$Q$83)^2+(R43-$R$83)^2+(S43-$S$83)^2+(T43-$T$83)^2+(U43-$U$83)^2+(V43-$V$83)^2+(W43-$W$83)^2+(X43-$X$83)^2+(Y43-$Y$83)^2+(Z43-$Z$83)^2+(AA43-$AA$83)^2+(AB43-$AB$83)^2+(AC43-$AC$83)^2+(AD43-$AD$83)^2+(AE43-$AE$83)^2+(AF43-$AF$83)^2+(AG43-$AG$83)^2)</f>
        <v>0.5891672035596065</v>
      </c>
      <c r="EO43" s="36" t="s">
        <v>329</v>
      </c>
      <c r="EP43" s="37" t="s">
        <v>120</v>
      </c>
      <c r="ER43" s="44"/>
      <c r="ES43" s="36">
        <f>SQRT((A43-$A$84)^2+(B43-$B$84)^2+(C43-$C$84)^2+(D43-$D$84)^2+(E43-$E$84)^2+(F43-$F$84)^2+(G43-$G$84)^2+(H43-$H$84)^2+(I43-$I$84)^2+(J43-$J$84)^2+(K43-$K$84)^2+(L43-$L$84)^2+(M43-$M$84)^2+(N43-$N$84)^2+(O43-$O$84)^2+(P43-$P$84)^2+(Q43-$Q$84)^2+(R43-$R$84)^2+(S43-$S$84)^2+(T43-$T$84)^2+(U43-$U$84)^2+(V43-$V$84)^2+(W43-$W$84)^2+(X43-$X$84)^2+(Y43-$Y$84)^2+(Z43-$Z$84)^2+(AA43-$AA$84)^2+(AB43-$AB$84)^2+(AC43-$AC$84)^2+(AD43-$AD$84)^2+(AE43-$AE$84)^2+(AF43-$AF$84)^2+(AG43-$AG$84)^2)</f>
        <v>0.92141581080312329</v>
      </c>
      <c r="ET43" s="36" t="s">
        <v>339</v>
      </c>
      <c r="EU43" s="37" t="s">
        <v>120</v>
      </c>
      <c r="EW43" s="44"/>
      <c r="EX43" s="36">
        <f>SQRT((A43-$A$85)^2+(B43-$B$85)^2+(C43-$C$85)^2+(D43-$D$85)^2+(E43-$E$85)^2+(F43-$F$85)^2+(G43-$G$85)^2+(H43-$H$85)^2+(I43-$I$85)^2+(J43-$J$85)^2+(K43-$K$85)^2+(L43-$L$85)^2+(M43-$M$85)^2+(N43-$N$85)^2+(O43-$O$85)^2+(P43-$P$85)^2+(Q43-$Q$85)^2+(R43-$R$85)^2+(S43-$S$85)^2+(T43-$T$85)^2+(U43-$U$85)^2+(V43-$V$85)^2+(W43-$W$85)^2+(X43-$X$85)^2+(Y43-$Y$85)^2+(Z43-$Z$85)^2+(AA43-$AA$85)^2+(AB43-$AB$85)^2+(AC43-$AC$85)^2+(AD43-$AD$85)^2+(AE43-$AE$85)^2+(AF43-$AF$85)^2+(AG43-$AG$85)^2)</f>
        <v>0.92141581080312329</v>
      </c>
      <c r="EY43" s="36" t="s">
        <v>339</v>
      </c>
      <c r="EZ43" s="37" t="s">
        <v>120</v>
      </c>
      <c r="FB43" s="44"/>
      <c r="FC43" s="36">
        <f>SQRT((A43-$A$86)^2+(B43-$B$86)^2+(C43-$C$86)^2+(D43-$D$86)^2+(E43-$E$86)^2+(F43-$F$86)^2+(G43-$G$86)^2+(H43-$H$86)^2+(I43-$I$86)^2+(J43-$J$86)^2+(K43-$K$86)^2+(L43-$L$86)^2+(M43-$M$86)^2+(N43-$N$86)^2+(O43-$O$86)^2+(P43-$P$86)^2+(Q43-$Q$86)^2+(R43-$R$86)^2+(S43-$S$86)^2+(T43-$T$86)^2+(U43-$U$86)^2+(V43-$V$86)^2+(W43-$W$86)^2+(X43-$X$86)^2+(Y43-$Y$86)^2+(Z43-$Z$86)^2+(AA43-$AA$86)^2+(AB43-$AB$86)^2+(AC43-$AC$86)^2+(AD43-$AD$86)^2+(AE43-$AE$86)^2+(AF43-$AF$86)^2+(AG43-$AG$86)^2)</f>
        <v>0.92141581080312329</v>
      </c>
      <c r="FD43" s="36" t="s">
        <v>339</v>
      </c>
      <c r="FE43" s="37" t="s">
        <v>120</v>
      </c>
      <c r="FG43" s="44"/>
      <c r="FH43" s="36">
        <f>SQRT((A43-$A$87)^2+(B43-$B$87)^2+(C43-$C$87)^2+(D43-$D$87)^2+(E43-$E$87)^2+(F43-$F$87)^2+(G43-$G$87)^2+(H43-$H$87)^2+(I43-$I$87)^2+(J43-$J$87)^2+(K43-$K$87)^2+(L43-$L$87)^2+(M43-$M$87)^2+(N43-$N$87)^2+(O43-$O$87)^2+(P43-$P$87)^2+(Q43-$Q$87)^2+(R43-$R$87)^2+(S43-$S$87)^2+(T43-$T$87)^2+(U43-$U$87)^2+(V43-$V$87)^2+(W43-$W$87)^2+(X43-$X$87)^2+(Y43-$Y$87)^2+(Z43-$Z$87)^2+(AA43-$AA$87)^2+(AB43-$AB$87)^2+(AC43-$AC$87)^2+(AD43-$AD$87)^2+(AE43-$AE$87)^2+(AF43-$AF$87)^2+(AG43-$AG$87)^2)</f>
        <v>0.73990372031421769</v>
      </c>
      <c r="FI43" s="36" t="s">
        <v>327</v>
      </c>
      <c r="FJ43" s="37" t="s">
        <v>120</v>
      </c>
      <c r="FL43" s="44"/>
      <c r="FM43" s="36">
        <f>SQRT((A43-$A$88)^2+(B43-$B$88)^2+(C43-$C$88)^2+(D43-$D$88)^2+(E43-$E$88)^2+(F43-$F$88)^2+(G43-$G$88)^2+(H43-$H$88)^2+(I43-$I$88)^2+(J43-$J$88)^2+(K43-$K$88)^2+(L43-$L$88)^2+(M43-$M$88)^2+(N43-$N$88)^2+(O43-$O$88)^2+(P43-$P$88)^2+(Q43-$Q$88)^2+(R43-$R$88)^2+(S43-$S$88)^2+(T43-$T$88)^2+(U43-$U$88)^2+(V43-$V$88)^2+(W43-$W$88)^2+(X43-$X$88)^2+(Y43-$Y$88)^2+(Z43-$Z$88)^2+(AA43-$AA$88)^2+(AB43-$AB$88)^2+(AC43-$AC$88)^2+(AD43-$AD$88)^2+(AE43-$AE$88)^2+(AF43-$AF$88)^2+(AG43-$AG$88)^2)</f>
        <v>1.25</v>
      </c>
      <c r="FN43" s="36" t="s">
        <v>124</v>
      </c>
      <c r="FO43" s="37" t="s">
        <v>120</v>
      </c>
      <c r="FQ43" s="44"/>
      <c r="FR43" s="36">
        <f>SQRT((A43-$A$89)^2+(B43-$B$89)^2+(C43-$C$89)^2+(D43-$D$89)^2+(E43-$E$89)^2+(F43-$F$89)^2+(G43-$G$89)^2+(H43-$H$89)^2+(I43-$I$89)^2+(J43-$J$89)^2+(K43-$K$89)^2+(L43-$L$89)^2+(M43-$M$89)^2+(N43-$N$89)^2+(O43-$O$89)^2+(P43-$P$89)^2+(Q43-$Q$89)^2+(R43-$R$89)^2+(S43-$S$89)^2+(T43-$T$89)^2+(U43-$U$89)^2+(V43-$V$89)^2+(W43-$W$89)^2+(X43-$X$89)^2+(Y43-$Y$89)^2+(Z43-$Z$89)^2+(AA43-$AA$89)^2+(AB43-$AB$89)^2+(AC43-$AC$89)^2+(AD43-$AD$89)^2+(AE43-$AE$89)^2+(AF43-$AF$89)^2+(AG43-$AG$89)^2)</f>
        <v>1.7946561923299271</v>
      </c>
      <c r="FS43" s="36" t="s">
        <v>133</v>
      </c>
      <c r="FT43" s="37" t="s">
        <v>120</v>
      </c>
      <c r="FV43" s="44"/>
      <c r="FW43" s="36">
        <f>SQRT((A43-$A$90)^2+(B43-$B$90)^2+(C43-$C$90)^2+(D43-$D$90)^2+(E43-$E$90)^2+(F43-$F$90)^2+(G43-$G$90)^2+(H43-$H$90)^2+(I43-$I$90)^2+(J43-$J$90)^2+(K43-$K$90)^2+(L43-$L$90)^2+(M43-$M$90)^2+(N43-$N$90)^2+(O43-$O$90)^2+(P43-$P$90)^2+(Q43-$Q$90)^2+(R43-$R$90)^2+(S43-$S$90)^2+(T43-$T$90)^2+(U43-$U$90)^2+(V43-$V$90)^2+(W43-$W$90)^2+(X43-$X$90)^2+(Y43-$Y$90)^2+(Z43-$Z$90)^2+(AA43-$AA$90)^2+(AB43-$AB$90)^2+(AC43-$AC$90)^2+(AD43-$AD$90)^2+(AE43-$AE$90)^2+(AF43-$AF$90)^2+(AG43-$AG$90)^2)</f>
        <v>1.8185885402200919</v>
      </c>
      <c r="FX43" s="36" t="s">
        <v>134</v>
      </c>
      <c r="FY43" s="37" t="s">
        <v>120</v>
      </c>
      <c r="GA43" s="44"/>
      <c r="GB43" s="36">
        <f>SQRT((A43-$A$91)^2+(B43-$B$91)^2+(C43-$C$91)^2+(D43-$D$91)^2+(E43-$E$91)^2+(F43-$F$91)^2+(G43-$G$91)^2+(H43-$H$91)^2+(I43-$I$91)^2+(J43-$J$91)^2+(K43-$K$91)^2+(L43-$L$91)^2+(M43-$M$91)^2+(N43-$N$91)^2+(O43-$O$91)^2+(P43-$P$91)^2+(Q43-$Q$91)^2+(R43-$R$91)^2+(S43-$S$91)^2+(T43-$T$91)^2+(U43-$U$91)^2+(V43-$V$91)^2+(W43-$W$91)^2+(X43-$X$91)^2+(Y43-$Y$91)^2+(Z43-$Z$91)^2+(AA43-$AA$91)^2+(AB43-$AB$91)^2+(AC43-$AC$91)^2+(AD43-$AD$91)^2+(AE43-$AE$91)^2+(AF43-$AF$91)^2+(AG43-$AG$91)^2)</f>
        <v>1.8645139472958547</v>
      </c>
      <c r="GC43" s="36" t="s">
        <v>326</v>
      </c>
      <c r="GD43" s="37" t="s">
        <v>120</v>
      </c>
      <c r="GF43" s="44"/>
      <c r="GG43" s="36">
        <f>SQRT((A43-$A$92)^2+(B43-$B$92)^2+(C43-$C$92)^2+(D43-$D$92)^2+(E43-$E$92)^2+(F43-$F$92)^2+(G43-$G$92)^2+(H43-$H$92)^2+(I43-$I$92)^2+(J43-$J$92)^2+(K43-$K$92)^2+(L43-$L$92)^2+(M43-$M$92)^2+(N43-$N$92)^2+(O43-$O$92)^2+(P43-$P$92)^2+(Q43-$Q$92)^2+(R43-$R$92)^2+(S43-$S$92)^2+(T43-$T$92)^2+(U43-$U$92)^2+(V43-$V$92)^2+(W43-$W$92)^2+(X43-$X$92)^2+(Y43-$Y$92)^2+(Z43-$Z$92)^2+(AA43-$AA$92)^2+(AB43-$AB$92)^2+(AC43-$AC$92)^2+(AD43-$AD$92)^2+(AE43-$AE$92)^2+(AF43-$AF$92)^2+(AG43-$AG$92)^2)</f>
        <v>1.14564392373896</v>
      </c>
      <c r="GH43" s="36" t="s">
        <v>329</v>
      </c>
      <c r="GI43" s="37" t="s">
        <v>120</v>
      </c>
      <c r="GK43" s="44"/>
      <c r="GL43" s="36">
        <f>SQRT((A43-$A$93)^2+(B43-$B$93)^2+(C43-$C$93)^2+(D43-$D$93)^2+(E43-$E$93)^2+(F43-$F$93)^2+(G43-$G$93)^2+(H43-$H$93)^2+(I43-$I$93)^2+(J43-$J$93)^2+(K43-$K$93)^2+(L43-$L$93)^2+(M43-$M$93)^2+(N43-$N$93)^2+(O43-$O$93)^2+(P43-$P$93)^2+(Q43-$Q$93)^2+(R43-$R$93)^2+(S43-$S$93)^2+(T43-$T$93)^2+(U43-$U$93)^2+(V43-$V$93)^2+(W43-$W$93)^2+(X43-$X$93)^2+(Y43-$Y$93)^2+(Z43-$Z$93)^2+(AA43-$AA$93)^2+(AB43-$AB$93)^2+(AC43-$AC$93)^2+(AD43-$AD$93)^2+(AE43-$AE$93)^2+(AF43-$AF$93)^2+(AG43-$AG$93)^2)</f>
        <v>1.9115683139979749</v>
      </c>
      <c r="GM43" s="36" t="s">
        <v>336</v>
      </c>
      <c r="GN43" s="37" t="s">
        <v>120</v>
      </c>
      <c r="GP43" s="44"/>
      <c r="GQ43" s="36">
        <f>SQRT((A43-$A$94)^2+(B43-$B$94)^2+(C43-$C$94)^2+(D43-$D$94)^2+(E43-$E$94)^2+(F43-$F$94)^2+(G43-$G$94)^2+(H43-$H$94)^2+(I43-$I$94)^2+(J43-$J$94)^2+(K43-$K$94)^2+(L43-$L$94)^2+(M43-$M$94)^2+(N43-$N$94)^2+(O43-$O$94)^2+(P43-$P$94)^2+(Q43-$Q$94)^2+(R43-$R$94)^2+(S43-$S$94)^2+(T43-$T$94)^2+(U43-$U$94)^2+(V43-$V$94)^2+(W43-$W$94)^2+(X43-$X$94)^2+(Y43-$Y$94)^2+(Z43-$Z$94)^2+(AA43-$AA$94)^2+(AB43-$AB$94)^2+(AC43-$AC$94)^2+(AD43-$AD$94)^2+(AE43-$AE$94)^2+(AF43-$AF$94)^2+(AG43-$AG$94)^2)</f>
        <v>1.0450996592351736</v>
      </c>
      <c r="GR43" s="36" t="s">
        <v>145</v>
      </c>
      <c r="GS43" s="37" t="s">
        <v>120</v>
      </c>
      <c r="GU43" s="44"/>
      <c r="GV43" s="36">
        <f>SQRT((A43-$A$95)^2+(B43-$B$95)^2+(C43-$C$95)^2+(D43-$D$95)^2+(E43-$E$95)^2+(F43-$F$95)^2+(G43-$G$95)^2+(H43-$H$95)^2+(I43-$I$95)^2+(J43-$J$95)^2+(K43-$K$95)^2+(L43-$L$95)^2+(M43-$M$95)^2+(N43-$N$95)^2+(O43-$O$95)^2+(P43-$P$95)^2+(Q43-$Q$95)^2+(R43-$R$95)^2+(S43-$S$95)^2+(T43-$T$95)^2+(U43-$U$95)^2+(V43-$V$95)^2+(W43-$W$95)^2+(X43-$X$95)^2+(Y43-$Y$95)^2+(Z43-$Z$95)^2+(AA43-$AA$95)^2+(AB43-$AB$95)^2+(AC43-$AC$95)^2+(AD43-$AD$95)^2+(AE43-$AE$95)^2+(AF43-$AF$95)^2+(AG43-$AG$95)^2)</f>
        <v>2.4955199837166937</v>
      </c>
      <c r="GW43" s="36" t="s">
        <v>135</v>
      </c>
      <c r="GX43" s="37" t="s">
        <v>120</v>
      </c>
      <c r="GZ43" s="44"/>
      <c r="HA43" s="36">
        <f>SQRT((A43-$A$96)^2+(B43-$B$96)^2+(C43-$C$96)^2+(D43-$D$96)^2+(E43-$E$96)^2+(F43-$F$96)^2+(G43-$G$96)^2+(H43-$H$96)^2+(I43-$I$96)^2+(J43-$J$96)^2+(K43-$K$96)^2+(L43-$L$96)^2+(M43-$M$96)^2+(N43-$N$96)^2+(O43-$O$96)^2+(P43-$P$96)^2+(Q43-$Q$96)^2+(R43-$R$96)^2+(S43-$S$96)^2+(T43-$T$96)^2+(U43-$U$96)^2+(V43-$V$96)^2+(W43-$W$96)^2+(X43-$X$96)^2+(Y43-$Y$96)^2+(Z43-$Z$96)^2+(AA43-$AA$96)^2+(AB43-$AB$96)^2+(AC43-$AC$96)^2+(AD43-$AD$96)^2+(AE43-$AE$96)^2+(AF43-$AF$96)^2+(AG43-$AG$96)^2)</f>
        <v>2.4474154145448193</v>
      </c>
      <c r="HB43" s="36" t="s">
        <v>327</v>
      </c>
      <c r="HC43" s="37" t="s">
        <v>120</v>
      </c>
      <c r="HE43" s="44"/>
      <c r="HF43" s="36">
        <f>SQRT((A43-$A$97)^2+(B43-$B$97)^2+(C43-$C$97)^2+(D43-$D$97)^2+(E43-$E$97)^2+(F43-$F$97)^2+(G43-$G$97)^2+(H43-$H$97)^2+(I43-$I$97)^2+(J43-$J$97)^2+(K43-$K$97)^2+(L43-$L$97)^2+(M43-$M$97)^2+(N43-$N$97)^2+(O43-$O$97)^2+(P43-$P$97)^2+(Q43-$Q$97)^2+(R43-$R$97)^2+(S43-$S$97)^2+(T43-$T$97)^2+(U43-$U$97)^2+(V43-$V$97)^2+(W43-$W$97)^2+(X43-$X$97)^2+(Y43-$Y$97)^2+(Z43-$Z$97)^2+(AA43-$AA$97)^2+(AB43-$AB$97)^2+(AC43-$AC$97)^2+(AD43-$AD$97)^2+(AE43-$AE$97)^2+(AF43-$AF$97)^2+(AG43-$AG$97)^2)</f>
        <v>0.92141581080312329</v>
      </c>
      <c r="HG43" s="36" t="s">
        <v>339</v>
      </c>
      <c r="HH43" s="37" t="s">
        <v>120</v>
      </c>
      <c r="HJ43" s="44"/>
      <c r="HK43" s="36">
        <f>SQRT((A43-$A$98)^2+(B43-$B$98)^2+(C43-$C$98)^2+(D43-$D$98)^2+(E43-$E$98)^2+(F43-$F$98)^2+(G43-$G$98)^2+(H43-$H$98)^2+(I43-$I$98)^2+(J43-$J$98)^2+(K43-$K$98)^2+(L43-$L$98)^2+(M43-$M$98)^2+(N43-$N$98)^2+(O43-$O$98)^2+(P43-$P$98)^2+(Q43-$Q$98)^2+(R43-$R$98)^2+(S43-$S$98)^2+(T43-$T$98)^2+(U43-$U$98)^2+(V43-$V$98)^2+(W43-$W$98)^2+(X43-$X$98)^2+(Y43-$Y$98)^2+(Z43-$Z$98)^2+(AA43-$AA$98)^2+(AB43-$AB$98)^2+(AC43-$AC$98)^2+(AD43-$AD$98)^2+(AE43-$AE$98)^2+(AF43-$AF$98)^2+(AG43-$AG$98)^2)</f>
        <v>0.92141581080312329</v>
      </c>
      <c r="HL43" s="36" t="s">
        <v>339</v>
      </c>
      <c r="HM43" s="37" t="s">
        <v>120</v>
      </c>
      <c r="HO43" s="44"/>
      <c r="HP43" s="36">
        <f>SQRT((A43-$A$99)^2+(B43-$B$99)^2+(C43-$C$99)^2+(D43-$D$99)^2+(E43-$E$99)^2+(F43-$F$99)^2+(G43-$G$99)^2+(H43-$H$99)^2+(I43-$I$99)^2+(J43-$J$99)^2+(K43-$K$99)^2+(L43-$L$99)^2+(M43-$M$99)^2+(N43-$N$99)^2+(O43-$O$99)^2+(P43-$P$99)^2+(Q43-$Q$99)^2+(R43-$R$99)^2+(S43-$S$99)^2+(T43-$T$99)^2+(U43-$U$99)^2+(V43-$V$99)^2+(W43-$W$99)^2+(X43-$X$99)^2+(Y43-$Y$99)^2+(Z43-$Z$99)^2+(AA43-$AA$99)^2+(AB43-$AB$99)^2+(AC43-$AC$99)^2+(AD43-$AD$99)^2+(AE43-$AE$99)^2+(AF43-$AF$99)^2+(AG43-$AG$99)^2)</f>
        <v>0.92141581080312329</v>
      </c>
      <c r="HQ43" s="36" t="s">
        <v>339</v>
      </c>
      <c r="HR43" s="37" t="s">
        <v>120</v>
      </c>
      <c r="HT43" s="44"/>
      <c r="HU43" s="36">
        <f>SQRT((A43-$A$100)^2+(B43-$B$100)^2+(C43-$C$100)^2+(D43-$D$100)^2+(E43-$E$100)^2+(F43-$F$100)^2+(G43-$G$100)^2+(H43-$H$100)^2+(I43-$I$100)^2+(J43-$J$100)^2+(K43-$K$100)^2+(L43-$L$100)^2+(M43-$M$100)^2+(N43-$N$100)^2+(O43-$O$100)^2+(P43-$P$100)^2+(Q43-$Q$100)^2+(R43-$R$100)^2+(S43-$S$100)^2+(T43-$T$100)^2+(U43-$U$100)^2+(V43-$V$100)^2+(W43-$W$100)^2+(X43-$X$100)^2+(Y43-$Y$100)^2+(Z43-$Z$100)^2+(AA43-$AA$100)^2+(AB43-$AB$100)^2+(AC43-$AC$100)^2+(AD43-$AD$100)^2+(AE43-$AE$100)^2+(AF43-$AF$100)^2+(AG43-$AG$100)^2)</f>
        <v>0.92141581080312329</v>
      </c>
      <c r="HV43" s="36" t="s">
        <v>339</v>
      </c>
      <c r="HW43" s="37" t="s">
        <v>120</v>
      </c>
      <c r="HY43" s="44"/>
      <c r="HZ43" s="36">
        <f>SQRT((A43-$A$101)^2+(B43-$B$101)^2+(C43-$C$101)^2+(D43-$D$101)^2+(E43-$E$101)^2+(F43-$F$101)^2+(G43-$G$101)^2+(H43-$H$101)^2+(I43-$I$101)^2+(J43-$J$101)^2+(K43-$K$101)^2+(L43-$L$101)^2+(M43-$M$101)^2+(N43-$N$101)^2+(O43-$O$101)^2+(P43-$P$101)^2+(Q43-$Q$101)^2+(R43-$R$101)^2+(S43-$S$101)^2+(T43-$T$101)^2+(U43-$U$101)^2+(V43-$V$101)^2+(W43-$W$101)^2+(X43-$X$101)^2+(Y43-$Y$101)^2+(Z43-$Z$101)^2+(AA43-$AA$101)^2+(AB43-$AB$101)^2+(AC43-$AC$101)^2+(AD43-$AD$101)^2+(AE43-$AE$101)^2+(AF43-$AF$101)^2+(AG43-$AG$101)^2)</f>
        <v>1.8399450445345227</v>
      </c>
      <c r="IA43" s="36" t="s">
        <v>333</v>
      </c>
      <c r="IB43" s="37" t="s">
        <v>120</v>
      </c>
    </row>
    <row r="44" spans="1:236" x14ac:dyDescent="0.35">
      <c r="A44" s="2">
        <v>0.33333333333333298</v>
      </c>
      <c r="B44" s="2">
        <v>0.25</v>
      </c>
      <c r="C44" s="2">
        <v>0.23899371069182301</v>
      </c>
      <c r="D44" s="2">
        <v>0</v>
      </c>
      <c r="E44" s="2">
        <v>0</v>
      </c>
      <c r="F44" s="2">
        <v>1</v>
      </c>
      <c r="G44" s="2">
        <v>0.55555555555555503</v>
      </c>
      <c r="H44" s="2">
        <v>1</v>
      </c>
      <c r="I44" s="2">
        <v>0</v>
      </c>
      <c r="J44" s="2">
        <v>0</v>
      </c>
      <c r="K44" s="2">
        <v>0</v>
      </c>
      <c r="L44" s="2">
        <v>0.2</v>
      </c>
      <c r="M44" s="2">
        <v>0.5</v>
      </c>
      <c r="N44" s="2">
        <v>0</v>
      </c>
      <c r="O44" s="2">
        <v>0</v>
      </c>
      <c r="P44" s="2">
        <v>0.4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1</v>
      </c>
      <c r="X44" s="2">
        <v>1</v>
      </c>
      <c r="Y44" s="2">
        <v>1</v>
      </c>
      <c r="Z44" s="2">
        <v>0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0.19565217391304299</v>
      </c>
      <c r="AH44" s="2" t="s">
        <v>120</v>
      </c>
      <c r="AI44" s="42"/>
      <c r="AJ44" s="42"/>
      <c r="AL44" s="44"/>
      <c r="AM44" s="36">
        <f>SQRT((A44-$A$62)^2+(B44-$B$62)^2+(C44-$C$62)^2+(D44-$D$62)^2+(E44-$E$62)^2+(F44-$F$62)^2+(G44-$G$62)^2+(H44-$H$62)^2+(I44-$I$62)^2+(J44-$J$62)^2+(K44-$K$62)^2+(L44-$L$62)^2+(M44-$M$62)^2+(N44-$N$62)^2+(O44-$O$62)^2+(P44-$P$62)^2+(Q44-$Q$62)^2+(R44-$R$62)^2+(S44-$S$62)^2+(T44-$T$62)^2+(U44-$U$62)^2+(V44-$V$62)^2+(W44-$W$62)^2+(X44-$X$62)^2+(Y44-$Y$62)^2+(Z44-$Z$62)^2+(AA44-$AA$62)^2+(AB44-$AB$62)^2+(AC44-$AC$62)^2+(AD44-$AD$62)^2+(AE44-$AE$62)^2+(AF44-$AF$62)^2+(AG44-$AG$62)^2)</f>
        <v>1.6537706961168528</v>
      </c>
      <c r="AN44" s="36" t="s">
        <v>143</v>
      </c>
      <c r="AO44" s="37" t="s">
        <v>120</v>
      </c>
      <c r="AQ44" s="44"/>
      <c r="AR44" s="36">
        <f>SQRT((A44-$A$63)^2+(B44-$B$63)^2+(C44-$C$63)^2+(D44-$D$63)^2+(E44-$E$63)^2+(F44-$F$63)^2+(G44-$G$63)^2+(H44-$H$63)^2+(I44-$I$63)^2+(J44-$J$63)^2+(K44-$K$63)^2+(L44-$L$63)^2+(M44-$M$63)^2+(N44-$N$63)^2+(O44-$O$63)^2+(P44-$P$63)^2+(Q44-$Q$63)^2+(R44-$R$63)^2+(S44-$S$63)^2+(T44-$T$63)^2+(U44-$U$63)^2+(V44-$V$63)^2+(W44-$W$63)^2+(X44-$X$63)^2+(Y44-$Y$63)^2+(Z44-$Z$63)^2+(AA44-$AA$63)^2+(AB44-$AB$63)^2+(AC44-$AC$63)^2+(AD44-$AD$63)^2+(AE44-$AE$63)^2+(AF44-$AF$63)^2+(AG44-$AG$63)^2)</f>
        <v>1.077016196034875</v>
      </c>
      <c r="AS44" s="36" t="s">
        <v>146</v>
      </c>
      <c r="AT44" s="37" t="s">
        <v>120</v>
      </c>
      <c r="AV44" s="44"/>
      <c r="AW44" s="36">
        <f>SQRT((A44-$A$64)^2+(B44-$B$64)^2+(C44-$C$64)^2+(D44-$D$64)^2+(E44-$E$64)^2+(F44-$F$64)^2+(G44-$G$64)^2+(H44-$H$64)^2+(I44-$I$64)^2+(J44-$J$64)^2+(K44-$K$64)^2+(L44-$L$64)^2+(M44-$M$64)^2+(N44-$N$64)^2+(O44-$O$64)^2+(P44-$P$64)^2+(Q44-$Q$64)^2+(R44-$R$64)^2+(S44-$S$64)^2+(T44-$T$64)^2+(U44-$U$64)^2+(V44-$V$64)^2+(W44-$W$64)^2+(X44-$X$64)^2+(Y44-$Y$64)^2+(Z44-$Z$64)^2+(AA44-$AA$64)^2+(AB44-$AB$64)^2+(AC44-$AC$64)^2+(AD44-$AD$64)^2+(AE44-$AE$64)^2+(AF44-$AF$64)^2+(AG44-$AG$64)^2)</f>
        <v>1.077016196034875</v>
      </c>
      <c r="AX44" s="36" t="s">
        <v>146</v>
      </c>
      <c r="AY44" s="37" t="s">
        <v>120</v>
      </c>
      <c r="BA44" s="44"/>
      <c r="BB44" s="36">
        <f>SQRT((A44-$A$65)^2+(B44-$B$65)^2+(C44-$C$65)^2+(D44-$D$65)^2+(E44-$E$65)^2+(F44-$F$65)^2+(G44-$G$65)^2+(H44-$H$65)^2+(I44-$I$65)^2+(J44-$J$65)^2+(K44-$K$65)^2+(L44-$L$65)^2+(M44-$M$65)^2+(N44-$N$65)^2+(O44-$O$65)^2+(P44-$P$65)^2+(Q44-$Q$65)^2+(R44-$R$65)^2+(S44-$S$65)^2+(T44-$T$65)^2+(U44-$U$65)^2+(V44-$V$65)^2+(W44-$W$65)^2+(X44-$X$65)^2+(Y44-$Y$65)^2+(Z44-$Z$65)^2+(AA44-$AA$65)^2+(AB44-$AB$65)^2+(AC44-$AC$65)^2+(AD44-$AD$65)^2+(AE44-$AE$65)^2+(AF44-$AF$65)^2+(AG44-$AG$65)^2)</f>
        <v>1.077016196034875</v>
      </c>
      <c r="BC44" s="36" t="s">
        <v>146</v>
      </c>
      <c r="BD44" s="37" t="s">
        <v>120</v>
      </c>
      <c r="BF44" s="44"/>
      <c r="BG44" s="36">
        <f>SQRT((A44-$A$66)^2+(B44-$B$66)^2+(C44-$C$66)^2+(D44-$D$66)^2+(E44-$E$66)^2+(F44-$F$66)^2+(G44-$G$66)^2+(H44-$H$66)^2+(I44-$I$66)^2+(J44-$J$66)^2+(K44-$K$66)^2+(L44-$L$66)^2+(M44-$M$66)^2+(N44-$N$66)^2+(O44-$O$66)^2+(P44-$P$66)^2+(Q44-$Q$66)^2+(R44-$R$66)^2+(S44-$S$66)^2+(T44-$T$66)^2+(U44-$U$66)^2+(V44-$V$66)^2+(W44-$W$66)^2+(X44-$X$66)^2+(Y44-$Y$66)^2+(Z44-$Z$66)^2+(AA44-$AA$66)^2+(AB44-$AB$66)^2+(AC44-$AC$66)^2+(AD44-$AD$66)^2+(AE44-$AE$66)^2+(AF44-$AF$66)^2+(AG44-$AG$66)^2)</f>
        <v>1.077016196034875</v>
      </c>
      <c r="BH44" s="36" t="s">
        <v>146</v>
      </c>
      <c r="BI44" s="37" t="s">
        <v>120</v>
      </c>
      <c r="BK44" s="44"/>
      <c r="BL44" s="36">
        <f>SQRT((A44-$A$67)^2+(B44-$B$67)^2+(C44-$C$67)^2+(D44-$D$67)^2+(E44-$E$67)^2+(F44-$F$67)^2+(G44-$G$67)^2+(H44-$H$67)^2+(I44-$I$67)^2+(J44-$J$67)^2+(K44-$K$67)^2+(L44-$L$67)^2+(M44-$M$67)^2+(N44-$N$67)^2+(O44-$O$67)^2+(P44-$P$67)^2+(Q44-$Q$67)^2+(R44-$R$67)^2+(S44-$S$67)^2+(T44-$T$67)^2+(U44-$U$67)^2+(V44-$V$67)^2+(W44-$W$67)^2+(X44-$X$67)^2+(Y44-$Y$67)^2+(Z44-$Z$67)^2+(AA44-$AA$67)^2+(AB44-$AB$67)^2+(AC44-$AC$67)^2+(AD44-$AD$67)^2+(AE44-$AE$67)^2+(AF44-$AF$67)^2+(AG44-$AG$67)^2)</f>
        <v>1.077016196034875</v>
      </c>
      <c r="BM44" s="36" t="s">
        <v>146</v>
      </c>
      <c r="BN44" s="37" t="s">
        <v>120</v>
      </c>
      <c r="BP44" s="44"/>
      <c r="BQ44" s="36">
        <f>SQRT((A44-$A$68)^2+(B44-$B$68)^2+(C44-$C$68)^2+(D44-$D$68)^2+(E44-$E$68)^2+(F44-$F$68)^2+(G44-$G$68)^2+(H44-$H$68)^2+(I44-$I$68)^2+(J44-$J$68)^2+(K44-$K$68)^2+(L44-$L$68)^2+(M44-$M$68)^2+(N44-$N$68)^2+(O44-$O$68)^2+(P44-$P$68)^2+(Q44-$Q$68)^2+(R44-$R$68)^2+(S44-$S$68)^2+(T44-$T$68)^2+(U44-$U$68)^2+(V44-$V$68)^2+(W44-$W$68)^2+(X44-$X$68)^2+(Y44-$Y$68)^2+(Z44-$Z$68)^2+(AA44-$AA$68)^2+(AB44-$AB$68)^2+(AC44-$AC$68)^2+(AD44-$AD$68)^2+(AE44-$AE$68)^2+(AF44-$AF$68)^2+(AG44-$AG$68)^2)</f>
        <v>1.077016196034875</v>
      </c>
      <c r="BR44" s="36" t="s">
        <v>146</v>
      </c>
      <c r="BS44" s="37" t="s">
        <v>120</v>
      </c>
      <c r="BU44" s="44"/>
      <c r="BV44" s="36">
        <f>SQRT((A44-$A$69)^2+(B44-$B$69)^2+(C44-$C$69)^2+(D44-$D$69)^2+(E44-$E$69)^2+(F44-$F$69)^2+(G44-$G$69)^2+(H44-$H$69)^2+(I44-$I$69)^2+(J44-$J$69)^2+(K44-$K$69)^2+(L44-$L$69)^2+(M44-$M$69)^2+(N44-$N$69)^2+(O44-$O$69)^2+(P44-$P$69)^2+(Q44-$Q$69)^2+(R44-$R$69)^2+(S44-$S$69)^2+(T44-$T$69)^2+(U44-$U$69)^2+(V44-$V$69)^2+(W44-$W$69)^2+(X44-$X$69)^2+(Y44-$Y$69)^2+(Z44-$Z$69)^2+(AA44-$AA$69)^2+(AB44-$AB$69)^2+(AC44-$AC$69)^2+(AD44-$AD$69)^2+(AE44-$AE$69)^2+(AF44-$AF$69)^2+(AG44-$AG$69)^2)</f>
        <v>2.5501272469753387</v>
      </c>
      <c r="BW44" s="36" t="s">
        <v>153</v>
      </c>
      <c r="BX44" s="37" t="s">
        <v>120</v>
      </c>
      <c r="BZ44" s="44"/>
      <c r="CA44" s="36">
        <f>SQRT((A44-$A$70)^2+(B44-$B$70)^2+(C44-$C$70)^2+(D44-$D$70)^2+(E44-$E$70)^2+(F44-$F$70)^2+(G44-$G$70)^2+(H44-$H$70)^2+(I44-$I$70)^2+(J44-$J$70)^2+(K44-$K$70)^2+(L44-$L$70)^2+(M44-$M$70)^2+(N44-$N$70)^2+(O44-$O$70)^2+(P44-$P$70)^2+(Q44-$Q$70)^2+(R44-$R$70)^2+(S44-$S$70)^2+(T44-$T$70)^2+(U44-$U$70)^2+(V44-$V$70)^2+(W44-$W$70)^2+(X44-$X$70)^2+(Y44-$Y$70)^2+(Z44-$Z$70)^2+(AA44-$AA$70)^2+(AB44-$AB$70)^2+(AC44-$AC$70)^2+(AD44-$AD$70)^2+(AE44-$AE$70)^2+(AF44-$AF$70)^2+(AG44-$AG$70)^2)</f>
        <v>1.3437096247164246</v>
      </c>
      <c r="CB44" s="36" t="s">
        <v>324</v>
      </c>
      <c r="CC44" s="37" t="s">
        <v>120</v>
      </c>
      <c r="CE44" s="44"/>
      <c r="CF44" s="36">
        <f>SQRT((A44-$A$71)^2+(B44-$B$71)^2+(C44-$C$71)^2+(D44-$D$71)^2+(E44-$E$71)^2+(F44-$F$71)^2+(G44-$G$71)^2+(H44-$H$71)^2+(I44-$I$71)^2+(J44-$J$71)^2+(K44-$K$71)^2+(L44-$L$71)^2+(M44-$M$71)^2+(N44-$N$71)^2+(O44-$O$71)^2+(P44-$P$71)^2+(Q44-$Q$71)^2+(R44-$R$71)^2+(S44-$S$71)^2+(T44-$T$71)^2+(U44-$U$71)^2+(V44-$V$71)^2+(W44-$W$71)^2+(X44-$X$71)^2+(Y44-$Y$71)^2+(Z44-$Z$71)^2+(AA44-$AA$71)^2+(AB44-$AB$71)^2+(AC44-$AC$71)^2+(AD44-$AD$71)^2+(AE44-$AE$71)^2+(AF44-$AF$71)^2+(AG44-$AG$71)^2)</f>
        <v>0.88584548439455368</v>
      </c>
      <c r="CG44" s="36" t="s">
        <v>323</v>
      </c>
      <c r="CH44" s="37" t="s">
        <v>120</v>
      </c>
      <c r="CJ44" s="44"/>
      <c r="CK44" s="36">
        <f>SQRT((A44-$A$72)^2+(B44-$B$72)^2+(C44-$C$72)^2+(D44-$D$72)^2+(E44-$E$72)^2+(F44-$F$72)^2+(G44-$G$72)^2+(H44-$H$72)^2+(I44-$I$72)^2+(J44-$J$72)^2+(K44-$K$72)^2+(L44-$L$72)^2+(M44-$M$72)^2+(N44-$N$72)^2+(O44-$O$72)^2+(P44-$P$72)^2+(Q44-$Q$72)^2+(R44-$R$72)^2+(S44-$S$72)^2+(T44-$T$72)^2+(U44-$U$72)^2+(V44-$V$72)^2+(W44-$W$72)^2+(X44-$X$72)^2+(Y44-$Y$72)^2+(Z44-$Z$72)^2+(AA44-$AA$72)^2+(AB44-$AB$72)^2+(AC44-$AC$72)^2+(AD44-$AD$72)^2+(AE44-$AE$72)^2+(AF44-$AF$72)^2+(AG44-$AG$72)^2)</f>
        <v>1.1719457283182768</v>
      </c>
      <c r="CL44" s="36" t="s">
        <v>330</v>
      </c>
      <c r="CM44" s="37" t="s">
        <v>120</v>
      </c>
      <c r="CO44" s="44"/>
      <c r="CP44" s="36">
        <f>SQRT((A44-$A$73)^2+(B44-$B$73)^2+(C44-$C$73)^2+(D44-$D$73)^2+(E44-$E$73)^2+(F44-$F$73)^2+(G44-$G$73)^2+(H44-$H$73)^2+(I44-$I$73)^2+(J44-$J$73)^2+(K44-$K$73)^2+(L44-$L$73)^2+(M44-$M$73)^2+(N44-$N$73)^2+(O44-$O$73)^2+(P44-$P$73)^2+(Q44-$Q$73)^2+(R44-$R$73)^2+(S44-$S$73)^2+(T44-$T$73)^2+(U44-$U$73)^2+(V44-$V$73)^2+(W44-$W$73)^2+(X44-$X$73)^2+(Y44-$Y$73)^2+(Z44-$Z$73)^2+(AA44-$AA$73)^2+(AB44-$AB$73)^2+(AC44-$AC$73)^2+(AD44-$AD$73)^2+(AE44-$AE$73)^2+(AF44-$AF$73)^2+(AG44-$AG$73)^2)</f>
        <v>1.729631227169967</v>
      </c>
      <c r="CQ44" s="36" t="s">
        <v>141</v>
      </c>
      <c r="CR44" s="37" t="s">
        <v>120</v>
      </c>
      <c r="CT44" s="44"/>
      <c r="CU44" s="36">
        <f>SQRT((A44-$A$74)^2+(B44-$B$74)^2+(C44-$C$74)^2+(D44-$D$74)^2+(E44-$E$74)^2+(F44-$F$74)^2+(G44-$G$74)^2+(H44-$H$74)^2+(I44-$I$74)^2+(J44-$J$74)^2+(K44-$K$74)^2+(L44-$L$74)^2+(M44-$M$74)^2+(N44-$N$74)^2+(O44-$O$74)^2+(P44-$P$74)^2+(Q44-$Q$74)^2+(R44-$R$74)^2+(S44-$S$74)^2+(T44-$T$74)^2+(U44-$U$74)^2+(V44-$V$74)^2+(W44-$W$74)^2+(X44-$X$74)^2+(Y44-$Y$74)^2+(Z44-$Z$74)^2+(AA44-$AA$74)^2+(AB44-$AB$74)^2+(AC44-$AC$74)^2+(AD44-$AD$74)^2+(AE44-$AE$74)^2+(AF44-$AF$74)^2+(AG44-$AG$74)^2)</f>
        <v>1.4350616571350736</v>
      </c>
      <c r="CV44" s="36" t="s">
        <v>330</v>
      </c>
      <c r="CW44" s="37" t="s">
        <v>120</v>
      </c>
      <c r="CY44" s="44"/>
      <c r="CZ44" s="36">
        <f>SQRT((A44-$A$75)^2+(B44-$B$75)^2+(C44-$C$75)^2+(D44-$D$75)^2+(E44-$E$75)^2+(F44-$F$75)^2+(G44-$G$75)^2+(H44-$H$75)^2+(I44-$I$75)^2+(J44-$J$75)^2+(K44-$K$75)^2+(L44-$L$75)^2+(M44-$M$75)^2+(N44-$N$75)^2+(O44-$O$75)^2+(P44-$P$75)^2+(Q44-$Q$75)^2+(R44-$R$75)^2+(S44-$S$75)^2+(T44-$T$75)^2+(U44-$U$75)^2+(V44-$V$75)^2+(W44-$W$75)^2+(X44-$X$75)^2+(Y44-$Y$75)^2+(Z44-$Z$75)^2+(AA44-$AA$75)^2+(AB44-$AB$75)^2+(AC44-$AC$75)^2+(AD44-$AD$75)^2+(AE44-$AE$75)^2+(AF44-$AF$75)^2+(AG44-$AG$75)^2)</f>
        <v>1.4210566349654272</v>
      </c>
      <c r="DA44" s="36" t="s">
        <v>138</v>
      </c>
      <c r="DB44" s="37" t="s">
        <v>120</v>
      </c>
      <c r="DD44" s="44"/>
      <c r="DE44" s="36">
        <f>SQRT((A44-$A$76)^2+(B44-$B$76)^2+(C44-$C$76)^2+(D44-$D$76)^2+(E44-$E$76)^2+(F44-$F$76)^2+(G44-$G$76)^2+(H44-$H$76)^2+(I44-$I$76)^2+(J44-$J$76)^2+(K44-$K$76)^2+(L44-$L$76)^2+(M44-$M$76)^2+(N44-$N$76)^2+(O44-$O$76)^2+(P44-$P$76)^2+(Q44-$Q$76)^2+(R44-$R$76)^2+(S44-$S$76)^2+(T44-$T$76)^2+(U44-$U$76)^2+(V44-$V$76)^2+(W44-$W$76)^2+(X44-$X$76)^2+(Y44-$Y$76)^2+(Z44-$Z$76)^2+(AA44-$AA$76)^2+(AB44-$AB$76)^2+(AC44-$AC$76)^2+(AD44-$AD$76)^2+(AE44-$AE$76)^2+(AF44-$AF$76)^2+(AG44-$AG$76)^2)</f>
        <v>0.58067179848606576</v>
      </c>
      <c r="DF44" s="36" t="s">
        <v>328</v>
      </c>
      <c r="DG44" s="37" t="s">
        <v>120</v>
      </c>
      <c r="DI44" s="44"/>
      <c r="DJ44" s="36">
        <f>SQRT((A44-$A$77)^2+(B44-$B$77)^2+(C44-$C$77)^2+(D44-$D$77)^2+(E44-$E$77)^2+(F44-$F$77)^2+(G44-$G$77)^2+(H44-$H$77)^2+(I44-$I$77)^2+(J44-$J$77)^2+(K44-$K$77)^2+(L44-$L$77)^2+(M44-$M$77)^2+(N44-$N$77)^2+(O44-$O$77)^2+(P44-$P$77)^2+(Q44-$Q$77)^2+(R44-$R$77)^2+(S44-$S$77)^2+(T44-$T$77)^2+(U44-$U$77)^2+(V44-$V$77)^2+(W44-$W$77)^2+(X44-$X$77)^2+(Y44-$Y$77)^2+(Z44-$Z$77)^2+(AA44-$AA$77)^2+(AB44-$AB$77)^2+(AC44-$AC$77)^2+(AD44-$AD$77)^2+(AE44-$AE$77)^2+(AF44-$AF$77)^2+(AG44-$AG$77)^2)</f>
        <v>1.7910019886368853</v>
      </c>
      <c r="DK44" s="36" t="s">
        <v>145</v>
      </c>
      <c r="DL44" s="37" t="s">
        <v>120</v>
      </c>
      <c r="DN44" s="44"/>
      <c r="DO44" s="36">
        <f>SQRT((A44-$A$78)^2+(B44-$B$78)^2+(C44-$C$78)^2+(D44-$D$78)^2+(E44-$E$78)^2+(F44-$F$78)^2+(G44-$G$78)^2+(H44-$H$78)^2+(I44-$I$78)^2+(J44-$J$78)^2+(K44-$K$78)^2+(L44-$L$78)^2+(M44-$M$78)^2+(N44-$N$78)^2+(O44-$O$78)^2+(P44-$P$78)^2+(Q44-$Q$78)^2+(R44-$R$78)^2+(S44-$S$78)^2+(T44-$T$78)^2+(U44-$U$78)^2+(V44-$V$78)^2+(W44-$W$78)^2+(X44-$X$78)^2+(Y44-$Y$78)^2+(Z44-$Z$78)^2+(AA44-$AA$78)^2+(AB44-$AB$78)^2+(AC44-$AC$78)^2+(AD44-$AD$78)^2+(AE44-$AE$78)^2+(AF44-$AF$78)^2+(AG44-$AG$78)^2)</f>
        <v>1.4463195414473484</v>
      </c>
      <c r="DP44" s="36" t="s">
        <v>135</v>
      </c>
      <c r="DQ44" s="37" t="s">
        <v>120</v>
      </c>
      <c r="DS44" s="44"/>
      <c r="DT44" s="36">
        <f>SQRT((A44-$A$79)^2+(B44-$B$79)^2+(C44-$C$79)^2+(D44-$D$79)^2+(E44-$E$79)^2+(F44-$F$79)^2+(G44-$G$79)^2+(H44-$H$79)^2+(I44-$I$79)^2+(J44-$J$79)^2+(K44-$K$79)^2+(L44-$L$79)^2+(M44-$M$79)^2+(N44-$N$79)^2+(O44-$O$79)^2+(P44-$P$79)^2+(Q44-$Q$79)^2+(R44-$R$79)^2+(S44-$S$79)^2+(T44-$T$79)^2+(U44-$U$79)^2+(V44-$V$79)^2+(W44-$W$79)^2+(X44-$X$79)^2+(Y44-$Y$79)^2+(Z44-$Z$79)^2+(AA44-$AA$79)^2+(AB44-$AB$79)^2+(AC44-$AC$79)^2+(AD44-$AD$79)^2+(AE44-$AE$79)^2+(AF44-$AF$79)^2+(AG44-$AG$79)^2)</f>
        <v>1.170360810931494</v>
      </c>
      <c r="DU44" s="36" t="s">
        <v>137</v>
      </c>
      <c r="DV44" s="37" t="s">
        <v>120</v>
      </c>
      <c r="DX44" s="44"/>
      <c r="DY44" s="36">
        <f>SQRT((A44-$A$80)^2+(B44-$B$80)^2+(C44-$C$80)^2+(D44-$D$80)^2+(E44-$E$80)^2+(F44-$F$80)^2+(G44-$G$80)^2+(H44-$H$80)^2+(I44-$I$80)^2+(J44-$J$80)^2+(K44-$K$80)^2+(L44-$L$80)^2+(M44-$M$80)^2+(N44-$N$80)^2+(O44-$O$80)^2+(P44-$P$80)^2+(Q44-$Q$80)^2+(R44-$R$80)^2+(S44-$S$80)^2+(T44-$T$80)^2+(U44-$U$80)^2+(V44-$V$80)^2+(W44-$W$80)^2+(X44-$X$80)^2+(Y44-$Y$80)^2+(Z44-$Z$80)^2+(AA44-$AA$80)^2+(AB44-$AB$80)^2+(AC44-$AC$80)^2+(AD44-$AD$80)^2+(AE44-$AE$80)^2+(AF44-$AF$80)^2+(AG44-$AG$80)^2)</f>
        <v>1.7411559901403106</v>
      </c>
      <c r="DZ44" s="36" t="s">
        <v>151</v>
      </c>
      <c r="EA44" s="37" t="s">
        <v>120</v>
      </c>
      <c r="EC44" s="44"/>
      <c r="ED44" s="36">
        <f>SQRT((A44-$A$81)^2+(B44-$B$81)^2+(C44-$C$81)^2+(D44-$D$81)^2+(E44-$E$81)^2+(F44-$F$81)^2+(G44-$G$81)^2+(H44-$H$81)^2+(I44-$I$81)^2+(J44-$J$81)^2+(K44-$K$81)^2+(L44-$L$81)^2+(M44-$M$81)^2+(N44-$N$81)^2+(O44-$O$81)^2+(P44-$P$81)^2+(Q44-$Q$81)^2+(R44-$R$81)^2+(S44-$S$81)^2+(T44-$T$81)^2+(U44-$U$81)^2+(V44-$V$81)^2+(W44-$W$81)^2+(X44-$X$81)^2+(Y44-$Y$81)^2+(Z44-$Z$81)^2+(AA44-$AA$81)^2+(AB44-$AB$81)^2+(AC44-$AC$81)^2+(AD44-$AD$81)^2+(AE44-$AE$81)^2+(AF44-$AF$81)^2+(AG44-$AG$81)^2)</f>
        <v>1.761346703903462</v>
      </c>
      <c r="EE44" s="36" t="s">
        <v>316</v>
      </c>
      <c r="EF44" s="37" t="s">
        <v>120</v>
      </c>
      <c r="EH44" s="44"/>
      <c r="EI44" s="36">
        <f>SQRT((A44-$A$82)^2+(B44-$B$82)^2+(C44-$C$82)^2+(D44-$D$82)^2+(E44-$E$82)^2+(F44-$F$82)^2+(G44-$G$82)^2+(H44-$H$82)^2+(I44-$I$82)^2+(J44-$J$82)^2+(K44-$K$82)^2+(L44-$L$82)^2+(M44-$M$82)^2+(N44-$N$82)^2+(O44-$O$82)^2+(P44-$P$82)^2+(Q44-$Q$82)^2+(R44-$R$82)^2+(S44-$S$82)^2+(T44-$T$82)^2+(U44-$U$82)^2+(V44-$V$82)^2+(W44-$W$82)^2+(X44-$X$82)^2+(Y44-$Y$82)^2+(Z44-$Z$82)^2+(AA44-$AA$82)^2+(AB44-$AB$82)^2+(AC44-$AC$82)^2+(AD44-$AD$82)^2+(AE44-$AE$82)^2+(AF44-$AF$82)^2+(AG44-$AG$82)^2)</f>
        <v>1.6961590491329805</v>
      </c>
      <c r="EJ44" s="36" t="s">
        <v>143</v>
      </c>
      <c r="EK44" s="37" t="s">
        <v>120</v>
      </c>
      <c r="EM44" s="44"/>
      <c r="EN44" s="36">
        <f>SQRT((A44-$A$83)^2+(B44-$B$83)^2+(C44-$C$83)^2+(D44-$D$83)^2+(E44-$E$83)^2+(F44-$F$83)^2+(G44-$G$83)^2+(H44-$H$83)^2+(I44-$I$83)^2+(J44-$J$83)^2+(K44-$K$83)^2+(L44-$L$83)^2+(M44-$M$83)^2+(N44-$N$83)^2+(O44-$O$83)^2+(P44-$P$83)^2+(Q44-$Q$83)^2+(R44-$R$83)^2+(S44-$S$83)^2+(T44-$T$83)^2+(U44-$U$83)^2+(V44-$V$83)^2+(W44-$W$83)^2+(X44-$X$83)^2+(Y44-$Y$83)^2+(Z44-$Z$83)^2+(AA44-$AA$83)^2+(AB44-$AB$83)^2+(AC44-$AC$83)^2+(AD44-$AD$83)^2+(AE44-$AE$83)^2+(AF44-$AF$83)^2+(AG44-$AG$83)^2)</f>
        <v>1.4600822634264374</v>
      </c>
      <c r="EO44" s="36" t="s">
        <v>135</v>
      </c>
      <c r="EP44" s="37" t="s">
        <v>120</v>
      </c>
      <c r="ER44" s="44"/>
      <c r="ES44" s="36">
        <f>SQRT((A44-$A$84)^2+(B44-$B$84)^2+(C44-$C$84)^2+(D44-$D$84)^2+(E44-$E$84)^2+(F44-$F$84)^2+(G44-$G$84)^2+(H44-$H$84)^2+(I44-$I$84)^2+(J44-$J$84)^2+(K44-$K$84)^2+(L44-$L$84)^2+(M44-$M$84)^2+(N44-$N$84)^2+(O44-$O$84)^2+(P44-$P$84)^2+(Q44-$Q$84)^2+(R44-$R$84)^2+(S44-$S$84)^2+(T44-$T$84)^2+(U44-$U$84)^2+(V44-$V$84)^2+(W44-$W$84)^2+(X44-$X$84)^2+(Y44-$Y$84)^2+(Z44-$Z$84)^2+(AA44-$AA$84)^2+(AB44-$AB$84)^2+(AC44-$AC$84)^2+(AD44-$AD$84)^2+(AE44-$AE$84)^2+(AF44-$AF$84)^2+(AG44-$AG$84)^2)</f>
        <v>1.077016196034875</v>
      </c>
      <c r="ET44" s="36" t="s">
        <v>146</v>
      </c>
      <c r="EU44" s="37" t="s">
        <v>120</v>
      </c>
      <c r="EW44" s="44"/>
      <c r="EX44" s="36">
        <f>SQRT((A44-$A$85)^2+(B44-$B$85)^2+(C44-$C$85)^2+(D44-$D$85)^2+(E44-$E$85)^2+(F44-$F$85)^2+(G44-$G$85)^2+(H44-$H$85)^2+(I44-$I$85)^2+(J44-$J$85)^2+(K44-$K$85)^2+(L44-$L$85)^2+(M44-$M$85)^2+(N44-$N$85)^2+(O44-$O$85)^2+(P44-$P$85)^2+(Q44-$Q$85)^2+(R44-$R$85)^2+(S44-$S$85)^2+(T44-$T$85)^2+(U44-$U$85)^2+(V44-$V$85)^2+(W44-$W$85)^2+(X44-$X$85)^2+(Y44-$Y$85)^2+(Z44-$Z$85)^2+(AA44-$AA$85)^2+(AB44-$AB$85)^2+(AC44-$AC$85)^2+(AD44-$AD$85)^2+(AE44-$AE$85)^2+(AF44-$AF$85)^2+(AG44-$AG$85)^2)</f>
        <v>1.077016196034875</v>
      </c>
      <c r="EY44" s="36" t="s">
        <v>146</v>
      </c>
      <c r="EZ44" s="37" t="s">
        <v>120</v>
      </c>
      <c r="FB44" s="44"/>
      <c r="FC44" s="36">
        <f>SQRT((A44-$A$86)^2+(B44-$B$86)^2+(C44-$C$86)^2+(D44-$D$86)^2+(E44-$E$86)^2+(F44-$F$86)^2+(G44-$G$86)^2+(H44-$H$86)^2+(I44-$I$86)^2+(J44-$J$86)^2+(K44-$K$86)^2+(L44-$L$86)^2+(M44-$M$86)^2+(N44-$N$86)^2+(O44-$O$86)^2+(P44-$P$86)^2+(Q44-$Q$86)^2+(R44-$R$86)^2+(S44-$S$86)^2+(T44-$T$86)^2+(U44-$U$86)^2+(V44-$V$86)^2+(W44-$W$86)^2+(X44-$X$86)^2+(Y44-$Y$86)^2+(Z44-$Z$86)^2+(AA44-$AA$86)^2+(AB44-$AB$86)^2+(AC44-$AC$86)^2+(AD44-$AD$86)^2+(AE44-$AE$86)^2+(AF44-$AF$86)^2+(AG44-$AG$86)^2)</f>
        <v>1.077016196034875</v>
      </c>
      <c r="FD44" s="36" t="s">
        <v>146</v>
      </c>
      <c r="FE44" s="37" t="s">
        <v>120</v>
      </c>
      <c r="FG44" s="44"/>
      <c r="FH44" s="36">
        <f>SQRT((A44-$A$87)^2+(B44-$B$87)^2+(C44-$C$87)^2+(D44-$D$87)^2+(E44-$E$87)^2+(F44-$F$87)^2+(G44-$G$87)^2+(H44-$H$87)^2+(I44-$I$87)^2+(J44-$J$87)^2+(K44-$K$87)^2+(L44-$L$87)^2+(M44-$M$87)^2+(N44-$N$87)^2+(O44-$O$87)^2+(P44-$P$87)^2+(Q44-$Q$87)^2+(R44-$R$87)^2+(S44-$S$87)^2+(T44-$T$87)^2+(U44-$U$87)^2+(V44-$V$87)^2+(W44-$W$87)^2+(X44-$X$87)^2+(Y44-$Y$87)^2+(Z44-$Z$87)^2+(AA44-$AA$87)^2+(AB44-$AB$87)^2+(AC44-$AC$87)^2+(AD44-$AD$87)^2+(AE44-$AE$87)^2+(AF44-$AF$87)^2+(AG44-$AG$87)^2)</f>
        <v>1.3789939020900295</v>
      </c>
      <c r="FI44" s="36" t="s">
        <v>135</v>
      </c>
      <c r="FJ44" s="37" t="s">
        <v>120</v>
      </c>
      <c r="FL44" s="44"/>
      <c r="FM44" s="36">
        <f>SQRT((A44-$A$88)^2+(B44-$B$88)^2+(C44-$C$88)^2+(D44-$D$88)^2+(E44-$E$88)^2+(F44-$F$88)^2+(G44-$G$88)^2+(H44-$H$88)^2+(I44-$I$88)^2+(J44-$J$88)^2+(K44-$K$88)^2+(L44-$L$88)^2+(M44-$M$88)^2+(N44-$N$88)^2+(O44-$O$88)^2+(P44-$P$88)^2+(Q44-$Q$88)^2+(R44-$R$88)^2+(S44-$S$88)^2+(T44-$T$88)^2+(U44-$U$88)^2+(V44-$V$88)^2+(W44-$W$88)^2+(X44-$X$88)^2+(Y44-$Y$88)^2+(Z44-$Z$88)^2+(AA44-$AA$88)^2+(AB44-$AB$88)^2+(AC44-$AC$88)^2+(AD44-$AD$88)^2+(AE44-$AE$88)^2+(AF44-$AF$88)^2+(AG44-$AG$88)^2)</f>
        <v>1.2133516482134197</v>
      </c>
      <c r="FN44" s="36" t="s">
        <v>315</v>
      </c>
      <c r="FO44" s="37" t="s">
        <v>120</v>
      </c>
      <c r="FQ44" s="44"/>
      <c r="FR44" s="36">
        <f>SQRT((A44-$A$89)^2+(B44-$B$89)^2+(C44-$C$89)^2+(D44-$D$89)^2+(E44-$E$89)^2+(F44-$F$89)^2+(G44-$G$89)^2+(H44-$H$89)^2+(I44-$I$89)^2+(J44-$J$89)^2+(K44-$K$89)^2+(L44-$L$89)^2+(M44-$M$89)^2+(N44-$N$89)^2+(O44-$O$89)^2+(P44-$P$89)^2+(Q44-$Q$89)^2+(R44-$R$89)^2+(S44-$S$89)^2+(T44-$T$89)^2+(U44-$U$89)^2+(V44-$V$89)^2+(W44-$W$89)^2+(X44-$X$89)^2+(Y44-$Y$89)^2+(Z44-$Z$89)^2+(AA44-$AA$89)^2+(AB44-$AB$89)^2+(AC44-$AC$89)^2+(AD44-$AD$89)^2+(AE44-$AE$89)^2+(AF44-$AF$89)^2+(AG44-$AG$89)^2)</f>
        <v>1.800451105140455</v>
      </c>
      <c r="FS44" s="36" t="s">
        <v>146</v>
      </c>
      <c r="FT44" s="37" t="s">
        <v>120</v>
      </c>
      <c r="FV44" s="44"/>
      <c r="FW44" s="36">
        <f>SQRT((A44-$A$90)^2+(B44-$B$90)^2+(C44-$C$90)^2+(D44-$D$90)^2+(E44-$E$90)^2+(F44-$F$90)^2+(G44-$G$90)^2+(H44-$H$90)^2+(I44-$I$90)^2+(J44-$J$90)^2+(K44-$K$90)^2+(L44-$L$90)^2+(M44-$M$90)^2+(N44-$N$90)^2+(O44-$O$90)^2+(P44-$P$90)^2+(Q44-$Q$90)^2+(R44-$R$90)^2+(S44-$S$90)^2+(T44-$T$90)^2+(U44-$U$90)^2+(V44-$V$90)^2+(W44-$W$90)^2+(X44-$X$90)^2+(Y44-$Y$90)^2+(Z44-$Z$90)^2+(AA44-$AA$90)^2+(AB44-$AB$90)^2+(AC44-$AC$90)^2+(AD44-$AD$90)^2+(AE44-$AE$90)^2+(AF44-$AF$90)^2+(AG44-$AG$90)^2)</f>
        <v>1.6650952094092462</v>
      </c>
      <c r="FX44" s="36" t="s">
        <v>327</v>
      </c>
      <c r="FY44" s="37" t="s">
        <v>120</v>
      </c>
      <c r="GA44" s="44"/>
      <c r="GB44" s="36">
        <f>SQRT((A44-$A$91)^2+(B44-$B$91)^2+(C44-$C$91)^2+(D44-$D$91)^2+(E44-$E$91)^2+(F44-$F$91)^2+(G44-$G$91)^2+(H44-$H$91)^2+(I44-$I$91)^2+(J44-$J$91)^2+(K44-$K$91)^2+(L44-$L$91)^2+(M44-$M$91)^2+(N44-$N$91)^2+(O44-$O$91)^2+(P44-$P$91)^2+(Q44-$Q$91)^2+(R44-$R$91)^2+(S44-$S$91)^2+(T44-$T$91)^2+(U44-$U$91)^2+(V44-$V$91)^2+(W44-$W$91)^2+(X44-$X$91)^2+(Y44-$Y$91)^2+(Z44-$Z$91)^2+(AA44-$AA$91)^2+(AB44-$AB$91)^2+(AC44-$AC$91)^2+(AD44-$AD$91)^2+(AE44-$AE$91)^2+(AF44-$AF$91)^2+(AG44-$AG$91)^2)</f>
        <v>2.1820024018967055</v>
      </c>
      <c r="GC44" s="36" t="s">
        <v>136</v>
      </c>
      <c r="GD44" s="37" t="s">
        <v>120</v>
      </c>
      <c r="GF44" s="44"/>
      <c r="GG44" s="36">
        <f>SQRT((A44-$A$92)^2+(B44-$B$92)^2+(C44-$C$92)^2+(D44-$D$92)^2+(E44-$E$92)^2+(F44-$F$92)^2+(G44-$G$92)^2+(H44-$H$92)^2+(I44-$I$92)^2+(J44-$J$92)^2+(K44-$K$92)^2+(L44-$L$92)^2+(M44-$M$92)^2+(N44-$N$92)^2+(O44-$O$92)^2+(P44-$P$92)^2+(Q44-$Q$92)^2+(R44-$R$92)^2+(S44-$S$92)^2+(T44-$T$92)^2+(U44-$U$92)^2+(V44-$V$92)^2+(W44-$W$92)^2+(X44-$X$92)^2+(Y44-$Y$92)^2+(Z44-$Z$92)^2+(AA44-$AA$92)^2+(AB44-$AB$92)^2+(AC44-$AC$92)^2+(AD44-$AD$92)^2+(AE44-$AE$92)^2+(AF44-$AF$92)^2+(AG44-$AG$92)^2)</f>
        <v>1.8408935028645432</v>
      </c>
      <c r="GH44" s="36" t="s">
        <v>144</v>
      </c>
      <c r="GI44" s="37" t="s">
        <v>120</v>
      </c>
      <c r="GK44" s="44"/>
      <c r="GL44" s="36">
        <f>SQRT((A44-$A$93)^2+(B44-$B$93)^2+(C44-$C$93)^2+(D44-$D$93)^2+(E44-$E$93)^2+(F44-$F$93)^2+(G44-$G$93)^2+(H44-$H$93)^2+(I44-$I$93)^2+(J44-$J$93)^2+(K44-$K$93)^2+(L44-$L$93)^2+(M44-$M$93)^2+(N44-$N$93)^2+(O44-$O$93)^2+(P44-$P$93)^2+(Q44-$Q$93)^2+(R44-$R$93)^2+(S44-$S$93)^2+(T44-$T$93)^2+(U44-$U$93)^2+(V44-$V$93)^2+(W44-$W$93)^2+(X44-$X$93)^2+(Y44-$Y$93)^2+(Z44-$Z$93)^2+(AA44-$AA$93)^2+(AB44-$AB$93)^2+(AC44-$AC$93)^2+(AD44-$AD$93)^2+(AE44-$AE$93)^2+(AF44-$AF$93)^2+(AG44-$AG$93)^2)</f>
        <v>2.4025297031746797</v>
      </c>
      <c r="GM44" s="36" t="s">
        <v>140</v>
      </c>
      <c r="GN44" s="37" t="s">
        <v>120</v>
      </c>
      <c r="GP44" s="44"/>
      <c r="GQ44" s="36">
        <f>SQRT((A44-$A$94)^2+(B44-$B$94)^2+(C44-$C$94)^2+(D44-$D$94)^2+(E44-$E$94)^2+(F44-$F$94)^2+(G44-$G$94)^2+(H44-$H$94)^2+(I44-$I$94)^2+(J44-$J$94)^2+(K44-$K$94)^2+(L44-$L$94)^2+(M44-$M$94)^2+(N44-$N$94)^2+(O44-$O$94)^2+(P44-$P$94)^2+(Q44-$Q$94)^2+(R44-$R$94)^2+(S44-$S$94)^2+(T44-$T$94)^2+(U44-$U$94)^2+(V44-$V$94)^2+(W44-$W$94)^2+(X44-$X$94)^2+(Y44-$Y$94)^2+(Z44-$Z$94)^2+(AA44-$AA$94)^2+(AB44-$AB$94)^2+(AC44-$AC$94)^2+(AD44-$AD$94)^2+(AE44-$AE$94)^2+(AF44-$AF$94)^2+(AG44-$AG$94)^2)</f>
        <v>1.6293352318456369</v>
      </c>
      <c r="GR44" s="36" t="s">
        <v>315</v>
      </c>
      <c r="GS44" s="37" t="s">
        <v>120</v>
      </c>
      <c r="GU44" s="44"/>
      <c r="GV44" s="36">
        <f>SQRT((A44-$A$95)^2+(B44-$B$95)^2+(C44-$C$95)^2+(D44-$D$95)^2+(E44-$E$95)^2+(F44-$F$95)^2+(G44-$G$95)^2+(H44-$H$95)^2+(I44-$I$95)^2+(J44-$J$95)^2+(K44-$K$95)^2+(L44-$L$95)^2+(M44-$M$95)^2+(N44-$N$95)^2+(O44-$O$95)^2+(P44-$P$95)^2+(Q44-$Q$95)^2+(R44-$R$95)^2+(S44-$S$95)^2+(T44-$T$95)^2+(U44-$U$95)^2+(V44-$V$95)^2+(W44-$W$95)^2+(X44-$X$95)^2+(Y44-$Y$95)^2+(Z44-$Z$95)^2+(AA44-$AA$95)^2+(AB44-$AB$95)^2+(AC44-$AC$95)^2+(AD44-$AD$95)^2+(AE44-$AE$95)^2+(AF44-$AF$95)^2+(AG44-$AG$95)^2)</f>
        <v>2.3830671157183669</v>
      </c>
      <c r="GW44" s="36" t="s">
        <v>325</v>
      </c>
      <c r="GX44" s="37" t="s">
        <v>120</v>
      </c>
      <c r="GZ44" s="44"/>
      <c r="HA44" s="36">
        <f>SQRT((A44-$A$96)^2+(B44-$B$96)^2+(C44-$C$96)^2+(D44-$D$96)^2+(E44-$E$96)^2+(F44-$F$96)^2+(G44-$G$96)^2+(H44-$H$96)^2+(I44-$I$96)^2+(J44-$J$96)^2+(K44-$K$96)^2+(L44-$L$96)^2+(M44-$M$96)^2+(N44-$N$96)^2+(O44-$O$96)^2+(P44-$P$96)^2+(Q44-$Q$96)^2+(R44-$R$96)^2+(S44-$S$96)^2+(T44-$T$96)^2+(U44-$U$96)^2+(V44-$V$96)^2+(W44-$W$96)^2+(X44-$X$96)^2+(Y44-$Y$96)^2+(Z44-$Z$96)^2+(AA44-$AA$96)^2+(AB44-$AB$96)^2+(AC44-$AC$96)^2+(AD44-$AD$96)^2+(AE44-$AE$96)^2+(AF44-$AF$96)^2+(AG44-$AG$96)^2)</f>
        <v>2.2103564293310085</v>
      </c>
      <c r="HB44" s="36" t="s">
        <v>324</v>
      </c>
      <c r="HC44" s="37" t="s">
        <v>120</v>
      </c>
      <c r="HE44" s="44"/>
      <c r="HF44" s="36">
        <f>SQRT((A44-$A$97)^2+(B44-$B$97)^2+(C44-$C$97)^2+(D44-$D$97)^2+(E44-$E$97)^2+(F44-$F$97)^2+(G44-$G$97)^2+(H44-$H$97)^2+(I44-$I$97)^2+(J44-$J$97)^2+(K44-$K$97)^2+(L44-$L$97)^2+(M44-$M$97)^2+(N44-$N$97)^2+(O44-$O$97)^2+(P44-$P$97)^2+(Q44-$Q$97)^2+(R44-$R$97)^2+(S44-$S$97)^2+(T44-$T$97)^2+(U44-$U$97)^2+(V44-$V$97)^2+(W44-$W$97)^2+(X44-$X$97)^2+(Y44-$Y$97)^2+(Z44-$Z$97)^2+(AA44-$AA$97)^2+(AB44-$AB$97)^2+(AC44-$AC$97)^2+(AD44-$AD$97)^2+(AE44-$AE$97)^2+(AF44-$AF$97)^2+(AG44-$AG$97)^2)</f>
        <v>1.077016196034875</v>
      </c>
      <c r="HG44" s="36" t="s">
        <v>146</v>
      </c>
      <c r="HH44" s="37" t="s">
        <v>120</v>
      </c>
      <c r="HJ44" s="44"/>
      <c r="HK44" s="36">
        <f>SQRT((A44-$A$98)^2+(B44-$B$98)^2+(C44-$C$98)^2+(D44-$D$98)^2+(E44-$E$98)^2+(F44-$F$98)^2+(G44-$G$98)^2+(H44-$H$98)^2+(I44-$I$98)^2+(J44-$J$98)^2+(K44-$K$98)^2+(L44-$L$98)^2+(M44-$M$98)^2+(N44-$N$98)^2+(O44-$O$98)^2+(P44-$P$98)^2+(Q44-$Q$98)^2+(R44-$R$98)^2+(S44-$S$98)^2+(T44-$T$98)^2+(U44-$U$98)^2+(V44-$V$98)^2+(W44-$W$98)^2+(X44-$X$98)^2+(Y44-$Y$98)^2+(Z44-$Z$98)^2+(AA44-$AA$98)^2+(AB44-$AB$98)^2+(AC44-$AC$98)^2+(AD44-$AD$98)^2+(AE44-$AE$98)^2+(AF44-$AF$98)^2+(AG44-$AG$98)^2)</f>
        <v>1.077016196034875</v>
      </c>
      <c r="HL44" s="36" t="s">
        <v>146</v>
      </c>
      <c r="HM44" s="37" t="s">
        <v>120</v>
      </c>
      <c r="HO44" s="44"/>
      <c r="HP44" s="36">
        <f>SQRT((A44-$A$99)^2+(B44-$B$99)^2+(C44-$C$99)^2+(D44-$D$99)^2+(E44-$E$99)^2+(F44-$F$99)^2+(G44-$G$99)^2+(H44-$H$99)^2+(I44-$I$99)^2+(J44-$J$99)^2+(K44-$K$99)^2+(L44-$L$99)^2+(M44-$M$99)^2+(N44-$N$99)^2+(O44-$O$99)^2+(P44-$P$99)^2+(Q44-$Q$99)^2+(R44-$R$99)^2+(S44-$S$99)^2+(T44-$T$99)^2+(U44-$U$99)^2+(V44-$V$99)^2+(W44-$W$99)^2+(X44-$X$99)^2+(Y44-$Y$99)^2+(Z44-$Z$99)^2+(AA44-$AA$99)^2+(AB44-$AB$99)^2+(AC44-$AC$99)^2+(AD44-$AD$99)^2+(AE44-$AE$99)^2+(AF44-$AF$99)^2+(AG44-$AG$99)^2)</f>
        <v>1.077016196034875</v>
      </c>
      <c r="HQ44" s="36" t="s">
        <v>146</v>
      </c>
      <c r="HR44" s="37" t="s">
        <v>120</v>
      </c>
      <c r="HT44" s="44"/>
      <c r="HU44" s="36">
        <f>SQRT((A44-$A$100)^2+(B44-$B$100)^2+(C44-$C$100)^2+(D44-$D$100)^2+(E44-$E$100)^2+(F44-$F$100)^2+(G44-$G$100)^2+(H44-$H$100)^2+(I44-$I$100)^2+(J44-$J$100)^2+(K44-$K$100)^2+(L44-$L$100)^2+(M44-$M$100)^2+(N44-$N$100)^2+(O44-$O$100)^2+(P44-$P$100)^2+(Q44-$Q$100)^2+(R44-$R$100)^2+(S44-$S$100)^2+(T44-$T$100)^2+(U44-$U$100)^2+(V44-$V$100)^2+(W44-$W$100)^2+(X44-$X$100)^2+(Y44-$Y$100)^2+(Z44-$Z$100)^2+(AA44-$AA$100)^2+(AB44-$AB$100)^2+(AC44-$AC$100)^2+(AD44-$AD$100)^2+(AE44-$AE$100)^2+(AF44-$AF$100)^2+(AG44-$AG$100)^2)</f>
        <v>1.077016196034875</v>
      </c>
      <c r="HV44" s="36" t="s">
        <v>146</v>
      </c>
      <c r="HW44" s="37" t="s">
        <v>120</v>
      </c>
      <c r="HY44" s="44"/>
      <c r="HZ44" s="36">
        <f>SQRT((A44-$A$101)^2+(B44-$B$101)^2+(C44-$C$101)^2+(D44-$D$101)^2+(E44-$E$101)^2+(F44-$F$101)^2+(G44-$G$101)^2+(H44-$H$101)^2+(I44-$I$101)^2+(J44-$J$101)^2+(K44-$K$101)^2+(L44-$L$101)^2+(M44-$M$101)^2+(N44-$N$101)^2+(O44-$O$101)^2+(P44-$P$101)^2+(Q44-$Q$101)^2+(R44-$R$101)^2+(S44-$S$101)^2+(T44-$T$101)^2+(U44-$U$101)^2+(V44-$V$101)^2+(W44-$W$101)^2+(X44-$X$101)^2+(Y44-$Y$101)^2+(Z44-$Z$101)^2+(AA44-$AA$101)^2+(AB44-$AB$101)^2+(AC44-$AC$101)^2+(AD44-$AD$101)^2+(AE44-$AE$101)^2+(AF44-$AF$101)^2+(AG44-$AG$101)^2)</f>
        <v>1.7804830774622284</v>
      </c>
      <c r="IA44" s="36" t="s">
        <v>146</v>
      </c>
      <c r="IB44" s="37" t="s">
        <v>120</v>
      </c>
    </row>
    <row r="45" spans="1:236" x14ac:dyDescent="0.35">
      <c r="A45" s="2">
        <v>0.83333333333333304</v>
      </c>
      <c r="B45" s="2">
        <v>0.25</v>
      </c>
      <c r="C45" s="2">
        <v>0.33333333333333298</v>
      </c>
      <c r="D45" s="2">
        <v>1</v>
      </c>
      <c r="E45" s="2">
        <v>0.33333333333333298</v>
      </c>
      <c r="F45" s="2">
        <v>1</v>
      </c>
      <c r="G45" s="2">
        <v>0.55555555555555503</v>
      </c>
      <c r="H45" s="2">
        <v>1</v>
      </c>
      <c r="I45" s="2">
        <v>0.5</v>
      </c>
      <c r="J45" s="2">
        <v>1</v>
      </c>
      <c r="K45" s="2">
        <v>0</v>
      </c>
      <c r="L45" s="2">
        <v>0.2</v>
      </c>
      <c r="M45" s="2">
        <v>1</v>
      </c>
      <c r="N45" s="2">
        <v>0</v>
      </c>
      <c r="O45" s="2">
        <v>1</v>
      </c>
      <c r="P45" s="2">
        <v>0.4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0</v>
      </c>
      <c r="W45" s="2">
        <v>1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0</v>
      </c>
      <c r="AH45" s="2" t="s">
        <v>121</v>
      </c>
      <c r="AI45" s="42"/>
      <c r="AJ45" s="42"/>
      <c r="AL45" s="44"/>
      <c r="AM45" s="36">
        <f>SQRT((A45-$A$62)^2+(B45-$B$62)^2+(C45-$C$62)^2+(D45-$D$62)^2+(E45-$E$62)^2+(F45-$F$62)^2+(G45-$G$62)^2+(H45-$H$62)^2+(I45-$I$62)^2+(J45-$J$62)^2+(K45-$K$62)^2+(L45-$L$62)^2+(M45-$M$62)^2+(N45-$N$62)^2+(O45-$O$62)^2+(P45-$P$62)^2+(Q45-$Q$62)^2+(R45-$R$62)^2+(S45-$S$62)^2+(T45-$T$62)^2+(U45-$U$62)^2+(V45-$V$62)^2+(W45-$W$62)^2+(X45-$X$62)^2+(Y45-$Y$62)^2+(Z45-$Z$62)^2+(AA45-$AA$62)^2+(AB45-$AB$62)^2+(AC45-$AC$62)^2+(AD45-$AD$62)^2+(AE45-$AE$62)^2+(AF45-$AF$62)^2+(AG45-$AG$62)^2)</f>
        <v>2.3199616855073755</v>
      </c>
      <c r="AN45" s="36" t="s">
        <v>137</v>
      </c>
      <c r="AO45" s="37" t="s">
        <v>120</v>
      </c>
      <c r="AQ45" s="44"/>
      <c r="AR45" s="36">
        <f>SQRT((A45-$A$63)^2+(B45-$B$63)^2+(C45-$C$63)^2+(D45-$D$63)^2+(E45-$E$63)^2+(F45-$F$63)^2+(G45-$G$63)^2+(H45-$H$63)^2+(I45-$I$63)^2+(J45-$J$63)^2+(K45-$K$63)^2+(L45-$L$63)^2+(M45-$M$63)^2+(N45-$N$63)^2+(O45-$O$63)^2+(P45-$P$63)^2+(Q45-$Q$63)^2+(R45-$R$63)^2+(S45-$S$63)^2+(T45-$T$63)^2+(U45-$U$63)^2+(V45-$V$63)^2+(W45-$W$63)^2+(X45-$X$63)^2+(Y45-$Y$63)^2+(Z45-$Z$63)^2+(AA45-$AA$63)^2+(AB45-$AB$63)^2+(AC45-$AC$63)^2+(AD45-$AD$63)^2+(AE45-$AE$63)^2+(AF45-$AF$63)^2+(AG45-$AG$63)^2)</f>
        <v>1.617133172230635</v>
      </c>
      <c r="AS45" s="36" t="s">
        <v>143</v>
      </c>
      <c r="AT45" s="37" t="s">
        <v>120</v>
      </c>
      <c r="AV45" s="44"/>
      <c r="AW45" s="36">
        <f>SQRT((A45-$A$64)^2+(B45-$B$64)^2+(C45-$C$64)^2+(D45-$D$64)^2+(E45-$E$64)^2+(F45-$F$64)^2+(G45-$G$64)^2+(H45-$H$64)^2+(I45-$I$64)^2+(J45-$J$64)^2+(K45-$K$64)^2+(L45-$L$64)^2+(M45-$M$64)^2+(N45-$N$64)^2+(O45-$O$64)^2+(P45-$P$64)^2+(Q45-$Q$64)^2+(R45-$R$64)^2+(S45-$S$64)^2+(T45-$T$64)^2+(U45-$U$64)^2+(V45-$V$64)^2+(W45-$W$64)^2+(X45-$X$64)^2+(Y45-$Y$64)^2+(Z45-$Z$64)^2+(AA45-$AA$64)^2+(AB45-$AB$64)^2+(AC45-$AC$64)^2+(AD45-$AD$64)^2+(AE45-$AE$64)^2+(AF45-$AF$64)^2+(AG45-$AG$64)^2)</f>
        <v>1.617133172230635</v>
      </c>
      <c r="AX45" s="36" t="s">
        <v>143</v>
      </c>
      <c r="AY45" s="37" t="s">
        <v>120</v>
      </c>
      <c r="BA45" s="44"/>
      <c r="BB45" s="36">
        <f>SQRT((A45-$A$65)^2+(B45-$B$65)^2+(C45-$C$65)^2+(D45-$D$65)^2+(E45-$E$65)^2+(F45-$F$65)^2+(G45-$G$65)^2+(H45-$H$65)^2+(I45-$I$65)^2+(J45-$J$65)^2+(K45-$K$65)^2+(L45-$L$65)^2+(M45-$M$65)^2+(N45-$N$65)^2+(O45-$O$65)^2+(P45-$P$65)^2+(Q45-$Q$65)^2+(R45-$R$65)^2+(S45-$S$65)^2+(T45-$T$65)^2+(U45-$U$65)^2+(V45-$V$65)^2+(W45-$W$65)^2+(X45-$X$65)^2+(Y45-$Y$65)^2+(Z45-$Z$65)^2+(AA45-$AA$65)^2+(AB45-$AB$65)^2+(AC45-$AC$65)^2+(AD45-$AD$65)^2+(AE45-$AE$65)^2+(AF45-$AF$65)^2+(AG45-$AG$65)^2)</f>
        <v>1.617133172230635</v>
      </c>
      <c r="BC45" s="36" t="s">
        <v>143</v>
      </c>
      <c r="BD45" s="37" t="s">
        <v>120</v>
      </c>
      <c r="BF45" s="44"/>
      <c r="BG45" s="36">
        <f>SQRT((A45-$A$66)^2+(B45-$B$66)^2+(C45-$C$66)^2+(D45-$D$66)^2+(E45-$E$66)^2+(F45-$F$66)^2+(G45-$G$66)^2+(H45-$H$66)^2+(I45-$I$66)^2+(J45-$J$66)^2+(K45-$K$66)^2+(L45-$L$66)^2+(M45-$M$66)^2+(N45-$N$66)^2+(O45-$O$66)^2+(P45-$P$66)^2+(Q45-$Q$66)^2+(R45-$R$66)^2+(S45-$S$66)^2+(T45-$T$66)^2+(U45-$U$66)^2+(V45-$V$66)^2+(W45-$W$66)^2+(X45-$X$66)^2+(Y45-$Y$66)^2+(Z45-$Z$66)^2+(AA45-$AA$66)^2+(AB45-$AB$66)^2+(AC45-$AC$66)^2+(AD45-$AD$66)^2+(AE45-$AE$66)^2+(AF45-$AF$66)^2+(AG45-$AG$66)^2)</f>
        <v>1.617133172230635</v>
      </c>
      <c r="BH45" s="36" t="s">
        <v>143</v>
      </c>
      <c r="BI45" s="37" t="s">
        <v>120</v>
      </c>
      <c r="BK45" s="44"/>
      <c r="BL45" s="36">
        <f>SQRT((A45-$A$67)^2+(B45-$B$67)^2+(C45-$C$67)^2+(D45-$D$67)^2+(E45-$E$67)^2+(F45-$F$67)^2+(G45-$G$67)^2+(H45-$H$67)^2+(I45-$I$67)^2+(J45-$J$67)^2+(K45-$K$67)^2+(L45-$L$67)^2+(M45-$M$67)^2+(N45-$N$67)^2+(O45-$O$67)^2+(P45-$P$67)^2+(Q45-$Q$67)^2+(R45-$R$67)^2+(S45-$S$67)^2+(T45-$T$67)^2+(U45-$U$67)^2+(V45-$V$67)^2+(W45-$W$67)^2+(X45-$X$67)^2+(Y45-$Y$67)^2+(Z45-$Z$67)^2+(AA45-$AA$67)^2+(AB45-$AB$67)^2+(AC45-$AC$67)^2+(AD45-$AD$67)^2+(AE45-$AE$67)^2+(AF45-$AF$67)^2+(AG45-$AG$67)^2)</f>
        <v>1.617133172230635</v>
      </c>
      <c r="BM45" s="36" t="s">
        <v>143</v>
      </c>
      <c r="BN45" s="37" t="s">
        <v>120</v>
      </c>
      <c r="BP45" s="44"/>
      <c r="BQ45" s="36">
        <f>SQRT((A45-$A$68)^2+(B45-$B$68)^2+(C45-$C$68)^2+(D45-$D$68)^2+(E45-$E$68)^2+(F45-$F$68)^2+(G45-$G$68)^2+(H45-$H$68)^2+(I45-$I$68)^2+(J45-$J$68)^2+(K45-$K$68)^2+(L45-$L$68)^2+(M45-$M$68)^2+(N45-$N$68)^2+(O45-$O$68)^2+(P45-$P$68)^2+(Q45-$Q$68)^2+(R45-$R$68)^2+(S45-$S$68)^2+(T45-$T$68)^2+(U45-$U$68)^2+(V45-$V$68)^2+(W45-$W$68)^2+(X45-$X$68)^2+(Y45-$Y$68)^2+(Z45-$Z$68)^2+(AA45-$AA$68)^2+(AB45-$AB$68)^2+(AC45-$AC$68)^2+(AD45-$AD$68)^2+(AE45-$AE$68)^2+(AF45-$AF$68)^2+(AG45-$AG$68)^2)</f>
        <v>1.617133172230635</v>
      </c>
      <c r="BR45" s="36" t="s">
        <v>143</v>
      </c>
      <c r="BS45" s="37" t="s">
        <v>120</v>
      </c>
      <c r="BU45" s="44"/>
      <c r="BV45" s="36">
        <f>SQRT((A45-$A$69)^2+(B45-$B$69)^2+(C45-$C$69)^2+(D45-$D$69)^2+(E45-$E$69)^2+(F45-$F$69)^2+(G45-$G$69)^2+(H45-$H$69)^2+(I45-$I$69)^2+(J45-$J$69)^2+(K45-$K$69)^2+(L45-$L$69)^2+(M45-$M$69)^2+(N45-$N$69)^2+(O45-$O$69)^2+(P45-$P$69)^2+(Q45-$Q$69)^2+(R45-$R$69)^2+(S45-$S$69)^2+(T45-$T$69)^2+(U45-$U$69)^2+(V45-$V$69)^2+(W45-$W$69)^2+(X45-$X$69)^2+(Y45-$Y$69)^2+(Z45-$Z$69)^2+(AA45-$AA$69)^2+(AB45-$AB$69)^2+(AC45-$AC$69)^2+(AD45-$AD$69)^2+(AE45-$AE$69)^2+(AF45-$AF$69)^2+(AG45-$AG$69)^2)</f>
        <v>2.5629397208529205</v>
      </c>
      <c r="BW45" s="36" t="s">
        <v>323</v>
      </c>
      <c r="BX45" s="37" t="s">
        <v>120</v>
      </c>
      <c r="BZ45" s="44"/>
      <c r="CA45" s="36">
        <f>SQRT((A45-$A$70)^2+(B45-$B$70)^2+(C45-$C$70)^2+(D45-$D$70)^2+(E45-$E$70)^2+(F45-$F$70)^2+(G45-$G$70)^2+(H45-$H$70)^2+(I45-$I$70)^2+(J45-$J$70)^2+(K45-$K$70)^2+(L45-$L$70)^2+(M45-$M$70)^2+(N45-$N$70)^2+(O45-$O$70)^2+(P45-$P$70)^2+(Q45-$Q$70)^2+(R45-$R$70)^2+(S45-$S$70)^2+(T45-$T$70)^2+(U45-$U$70)^2+(V45-$V$70)^2+(W45-$W$70)^2+(X45-$X$70)^2+(Y45-$Y$70)^2+(Z45-$Z$70)^2+(AA45-$AA$70)^2+(AB45-$AB$70)^2+(AC45-$AC$70)^2+(AD45-$AD$70)^2+(AE45-$AE$70)^2+(AF45-$AF$70)^2+(AG45-$AG$70)^2)</f>
        <v>1.8833957994954333</v>
      </c>
      <c r="CB45" s="36" t="s">
        <v>143</v>
      </c>
      <c r="CC45" s="37" t="s">
        <v>120</v>
      </c>
      <c r="CE45" s="44"/>
      <c r="CF45" s="36">
        <f>SQRT((A45-$A$71)^2+(B45-$B$71)^2+(C45-$C$71)^2+(D45-$D$71)^2+(E45-$E$71)^2+(F45-$F$71)^2+(G45-$G$71)^2+(H45-$H$71)^2+(I45-$I$71)^2+(J45-$J$71)^2+(K45-$K$71)^2+(L45-$L$71)^2+(M45-$M$71)^2+(N45-$N$71)^2+(O45-$O$71)^2+(P45-$P$71)^2+(Q45-$Q$71)^2+(R45-$R$71)^2+(S45-$S$71)^2+(T45-$T$71)^2+(U45-$U$71)^2+(V45-$V$71)^2+(W45-$W$71)^2+(X45-$X$71)^2+(Y45-$Y$71)^2+(Z45-$Z$71)^2+(AA45-$AA$71)^2+(AB45-$AB$71)^2+(AC45-$AC$71)^2+(AD45-$AD$71)^2+(AE45-$AE$71)^2+(AF45-$AF$71)^2+(AG45-$AG$71)^2)</f>
        <v>1.6410402404847895</v>
      </c>
      <c r="CG45" s="36" t="s">
        <v>329</v>
      </c>
      <c r="CH45" s="37" t="s">
        <v>120</v>
      </c>
      <c r="CJ45" s="44"/>
      <c r="CK45" s="36">
        <f>SQRT((A45-$A$72)^2+(B45-$B$72)^2+(C45-$C$72)^2+(D45-$D$72)^2+(E45-$E$72)^2+(F45-$F$72)^2+(G45-$G$72)^2+(H45-$H$72)^2+(I45-$I$72)^2+(J45-$J$72)^2+(K45-$K$72)^2+(L45-$L$72)^2+(M45-$M$72)^2+(N45-$N$72)^2+(O45-$O$72)^2+(P45-$P$72)^2+(Q45-$Q$72)^2+(R45-$R$72)^2+(S45-$S$72)^2+(T45-$T$72)^2+(U45-$U$72)^2+(V45-$V$72)^2+(W45-$W$72)^2+(X45-$X$72)^2+(Y45-$Y$72)^2+(Z45-$Z$72)^2+(AA45-$AA$72)^2+(AB45-$AB$72)^2+(AC45-$AC$72)^2+(AD45-$AD$72)^2+(AE45-$AE$72)^2+(AF45-$AF$72)^2+(AG45-$AG$72)^2)</f>
        <v>1.8569906584197662</v>
      </c>
      <c r="CL45" s="36" t="s">
        <v>323</v>
      </c>
      <c r="CM45" s="37" t="s">
        <v>120</v>
      </c>
      <c r="CO45" s="44"/>
      <c r="CP45" s="36">
        <f>SQRT((A45-$A$73)^2+(B45-$B$73)^2+(C45-$C$73)^2+(D45-$D$73)^2+(E45-$E$73)^2+(F45-$F$73)^2+(G45-$G$73)^2+(H45-$H$73)^2+(I45-$I$73)^2+(J45-$J$73)^2+(K45-$K$73)^2+(L45-$L$73)^2+(M45-$M$73)^2+(N45-$N$73)^2+(O45-$O$73)^2+(P45-$P$73)^2+(Q45-$Q$73)^2+(R45-$R$73)^2+(S45-$S$73)^2+(T45-$T$73)^2+(U45-$U$73)^2+(V45-$V$73)^2+(W45-$W$73)^2+(X45-$X$73)^2+(Y45-$Y$73)^2+(Z45-$Z$73)^2+(AA45-$AA$73)^2+(AB45-$AB$73)^2+(AC45-$AC$73)^2+(AD45-$AD$73)^2+(AE45-$AE$73)^2+(AF45-$AF$73)^2+(AG45-$AG$73)^2)</f>
        <v>2.1147629234082532</v>
      </c>
      <c r="CQ45" s="36" t="s">
        <v>327</v>
      </c>
      <c r="CR45" s="37" t="s">
        <v>120</v>
      </c>
      <c r="CT45" s="44"/>
      <c r="CU45" s="36">
        <f>SQRT((A45-$A$74)^2+(B45-$B$74)^2+(C45-$C$74)^2+(D45-$D$74)^2+(E45-$E$74)^2+(F45-$F$74)^2+(G45-$G$74)^2+(H45-$H$74)^2+(I45-$I$74)^2+(J45-$J$74)^2+(K45-$K$74)^2+(L45-$L$74)^2+(M45-$M$74)^2+(N45-$N$74)^2+(O45-$O$74)^2+(P45-$P$74)^2+(Q45-$Q$74)^2+(R45-$R$74)^2+(S45-$S$74)^2+(T45-$T$74)^2+(U45-$U$74)^2+(V45-$V$74)^2+(W45-$W$74)^2+(X45-$X$74)^2+(Y45-$Y$74)^2+(Z45-$Z$74)^2+(AA45-$AA$74)^2+(AB45-$AB$74)^2+(AC45-$AC$74)^2+(AD45-$AD$74)^2+(AE45-$AE$74)^2+(AF45-$AF$74)^2+(AG45-$AG$74)^2)</f>
        <v>1.8366636418607882</v>
      </c>
      <c r="CV45" s="36" t="s">
        <v>323</v>
      </c>
      <c r="CW45" s="37" t="s">
        <v>120</v>
      </c>
      <c r="CY45" s="44"/>
      <c r="CZ45" s="36">
        <f>SQRT((A45-$A$75)^2+(B45-$B$75)^2+(C45-$C$75)^2+(D45-$D$75)^2+(E45-$E$75)^2+(F45-$F$75)^2+(G45-$G$75)^2+(H45-$H$75)^2+(I45-$I$75)^2+(J45-$J$75)^2+(K45-$K$75)^2+(L45-$L$75)^2+(M45-$M$75)^2+(N45-$N$75)^2+(O45-$O$75)^2+(P45-$P$75)^2+(Q45-$Q$75)^2+(R45-$R$75)^2+(S45-$S$75)^2+(T45-$T$75)^2+(U45-$U$75)^2+(V45-$V$75)^2+(W45-$W$75)^2+(X45-$X$75)^2+(Y45-$Y$75)^2+(Z45-$Z$75)^2+(AA45-$AA$75)^2+(AB45-$AB$75)^2+(AC45-$AC$75)^2+(AD45-$AD$75)^2+(AE45-$AE$75)^2+(AF45-$AF$75)^2+(AG45-$AG$75)^2)</f>
        <v>1.9148542155126764</v>
      </c>
      <c r="DA45" s="36" t="s">
        <v>148</v>
      </c>
      <c r="DB45" s="37" t="s">
        <v>120</v>
      </c>
      <c r="DD45" s="44"/>
      <c r="DE45" s="36">
        <f>SQRT((A45-$A$76)^2+(B45-$B$76)^2+(C45-$C$76)^2+(D45-$D$76)^2+(E45-$E$76)^2+(F45-$F$76)^2+(G45-$G$76)^2+(H45-$H$76)^2+(I45-$I$76)^2+(J45-$J$76)^2+(K45-$K$76)^2+(L45-$L$76)^2+(M45-$M$76)^2+(N45-$N$76)^2+(O45-$O$76)^2+(P45-$P$76)^2+(Q45-$Q$76)^2+(R45-$R$76)^2+(S45-$S$76)^2+(T45-$T$76)^2+(U45-$U$76)^2+(V45-$V$76)^2+(W45-$W$76)^2+(X45-$X$76)^2+(Y45-$Y$76)^2+(Z45-$Z$76)^2+(AA45-$AA$76)^2+(AB45-$AB$76)^2+(AC45-$AC$76)^2+(AD45-$AD$76)^2+(AE45-$AE$76)^2+(AF45-$AF$76)^2+(AG45-$AG$76)^2)</f>
        <v>1.9107880863955351</v>
      </c>
      <c r="DF45" s="36" t="s">
        <v>138</v>
      </c>
      <c r="DG45" s="37" t="s">
        <v>120</v>
      </c>
      <c r="DI45" s="44"/>
      <c r="DJ45" s="36">
        <f>SQRT((A45-$A$77)^2+(B45-$B$77)^2+(C45-$C$77)^2+(D45-$D$77)^2+(E45-$E$77)^2+(F45-$F$77)^2+(G45-$G$77)^2+(H45-$H$77)^2+(I45-$I$77)^2+(J45-$J$77)^2+(K45-$K$77)^2+(L45-$L$77)^2+(M45-$M$77)^2+(N45-$N$77)^2+(O45-$O$77)^2+(P45-$P$77)^2+(Q45-$Q$77)^2+(R45-$R$77)^2+(S45-$S$77)^2+(T45-$T$77)^2+(U45-$U$77)^2+(V45-$V$77)^2+(W45-$W$77)^2+(X45-$X$77)^2+(Y45-$Y$77)^2+(Z45-$Z$77)^2+(AA45-$AA$77)^2+(AB45-$AB$77)^2+(AC45-$AC$77)^2+(AD45-$AD$77)^2+(AE45-$AE$77)^2+(AF45-$AF$77)^2+(AG45-$AG$77)^2)</f>
        <v>2.462214450449026</v>
      </c>
      <c r="DK45" s="36" t="s">
        <v>143</v>
      </c>
      <c r="DL45" s="37" t="s">
        <v>120</v>
      </c>
      <c r="DN45" s="44"/>
      <c r="DO45" s="36">
        <f>SQRT((A45-$A$78)^2+(B45-$B$78)^2+(C45-$C$78)^2+(D45-$D$78)^2+(E45-$E$78)^2+(F45-$F$78)^2+(G45-$G$78)^2+(H45-$H$78)^2+(I45-$I$78)^2+(J45-$J$78)^2+(K45-$K$78)^2+(L45-$L$78)^2+(M45-$M$78)^2+(N45-$N$78)^2+(O45-$O$78)^2+(P45-$P$78)^2+(Q45-$Q$78)^2+(R45-$R$78)^2+(S45-$S$78)^2+(T45-$T$78)^2+(U45-$U$78)^2+(V45-$V$78)^2+(W45-$W$78)^2+(X45-$X$78)^2+(Y45-$Y$78)^2+(Z45-$Z$78)^2+(AA45-$AA$78)^2+(AB45-$AB$78)^2+(AC45-$AC$78)^2+(AD45-$AD$78)^2+(AE45-$AE$78)^2+(AF45-$AF$78)^2+(AG45-$AG$78)^2)</f>
        <v>1.9694053800410616</v>
      </c>
      <c r="DP45" s="36" t="s">
        <v>327</v>
      </c>
      <c r="DQ45" s="37" t="s">
        <v>120</v>
      </c>
      <c r="DS45" s="44"/>
      <c r="DT45" s="36">
        <f>SQRT((A45-$A$79)^2+(B45-$B$79)^2+(C45-$C$79)^2+(D45-$D$79)^2+(E45-$E$79)^2+(F45-$F$79)^2+(G45-$G$79)^2+(H45-$H$79)^2+(I45-$I$79)^2+(J45-$J$79)^2+(K45-$K$79)^2+(L45-$L$79)^2+(M45-$M$79)^2+(N45-$N$79)^2+(O45-$O$79)^2+(P45-$P$79)^2+(Q45-$Q$79)^2+(R45-$R$79)^2+(S45-$S$79)^2+(T45-$T$79)^2+(U45-$U$79)^2+(V45-$V$79)^2+(W45-$W$79)^2+(X45-$X$79)^2+(Y45-$Y$79)^2+(Z45-$Z$79)^2+(AA45-$AA$79)^2+(AB45-$AB$79)^2+(AC45-$AC$79)^2+(AD45-$AD$79)^2+(AE45-$AE$79)^2+(AF45-$AF$79)^2+(AG45-$AG$79)^2)</f>
        <v>1.6159729607161477</v>
      </c>
      <c r="DU45" s="36" t="s">
        <v>326</v>
      </c>
      <c r="DV45" s="37" t="s">
        <v>120</v>
      </c>
      <c r="DX45" s="44"/>
      <c r="DY45" s="36">
        <f>SQRT((A45-$A$80)^2+(B45-$B$80)^2+(C45-$C$80)^2+(D45-$D$80)^2+(E45-$E$80)^2+(F45-$F$80)^2+(G45-$G$80)^2+(H45-$H$80)^2+(I45-$I$80)^2+(J45-$J$80)^2+(K45-$K$80)^2+(L45-$L$80)^2+(M45-$M$80)^2+(N45-$N$80)^2+(O45-$O$80)^2+(P45-$P$80)^2+(Q45-$Q$80)^2+(R45-$R$80)^2+(S45-$S$80)^2+(T45-$T$80)^2+(U45-$U$80)^2+(V45-$V$80)^2+(W45-$W$80)^2+(X45-$X$80)^2+(Y45-$Y$80)^2+(Z45-$Z$80)^2+(AA45-$AA$80)^2+(AB45-$AB$80)^2+(AC45-$AC$80)^2+(AD45-$AD$80)^2+(AE45-$AE$80)^2+(AF45-$AF$80)^2+(AG45-$AG$80)^2)</f>
        <v>0.71569701845279643</v>
      </c>
      <c r="DZ45" s="36" t="s">
        <v>138</v>
      </c>
      <c r="EA45" s="37" t="s">
        <v>120</v>
      </c>
      <c r="EC45" s="44"/>
      <c r="ED45" s="36">
        <f>SQRT((A45-$A$81)^2+(B45-$B$81)^2+(C45-$C$81)^2+(D45-$D$81)^2+(E45-$E$81)^2+(F45-$F$81)^2+(G45-$G$81)^2+(H45-$H$81)^2+(I45-$I$81)^2+(J45-$J$81)^2+(K45-$K$81)^2+(L45-$L$81)^2+(M45-$M$81)^2+(N45-$N$81)^2+(O45-$O$81)^2+(P45-$P$81)^2+(Q45-$Q$81)^2+(R45-$R$81)^2+(S45-$S$81)^2+(T45-$T$81)^2+(U45-$U$81)^2+(V45-$V$81)^2+(W45-$W$81)^2+(X45-$X$81)^2+(Y45-$Y$81)^2+(Z45-$Z$81)^2+(AA45-$AA$81)^2+(AB45-$AB$81)^2+(AC45-$AC$81)^2+(AD45-$AD$81)^2+(AE45-$AE$81)^2+(AF45-$AF$81)^2+(AG45-$AG$81)^2)</f>
        <v>0.8036375634160795</v>
      </c>
      <c r="EE45" s="36" t="s">
        <v>146</v>
      </c>
      <c r="EF45" s="37" t="s">
        <v>120</v>
      </c>
      <c r="EH45" s="44"/>
      <c r="EI45" s="36">
        <f>SQRT((A45-$A$82)^2+(B45-$B$82)^2+(C45-$C$82)^2+(D45-$D$82)^2+(E45-$E$82)^2+(F45-$F$82)^2+(G45-$G$82)^2+(H45-$H$82)^2+(I45-$I$82)^2+(J45-$J$82)^2+(K45-$K$82)^2+(L45-$L$82)^2+(M45-$M$82)^2+(N45-$N$82)^2+(O45-$O$82)^2+(P45-$P$82)^2+(Q45-$Q$82)^2+(R45-$R$82)^2+(S45-$S$82)^2+(T45-$T$82)^2+(U45-$U$82)^2+(V45-$V$82)^2+(W45-$W$82)^2+(X45-$X$82)^2+(Y45-$Y$82)^2+(Z45-$Z$82)^2+(AA45-$AA$82)^2+(AB45-$AB$82)^2+(AC45-$AC$82)^2+(AD45-$AD$82)^2+(AE45-$AE$82)^2+(AF45-$AF$82)^2+(AG45-$AG$82)^2)</f>
        <v>2.170689034446899</v>
      </c>
      <c r="EJ45" s="36" t="s">
        <v>140</v>
      </c>
      <c r="EK45" s="37" t="s">
        <v>120</v>
      </c>
      <c r="EM45" s="44"/>
      <c r="EN45" s="36">
        <f>SQRT((A45-$A$83)^2+(B45-$B$83)^2+(C45-$C$83)^2+(D45-$D$83)^2+(E45-$E$83)^2+(F45-$F$83)^2+(G45-$G$83)^2+(H45-$H$83)^2+(I45-$I$83)^2+(J45-$J$83)^2+(K45-$K$83)^2+(L45-$L$83)^2+(M45-$M$83)^2+(N45-$N$83)^2+(O45-$O$83)^2+(P45-$P$83)^2+(Q45-$Q$83)^2+(R45-$R$83)^2+(S45-$S$83)^2+(T45-$T$83)^2+(U45-$U$83)^2+(V45-$V$83)^2+(W45-$W$83)^2+(X45-$X$83)^2+(Y45-$Y$83)^2+(Z45-$Z$83)^2+(AA45-$AA$83)^2+(AB45-$AB$83)^2+(AC45-$AC$83)^2+(AD45-$AD$83)^2+(AE45-$AE$83)^2+(AF45-$AF$83)^2+(AG45-$AG$83)^2)</f>
        <v>1.8934688319593074</v>
      </c>
      <c r="EO45" s="36" t="s">
        <v>146</v>
      </c>
      <c r="EP45" s="37" t="s">
        <v>120</v>
      </c>
      <c r="ER45" s="44"/>
      <c r="ES45" s="36">
        <f>SQRT((A45-$A$84)^2+(B45-$B$84)^2+(C45-$C$84)^2+(D45-$D$84)^2+(E45-$E$84)^2+(F45-$F$84)^2+(G45-$G$84)^2+(H45-$H$84)^2+(I45-$I$84)^2+(J45-$J$84)^2+(K45-$K$84)^2+(L45-$L$84)^2+(M45-$M$84)^2+(N45-$N$84)^2+(O45-$O$84)^2+(P45-$P$84)^2+(Q45-$Q$84)^2+(R45-$R$84)^2+(S45-$S$84)^2+(T45-$T$84)^2+(U45-$U$84)^2+(V45-$V$84)^2+(W45-$W$84)^2+(X45-$X$84)^2+(Y45-$Y$84)^2+(Z45-$Z$84)^2+(AA45-$AA$84)^2+(AB45-$AB$84)^2+(AC45-$AC$84)^2+(AD45-$AD$84)^2+(AE45-$AE$84)^2+(AF45-$AF$84)^2+(AG45-$AG$84)^2)</f>
        <v>1.617133172230635</v>
      </c>
      <c r="ET45" s="36" t="s">
        <v>143</v>
      </c>
      <c r="EU45" s="37" t="s">
        <v>120</v>
      </c>
      <c r="EW45" s="44"/>
      <c r="EX45" s="36">
        <f>SQRT((A45-$A$85)^2+(B45-$B$85)^2+(C45-$C$85)^2+(D45-$D$85)^2+(E45-$E$85)^2+(F45-$F$85)^2+(G45-$G$85)^2+(H45-$H$85)^2+(I45-$I$85)^2+(J45-$J$85)^2+(K45-$K$85)^2+(L45-$L$85)^2+(M45-$M$85)^2+(N45-$N$85)^2+(O45-$O$85)^2+(P45-$P$85)^2+(Q45-$Q$85)^2+(R45-$R$85)^2+(S45-$S$85)^2+(T45-$T$85)^2+(U45-$U$85)^2+(V45-$V$85)^2+(W45-$W$85)^2+(X45-$X$85)^2+(Y45-$Y$85)^2+(Z45-$Z$85)^2+(AA45-$AA$85)^2+(AB45-$AB$85)^2+(AC45-$AC$85)^2+(AD45-$AD$85)^2+(AE45-$AE$85)^2+(AF45-$AF$85)^2+(AG45-$AG$85)^2)</f>
        <v>1.617133172230635</v>
      </c>
      <c r="EY45" s="36" t="s">
        <v>143</v>
      </c>
      <c r="EZ45" s="37" t="s">
        <v>120</v>
      </c>
      <c r="FB45" s="44"/>
      <c r="FC45" s="36">
        <f>SQRT((A45-$A$86)^2+(B45-$B$86)^2+(C45-$C$86)^2+(D45-$D$86)^2+(E45-$E$86)^2+(F45-$F$86)^2+(G45-$G$86)^2+(H45-$H$86)^2+(I45-$I$86)^2+(J45-$J$86)^2+(K45-$K$86)^2+(L45-$L$86)^2+(M45-$M$86)^2+(N45-$N$86)^2+(O45-$O$86)^2+(P45-$P$86)^2+(Q45-$Q$86)^2+(R45-$R$86)^2+(S45-$S$86)^2+(T45-$T$86)^2+(U45-$U$86)^2+(V45-$V$86)^2+(W45-$W$86)^2+(X45-$X$86)^2+(Y45-$Y$86)^2+(Z45-$Z$86)^2+(AA45-$AA$86)^2+(AB45-$AB$86)^2+(AC45-$AC$86)^2+(AD45-$AD$86)^2+(AE45-$AE$86)^2+(AF45-$AF$86)^2+(AG45-$AG$86)^2)</f>
        <v>1.617133172230635</v>
      </c>
      <c r="FD45" s="36" t="s">
        <v>143</v>
      </c>
      <c r="FE45" s="37" t="s">
        <v>120</v>
      </c>
      <c r="FG45" s="44"/>
      <c r="FH45" s="36">
        <f>SQRT((A45-$A$87)^2+(B45-$B$87)^2+(C45-$C$87)^2+(D45-$D$87)^2+(E45-$E$87)^2+(F45-$F$87)^2+(G45-$G$87)^2+(H45-$H$87)^2+(I45-$I$87)^2+(J45-$J$87)^2+(K45-$K$87)^2+(L45-$L$87)^2+(M45-$M$87)^2+(N45-$N$87)^2+(O45-$O$87)^2+(P45-$P$87)^2+(Q45-$Q$87)^2+(R45-$R$87)^2+(S45-$S$87)^2+(T45-$T$87)^2+(U45-$U$87)^2+(V45-$V$87)^2+(W45-$W$87)^2+(X45-$X$87)^2+(Y45-$Y$87)^2+(Z45-$Z$87)^2+(AA45-$AA$87)^2+(AB45-$AB$87)^2+(AC45-$AC$87)^2+(AD45-$AD$87)^2+(AE45-$AE$87)^2+(AF45-$AF$87)^2+(AG45-$AG$87)^2)</f>
        <v>1.9703355608175535</v>
      </c>
      <c r="FI45" s="36" t="s">
        <v>324</v>
      </c>
      <c r="FJ45" s="37" t="s">
        <v>120</v>
      </c>
      <c r="FL45" s="44"/>
      <c r="FM45" s="36">
        <f>SQRT((A45-$A$88)^2+(B45-$B$88)^2+(C45-$C$88)^2+(D45-$D$88)^2+(E45-$E$88)^2+(F45-$F$88)^2+(G45-$G$88)^2+(H45-$H$88)^2+(I45-$I$88)^2+(J45-$J$88)^2+(K45-$K$88)^2+(L45-$L$88)^2+(M45-$M$88)^2+(N45-$N$88)^2+(O45-$O$88)^2+(P45-$P$88)^2+(Q45-$Q$88)^2+(R45-$R$88)^2+(S45-$S$88)^2+(T45-$T$88)^2+(U45-$U$88)^2+(V45-$V$88)^2+(W45-$W$88)^2+(X45-$X$88)^2+(Y45-$Y$88)^2+(Z45-$Z$88)^2+(AA45-$AA$88)^2+(AB45-$AB$88)^2+(AC45-$AC$88)^2+(AD45-$AD$88)^2+(AE45-$AE$88)^2+(AF45-$AF$88)^2+(AG45-$AG$88)^2)</f>
        <v>1.5247811368635238</v>
      </c>
      <c r="FN45" s="36" t="s">
        <v>146</v>
      </c>
      <c r="FO45" s="37" t="s">
        <v>120</v>
      </c>
      <c r="FQ45" s="44"/>
      <c r="FR45" s="36">
        <f>SQRT((A45-$A$89)^2+(B45-$B$89)^2+(C45-$C$89)^2+(D45-$D$89)^2+(E45-$E$89)^2+(F45-$F$89)^2+(G45-$G$89)^2+(H45-$H$89)^2+(I45-$I$89)^2+(J45-$J$89)^2+(K45-$K$89)^2+(L45-$L$89)^2+(M45-$M$89)^2+(N45-$N$89)^2+(O45-$O$89)^2+(P45-$P$89)^2+(Q45-$Q$89)^2+(R45-$R$89)^2+(S45-$S$89)^2+(T45-$T$89)^2+(U45-$U$89)^2+(V45-$V$89)^2+(W45-$W$89)^2+(X45-$X$89)^2+(Y45-$Y$89)^2+(Z45-$Z$89)^2+(AA45-$AA$89)^2+(AB45-$AB$89)^2+(AC45-$AC$89)^2+(AD45-$AD$89)^2+(AE45-$AE$89)^2+(AF45-$AF$89)^2+(AG45-$AG$89)^2)</f>
        <v>0.47140452079103196</v>
      </c>
      <c r="FS45" s="36" t="s">
        <v>328</v>
      </c>
      <c r="FT45" s="37" t="s">
        <v>120</v>
      </c>
      <c r="FV45" s="44"/>
      <c r="FW45" s="36">
        <f>SQRT((A45-$A$90)^2+(B45-$B$90)^2+(C45-$C$90)^2+(D45-$D$90)^2+(E45-$E$90)^2+(F45-$F$90)^2+(G45-$G$90)^2+(H45-$H$90)^2+(I45-$I$90)^2+(J45-$J$90)^2+(K45-$K$90)^2+(L45-$L$90)^2+(M45-$M$90)^2+(N45-$N$90)^2+(O45-$O$90)^2+(P45-$P$90)^2+(Q45-$Q$90)^2+(R45-$R$90)^2+(S45-$S$90)^2+(T45-$T$90)^2+(U45-$U$90)^2+(V45-$V$90)^2+(W45-$W$90)^2+(X45-$X$90)^2+(Y45-$Y$90)^2+(Z45-$Z$90)^2+(AA45-$AA$90)^2+(AB45-$AB$90)^2+(AC45-$AC$90)^2+(AD45-$AD$90)^2+(AE45-$AE$90)^2+(AF45-$AF$90)^2+(AG45-$AG$90)^2)</f>
        <v>2.1421692017412841</v>
      </c>
      <c r="FX45" s="36" t="s">
        <v>324</v>
      </c>
      <c r="FY45" s="37" t="s">
        <v>120</v>
      </c>
      <c r="GA45" s="44"/>
      <c r="GB45" s="36">
        <f>SQRT((A45-$A$91)^2+(B45-$B$91)^2+(C45-$C$91)^2+(D45-$D$91)^2+(E45-$E$91)^2+(F45-$F$91)^2+(G45-$G$91)^2+(H45-$H$91)^2+(I45-$I$91)^2+(J45-$J$91)^2+(K45-$K$91)^2+(L45-$L$91)^2+(M45-$M$91)^2+(N45-$N$91)^2+(O45-$O$91)^2+(P45-$P$91)^2+(Q45-$Q$91)^2+(R45-$R$91)^2+(S45-$S$91)^2+(T45-$T$91)^2+(U45-$U$91)^2+(V45-$V$91)^2+(W45-$W$91)^2+(X45-$X$91)^2+(Y45-$Y$91)^2+(Z45-$Z$91)^2+(AA45-$AA$91)^2+(AB45-$AB$91)^2+(AC45-$AC$91)^2+(AD45-$AD$91)^2+(AE45-$AE$91)^2+(AF45-$AF$91)^2+(AG45-$AG$91)^2)</f>
        <v>2.6141176544125</v>
      </c>
      <c r="GC45" s="36" t="s">
        <v>150</v>
      </c>
      <c r="GD45" s="37" t="s">
        <v>120</v>
      </c>
      <c r="GF45" s="44"/>
      <c r="GG45" s="36">
        <f>SQRT((A45-$A$92)^2+(B45-$B$92)^2+(C45-$C$92)^2+(D45-$D$92)^2+(E45-$E$92)^2+(F45-$F$92)^2+(G45-$G$92)^2+(H45-$H$92)^2+(I45-$I$92)^2+(J45-$J$92)^2+(K45-$K$92)^2+(L45-$L$92)^2+(M45-$M$92)^2+(N45-$N$92)^2+(O45-$O$92)^2+(P45-$P$92)^2+(Q45-$Q$92)^2+(R45-$R$92)^2+(S45-$S$92)^2+(T45-$T$92)^2+(U45-$U$92)^2+(V45-$V$92)^2+(W45-$W$92)^2+(X45-$X$92)^2+(Y45-$Y$92)^2+(Z45-$Z$92)^2+(AA45-$AA$92)^2+(AB45-$AB$92)^2+(AC45-$AC$92)^2+(AD45-$AD$92)^2+(AE45-$AE$92)^2+(AF45-$AF$92)^2+(AG45-$AG$92)^2)</f>
        <v>2.0729639981333596</v>
      </c>
      <c r="GH45" s="36" t="s">
        <v>142</v>
      </c>
      <c r="GI45" s="37" t="s">
        <v>120</v>
      </c>
      <c r="GK45" s="44"/>
      <c r="GL45" s="36">
        <f>SQRT((A45-$A$93)^2+(B45-$B$93)^2+(C45-$C$93)^2+(D45-$D$93)^2+(E45-$E$93)^2+(F45-$F$93)^2+(G45-$G$93)^2+(H45-$H$93)^2+(I45-$I$93)^2+(J45-$J$93)^2+(K45-$K$93)^2+(L45-$L$93)^2+(M45-$M$93)^2+(N45-$N$93)^2+(O45-$O$93)^2+(P45-$P$93)^2+(Q45-$Q$93)^2+(R45-$R$93)^2+(S45-$S$93)^2+(T45-$T$93)^2+(U45-$U$93)^2+(V45-$V$93)^2+(W45-$W$93)^2+(X45-$X$93)^2+(Y45-$Y$93)^2+(Z45-$Z$93)^2+(AA45-$AA$93)^2+(AB45-$AB$93)^2+(AC45-$AC$93)^2+(AD45-$AD$93)^2+(AE45-$AE$93)^2+(AF45-$AF$93)^2+(AG45-$AG$93)^2)</f>
        <v>2.7459566234334032</v>
      </c>
      <c r="GM45" s="36" t="s">
        <v>150</v>
      </c>
      <c r="GN45" s="37" t="s">
        <v>120</v>
      </c>
      <c r="GP45" s="44"/>
      <c r="GQ45" s="36">
        <f>SQRT((A45-$A$94)^2+(B45-$B$94)^2+(C45-$C$94)^2+(D45-$D$94)^2+(E45-$E$94)^2+(F45-$F$94)^2+(G45-$G$94)^2+(H45-$H$94)^2+(I45-$I$94)^2+(J45-$J$94)^2+(K45-$K$94)^2+(L45-$L$94)^2+(M45-$M$94)^2+(N45-$N$94)^2+(O45-$O$94)^2+(P45-$P$94)^2+(Q45-$Q$94)^2+(R45-$R$94)^2+(S45-$S$94)^2+(T45-$T$94)^2+(U45-$U$94)^2+(V45-$V$94)^2+(W45-$W$94)^2+(X45-$X$94)^2+(Y45-$Y$94)^2+(Z45-$Z$94)^2+(AA45-$AA$94)^2+(AB45-$AB$94)^2+(AC45-$AC$94)^2+(AD45-$AD$94)^2+(AE45-$AE$94)^2+(AF45-$AF$94)^2+(AG45-$AG$94)^2)</f>
        <v>2.0387092310362589</v>
      </c>
      <c r="GR45" s="36" t="s">
        <v>130</v>
      </c>
      <c r="GS45" s="37" t="s">
        <v>120</v>
      </c>
      <c r="GU45" s="44"/>
      <c r="GV45" s="36">
        <f>SQRT((A45-$A$95)^2+(B45-$B$95)^2+(C45-$C$95)^2+(D45-$D$95)^2+(E45-$E$95)^2+(F45-$F$95)^2+(G45-$G$95)^2+(H45-$H$95)^2+(I45-$I$95)^2+(J45-$J$95)^2+(K45-$K$95)^2+(L45-$L$95)^2+(M45-$M$95)^2+(N45-$N$95)^2+(O45-$O$95)^2+(P45-$P$95)^2+(Q45-$Q$95)^2+(R45-$R$95)^2+(S45-$S$95)^2+(T45-$T$95)^2+(U45-$U$95)^2+(V45-$V$95)^2+(W45-$W$95)^2+(X45-$X$95)^2+(Y45-$Y$95)^2+(Z45-$Z$95)^2+(AA45-$AA$95)^2+(AB45-$AB$95)^2+(AC45-$AC$95)^2+(AD45-$AD$95)^2+(AE45-$AE$95)^2+(AF45-$AF$95)^2+(AG45-$AG$95)^2)</f>
        <v>2.7789386463180508</v>
      </c>
      <c r="GW45" s="36" t="s">
        <v>316</v>
      </c>
      <c r="GX45" s="37" t="s">
        <v>120</v>
      </c>
      <c r="GZ45" s="44"/>
      <c r="HA45" s="36">
        <f>SQRT((A45-$A$96)^2+(B45-$B$96)^2+(C45-$C$96)^2+(D45-$D$96)^2+(E45-$E$96)^2+(F45-$F$96)^2+(G45-$G$96)^2+(H45-$H$96)^2+(I45-$I$96)^2+(J45-$J$96)^2+(K45-$K$96)^2+(L45-$L$96)^2+(M45-$M$96)^2+(N45-$N$96)^2+(O45-$O$96)^2+(P45-$P$96)^2+(Q45-$Q$96)^2+(R45-$R$96)^2+(S45-$S$96)^2+(T45-$T$96)^2+(U45-$U$96)^2+(V45-$V$96)^2+(W45-$W$96)^2+(X45-$X$96)^2+(Y45-$Y$96)^2+(Z45-$Z$96)^2+(AA45-$AA$96)^2+(AB45-$AB$96)^2+(AC45-$AC$96)^2+(AD45-$AD$96)^2+(AE45-$AE$96)^2+(AF45-$AF$96)^2+(AG45-$AG$96)^2)</f>
        <v>2.7560539423845341</v>
      </c>
      <c r="HB45" s="36" t="s">
        <v>143</v>
      </c>
      <c r="HC45" s="37" t="s">
        <v>120</v>
      </c>
      <c r="HE45" s="44"/>
      <c r="HF45" s="36">
        <f>SQRT((A45-$A$97)^2+(B45-$B$97)^2+(C45-$C$97)^2+(D45-$D$97)^2+(E45-$E$97)^2+(F45-$F$97)^2+(G45-$G$97)^2+(H45-$H$97)^2+(I45-$I$97)^2+(J45-$J$97)^2+(K45-$K$97)^2+(L45-$L$97)^2+(M45-$M$97)^2+(N45-$N$97)^2+(O45-$O$97)^2+(P45-$P$97)^2+(Q45-$Q$97)^2+(R45-$R$97)^2+(S45-$S$97)^2+(T45-$T$97)^2+(U45-$U$97)^2+(V45-$V$97)^2+(W45-$W$97)^2+(X45-$X$97)^2+(Y45-$Y$97)^2+(Z45-$Z$97)^2+(AA45-$AA$97)^2+(AB45-$AB$97)^2+(AC45-$AC$97)^2+(AD45-$AD$97)^2+(AE45-$AE$97)^2+(AF45-$AF$97)^2+(AG45-$AG$97)^2)</f>
        <v>1.617133172230635</v>
      </c>
      <c r="HG45" s="36" t="s">
        <v>143</v>
      </c>
      <c r="HH45" s="37" t="s">
        <v>120</v>
      </c>
      <c r="HJ45" s="44"/>
      <c r="HK45" s="36">
        <f>SQRT((A45-$A$98)^2+(B45-$B$98)^2+(C45-$C$98)^2+(D45-$D$98)^2+(E45-$E$98)^2+(F45-$F$98)^2+(G45-$G$98)^2+(H45-$H$98)^2+(I45-$I$98)^2+(J45-$J$98)^2+(K45-$K$98)^2+(L45-$L$98)^2+(M45-$M$98)^2+(N45-$N$98)^2+(O45-$O$98)^2+(P45-$P$98)^2+(Q45-$Q$98)^2+(R45-$R$98)^2+(S45-$S$98)^2+(T45-$T$98)^2+(U45-$U$98)^2+(V45-$V$98)^2+(W45-$W$98)^2+(X45-$X$98)^2+(Y45-$Y$98)^2+(Z45-$Z$98)^2+(AA45-$AA$98)^2+(AB45-$AB$98)^2+(AC45-$AC$98)^2+(AD45-$AD$98)^2+(AE45-$AE$98)^2+(AF45-$AF$98)^2+(AG45-$AG$98)^2)</f>
        <v>1.617133172230635</v>
      </c>
      <c r="HL45" s="36" t="s">
        <v>143</v>
      </c>
      <c r="HM45" s="37" t="s">
        <v>120</v>
      </c>
      <c r="HO45" s="44"/>
      <c r="HP45" s="36">
        <f>SQRT((A45-$A$99)^2+(B45-$B$99)^2+(C45-$C$99)^2+(D45-$D$99)^2+(E45-$E$99)^2+(F45-$F$99)^2+(G45-$G$99)^2+(H45-$H$99)^2+(I45-$I$99)^2+(J45-$J$99)^2+(K45-$K$99)^2+(L45-$L$99)^2+(M45-$M$99)^2+(N45-$N$99)^2+(O45-$O$99)^2+(P45-$P$99)^2+(Q45-$Q$99)^2+(R45-$R$99)^2+(S45-$S$99)^2+(T45-$T$99)^2+(U45-$U$99)^2+(V45-$V$99)^2+(W45-$W$99)^2+(X45-$X$99)^2+(Y45-$Y$99)^2+(Z45-$Z$99)^2+(AA45-$AA$99)^2+(AB45-$AB$99)^2+(AC45-$AC$99)^2+(AD45-$AD$99)^2+(AE45-$AE$99)^2+(AF45-$AF$99)^2+(AG45-$AG$99)^2)</f>
        <v>1.617133172230635</v>
      </c>
      <c r="HQ45" s="36" t="s">
        <v>143</v>
      </c>
      <c r="HR45" s="37" t="s">
        <v>120</v>
      </c>
      <c r="HT45" s="44"/>
      <c r="HU45" s="36">
        <f>SQRT((A45-$A$100)^2+(B45-$B$100)^2+(C45-$C$100)^2+(D45-$D$100)^2+(E45-$E$100)^2+(F45-$F$100)^2+(G45-$G$100)^2+(H45-$H$100)^2+(I45-$I$100)^2+(J45-$J$100)^2+(K45-$K$100)^2+(L45-$L$100)^2+(M45-$M$100)^2+(N45-$N$100)^2+(O45-$O$100)^2+(P45-$P$100)^2+(Q45-$Q$100)^2+(R45-$R$100)^2+(S45-$S$100)^2+(T45-$T$100)^2+(U45-$U$100)^2+(V45-$V$100)^2+(W45-$W$100)^2+(X45-$X$100)^2+(Y45-$Y$100)^2+(Z45-$Z$100)^2+(AA45-$AA$100)^2+(AB45-$AB$100)^2+(AC45-$AC$100)^2+(AD45-$AD$100)^2+(AE45-$AE$100)^2+(AF45-$AF$100)^2+(AG45-$AG$100)^2)</f>
        <v>1.617133172230635</v>
      </c>
      <c r="HV45" s="36" t="s">
        <v>143</v>
      </c>
      <c r="HW45" s="37" t="s">
        <v>120</v>
      </c>
      <c r="HY45" s="44"/>
      <c r="HZ45" s="36">
        <f>SQRT((A45-$A$101)^2+(B45-$B$101)^2+(C45-$C$101)^2+(D45-$D$101)^2+(E45-$E$101)^2+(F45-$F$101)^2+(G45-$G$101)^2+(H45-$H$101)^2+(I45-$I$101)^2+(J45-$J$101)^2+(K45-$K$101)^2+(L45-$L$101)^2+(M45-$M$101)^2+(N45-$N$101)^2+(O45-$O$101)^2+(P45-$P$101)^2+(Q45-$Q$101)^2+(R45-$R$101)^2+(S45-$S$101)^2+(T45-$T$101)^2+(U45-$U$101)^2+(V45-$V$101)^2+(W45-$W$101)^2+(X45-$X$101)^2+(Y45-$Y$101)^2+(Z45-$Z$101)^2+(AA45-$AA$101)^2+(AB45-$AB$101)^2+(AC45-$AC$101)^2+(AD45-$AD$101)^2+(AE45-$AE$101)^2+(AF45-$AF$101)^2+(AG45-$AG$101)^2)</f>
        <v>0.73955692441112619</v>
      </c>
      <c r="IA45" s="36" t="s">
        <v>328</v>
      </c>
      <c r="IB45" s="37" t="s">
        <v>120</v>
      </c>
    </row>
    <row r="46" spans="1:236" x14ac:dyDescent="0.35">
      <c r="A46" s="2">
        <v>0.83333333333333304</v>
      </c>
      <c r="B46" s="2">
        <v>0.25</v>
      </c>
      <c r="C46" s="2">
        <v>0.33333333333333298</v>
      </c>
      <c r="D46" s="2">
        <v>0.66666666666666596</v>
      </c>
      <c r="E46" s="2">
        <v>0</v>
      </c>
      <c r="F46" s="2">
        <v>1</v>
      </c>
      <c r="G46" s="2">
        <v>0.55555555555555503</v>
      </c>
      <c r="H46" s="2">
        <v>1</v>
      </c>
      <c r="I46" s="2">
        <v>0.5</v>
      </c>
      <c r="J46" s="2">
        <v>1</v>
      </c>
      <c r="K46" s="2">
        <v>0</v>
      </c>
      <c r="L46" s="2">
        <v>0.2</v>
      </c>
      <c r="M46" s="2">
        <v>1</v>
      </c>
      <c r="N46" s="2">
        <v>0</v>
      </c>
      <c r="O46" s="2">
        <v>1</v>
      </c>
      <c r="P46" s="2">
        <v>0.2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0</v>
      </c>
      <c r="AH46" s="2" t="s">
        <v>121</v>
      </c>
      <c r="AI46" s="42"/>
      <c r="AJ46" s="42"/>
      <c r="AL46" s="44"/>
      <c r="AM46" s="36">
        <f>SQRT((A46-$A$62)^2+(B46-$B$62)^2+(C46-$C$62)^2+(D46-$D$62)^2+(E46-$E$62)^2+(F46-$F$62)^2+(G46-$G$62)^2+(H46-$H$62)^2+(I46-$I$62)^2+(J46-$J$62)^2+(K46-$K$62)^2+(L46-$L$62)^2+(M46-$M$62)^2+(N46-$N$62)^2+(O46-$O$62)^2+(P46-$P$62)^2+(Q46-$Q$62)^2+(R46-$R$62)^2+(S46-$S$62)^2+(T46-$T$62)^2+(U46-$U$62)^2+(V46-$V$62)^2+(W46-$W$62)^2+(X46-$X$62)^2+(Y46-$Y$62)^2+(Z46-$Z$62)^2+(AA46-$AA$62)^2+(AB46-$AB$62)^2+(AC46-$AC$62)^2+(AD46-$AD$62)^2+(AE46-$AE$62)^2+(AF46-$AF$62)^2+(AG46-$AG$62)^2)</f>
        <v>2.1437246921084698</v>
      </c>
      <c r="AN46" s="36" t="s">
        <v>329</v>
      </c>
      <c r="AO46" s="37" t="s">
        <v>120</v>
      </c>
      <c r="AQ46" s="44"/>
      <c r="AR46" s="36">
        <f>SQRT((A46-$A$63)^2+(B46-$B$63)^2+(C46-$C$63)^2+(D46-$D$63)^2+(E46-$E$63)^2+(F46-$F$63)^2+(G46-$G$63)^2+(H46-$H$63)^2+(I46-$I$63)^2+(J46-$J$63)^2+(K46-$K$63)^2+(L46-$L$63)^2+(M46-$M$63)^2+(N46-$N$63)^2+(O46-$O$63)^2+(P46-$P$63)^2+(Q46-$Q$63)^2+(R46-$R$63)^2+(S46-$S$63)^2+(T46-$T$63)^2+(U46-$U$63)^2+(V46-$V$63)^2+(W46-$W$63)^2+(X46-$X$63)^2+(Y46-$Y$63)^2+(Z46-$Z$63)^2+(AA46-$AA$63)^2+(AB46-$AB$63)^2+(AC46-$AC$63)^2+(AD46-$AD$63)^2+(AE46-$AE$63)^2+(AF46-$AF$63)^2+(AG46-$AG$63)^2)</f>
        <v>1.549486511216988</v>
      </c>
      <c r="AS46" s="36" t="s">
        <v>313</v>
      </c>
      <c r="AT46" s="37" t="s">
        <v>120</v>
      </c>
      <c r="AV46" s="44"/>
      <c r="AW46" s="36">
        <f>SQRT((A46-$A$64)^2+(B46-$B$64)^2+(C46-$C$64)^2+(D46-$D$64)^2+(E46-$E$64)^2+(F46-$F$64)^2+(G46-$G$64)^2+(H46-$H$64)^2+(I46-$I$64)^2+(J46-$J$64)^2+(K46-$K$64)^2+(L46-$L$64)^2+(M46-$M$64)^2+(N46-$N$64)^2+(O46-$O$64)^2+(P46-$P$64)^2+(Q46-$Q$64)^2+(R46-$R$64)^2+(S46-$S$64)^2+(T46-$T$64)^2+(U46-$U$64)^2+(V46-$V$64)^2+(W46-$W$64)^2+(X46-$X$64)^2+(Y46-$Y$64)^2+(Z46-$Z$64)^2+(AA46-$AA$64)^2+(AB46-$AB$64)^2+(AC46-$AC$64)^2+(AD46-$AD$64)^2+(AE46-$AE$64)^2+(AF46-$AF$64)^2+(AG46-$AG$64)^2)</f>
        <v>1.549486511216988</v>
      </c>
      <c r="AX46" s="36" t="s">
        <v>313</v>
      </c>
      <c r="AY46" s="37" t="s">
        <v>120</v>
      </c>
      <c r="BA46" s="44"/>
      <c r="BB46" s="36">
        <f>SQRT((A46-$A$65)^2+(B46-$B$65)^2+(C46-$C$65)^2+(D46-$D$65)^2+(E46-$E$65)^2+(F46-$F$65)^2+(G46-$G$65)^2+(H46-$H$65)^2+(I46-$I$65)^2+(J46-$J$65)^2+(K46-$K$65)^2+(L46-$L$65)^2+(M46-$M$65)^2+(N46-$N$65)^2+(O46-$O$65)^2+(P46-$P$65)^2+(Q46-$Q$65)^2+(R46-$R$65)^2+(S46-$S$65)^2+(T46-$T$65)^2+(U46-$U$65)^2+(V46-$V$65)^2+(W46-$W$65)^2+(X46-$X$65)^2+(Y46-$Y$65)^2+(Z46-$Z$65)^2+(AA46-$AA$65)^2+(AB46-$AB$65)^2+(AC46-$AC$65)^2+(AD46-$AD$65)^2+(AE46-$AE$65)^2+(AF46-$AF$65)^2+(AG46-$AG$65)^2)</f>
        <v>1.549486511216988</v>
      </c>
      <c r="BC46" s="36" t="s">
        <v>313</v>
      </c>
      <c r="BD46" s="37" t="s">
        <v>120</v>
      </c>
      <c r="BF46" s="44"/>
      <c r="BG46" s="36">
        <f>SQRT((A46-$A$66)^2+(B46-$B$66)^2+(C46-$C$66)^2+(D46-$D$66)^2+(E46-$E$66)^2+(F46-$F$66)^2+(G46-$G$66)^2+(H46-$H$66)^2+(I46-$I$66)^2+(J46-$J$66)^2+(K46-$K$66)^2+(L46-$L$66)^2+(M46-$M$66)^2+(N46-$N$66)^2+(O46-$O$66)^2+(P46-$P$66)^2+(Q46-$Q$66)^2+(R46-$R$66)^2+(S46-$S$66)^2+(T46-$T$66)^2+(U46-$U$66)^2+(V46-$V$66)^2+(W46-$W$66)^2+(X46-$X$66)^2+(Y46-$Y$66)^2+(Z46-$Z$66)^2+(AA46-$AA$66)^2+(AB46-$AB$66)^2+(AC46-$AC$66)^2+(AD46-$AD$66)^2+(AE46-$AE$66)^2+(AF46-$AF$66)^2+(AG46-$AG$66)^2)</f>
        <v>1.549486511216988</v>
      </c>
      <c r="BH46" s="36" t="s">
        <v>313</v>
      </c>
      <c r="BI46" s="37" t="s">
        <v>120</v>
      </c>
      <c r="BK46" s="44"/>
      <c r="BL46" s="36">
        <f>SQRT((A46-$A$67)^2+(B46-$B$67)^2+(C46-$C$67)^2+(D46-$D$67)^2+(E46-$E$67)^2+(F46-$F$67)^2+(G46-$G$67)^2+(H46-$H$67)^2+(I46-$I$67)^2+(J46-$J$67)^2+(K46-$K$67)^2+(L46-$L$67)^2+(M46-$M$67)^2+(N46-$N$67)^2+(O46-$O$67)^2+(P46-$P$67)^2+(Q46-$Q$67)^2+(R46-$R$67)^2+(S46-$S$67)^2+(T46-$T$67)^2+(U46-$U$67)^2+(V46-$V$67)^2+(W46-$W$67)^2+(X46-$X$67)^2+(Y46-$Y$67)^2+(Z46-$Z$67)^2+(AA46-$AA$67)^2+(AB46-$AB$67)^2+(AC46-$AC$67)^2+(AD46-$AD$67)^2+(AE46-$AE$67)^2+(AF46-$AF$67)^2+(AG46-$AG$67)^2)</f>
        <v>1.549486511216988</v>
      </c>
      <c r="BM46" s="36" t="s">
        <v>313</v>
      </c>
      <c r="BN46" s="37" t="s">
        <v>120</v>
      </c>
      <c r="BP46" s="44"/>
      <c r="BQ46" s="36">
        <f>SQRT((A46-$A$68)^2+(B46-$B$68)^2+(C46-$C$68)^2+(D46-$D$68)^2+(E46-$E$68)^2+(F46-$F$68)^2+(G46-$G$68)^2+(H46-$H$68)^2+(I46-$I$68)^2+(J46-$J$68)^2+(K46-$K$68)^2+(L46-$L$68)^2+(M46-$M$68)^2+(N46-$N$68)^2+(O46-$O$68)^2+(P46-$P$68)^2+(Q46-$Q$68)^2+(R46-$R$68)^2+(S46-$S$68)^2+(T46-$T$68)^2+(U46-$U$68)^2+(V46-$V$68)^2+(W46-$W$68)^2+(X46-$X$68)^2+(Y46-$Y$68)^2+(Z46-$Z$68)^2+(AA46-$AA$68)^2+(AB46-$AB$68)^2+(AC46-$AC$68)^2+(AD46-$AD$68)^2+(AE46-$AE$68)^2+(AF46-$AF$68)^2+(AG46-$AG$68)^2)</f>
        <v>1.549486511216988</v>
      </c>
      <c r="BR46" s="36" t="s">
        <v>313</v>
      </c>
      <c r="BS46" s="37" t="s">
        <v>120</v>
      </c>
      <c r="BU46" s="44"/>
      <c r="BV46" s="36">
        <f>SQRT((A46-$A$69)^2+(B46-$B$69)^2+(C46-$C$69)^2+(D46-$D$69)^2+(E46-$E$69)^2+(F46-$F$69)^2+(G46-$G$69)^2+(H46-$H$69)^2+(I46-$I$69)^2+(J46-$J$69)^2+(K46-$K$69)^2+(L46-$L$69)^2+(M46-$M$69)^2+(N46-$N$69)^2+(O46-$O$69)^2+(P46-$P$69)^2+(Q46-$Q$69)^2+(R46-$R$69)^2+(S46-$S$69)^2+(T46-$T$69)^2+(U46-$U$69)^2+(V46-$V$69)^2+(W46-$W$69)^2+(X46-$X$69)^2+(Y46-$Y$69)^2+(Z46-$Z$69)^2+(AA46-$AA$69)^2+(AB46-$AB$69)^2+(AC46-$AC$69)^2+(AD46-$AD$69)^2+(AE46-$AE$69)^2+(AF46-$AF$69)^2+(AG46-$AG$69)^2)</f>
        <v>2.6557681482332169</v>
      </c>
      <c r="BW46" s="36" t="s">
        <v>135</v>
      </c>
      <c r="BX46" s="37" t="s">
        <v>120</v>
      </c>
      <c r="BZ46" s="44"/>
      <c r="CA46" s="36">
        <f>SQRT((A46-$A$70)^2+(B46-$B$70)^2+(C46-$C$70)^2+(D46-$D$70)^2+(E46-$E$70)^2+(F46-$F$70)^2+(G46-$G$70)^2+(H46-$H$70)^2+(I46-$I$70)^2+(J46-$J$70)^2+(K46-$K$70)^2+(L46-$L$70)^2+(M46-$M$70)^2+(N46-$N$70)^2+(O46-$O$70)^2+(P46-$P$70)^2+(Q46-$Q$70)^2+(R46-$R$70)^2+(S46-$S$70)^2+(T46-$T$70)^2+(U46-$U$70)^2+(V46-$V$70)^2+(W46-$W$70)^2+(X46-$X$70)^2+(Y46-$Y$70)^2+(Z46-$Z$70)^2+(AA46-$AA$70)^2+(AB46-$AB$70)^2+(AC46-$AC$70)^2+(AD46-$AD$70)^2+(AE46-$AE$70)^2+(AF46-$AF$70)^2+(AG46-$AG$70)^2)</f>
        <v>1.8343820527182499</v>
      </c>
      <c r="CB46" s="36" t="s">
        <v>329</v>
      </c>
      <c r="CC46" s="37" t="s">
        <v>120</v>
      </c>
      <c r="CE46" s="44"/>
      <c r="CF46" s="36">
        <f>SQRT((A46-$A$71)^2+(B46-$B$71)^2+(C46-$C$71)^2+(D46-$D$71)^2+(E46-$E$71)^2+(F46-$F$71)^2+(G46-$G$71)^2+(H46-$H$71)^2+(I46-$I$71)^2+(J46-$J$71)^2+(K46-$K$71)^2+(L46-$L$71)^2+(M46-$M$71)^2+(N46-$N$71)^2+(O46-$O$71)^2+(P46-$P$71)^2+(Q46-$Q$71)^2+(R46-$R$71)^2+(S46-$S$71)^2+(T46-$T$71)^2+(U46-$U$71)^2+(V46-$V$71)^2+(W46-$W$71)^2+(X46-$X$71)^2+(Y46-$Y$71)^2+(Z46-$Z$71)^2+(AA46-$AA$71)^2+(AB46-$AB$71)^2+(AC46-$AC$71)^2+(AD46-$AD$71)^2+(AE46-$AE$71)^2+(AF46-$AF$71)^2+(AG46-$AG$71)^2)</f>
        <v>1.5845475217449785</v>
      </c>
      <c r="CG46" s="36" t="s">
        <v>138</v>
      </c>
      <c r="CH46" s="37" t="s">
        <v>120</v>
      </c>
      <c r="CJ46" s="44"/>
      <c r="CK46" s="36">
        <f>SQRT((A46-$A$72)^2+(B46-$B$72)^2+(C46-$C$72)^2+(D46-$D$72)^2+(E46-$E$72)^2+(F46-$F$72)^2+(G46-$G$72)^2+(H46-$H$72)^2+(I46-$I$72)^2+(J46-$J$72)^2+(K46-$K$72)^2+(L46-$L$72)^2+(M46-$M$72)^2+(N46-$N$72)^2+(O46-$O$72)^2+(P46-$P$72)^2+(Q46-$Q$72)^2+(R46-$R$72)^2+(S46-$S$72)^2+(T46-$T$72)^2+(U46-$U$72)^2+(V46-$V$72)^2+(W46-$W$72)^2+(X46-$X$72)^2+(Y46-$Y$72)^2+(Z46-$Z$72)^2+(AA46-$AA$72)^2+(AB46-$AB$72)^2+(AC46-$AC$72)^2+(AD46-$AD$72)^2+(AE46-$AE$72)^2+(AF46-$AF$72)^2+(AG46-$AG$72)^2)</f>
        <v>1.6798058336580479</v>
      </c>
      <c r="CL46" s="36" t="s">
        <v>140</v>
      </c>
      <c r="CM46" s="37" t="s">
        <v>120</v>
      </c>
      <c r="CO46" s="44"/>
      <c r="CP46" s="36">
        <f>SQRT((A46-$A$73)^2+(B46-$B$73)^2+(C46-$C$73)^2+(D46-$D$73)^2+(E46-$E$73)^2+(F46-$F$73)^2+(G46-$G$73)^2+(H46-$H$73)^2+(I46-$I$73)^2+(J46-$J$73)^2+(K46-$K$73)^2+(L46-$L$73)^2+(M46-$M$73)^2+(N46-$N$73)^2+(O46-$O$73)^2+(P46-$P$73)^2+(Q46-$Q$73)^2+(R46-$R$73)^2+(S46-$S$73)^2+(T46-$T$73)^2+(U46-$U$73)^2+(V46-$V$73)^2+(W46-$W$73)^2+(X46-$X$73)^2+(Y46-$Y$73)^2+(Z46-$Z$73)^2+(AA46-$AA$73)^2+(AB46-$AB$73)^2+(AC46-$AC$73)^2+(AD46-$AD$73)^2+(AE46-$AE$73)^2+(AF46-$AF$73)^2+(AG46-$AG$73)^2)</f>
        <v>2.0712315177207978</v>
      </c>
      <c r="CQ46" s="36" t="s">
        <v>135</v>
      </c>
      <c r="CR46" s="37" t="s">
        <v>120</v>
      </c>
      <c r="CT46" s="44"/>
      <c r="CU46" s="36">
        <f>SQRT((A46-$A$74)^2+(B46-$B$74)^2+(C46-$C$74)^2+(D46-$D$74)^2+(E46-$E$74)^2+(F46-$F$74)^2+(G46-$G$74)^2+(H46-$H$74)^2+(I46-$I$74)^2+(J46-$J$74)^2+(K46-$K$74)^2+(L46-$L$74)^2+(M46-$M$74)^2+(N46-$N$74)^2+(O46-$O$74)^2+(P46-$P$74)^2+(Q46-$Q$74)^2+(R46-$R$74)^2+(S46-$S$74)^2+(T46-$T$74)^2+(U46-$U$74)^2+(V46-$V$74)^2+(W46-$W$74)^2+(X46-$X$74)^2+(Y46-$Y$74)^2+(Z46-$Z$74)^2+(AA46-$AA$74)^2+(AB46-$AB$74)^2+(AC46-$AC$74)^2+(AD46-$AD$74)^2+(AE46-$AE$74)^2+(AF46-$AF$74)^2+(AG46-$AG$74)^2)</f>
        <v>1.7863681342632349</v>
      </c>
      <c r="CV46" s="36" t="s">
        <v>333</v>
      </c>
      <c r="CW46" s="37" t="s">
        <v>120</v>
      </c>
      <c r="CY46" s="44"/>
      <c r="CZ46" s="36">
        <f>SQRT((A46-$A$75)^2+(B46-$B$75)^2+(C46-$C$75)^2+(D46-$D$75)^2+(E46-$E$75)^2+(F46-$F$75)^2+(G46-$G$75)^2+(H46-$H$75)^2+(I46-$I$75)^2+(J46-$J$75)^2+(K46-$K$75)^2+(L46-$L$75)^2+(M46-$M$75)^2+(N46-$N$75)^2+(O46-$O$75)^2+(P46-$P$75)^2+(Q46-$Q$75)^2+(R46-$R$75)^2+(S46-$S$75)^2+(T46-$T$75)^2+(U46-$U$75)^2+(V46-$V$75)^2+(W46-$W$75)^2+(X46-$X$75)^2+(Y46-$Y$75)^2+(Z46-$Z$75)^2+(AA46-$AA$75)^2+(AB46-$AB$75)^2+(AC46-$AC$75)^2+(AD46-$AD$75)^2+(AE46-$AE$75)^2+(AF46-$AF$75)^2+(AG46-$AG$75)^2)</f>
        <v>1.8666666666666669</v>
      </c>
      <c r="DA46" s="36" t="s">
        <v>324</v>
      </c>
      <c r="DB46" s="37" t="s">
        <v>120</v>
      </c>
      <c r="DD46" s="44"/>
      <c r="DE46" s="36">
        <f>SQRT((A46-$A$76)^2+(B46-$B$76)^2+(C46-$C$76)^2+(D46-$D$76)^2+(E46-$E$76)^2+(F46-$F$76)^2+(G46-$G$76)^2+(H46-$H$76)^2+(I46-$I$76)^2+(J46-$J$76)^2+(K46-$K$76)^2+(L46-$L$76)^2+(M46-$M$76)^2+(N46-$N$76)^2+(O46-$O$76)^2+(P46-$P$76)^2+(Q46-$Q$76)^2+(R46-$R$76)^2+(S46-$S$76)^2+(T46-$T$76)^2+(U46-$U$76)^2+(V46-$V$76)^2+(W46-$W$76)^2+(X46-$X$76)^2+(Y46-$Y$76)^2+(Z46-$Z$76)^2+(AA46-$AA$76)^2+(AB46-$AB$76)^2+(AC46-$AC$76)^2+(AD46-$AD$76)^2+(AE46-$AE$76)^2+(AF46-$AF$76)^2+(AG46-$AG$76)^2)</f>
        <v>1.7390929947660774</v>
      </c>
      <c r="DF46" s="36" t="s">
        <v>329</v>
      </c>
      <c r="DG46" s="37" t="s">
        <v>120</v>
      </c>
      <c r="DI46" s="44"/>
      <c r="DJ46" s="36">
        <f>SQRT((A46-$A$77)^2+(B46-$B$77)^2+(C46-$C$77)^2+(D46-$D$77)^2+(E46-$E$77)^2+(F46-$F$77)^2+(G46-$G$77)^2+(H46-$H$77)^2+(I46-$I$77)^2+(J46-$J$77)^2+(K46-$K$77)^2+(L46-$L$77)^2+(M46-$M$77)^2+(N46-$N$77)^2+(O46-$O$77)^2+(P46-$P$77)^2+(Q46-$Q$77)^2+(R46-$R$77)^2+(S46-$S$77)^2+(T46-$T$77)^2+(U46-$U$77)^2+(V46-$V$77)^2+(W46-$W$77)^2+(X46-$X$77)^2+(Y46-$Y$77)^2+(Z46-$Z$77)^2+(AA46-$AA$77)^2+(AB46-$AB$77)^2+(AC46-$AC$77)^2+(AD46-$AD$77)^2+(AE46-$AE$77)^2+(AF46-$AF$77)^2+(AG46-$AG$77)^2)</f>
        <v>2.331487365038321</v>
      </c>
      <c r="DK46" s="36" t="s">
        <v>144</v>
      </c>
      <c r="DL46" s="37" t="s">
        <v>120</v>
      </c>
      <c r="DN46" s="44"/>
      <c r="DO46" s="36">
        <f>SQRT((A46-$A$78)^2+(B46-$B$78)^2+(C46-$C$78)^2+(D46-$D$78)^2+(E46-$E$78)^2+(F46-$F$78)^2+(G46-$G$78)^2+(H46-$H$78)^2+(I46-$I$78)^2+(J46-$J$78)^2+(K46-$K$78)^2+(L46-$L$78)^2+(M46-$M$78)^2+(N46-$N$78)^2+(O46-$O$78)^2+(P46-$P$78)^2+(Q46-$Q$78)^2+(R46-$R$78)^2+(S46-$S$78)^2+(T46-$T$78)^2+(U46-$U$78)^2+(V46-$V$78)^2+(W46-$W$78)^2+(X46-$X$78)^2+(Y46-$Y$78)^2+(Z46-$Z$78)^2+(AA46-$AA$78)^2+(AB46-$AB$78)^2+(AC46-$AC$78)^2+(AD46-$AD$78)^2+(AE46-$AE$78)^2+(AF46-$AF$78)^2+(AG46-$AG$78)^2)</f>
        <v>1.9225855842360973</v>
      </c>
      <c r="DP46" s="36" t="s">
        <v>315</v>
      </c>
      <c r="DQ46" s="37" t="s">
        <v>120</v>
      </c>
      <c r="DS46" s="44"/>
      <c r="DT46" s="36">
        <f>SQRT((A46-$A$79)^2+(B46-$B$79)^2+(C46-$C$79)^2+(D46-$D$79)^2+(E46-$E$79)^2+(F46-$F$79)^2+(G46-$G$79)^2+(H46-$H$79)^2+(I46-$I$79)^2+(J46-$J$79)^2+(K46-$K$79)^2+(L46-$L$79)^2+(M46-$M$79)^2+(N46-$N$79)^2+(O46-$O$79)^2+(P46-$P$79)^2+(Q46-$Q$79)^2+(R46-$R$79)^2+(S46-$S$79)^2+(T46-$T$79)^2+(U46-$U$79)^2+(V46-$V$79)^2+(W46-$W$79)^2+(X46-$X$79)^2+(Y46-$Y$79)^2+(Z46-$Z$79)^2+(AA46-$AA$79)^2+(AB46-$AB$79)^2+(AC46-$AC$79)^2+(AD46-$AD$79)^2+(AE46-$AE$79)^2+(AF46-$AF$79)^2+(AG46-$AG$79)^2)</f>
        <v>1.5585719064398311</v>
      </c>
      <c r="DU46" s="36" t="s">
        <v>316</v>
      </c>
      <c r="DV46" s="37" t="s">
        <v>120</v>
      </c>
      <c r="DX46" s="44"/>
      <c r="DY46" s="36">
        <f>SQRT((A46-$A$80)^2+(B46-$B$80)^2+(C46-$C$80)^2+(D46-$D$80)^2+(E46-$E$80)^2+(F46-$F$80)^2+(G46-$G$80)^2+(H46-$H$80)^2+(I46-$I$80)^2+(J46-$J$80)^2+(K46-$K$80)^2+(L46-$L$80)^2+(M46-$M$80)^2+(N46-$N$80)^2+(O46-$O$80)^2+(P46-$P$80)^2+(Q46-$Q$80)^2+(R46-$R$80)^2+(S46-$S$80)^2+(T46-$T$80)^2+(U46-$U$80)^2+(V46-$V$80)^2+(W46-$W$80)^2+(X46-$X$80)^2+(Y46-$Y$80)^2+(Z46-$Z$80)^2+(AA46-$AA$80)^2+(AB46-$AB$80)^2+(AC46-$AC$80)^2+(AD46-$AD$80)^2+(AE46-$AE$80)^2+(AF46-$AF$80)^2+(AG46-$AG$80)^2)</f>
        <v>0.57445626465380295</v>
      </c>
      <c r="DZ46" s="36" t="s">
        <v>333</v>
      </c>
      <c r="EA46" s="37" t="s">
        <v>120</v>
      </c>
      <c r="EC46" s="44"/>
      <c r="ED46" s="36">
        <f>SQRT((A46-$A$81)^2+(B46-$B$81)^2+(C46-$C$81)^2+(D46-$D$81)^2+(E46-$E$81)^2+(F46-$F$81)^2+(G46-$G$81)^2+(H46-$H$81)^2+(I46-$I$81)^2+(J46-$J$81)^2+(K46-$K$81)^2+(L46-$L$81)^2+(M46-$M$81)^2+(N46-$N$81)^2+(O46-$O$81)^2+(P46-$P$81)^2+(Q46-$Q$81)^2+(R46-$R$81)^2+(S46-$S$81)^2+(T46-$T$81)^2+(U46-$U$81)^2+(V46-$V$81)^2+(W46-$W$81)^2+(X46-$X$81)^2+(Y46-$Y$81)^2+(Z46-$Z$81)^2+(AA46-$AA$81)^2+(AB46-$AB$81)^2+(AC46-$AC$81)^2+(AD46-$AD$81)^2+(AE46-$AE$81)^2+(AF46-$AF$81)^2+(AG46-$AG$81)^2)</f>
        <v>0.68088994052718299</v>
      </c>
      <c r="EE46" s="36" t="s">
        <v>328</v>
      </c>
      <c r="EF46" s="37" t="s">
        <v>120</v>
      </c>
      <c r="EH46" s="44"/>
      <c r="EI46" s="36">
        <f>SQRT((A46-$A$82)^2+(B46-$B$82)^2+(C46-$C$82)^2+(D46-$D$82)^2+(E46-$E$82)^2+(F46-$F$82)^2+(G46-$G$82)^2+(H46-$H$82)^2+(I46-$I$82)^2+(J46-$J$82)^2+(K46-$K$82)^2+(L46-$L$82)^2+(M46-$M$82)^2+(N46-$N$82)^2+(O46-$O$82)^2+(P46-$P$82)^2+(Q46-$Q$82)^2+(R46-$R$82)^2+(S46-$S$82)^2+(T46-$T$82)^2+(U46-$U$82)^2+(V46-$V$82)^2+(W46-$W$82)^2+(X46-$X$82)^2+(Y46-$Y$82)^2+(Z46-$Z$82)^2+(AA46-$AA$82)^2+(AB46-$AB$82)^2+(AC46-$AC$82)^2+(AD46-$AD$82)^2+(AE46-$AE$82)^2+(AF46-$AF$82)^2+(AG46-$AG$82)^2)</f>
        <v>2.1798832272092032</v>
      </c>
      <c r="EJ46" s="36" t="s">
        <v>327</v>
      </c>
      <c r="EK46" s="37" t="s">
        <v>120</v>
      </c>
      <c r="EM46" s="44"/>
      <c r="EN46" s="36">
        <f>SQRT((A46-$A$83)^2+(B46-$B$83)^2+(C46-$C$83)^2+(D46-$D$83)^2+(E46-$E$83)^2+(F46-$F$83)^2+(G46-$G$83)^2+(H46-$H$83)^2+(I46-$I$83)^2+(J46-$J$83)^2+(K46-$K$83)^2+(L46-$L$83)^2+(M46-$M$83)^2+(N46-$N$83)^2+(O46-$O$83)^2+(P46-$P$83)^2+(Q46-$Q$83)^2+(R46-$R$83)^2+(S46-$S$83)^2+(T46-$T$83)^2+(U46-$U$83)^2+(V46-$V$83)^2+(W46-$W$83)^2+(X46-$X$83)^2+(Y46-$Y$83)^2+(Z46-$Z$83)^2+(AA46-$AA$83)^2+(AB46-$AB$83)^2+(AC46-$AC$83)^2+(AD46-$AD$83)^2+(AE46-$AE$83)^2+(AF46-$AF$83)^2+(AG46-$AG$83)^2)</f>
        <v>1.8447227421428731</v>
      </c>
      <c r="EO46" s="36" t="s">
        <v>143</v>
      </c>
      <c r="EP46" s="37" t="s">
        <v>120</v>
      </c>
      <c r="ER46" s="44"/>
      <c r="ES46" s="36">
        <f>SQRT((A46-$A$84)^2+(B46-$B$84)^2+(C46-$C$84)^2+(D46-$D$84)^2+(E46-$E$84)^2+(F46-$F$84)^2+(G46-$G$84)^2+(H46-$H$84)^2+(I46-$I$84)^2+(J46-$J$84)^2+(K46-$K$84)^2+(L46-$L$84)^2+(M46-$M$84)^2+(N46-$N$84)^2+(O46-$O$84)^2+(P46-$P$84)^2+(Q46-$Q$84)^2+(R46-$R$84)^2+(S46-$S$84)^2+(T46-$T$84)^2+(U46-$U$84)^2+(V46-$V$84)^2+(W46-$W$84)^2+(X46-$X$84)^2+(Y46-$Y$84)^2+(Z46-$Z$84)^2+(AA46-$AA$84)^2+(AB46-$AB$84)^2+(AC46-$AC$84)^2+(AD46-$AD$84)^2+(AE46-$AE$84)^2+(AF46-$AF$84)^2+(AG46-$AG$84)^2)</f>
        <v>1.549486511216988</v>
      </c>
      <c r="ET46" s="36" t="s">
        <v>313</v>
      </c>
      <c r="EU46" s="37" t="s">
        <v>120</v>
      </c>
      <c r="EW46" s="44"/>
      <c r="EX46" s="36">
        <f>SQRT((A46-$A$85)^2+(B46-$B$85)^2+(C46-$C$85)^2+(D46-$D$85)^2+(E46-$E$85)^2+(F46-$F$85)^2+(G46-$G$85)^2+(H46-$H$85)^2+(I46-$I$85)^2+(J46-$J$85)^2+(K46-$K$85)^2+(L46-$L$85)^2+(M46-$M$85)^2+(N46-$N$85)^2+(O46-$O$85)^2+(P46-$P$85)^2+(Q46-$Q$85)^2+(R46-$R$85)^2+(S46-$S$85)^2+(T46-$T$85)^2+(U46-$U$85)^2+(V46-$V$85)^2+(W46-$W$85)^2+(X46-$X$85)^2+(Y46-$Y$85)^2+(Z46-$Z$85)^2+(AA46-$AA$85)^2+(AB46-$AB$85)^2+(AC46-$AC$85)^2+(AD46-$AD$85)^2+(AE46-$AE$85)^2+(AF46-$AF$85)^2+(AG46-$AG$85)^2)</f>
        <v>1.549486511216988</v>
      </c>
      <c r="EY46" s="36" t="s">
        <v>313</v>
      </c>
      <c r="EZ46" s="37" t="s">
        <v>120</v>
      </c>
      <c r="FB46" s="44"/>
      <c r="FC46" s="36">
        <f>SQRT((A46-$A$86)^2+(B46-$B$86)^2+(C46-$C$86)^2+(D46-$D$86)^2+(E46-$E$86)^2+(F46-$F$86)^2+(G46-$G$86)^2+(H46-$H$86)^2+(I46-$I$86)^2+(J46-$J$86)^2+(K46-$K$86)^2+(L46-$L$86)^2+(M46-$M$86)^2+(N46-$N$86)^2+(O46-$O$86)^2+(P46-$P$86)^2+(Q46-$Q$86)^2+(R46-$R$86)^2+(S46-$S$86)^2+(T46-$T$86)^2+(U46-$U$86)^2+(V46-$V$86)^2+(W46-$W$86)^2+(X46-$X$86)^2+(Y46-$Y$86)^2+(Z46-$Z$86)^2+(AA46-$AA$86)^2+(AB46-$AB$86)^2+(AC46-$AC$86)^2+(AD46-$AD$86)^2+(AE46-$AE$86)^2+(AF46-$AF$86)^2+(AG46-$AG$86)^2)</f>
        <v>1.549486511216988</v>
      </c>
      <c r="FD46" s="36" t="s">
        <v>313</v>
      </c>
      <c r="FE46" s="37" t="s">
        <v>120</v>
      </c>
      <c r="FG46" s="44"/>
      <c r="FH46" s="36">
        <f>SQRT((A46-$A$87)^2+(B46-$B$87)^2+(C46-$C$87)^2+(D46-$D$87)^2+(E46-$E$87)^2+(F46-$F$87)^2+(G46-$G$87)^2+(H46-$H$87)^2+(I46-$I$87)^2+(J46-$J$87)^2+(K46-$K$87)^2+(L46-$L$87)^2+(M46-$M$87)^2+(N46-$N$87)^2+(O46-$O$87)^2+(P46-$P$87)^2+(Q46-$Q$87)^2+(R46-$R$87)^2+(S46-$S$87)^2+(T46-$T$87)^2+(U46-$U$87)^2+(V46-$V$87)^2+(W46-$W$87)^2+(X46-$X$87)^2+(Y46-$Y$87)^2+(Z46-$Z$87)^2+(AA46-$AA$87)^2+(AB46-$AB$87)^2+(AC46-$AC$87)^2+(AD46-$AD$87)^2+(AE46-$AE$87)^2+(AF46-$AF$87)^2+(AG46-$AG$87)^2)</f>
        <v>1.8814887722226779</v>
      </c>
      <c r="FI46" s="36" t="s">
        <v>137</v>
      </c>
      <c r="FJ46" s="37" t="s">
        <v>120</v>
      </c>
      <c r="FL46" s="44"/>
      <c r="FM46" s="36">
        <f>SQRT((A46-$A$88)^2+(B46-$B$88)^2+(C46-$C$88)^2+(D46-$D$88)^2+(E46-$E$88)^2+(F46-$F$88)^2+(G46-$G$88)^2+(H46-$H$88)^2+(I46-$I$88)^2+(J46-$J$88)^2+(K46-$K$88)^2+(L46-$L$88)^2+(M46-$M$88)^2+(N46-$N$88)^2+(O46-$O$88)^2+(P46-$P$88)^2+(Q46-$Q$88)^2+(R46-$R$88)^2+(S46-$S$88)^2+(T46-$T$88)^2+(U46-$U$88)^2+(V46-$V$88)^2+(W46-$W$88)^2+(X46-$X$88)^2+(Y46-$Y$88)^2+(Z46-$Z$88)^2+(AA46-$AA$88)^2+(AB46-$AB$88)^2+(AC46-$AC$88)^2+(AD46-$AD$88)^2+(AE46-$AE$88)^2+(AF46-$AF$88)^2+(AG46-$AG$88)^2)</f>
        <v>1.6084712423780048</v>
      </c>
      <c r="FN46" s="36" t="s">
        <v>328</v>
      </c>
      <c r="FO46" s="37" t="s">
        <v>120</v>
      </c>
      <c r="FQ46" s="44"/>
      <c r="FR46" s="36">
        <f>SQRT((A46-$A$89)^2+(B46-$B$89)^2+(C46-$C$89)^2+(D46-$D$89)^2+(E46-$E$89)^2+(F46-$F$89)^2+(G46-$G$89)^2+(H46-$H$89)^2+(I46-$I$89)^2+(J46-$J$89)^2+(K46-$K$89)^2+(L46-$L$89)^2+(M46-$M$89)^2+(N46-$N$89)^2+(O46-$O$89)^2+(P46-$P$89)^2+(Q46-$Q$89)^2+(R46-$R$89)^2+(S46-$S$89)^2+(T46-$T$89)^2+(U46-$U$89)^2+(V46-$V$89)^2+(W46-$W$89)^2+(X46-$X$89)^2+(Y46-$Y$89)^2+(Z46-$Z$89)^2+(AA46-$AA$89)^2+(AB46-$AB$89)^2+(AC46-$AC$89)^2+(AD46-$AD$89)^2+(AE46-$AE$89)^2+(AF46-$AF$89)^2+(AG46-$AG$89)^2)</f>
        <v>0.2</v>
      </c>
      <c r="FS46" s="36" t="s">
        <v>313</v>
      </c>
      <c r="FT46" s="37" t="s">
        <v>120</v>
      </c>
      <c r="FV46" s="44"/>
      <c r="FW46" s="36">
        <f>SQRT((A46-$A$90)^2+(B46-$B$90)^2+(C46-$C$90)^2+(D46-$D$90)^2+(E46-$E$90)^2+(F46-$F$90)^2+(G46-$G$90)^2+(H46-$H$90)^2+(I46-$I$90)^2+(J46-$J$90)^2+(K46-$K$90)^2+(L46-$L$90)^2+(M46-$M$90)^2+(N46-$N$90)^2+(O46-$O$90)^2+(P46-$P$90)^2+(Q46-$Q$90)^2+(R46-$R$90)^2+(S46-$S$90)^2+(T46-$T$90)^2+(U46-$U$90)^2+(V46-$V$90)^2+(W46-$W$90)^2+(X46-$X$90)^2+(Y46-$Y$90)^2+(Z46-$Z$90)^2+(AA46-$AA$90)^2+(AB46-$AB$90)^2+(AC46-$AC$90)^2+(AD46-$AD$90)^2+(AE46-$AE$90)^2+(AF46-$AF$90)^2+(AG46-$AG$90)^2)</f>
        <v>2.1139746660943906</v>
      </c>
      <c r="FX46" s="36" t="s">
        <v>317</v>
      </c>
      <c r="FY46" s="37" t="s">
        <v>120</v>
      </c>
      <c r="GA46" s="44"/>
      <c r="GB46" s="36">
        <f>SQRT((A46-$A$91)^2+(B46-$B$91)^2+(C46-$C$91)^2+(D46-$D$91)^2+(E46-$E$91)^2+(F46-$F$91)^2+(G46-$G$91)^2+(H46-$H$91)^2+(I46-$I$91)^2+(J46-$J$91)^2+(K46-$K$91)^2+(L46-$L$91)^2+(M46-$M$91)^2+(N46-$N$91)^2+(O46-$O$91)^2+(P46-$P$91)^2+(Q46-$Q$91)^2+(R46-$R$91)^2+(S46-$S$91)^2+(T46-$T$91)^2+(U46-$U$91)^2+(V46-$V$91)^2+(W46-$W$91)^2+(X46-$X$91)^2+(Y46-$Y$91)^2+(Z46-$Z$91)^2+(AA46-$AA$91)^2+(AB46-$AB$91)^2+(AC46-$AC$91)^2+(AD46-$AD$91)^2+(AE46-$AE$91)^2+(AF46-$AF$91)^2+(AG46-$AG$91)^2)</f>
        <v>2.4590535668107036</v>
      </c>
      <c r="GC46" s="36" t="s">
        <v>137</v>
      </c>
      <c r="GD46" s="37" t="s">
        <v>120</v>
      </c>
      <c r="GF46" s="44"/>
      <c r="GG46" s="36">
        <f>SQRT((A46-$A$92)^2+(B46-$B$92)^2+(C46-$C$92)^2+(D46-$D$92)^2+(E46-$E$92)^2+(F46-$F$92)^2+(G46-$G$92)^2+(H46-$H$92)^2+(I46-$I$92)^2+(J46-$J$92)^2+(K46-$K$92)^2+(L46-$L$92)^2+(M46-$M$92)^2+(N46-$N$92)^2+(O46-$O$92)^2+(P46-$P$92)^2+(Q46-$Q$92)^2+(R46-$R$92)^2+(S46-$S$92)^2+(T46-$T$92)^2+(U46-$U$92)^2+(V46-$V$92)^2+(W46-$W$92)^2+(X46-$X$92)^2+(Y46-$Y$92)^2+(Z46-$Z$92)^2+(AA46-$AA$92)^2+(AB46-$AB$92)^2+(AC46-$AC$92)^2+(AD46-$AD$92)^2+(AE46-$AE$92)^2+(AF46-$AF$92)^2+(AG46-$AG$92)^2)</f>
        <v>2.0285358057808147</v>
      </c>
      <c r="GH46" s="36" t="s">
        <v>143</v>
      </c>
      <c r="GI46" s="37" t="s">
        <v>120</v>
      </c>
      <c r="GK46" s="44"/>
      <c r="GL46" s="36">
        <f>SQRT((A46-$A$93)^2+(B46-$B$93)^2+(C46-$C$93)^2+(D46-$D$93)^2+(E46-$E$93)^2+(F46-$F$93)^2+(G46-$G$93)^2+(H46-$H$93)^2+(I46-$I$93)^2+(J46-$J$93)^2+(K46-$K$93)^2+(L46-$L$93)^2+(M46-$M$93)^2+(N46-$N$93)^2+(O46-$O$93)^2+(P46-$P$93)^2+(Q46-$Q$93)^2+(R46-$R$93)^2+(S46-$S$93)^2+(T46-$T$93)^2+(U46-$U$93)^2+(V46-$V$93)^2+(W46-$W$93)^2+(X46-$X$93)^2+(Y46-$Y$93)^2+(Z46-$Z$93)^2+(AA46-$AA$93)^2+(AB46-$AB$93)^2+(AC46-$AC$93)^2+(AD46-$AD$93)^2+(AE46-$AE$93)^2+(AF46-$AF$93)^2+(AG46-$AG$93)^2)</f>
        <v>2.6829192227041716</v>
      </c>
      <c r="GM46" s="36" t="s">
        <v>147</v>
      </c>
      <c r="GN46" s="37" t="s">
        <v>120</v>
      </c>
      <c r="GP46" s="44"/>
      <c r="GQ46" s="36">
        <f>SQRT((A46-$A$94)^2+(B46-$B$94)^2+(C46-$C$94)^2+(D46-$D$94)^2+(E46-$E$94)^2+(F46-$F$94)^2+(G46-$G$94)^2+(H46-$H$94)^2+(I46-$I$94)^2+(J46-$J$94)^2+(K46-$K$94)^2+(L46-$L$94)^2+(M46-$M$94)^2+(N46-$N$94)^2+(O46-$O$94)^2+(P46-$P$94)^2+(Q46-$Q$94)^2+(R46-$R$94)^2+(S46-$S$94)^2+(T46-$T$94)^2+(U46-$U$94)^2+(V46-$V$94)^2+(W46-$W$94)^2+(X46-$X$94)^2+(Y46-$Y$94)^2+(Z46-$Z$94)^2+(AA46-$AA$94)^2+(AB46-$AB$94)^2+(AC46-$AC$94)^2+(AD46-$AD$94)^2+(AE46-$AE$94)^2+(AF46-$AF$94)^2+(AG46-$AG$94)^2)</f>
        <v>2.1020365246433461</v>
      </c>
      <c r="GR46" s="36" t="s">
        <v>138</v>
      </c>
      <c r="GS46" s="37" t="s">
        <v>120</v>
      </c>
      <c r="GU46" s="44"/>
      <c r="GV46" s="36">
        <f>SQRT((A46-$A$95)^2+(B46-$B$95)^2+(C46-$C$95)^2+(D46-$D$95)^2+(E46-$E$95)^2+(F46-$F$95)^2+(G46-$G$95)^2+(H46-$H$95)^2+(I46-$I$95)^2+(J46-$J$95)^2+(K46-$K$95)^2+(L46-$L$95)^2+(M46-$M$95)^2+(N46-$N$95)^2+(O46-$O$95)^2+(P46-$P$95)^2+(Q46-$Q$95)^2+(R46-$R$95)^2+(S46-$S$95)^2+(T46-$T$95)^2+(U46-$U$95)^2+(V46-$V$95)^2+(W46-$W$95)^2+(X46-$X$95)^2+(Y46-$Y$95)^2+(Z46-$Z$95)^2+(AA46-$AA$95)^2+(AB46-$AB$95)^2+(AC46-$AC$95)^2+(AD46-$AD$95)^2+(AE46-$AE$95)^2+(AF46-$AF$95)^2+(AG46-$AG$95)^2)</f>
        <v>2.6335970332101555</v>
      </c>
      <c r="GW46" s="36" t="s">
        <v>137</v>
      </c>
      <c r="GX46" s="37" t="s">
        <v>120</v>
      </c>
      <c r="GZ46" s="44"/>
      <c r="HA46" s="36">
        <f>SQRT((A46-$A$96)^2+(B46-$B$96)^2+(C46-$C$96)^2+(D46-$D$96)^2+(E46-$E$96)^2+(F46-$F$96)^2+(G46-$G$96)^2+(H46-$H$96)^2+(I46-$I$96)^2+(J46-$J$96)^2+(K46-$K$96)^2+(L46-$L$96)^2+(M46-$M$96)^2+(N46-$N$96)^2+(O46-$O$96)^2+(P46-$P$96)^2+(Q46-$Q$96)^2+(R46-$R$96)^2+(S46-$S$96)^2+(T46-$T$96)^2+(U46-$U$96)^2+(V46-$V$96)^2+(W46-$W$96)^2+(X46-$X$96)^2+(Y46-$Y$96)^2+(Z46-$Z$96)^2+(AA46-$AA$96)^2+(AB46-$AB$96)^2+(AC46-$AC$96)^2+(AD46-$AD$96)^2+(AE46-$AE$96)^2+(AF46-$AF$96)^2+(AG46-$AG$96)^2)</f>
        <v>2.6094379982415115</v>
      </c>
      <c r="HB46" s="36" t="s">
        <v>137</v>
      </c>
      <c r="HC46" s="37" t="s">
        <v>120</v>
      </c>
      <c r="HE46" s="44"/>
      <c r="HF46" s="36">
        <f>SQRT((A46-$A$97)^2+(B46-$B$97)^2+(C46-$C$97)^2+(D46-$D$97)^2+(E46-$E$97)^2+(F46-$F$97)^2+(G46-$G$97)^2+(H46-$H$97)^2+(I46-$I$97)^2+(J46-$J$97)^2+(K46-$K$97)^2+(L46-$L$97)^2+(M46-$M$97)^2+(N46-$N$97)^2+(O46-$O$97)^2+(P46-$P$97)^2+(Q46-$Q$97)^2+(R46-$R$97)^2+(S46-$S$97)^2+(T46-$T$97)^2+(U46-$U$97)^2+(V46-$V$97)^2+(W46-$W$97)^2+(X46-$X$97)^2+(Y46-$Y$97)^2+(Z46-$Z$97)^2+(AA46-$AA$97)^2+(AB46-$AB$97)^2+(AC46-$AC$97)^2+(AD46-$AD$97)^2+(AE46-$AE$97)^2+(AF46-$AF$97)^2+(AG46-$AG$97)^2)</f>
        <v>1.549486511216988</v>
      </c>
      <c r="HG46" s="36" t="s">
        <v>313</v>
      </c>
      <c r="HH46" s="37" t="s">
        <v>120</v>
      </c>
      <c r="HJ46" s="44"/>
      <c r="HK46" s="36">
        <f>SQRT((A46-$A$98)^2+(B46-$B$98)^2+(C46-$C$98)^2+(D46-$D$98)^2+(E46-$E$98)^2+(F46-$F$98)^2+(G46-$G$98)^2+(H46-$H$98)^2+(I46-$I$98)^2+(J46-$J$98)^2+(K46-$K$98)^2+(L46-$L$98)^2+(M46-$M$98)^2+(N46-$N$98)^2+(O46-$O$98)^2+(P46-$P$98)^2+(Q46-$Q$98)^2+(R46-$R$98)^2+(S46-$S$98)^2+(T46-$T$98)^2+(U46-$U$98)^2+(V46-$V$98)^2+(W46-$W$98)^2+(X46-$X$98)^2+(Y46-$Y$98)^2+(Z46-$Z$98)^2+(AA46-$AA$98)^2+(AB46-$AB$98)^2+(AC46-$AC$98)^2+(AD46-$AD$98)^2+(AE46-$AE$98)^2+(AF46-$AF$98)^2+(AG46-$AG$98)^2)</f>
        <v>1.549486511216988</v>
      </c>
      <c r="HL46" s="36" t="s">
        <v>313</v>
      </c>
      <c r="HM46" s="37" t="s">
        <v>120</v>
      </c>
      <c r="HO46" s="44"/>
      <c r="HP46" s="36">
        <f>SQRT((A46-$A$99)^2+(B46-$B$99)^2+(C46-$C$99)^2+(D46-$D$99)^2+(E46-$E$99)^2+(F46-$F$99)^2+(G46-$G$99)^2+(H46-$H$99)^2+(I46-$I$99)^2+(J46-$J$99)^2+(K46-$K$99)^2+(L46-$L$99)^2+(M46-$M$99)^2+(N46-$N$99)^2+(O46-$O$99)^2+(P46-$P$99)^2+(Q46-$Q$99)^2+(R46-$R$99)^2+(S46-$S$99)^2+(T46-$T$99)^2+(U46-$U$99)^2+(V46-$V$99)^2+(W46-$W$99)^2+(X46-$X$99)^2+(Y46-$Y$99)^2+(Z46-$Z$99)^2+(AA46-$AA$99)^2+(AB46-$AB$99)^2+(AC46-$AC$99)^2+(AD46-$AD$99)^2+(AE46-$AE$99)^2+(AF46-$AF$99)^2+(AG46-$AG$99)^2)</f>
        <v>1.549486511216988</v>
      </c>
      <c r="HQ46" s="36" t="s">
        <v>313</v>
      </c>
      <c r="HR46" s="37" t="s">
        <v>120</v>
      </c>
      <c r="HT46" s="44"/>
      <c r="HU46" s="36">
        <f>SQRT((A46-$A$100)^2+(B46-$B$100)^2+(C46-$C$100)^2+(D46-$D$100)^2+(E46-$E$100)^2+(F46-$F$100)^2+(G46-$G$100)^2+(H46-$H$100)^2+(I46-$I$100)^2+(J46-$J$100)^2+(K46-$K$100)^2+(L46-$L$100)^2+(M46-$M$100)^2+(N46-$N$100)^2+(O46-$O$100)^2+(P46-$P$100)^2+(Q46-$Q$100)^2+(R46-$R$100)^2+(S46-$S$100)^2+(T46-$T$100)^2+(U46-$U$100)^2+(V46-$V$100)^2+(W46-$W$100)^2+(X46-$X$100)^2+(Y46-$Y$100)^2+(Z46-$Z$100)^2+(AA46-$AA$100)^2+(AB46-$AB$100)^2+(AC46-$AC$100)^2+(AD46-$AD$100)^2+(AE46-$AE$100)^2+(AF46-$AF$100)^2+(AG46-$AG$100)^2)</f>
        <v>1.549486511216988</v>
      </c>
      <c r="HV46" s="36" t="s">
        <v>313</v>
      </c>
      <c r="HW46" s="37" t="s">
        <v>120</v>
      </c>
      <c r="HY46" s="44"/>
      <c r="HZ46" s="36">
        <f>SQRT((A46-$A$101)^2+(B46-$B$101)^2+(C46-$C$101)^2+(D46-$D$101)^2+(E46-$E$101)^2+(F46-$F$101)^2+(G46-$G$101)^2+(H46-$H$101)^2+(I46-$I$101)^2+(J46-$J$101)^2+(K46-$K$101)^2+(L46-$L$101)^2+(M46-$M$101)^2+(N46-$N$101)^2+(O46-$O$101)^2+(P46-$P$101)^2+(Q46-$Q$101)^2+(R46-$R$101)^2+(S46-$S$101)^2+(T46-$T$101)^2+(U46-$U$101)^2+(V46-$V$101)^2+(W46-$W$101)^2+(X46-$X$101)^2+(Y46-$Y$101)^2+(Z46-$Z$101)^2+(AA46-$AA$101)^2+(AB46-$AB$101)^2+(AC46-$AC$101)^2+(AD46-$AD$101)^2+(AE46-$AE$101)^2+(AF46-$AF$101)^2+(AG46-$AG$101)^2)</f>
        <v>0.60392236439978098</v>
      </c>
      <c r="IA46" s="36" t="s">
        <v>316</v>
      </c>
      <c r="IB46" s="37" t="s">
        <v>120</v>
      </c>
    </row>
    <row r="47" spans="1:236" x14ac:dyDescent="0.35">
      <c r="A47" s="2">
        <v>0</v>
      </c>
      <c r="B47" s="2">
        <v>0.25</v>
      </c>
      <c r="C47" s="2">
        <v>0.33333333333333298</v>
      </c>
      <c r="D47" s="2">
        <v>0.66666666666666596</v>
      </c>
      <c r="E47" s="2">
        <v>0</v>
      </c>
      <c r="F47" s="2">
        <v>1</v>
      </c>
      <c r="G47" s="2">
        <v>0.55555555555555503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0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0</v>
      </c>
      <c r="AH47" s="2" t="s">
        <v>120</v>
      </c>
      <c r="AI47" s="42"/>
      <c r="AJ47" s="42"/>
      <c r="AL47" s="44"/>
      <c r="AM47" s="36">
        <f>SQRT((A47-$A$62)^2+(B47-$B$62)^2+(C47-$C$62)^2+(D47-$D$62)^2+(E47-$E$62)^2+(F47-$F$62)^2+(G47-$G$62)^2+(H47-$H$62)^2+(I47-$I$62)^2+(J47-$J$62)^2+(K47-$K$62)^2+(L47-$L$62)^2+(M47-$M$62)^2+(N47-$N$62)^2+(O47-$O$62)^2+(P47-$P$62)^2+(Q47-$Q$62)^2+(R47-$R$62)^2+(S47-$S$62)^2+(T47-$T$62)^2+(U47-$U$62)^2+(V47-$V$62)^2+(W47-$W$62)^2+(X47-$X$62)^2+(Y47-$Y$62)^2+(Z47-$Z$62)^2+(AA47-$AA$62)^2+(AB47-$AB$62)^2+(AC47-$AC$62)^2+(AD47-$AD$62)^2+(AE47-$AE$62)^2+(AF47-$AF$62)^2+(AG47-$AG$62)^2)</f>
        <v>1.9961073228773156</v>
      </c>
      <c r="AN47" s="36" t="s">
        <v>142</v>
      </c>
      <c r="AO47" s="37" t="s">
        <v>120</v>
      </c>
      <c r="AQ47" s="44"/>
      <c r="AR47" s="36">
        <f>SQRT((A47-$A$63)^2+(B47-$B$63)^2+(C47-$C$63)^2+(D47-$D$63)^2+(E47-$E$63)^2+(F47-$F$63)^2+(G47-$G$63)^2+(H47-$H$63)^2+(I47-$I$63)^2+(J47-$J$63)^2+(K47-$K$63)^2+(L47-$L$63)^2+(M47-$M$63)^2+(N47-$N$63)^2+(O47-$O$63)^2+(P47-$P$63)^2+(Q47-$Q$63)^2+(R47-$R$63)^2+(S47-$S$63)^2+(T47-$T$63)^2+(U47-$U$63)^2+(V47-$V$63)^2+(W47-$W$63)^2+(X47-$X$63)^2+(Y47-$Y$63)^2+(Z47-$Z$63)^2+(AA47-$AA$63)^2+(AB47-$AB$63)^2+(AC47-$AC$63)^2+(AD47-$AD$63)^2+(AE47-$AE$63)^2+(AF47-$AF$63)^2+(AG47-$AG$63)^2)</f>
        <v>0.92587713968465313</v>
      </c>
      <c r="AS47" s="36" t="s">
        <v>324</v>
      </c>
      <c r="AT47" s="37" t="s">
        <v>120</v>
      </c>
      <c r="AV47" s="44"/>
      <c r="AW47" s="36">
        <f>SQRT((A47-$A$64)^2+(B47-$B$64)^2+(C47-$C$64)^2+(D47-$D$64)^2+(E47-$E$64)^2+(F47-$F$64)^2+(G47-$G$64)^2+(H47-$H$64)^2+(I47-$I$64)^2+(J47-$J$64)^2+(K47-$K$64)^2+(L47-$L$64)^2+(M47-$M$64)^2+(N47-$N$64)^2+(O47-$O$64)^2+(P47-$P$64)^2+(Q47-$Q$64)^2+(R47-$R$64)^2+(S47-$S$64)^2+(T47-$T$64)^2+(U47-$U$64)^2+(V47-$V$64)^2+(W47-$W$64)^2+(X47-$X$64)^2+(Y47-$Y$64)^2+(Z47-$Z$64)^2+(AA47-$AA$64)^2+(AB47-$AB$64)^2+(AC47-$AC$64)^2+(AD47-$AD$64)^2+(AE47-$AE$64)^2+(AF47-$AF$64)^2+(AG47-$AG$64)^2)</f>
        <v>0.92587713968465313</v>
      </c>
      <c r="AX47" s="36" t="s">
        <v>324</v>
      </c>
      <c r="AY47" s="37" t="s">
        <v>120</v>
      </c>
      <c r="BA47" s="44"/>
      <c r="BB47" s="36">
        <f>SQRT((A47-$A$65)^2+(B47-$B$65)^2+(C47-$C$65)^2+(D47-$D$65)^2+(E47-$E$65)^2+(F47-$F$65)^2+(G47-$G$65)^2+(H47-$H$65)^2+(I47-$I$65)^2+(J47-$J$65)^2+(K47-$K$65)^2+(L47-$L$65)^2+(M47-$M$65)^2+(N47-$N$65)^2+(O47-$O$65)^2+(P47-$P$65)^2+(Q47-$Q$65)^2+(R47-$R$65)^2+(S47-$S$65)^2+(T47-$T$65)^2+(U47-$U$65)^2+(V47-$V$65)^2+(W47-$W$65)^2+(X47-$X$65)^2+(Y47-$Y$65)^2+(Z47-$Z$65)^2+(AA47-$AA$65)^2+(AB47-$AB$65)^2+(AC47-$AC$65)^2+(AD47-$AD$65)^2+(AE47-$AE$65)^2+(AF47-$AF$65)^2+(AG47-$AG$65)^2)</f>
        <v>0.92587713968465313</v>
      </c>
      <c r="BC47" s="36" t="s">
        <v>324</v>
      </c>
      <c r="BD47" s="37" t="s">
        <v>120</v>
      </c>
      <c r="BF47" s="44"/>
      <c r="BG47" s="36">
        <f>SQRT((A47-$A$66)^2+(B47-$B$66)^2+(C47-$C$66)^2+(D47-$D$66)^2+(E47-$E$66)^2+(F47-$F$66)^2+(G47-$G$66)^2+(H47-$H$66)^2+(I47-$I$66)^2+(J47-$J$66)^2+(K47-$K$66)^2+(L47-$L$66)^2+(M47-$M$66)^2+(N47-$N$66)^2+(O47-$O$66)^2+(P47-$P$66)^2+(Q47-$Q$66)^2+(R47-$R$66)^2+(S47-$S$66)^2+(T47-$T$66)^2+(U47-$U$66)^2+(V47-$V$66)^2+(W47-$W$66)^2+(X47-$X$66)^2+(Y47-$Y$66)^2+(Z47-$Z$66)^2+(AA47-$AA$66)^2+(AB47-$AB$66)^2+(AC47-$AC$66)^2+(AD47-$AD$66)^2+(AE47-$AE$66)^2+(AF47-$AF$66)^2+(AG47-$AG$66)^2)</f>
        <v>0.92587713968465313</v>
      </c>
      <c r="BH47" s="36" t="s">
        <v>324</v>
      </c>
      <c r="BI47" s="37" t="s">
        <v>120</v>
      </c>
      <c r="BK47" s="44"/>
      <c r="BL47" s="36">
        <f>SQRT((A47-$A$67)^2+(B47-$B$67)^2+(C47-$C$67)^2+(D47-$D$67)^2+(E47-$E$67)^2+(F47-$F$67)^2+(G47-$G$67)^2+(H47-$H$67)^2+(I47-$I$67)^2+(J47-$J$67)^2+(K47-$K$67)^2+(L47-$L$67)^2+(M47-$M$67)^2+(N47-$N$67)^2+(O47-$O$67)^2+(P47-$P$67)^2+(Q47-$Q$67)^2+(R47-$R$67)^2+(S47-$S$67)^2+(T47-$T$67)^2+(U47-$U$67)^2+(V47-$V$67)^2+(W47-$W$67)^2+(X47-$X$67)^2+(Y47-$Y$67)^2+(Z47-$Z$67)^2+(AA47-$AA$67)^2+(AB47-$AB$67)^2+(AC47-$AC$67)^2+(AD47-$AD$67)^2+(AE47-$AE$67)^2+(AF47-$AF$67)^2+(AG47-$AG$67)^2)</f>
        <v>0.92587713968465313</v>
      </c>
      <c r="BM47" s="36" t="s">
        <v>324</v>
      </c>
      <c r="BN47" s="37" t="s">
        <v>120</v>
      </c>
      <c r="BP47" s="44"/>
      <c r="BQ47" s="36">
        <f>SQRT((A47-$A$68)^2+(B47-$B$68)^2+(C47-$C$68)^2+(D47-$D$68)^2+(E47-$E$68)^2+(F47-$F$68)^2+(G47-$G$68)^2+(H47-$H$68)^2+(I47-$I$68)^2+(J47-$J$68)^2+(K47-$K$68)^2+(L47-$L$68)^2+(M47-$M$68)^2+(N47-$N$68)^2+(O47-$O$68)^2+(P47-$P$68)^2+(Q47-$Q$68)^2+(R47-$R$68)^2+(S47-$S$68)^2+(T47-$T$68)^2+(U47-$U$68)^2+(V47-$V$68)^2+(W47-$W$68)^2+(X47-$X$68)^2+(Y47-$Y$68)^2+(Z47-$Z$68)^2+(AA47-$AA$68)^2+(AB47-$AB$68)^2+(AC47-$AC$68)^2+(AD47-$AD$68)^2+(AE47-$AE$68)^2+(AF47-$AF$68)^2+(AG47-$AG$68)^2)</f>
        <v>0.92587713968465313</v>
      </c>
      <c r="BR47" s="36" t="s">
        <v>324</v>
      </c>
      <c r="BS47" s="37" t="s">
        <v>120</v>
      </c>
      <c r="BU47" s="44"/>
      <c r="BV47" s="36">
        <f>SQRT((A47-$A$69)^2+(B47-$B$69)^2+(C47-$C$69)^2+(D47-$D$69)^2+(E47-$E$69)^2+(F47-$F$69)^2+(G47-$G$69)^2+(H47-$H$69)^2+(I47-$I$69)^2+(J47-$J$69)^2+(K47-$K$69)^2+(L47-$L$69)^2+(M47-$M$69)^2+(N47-$N$69)^2+(O47-$O$69)^2+(P47-$P$69)^2+(Q47-$Q$69)^2+(R47-$R$69)^2+(S47-$S$69)^2+(T47-$T$69)^2+(U47-$U$69)^2+(V47-$V$69)^2+(W47-$W$69)^2+(X47-$X$69)^2+(Y47-$Y$69)^2+(Z47-$Z$69)^2+(AA47-$AA$69)^2+(AB47-$AB$69)^2+(AC47-$AC$69)^2+(AD47-$AD$69)^2+(AE47-$AE$69)^2+(AF47-$AF$69)^2+(AG47-$AG$69)^2)</f>
        <v>2.2897771950815238</v>
      </c>
      <c r="BW47" s="36" t="s">
        <v>145</v>
      </c>
      <c r="BX47" s="37" t="s">
        <v>120</v>
      </c>
      <c r="BZ47" s="44"/>
      <c r="CA47" s="36">
        <f>SQRT((A47-$A$70)^2+(B47-$B$70)^2+(C47-$C$70)^2+(D47-$D$70)^2+(E47-$E$70)^2+(F47-$F$70)^2+(G47-$G$70)^2+(H47-$H$70)^2+(I47-$I$70)^2+(J47-$J$70)^2+(K47-$K$70)^2+(L47-$L$70)^2+(M47-$M$70)^2+(N47-$N$70)^2+(O47-$O$70)^2+(P47-$P$70)^2+(Q47-$Q$70)^2+(R47-$R$70)^2+(S47-$S$70)^2+(T47-$T$70)^2+(U47-$U$70)^2+(V47-$V$70)^2+(W47-$W$70)^2+(X47-$X$70)^2+(Y47-$Y$70)^2+(Z47-$Z$70)^2+(AA47-$AA$70)^2+(AB47-$AB$70)^2+(AC47-$AC$70)^2+(AD47-$AD$70)^2+(AE47-$AE$70)^2+(AF47-$AF$70)^2+(AG47-$AG$70)^2)</f>
        <v>0.83163945433191522</v>
      </c>
      <c r="CB47" s="36" t="s">
        <v>146</v>
      </c>
      <c r="CC47" s="37" t="s">
        <v>120</v>
      </c>
      <c r="CE47" s="44"/>
      <c r="CF47" s="36">
        <f>SQRT((A47-$A$71)^2+(B47-$B$71)^2+(C47-$C$71)^2+(D47-$D$71)^2+(E47-$E$71)^2+(F47-$F$71)^2+(G47-$G$71)^2+(H47-$H$71)^2+(I47-$I$71)^2+(J47-$J$71)^2+(K47-$K$71)^2+(L47-$L$71)^2+(M47-$M$71)^2+(N47-$N$71)^2+(O47-$O$71)^2+(P47-$P$71)^2+(Q47-$Q$71)^2+(R47-$R$71)^2+(S47-$S$71)^2+(T47-$T$71)^2+(U47-$U$71)^2+(V47-$V$71)^2+(W47-$W$71)^2+(X47-$X$71)^2+(Y47-$Y$71)^2+(Z47-$Z$71)^2+(AA47-$AA$71)^2+(AB47-$AB$71)^2+(AC47-$AC$71)^2+(AD47-$AD$71)^2+(AE47-$AE$71)^2+(AF47-$AF$71)^2+(AG47-$AG$71)^2)</f>
        <v>1.2488713855145541</v>
      </c>
      <c r="CG47" s="36" t="s">
        <v>315</v>
      </c>
      <c r="CH47" s="37" t="s">
        <v>120</v>
      </c>
      <c r="CJ47" s="44"/>
      <c r="CK47" s="36">
        <f>SQRT((A47-$A$72)^2+(B47-$B$72)^2+(C47-$C$72)^2+(D47-$D$72)^2+(E47-$E$72)^2+(F47-$F$72)^2+(G47-$G$72)^2+(H47-$H$72)^2+(I47-$I$72)^2+(J47-$J$72)^2+(K47-$K$72)^2+(L47-$L$72)^2+(M47-$M$72)^2+(N47-$N$72)^2+(O47-$O$72)^2+(P47-$P$72)^2+(Q47-$Q$72)^2+(R47-$R$72)^2+(S47-$S$72)^2+(T47-$T$72)^2+(U47-$U$72)^2+(V47-$V$72)^2+(W47-$W$72)^2+(X47-$X$72)^2+(Y47-$Y$72)^2+(Z47-$Z$72)^2+(AA47-$AA$72)^2+(AB47-$AB$72)^2+(AC47-$AC$72)^2+(AD47-$AD$72)^2+(AE47-$AE$72)^2+(AF47-$AF$72)^2+(AG47-$AG$72)^2)</f>
        <v>1.7743771598671674</v>
      </c>
      <c r="CL47" s="36" t="s">
        <v>142</v>
      </c>
      <c r="CM47" s="37" t="s">
        <v>120</v>
      </c>
      <c r="CO47" s="44"/>
      <c r="CP47" s="36">
        <f>SQRT((A47-$A$73)^2+(B47-$B$73)^2+(C47-$C$73)^2+(D47-$D$73)^2+(E47-$E$73)^2+(F47-$F$73)^2+(G47-$G$73)^2+(H47-$H$73)^2+(I47-$I$73)^2+(J47-$J$73)^2+(K47-$K$73)^2+(L47-$L$73)^2+(M47-$M$73)^2+(N47-$N$73)^2+(O47-$O$73)^2+(P47-$P$73)^2+(Q47-$Q$73)^2+(R47-$R$73)^2+(S47-$S$73)^2+(T47-$T$73)^2+(U47-$U$73)^2+(V47-$V$73)^2+(W47-$W$73)^2+(X47-$X$73)^2+(Y47-$Y$73)^2+(Z47-$Z$73)^2+(AA47-$AA$73)^2+(AB47-$AB$73)^2+(AC47-$AC$73)^2+(AD47-$AD$73)^2+(AE47-$AE$73)^2+(AF47-$AF$73)^2+(AG47-$AG$73)^2)</f>
        <v>1.2494443209327541</v>
      </c>
      <c r="CQ47" s="36" t="s">
        <v>137</v>
      </c>
      <c r="CR47" s="37" t="s">
        <v>120</v>
      </c>
      <c r="CT47" s="44"/>
      <c r="CU47" s="36">
        <f>SQRT((A47-$A$74)^2+(B47-$B$74)^2+(C47-$C$74)^2+(D47-$D$74)^2+(E47-$E$74)^2+(F47-$F$74)^2+(G47-$G$74)^2+(H47-$H$74)^2+(I47-$I$74)^2+(J47-$J$74)^2+(K47-$K$74)^2+(L47-$L$74)^2+(M47-$M$74)^2+(N47-$N$74)^2+(O47-$O$74)^2+(P47-$P$74)^2+(Q47-$Q$74)^2+(R47-$R$74)^2+(S47-$S$74)^2+(T47-$T$74)^2+(U47-$U$74)^2+(V47-$V$74)^2+(W47-$W$74)^2+(X47-$X$74)^2+(Y47-$Y$74)^2+(Z47-$Z$74)^2+(AA47-$AA$74)^2+(AB47-$AB$74)^2+(AC47-$AC$74)^2+(AD47-$AD$74)^2+(AE47-$AE$74)^2+(AF47-$AF$74)^2+(AG47-$AG$74)^2)</f>
        <v>1.6309506430300091</v>
      </c>
      <c r="CV47" s="36" t="s">
        <v>326</v>
      </c>
      <c r="CW47" s="37" t="s">
        <v>120</v>
      </c>
      <c r="CY47" s="44"/>
      <c r="CZ47" s="36">
        <f>SQRT((A47-$A$75)^2+(B47-$B$75)^2+(C47-$C$75)^2+(D47-$D$75)^2+(E47-$E$75)^2+(F47-$F$75)^2+(G47-$G$75)^2+(H47-$H$75)^2+(I47-$I$75)^2+(J47-$J$75)^2+(K47-$K$75)^2+(L47-$L$75)^2+(M47-$M$75)^2+(N47-$N$75)^2+(O47-$O$75)^2+(P47-$P$75)^2+(Q47-$Q$75)^2+(R47-$R$75)^2+(S47-$S$75)^2+(T47-$T$75)^2+(U47-$U$75)^2+(V47-$V$75)^2+(W47-$W$75)^2+(X47-$X$75)^2+(Y47-$Y$75)^2+(Z47-$Z$75)^2+(AA47-$AA$75)^2+(AB47-$AB$75)^2+(AC47-$AC$75)^2+(AD47-$AD$75)^2+(AE47-$AE$75)^2+(AF47-$AF$75)^2+(AG47-$AG$75)^2)</f>
        <v>1.5740958604156794</v>
      </c>
      <c r="DA47" s="36" t="s">
        <v>316</v>
      </c>
      <c r="DB47" s="37" t="s">
        <v>120</v>
      </c>
      <c r="DD47" s="44"/>
      <c r="DE47" s="36">
        <f>SQRT((A47-$A$76)^2+(B47-$B$76)^2+(C47-$C$76)^2+(D47-$D$76)^2+(E47-$E$76)^2+(F47-$F$76)^2+(G47-$G$76)^2+(H47-$H$76)^2+(I47-$I$76)^2+(J47-$J$76)^2+(K47-$K$76)^2+(L47-$L$76)^2+(M47-$M$76)^2+(N47-$N$76)^2+(O47-$O$76)^2+(P47-$P$76)^2+(Q47-$Q$76)^2+(R47-$R$76)^2+(S47-$S$76)^2+(T47-$T$76)^2+(U47-$U$76)^2+(V47-$V$76)^2+(W47-$W$76)^2+(X47-$X$76)^2+(Y47-$Y$76)^2+(Z47-$Z$76)^2+(AA47-$AA$76)^2+(AB47-$AB$76)^2+(AC47-$AC$76)^2+(AD47-$AD$76)^2+(AE47-$AE$76)^2+(AF47-$AF$76)^2+(AG47-$AG$76)^2)</f>
        <v>1.3695092389449421</v>
      </c>
      <c r="DF47" s="36" t="s">
        <v>316</v>
      </c>
      <c r="DG47" s="37" t="s">
        <v>120</v>
      </c>
      <c r="DI47" s="44"/>
      <c r="DJ47" s="36">
        <f>SQRT((A47-$A$77)^2+(B47-$B$77)^2+(C47-$C$77)^2+(D47-$D$77)^2+(E47-$E$77)^2+(F47-$F$77)^2+(G47-$G$77)^2+(H47-$H$77)^2+(I47-$I$77)^2+(J47-$J$77)^2+(K47-$K$77)^2+(L47-$L$77)^2+(M47-$M$77)^2+(N47-$N$77)^2+(O47-$O$77)^2+(P47-$P$77)^2+(Q47-$Q$77)^2+(R47-$R$77)^2+(S47-$S$77)^2+(T47-$T$77)^2+(U47-$U$77)^2+(V47-$V$77)^2+(W47-$W$77)^2+(X47-$X$77)^2+(Y47-$Y$77)^2+(Z47-$Z$77)^2+(AA47-$AA$77)^2+(AB47-$AB$77)^2+(AC47-$AC$77)^2+(AD47-$AD$77)^2+(AE47-$AE$77)^2+(AF47-$AF$77)^2+(AG47-$AG$77)^2)</f>
        <v>2.1045585443666486</v>
      </c>
      <c r="DK47" s="36" t="s">
        <v>134</v>
      </c>
      <c r="DL47" s="37" t="s">
        <v>120</v>
      </c>
      <c r="DN47" s="44"/>
      <c r="DO47" s="36">
        <f>SQRT((A47-$A$78)^2+(B47-$B$78)^2+(C47-$C$78)^2+(D47-$D$78)^2+(E47-$E$78)^2+(F47-$F$78)^2+(G47-$G$78)^2+(H47-$H$78)^2+(I47-$I$78)^2+(J47-$J$78)^2+(K47-$K$78)^2+(L47-$L$78)^2+(M47-$M$78)^2+(N47-$N$78)^2+(O47-$O$78)^2+(P47-$P$78)^2+(Q47-$Q$78)^2+(R47-$R$78)^2+(S47-$S$78)^2+(T47-$T$78)^2+(U47-$U$78)^2+(V47-$V$78)^2+(W47-$W$78)^2+(X47-$X$78)^2+(Y47-$Y$78)^2+(Z47-$Z$78)^2+(AA47-$AA$78)^2+(AB47-$AB$78)^2+(AC47-$AC$78)^2+(AD47-$AD$78)^2+(AE47-$AE$78)^2+(AF47-$AF$78)^2+(AG47-$AG$78)^2)</f>
        <v>0.83046292033165947</v>
      </c>
      <c r="DP47" s="36" t="s">
        <v>329</v>
      </c>
      <c r="DQ47" s="37" t="s">
        <v>120</v>
      </c>
      <c r="DS47" s="44"/>
      <c r="DT47" s="36">
        <f>SQRT((A47-$A$79)^2+(B47-$B$79)^2+(C47-$C$79)^2+(D47-$D$79)^2+(E47-$E$79)^2+(F47-$F$79)^2+(G47-$G$79)^2+(H47-$H$79)^2+(I47-$I$79)^2+(J47-$J$79)^2+(K47-$K$79)^2+(L47-$L$79)^2+(M47-$M$79)^2+(N47-$N$79)^2+(O47-$O$79)^2+(P47-$P$79)^2+(Q47-$Q$79)^2+(R47-$R$79)^2+(S47-$S$79)^2+(T47-$T$79)^2+(U47-$U$79)^2+(V47-$V$79)^2+(W47-$W$79)^2+(X47-$X$79)^2+(Y47-$Y$79)^2+(Z47-$Z$79)^2+(AA47-$AA$79)^2+(AB47-$AB$79)^2+(AC47-$AC$79)^2+(AD47-$AD$79)^2+(AE47-$AE$79)^2+(AF47-$AF$79)^2+(AG47-$AG$79)^2)</f>
        <v>1.4964540414078114</v>
      </c>
      <c r="DU47" s="36" t="s">
        <v>134</v>
      </c>
      <c r="DV47" s="37" t="s">
        <v>120</v>
      </c>
      <c r="DX47" s="44"/>
      <c r="DY47" s="36">
        <f>SQRT((A47-$A$80)^2+(B47-$B$80)^2+(C47-$C$80)^2+(D47-$D$80)^2+(E47-$E$80)^2+(F47-$F$80)^2+(G47-$G$80)^2+(H47-$H$80)^2+(I47-$I$80)^2+(J47-$J$80)^2+(K47-$K$80)^2+(L47-$L$80)^2+(M47-$M$80)^2+(N47-$N$80)^2+(O47-$O$80)^2+(P47-$P$80)^2+(Q47-$Q$80)^2+(R47-$R$80)^2+(S47-$S$80)^2+(T47-$T$80)^2+(U47-$U$80)^2+(V47-$V$80)^2+(W47-$W$80)^2+(X47-$X$80)^2+(Y47-$Y$80)^2+(Z47-$Z$80)^2+(AA47-$AA$80)^2+(AB47-$AB$80)^2+(AC47-$AC$80)^2+(AD47-$AD$80)^2+(AE47-$AE$80)^2+(AF47-$AF$80)^2+(AG47-$AG$80)^2)</f>
        <v>1.8764623926716759</v>
      </c>
      <c r="DZ47" s="36" t="s">
        <v>134</v>
      </c>
      <c r="EA47" s="37" t="s">
        <v>120</v>
      </c>
      <c r="EC47" s="44"/>
      <c r="ED47" s="36">
        <f>SQRT((A47-$A$81)^2+(B47-$B$81)^2+(C47-$C$81)^2+(D47-$D$81)^2+(E47-$E$81)^2+(F47-$F$81)^2+(G47-$G$81)^2+(H47-$H$81)^2+(I47-$I$81)^2+(J47-$J$81)^2+(K47-$K$81)^2+(L47-$L$81)^2+(M47-$M$81)^2+(N47-$N$81)^2+(O47-$O$81)^2+(P47-$P$81)^2+(Q47-$Q$81)^2+(R47-$R$81)^2+(S47-$S$81)^2+(T47-$T$81)^2+(U47-$U$81)^2+(V47-$V$81)^2+(W47-$W$81)^2+(X47-$X$81)^2+(Y47-$Y$81)^2+(Z47-$Z$81)^2+(AA47-$AA$81)^2+(AB47-$AB$81)^2+(AC47-$AC$81)^2+(AD47-$AD$81)^2+(AE47-$AE$81)^2+(AF47-$AF$81)^2+(AG47-$AG$81)^2)</f>
        <v>1.932542941883109</v>
      </c>
      <c r="EE47" s="36" t="s">
        <v>124</v>
      </c>
      <c r="EF47" s="37" t="s">
        <v>120</v>
      </c>
      <c r="EH47" s="44"/>
      <c r="EI47" s="36">
        <f>SQRT((A47-$A$82)^2+(B47-$B$82)^2+(C47-$C$82)^2+(D47-$D$82)^2+(E47-$E$82)^2+(F47-$F$82)^2+(G47-$G$82)^2+(H47-$H$82)^2+(I47-$I$82)^2+(J47-$J$82)^2+(K47-$K$82)^2+(L47-$L$82)^2+(M47-$M$82)^2+(N47-$N$82)^2+(O47-$O$82)^2+(P47-$P$82)^2+(Q47-$Q$82)^2+(R47-$R$82)^2+(S47-$S$82)^2+(T47-$T$82)^2+(U47-$U$82)^2+(V47-$V$82)^2+(W47-$W$82)^2+(X47-$X$82)^2+(Y47-$Y$82)^2+(Z47-$Z$82)^2+(AA47-$AA$82)^2+(AB47-$AB$82)^2+(AC47-$AC$82)^2+(AD47-$AD$82)^2+(AE47-$AE$82)^2+(AF47-$AF$82)^2+(AG47-$AG$82)^2)</f>
        <v>1.2340996699534124</v>
      </c>
      <c r="EJ47" s="36" t="s">
        <v>138</v>
      </c>
      <c r="EK47" s="37" t="s">
        <v>120</v>
      </c>
      <c r="EM47" s="44"/>
      <c r="EN47" s="36">
        <f>SQRT((A47-$A$83)^2+(B47-$B$83)^2+(C47-$C$83)^2+(D47-$D$83)^2+(E47-$E$83)^2+(F47-$F$83)^2+(G47-$G$83)^2+(H47-$H$83)^2+(I47-$I$83)^2+(J47-$J$83)^2+(K47-$K$83)^2+(L47-$L$83)^2+(M47-$M$83)^2+(N47-$N$83)^2+(O47-$O$83)^2+(P47-$P$83)^2+(Q47-$Q$83)^2+(R47-$R$83)^2+(S47-$S$83)^2+(T47-$T$83)^2+(U47-$U$83)^2+(V47-$V$83)^2+(W47-$W$83)^2+(X47-$X$83)^2+(Y47-$Y$83)^2+(Z47-$Z$83)^2+(AA47-$AA$83)^2+(AB47-$AB$83)^2+(AC47-$AC$83)^2+(AD47-$AD$83)^2+(AE47-$AE$83)^2+(AF47-$AF$83)^2+(AG47-$AG$83)^2)</f>
        <v>0.93375097551114272</v>
      </c>
      <c r="EO47" s="36" t="s">
        <v>324</v>
      </c>
      <c r="EP47" s="37" t="s">
        <v>120</v>
      </c>
      <c r="ER47" s="44"/>
      <c r="ES47" s="36">
        <f>SQRT((A47-$A$84)^2+(B47-$B$84)^2+(C47-$C$84)^2+(D47-$D$84)^2+(E47-$E$84)^2+(F47-$F$84)^2+(G47-$G$84)^2+(H47-$H$84)^2+(I47-$I$84)^2+(J47-$J$84)^2+(K47-$K$84)^2+(L47-$L$84)^2+(M47-$M$84)^2+(N47-$N$84)^2+(O47-$O$84)^2+(P47-$P$84)^2+(Q47-$Q$84)^2+(R47-$R$84)^2+(S47-$S$84)^2+(T47-$T$84)^2+(U47-$U$84)^2+(V47-$V$84)^2+(W47-$W$84)^2+(X47-$X$84)^2+(Y47-$Y$84)^2+(Z47-$Z$84)^2+(AA47-$AA$84)^2+(AB47-$AB$84)^2+(AC47-$AC$84)^2+(AD47-$AD$84)^2+(AE47-$AE$84)^2+(AF47-$AF$84)^2+(AG47-$AG$84)^2)</f>
        <v>0.92587713968465313</v>
      </c>
      <c r="ET47" s="36" t="s">
        <v>324</v>
      </c>
      <c r="EU47" s="37" t="s">
        <v>120</v>
      </c>
      <c r="EW47" s="44"/>
      <c r="EX47" s="36">
        <f>SQRT((A47-$A$85)^2+(B47-$B$85)^2+(C47-$C$85)^2+(D47-$D$85)^2+(E47-$E$85)^2+(F47-$F$85)^2+(G47-$G$85)^2+(H47-$H$85)^2+(I47-$I$85)^2+(J47-$J$85)^2+(K47-$K$85)^2+(L47-$L$85)^2+(M47-$M$85)^2+(N47-$N$85)^2+(O47-$O$85)^2+(P47-$P$85)^2+(Q47-$Q$85)^2+(R47-$R$85)^2+(S47-$S$85)^2+(T47-$T$85)^2+(U47-$U$85)^2+(V47-$V$85)^2+(W47-$W$85)^2+(X47-$X$85)^2+(Y47-$Y$85)^2+(Z47-$Z$85)^2+(AA47-$AA$85)^2+(AB47-$AB$85)^2+(AC47-$AC$85)^2+(AD47-$AD$85)^2+(AE47-$AE$85)^2+(AF47-$AF$85)^2+(AG47-$AG$85)^2)</f>
        <v>0.92587713968465313</v>
      </c>
      <c r="EY47" s="36" t="s">
        <v>324</v>
      </c>
      <c r="EZ47" s="37" t="s">
        <v>120</v>
      </c>
      <c r="FB47" s="44"/>
      <c r="FC47" s="36">
        <f>SQRT((A47-$A$86)^2+(B47-$B$86)^2+(C47-$C$86)^2+(D47-$D$86)^2+(E47-$E$86)^2+(F47-$F$86)^2+(G47-$G$86)^2+(H47-$H$86)^2+(I47-$I$86)^2+(J47-$J$86)^2+(K47-$K$86)^2+(L47-$L$86)^2+(M47-$M$86)^2+(N47-$N$86)^2+(O47-$O$86)^2+(P47-$P$86)^2+(Q47-$Q$86)^2+(R47-$R$86)^2+(S47-$S$86)^2+(T47-$T$86)^2+(U47-$U$86)^2+(V47-$V$86)^2+(W47-$W$86)^2+(X47-$X$86)^2+(Y47-$Y$86)^2+(Z47-$Z$86)^2+(AA47-$AA$86)^2+(AB47-$AB$86)^2+(AC47-$AC$86)^2+(AD47-$AD$86)^2+(AE47-$AE$86)^2+(AF47-$AF$86)^2+(AG47-$AG$86)^2)</f>
        <v>0.92587713968465313</v>
      </c>
      <c r="FD47" s="36" t="s">
        <v>324</v>
      </c>
      <c r="FE47" s="37" t="s">
        <v>120</v>
      </c>
      <c r="FG47" s="44"/>
      <c r="FH47" s="36">
        <f>SQRT((A47-$A$87)^2+(B47-$B$87)^2+(C47-$C$87)^2+(D47-$D$87)^2+(E47-$E$87)^2+(F47-$F$87)^2+(G47-$G$87)^2+(H47-$H$87)^2+(I47-$I$87)^2+(J47-$J$87)^2+(K47-$K$87)^2+(L47-$L$87)^2+(M47-$M$87)^2+(N47-$N$87)^2+(O47-$O$87)^2+(P47-$P$87)^2+(Q47-$Q$87)^2+(R47-$R$87)^2+(S47-$S$87)^2+(T47-$T$87)^2+(U47-$U$87)^2+(V47-$V$87)^2+(W47-$W$87)^2+(X47-$X$87)^2+(Y47-$Y$87)^2+(Z47-$Z$87)^2+(AA47-$AA$87)^2+(AB47-$AB$87)^2+(AC47-$AC$87)^2+(AD47-$AD$87)^2+(AE47-$AE$87)^2+(AF47-$AF$87)^2+(AG47-$AG$87)^2)</f>
        <v>0.38873012632301973</v>
      </c>
      <c r="FI47" s="36" t="s">
        <v>143</v>
      </c>
      <c r="FJ47" s="37" t="s">
        <v>120</v>
      </c>
      <c r="FL47" s="44"/>
      <c r="FM47" s="36">
        <f>SQRT((A47-$A$88)^2+(B47-$B$88)^2+(C47-$C$88)^2+(D47-$D$88)^2+(E47-$E$88)^2+(F47-$F$88)^2+(G47-$G$88)^2+(H47-$H$88)^2+(I47-$I$88)^2+(J47-$J$88)^2+(K47-$K$88)^2+(L47-$L$88)^2+(M47-$M$88)^2+(N47-$N$88)^2+(O47-$O$88)^2+(P47-$P$88)^2+(Q47-$Q$88)^2+(R47-$R$88)^2+(S47-$S$88)^2+(T47-$T$88)^2+(U47-$U$88)^2+(V47-$V$88)^2+(W47-$W$88)^2+(X47-$X$88)^2+(Y47-$Y$88)^2+(Z47-$Z$88)^2+(AA47-$AA$88)^2+(AB47-$AB$88)^2+(AC47-$AC$88)^2+(AD47-$AD$88)^2+(AE47-$AE$88)^2+(AF47-$AF$88)^2+(AG47-$AG$88)^2)</f>
        <v>1.553655819100134</v>
      </c>
      <c r="FN47" s="36" t="s">
        <v>326</v>
      </c>
      <c r="FO47" s="37" t="s">
        <v>120</v>
      </c>
      <c r="FQ47" s="44"/>
      <c r="FR47" s="36">
        <f>SQRT((A47-$A$89)^2+(B47-$B$89)^2+(C47-$C$89)^2+(D47-$D$89)^2+(E47-$E$89)^2+(F47-$F$89)^2+(G47-$G$89)^2+(H47-$H$89)^2+(I47-$I$89)^2+(J47-$J$89)^2+(K47-$K$89)^2+(L47-$L$89)^2+(M47-$M$89)^2+(N47-$N$89)^2+(O47-$O$89)^2+(P47-$P$89)^2+(Q47-$Q$89)^2+(R47-$R$89)^2+(S47-$S$89)^2+(T47-$T$89)^2+(U47-$U$89)^2+(V47-$V$89)^2+(W47-$W$89)^2+(X47-$X$89)^2+(Y47-$Y$89)^2+(Z47-$Z$89)^2+(AA47-$AA$89)^2+(AB47-$AB$89)^2+(AC47-$AC$89)^2+(AD47-$AD$89)^2+(AE47-$AE$89)^2+(AF47-$AF$89)^2+(AG47-$AG$89)^2)</f>
        <v>2.0357908646136624</v>
      </c>
      <c r="FS47" s="36" t="s">
        <v>326</v>
      </c>
      <c r="FT47" s="37" t="s">
        <v>120</v>
      </c>
      <c r="FV47" s="44"/>
      <c r="FW47" s="36">
        <f>SQRT((A47-$A$90)^2+(B47-$B$90)^2+(C47-$C$90)^2+(D47-$D$90)^2+(E47-$E$90)^2+(F47-$F$90)^2+(G47-$G$90)^2+(H47-$H$90)^2+(I47-$I$90)^2+(J47-$J$90)^2+(K47-$K$90)^2+(L47-$L$90)^2+(M47-$M$90)^2+(N47-$N$90)^2+(O47-$O$90)^2+(P47-$P$90)^2+(Q47-$Q$90)^2+(R47-$R$90)^2+(S47-$S$90)^2+(T47-$T$90)^2+(U47-$U$90)^2+(V47-$V$90)^2+(W47-$W$90)^2+(X47-$X$90)^2+(Y47-$Y$90)^2+(Z47-$Z$90)^2+(AA47-$AA$90)^2+(AB47-$AB$90)^2+(AC47-$AC$90)^2+(AD47-$AD$90)^2+(AE47-$AE$90)^2+(AF47-$AF$90)^2+(AG47-$AG$90)^2)</f>
        <v>1.8856180831641265</v>
      </c>
      <c r="FX47" s="36" t="s">
        <v>135</v>
      </c>
      <c r="FY47" s="37" t="s">
        <v>120</v>
      </c>
      <c r="GA47" s="44"/>
      <c r="GB47" s="36">
        <f>SQRT((A47-$A$91)^2+(B47-$B$91)^2+(C47-$C$91)^2+(D47-$D$91)^2+(E47-$E$91)^2+(F47-$F$91)^2+(G47-$G$91)^2+(H47-$H$91)^2+(I47-$I$91)^2+(J47-$J$91)^2+(K47-$K$91)^2+(L47-$L$91)^2+(M47-$M$91)^2+(N47-$N$91)^2+(O47-$O$91)^2+(P47-$P$91)^2+(Q47-$Q$91)^2+(R47-$R$91)^2+(S47-$S$91)^2+(T47-$T$91)^2+(U47-$U$91)^2+(V47-$V$91)^2+(W47-$W$91)^2+(X47-$X$91)^2+(Y47-$Y$91)^2+(Z47-$Z$91)^2+(AA47-$AA$91)^2+(AB47-$AB$91)^2+(AC47-$AC$91)^2+(AD47-$AD$91)^2+(AE47-$AE$91)^2+(AF47-$AF$91)^2+(AG47-$AG$91)^2)</f>
        <v>2.0117018776261166</v>
      </c>
      <c r="GC47" s="36" t="s">
        <v>135</v>
      </c>
      <c r="GD47" s="37" t="s">
        <v>120</v>
      </c>
      <c r="GF47" s="44"/>
      <c r="GG47" s="36">
        <f>SQRT((A47-$A$92)^2+(B47-$B$92)^2+(C47-$C$92)^2+(D47-$D$92)^2+(E47-$E$92)^2+(F47-$F$92)^2+(G47-$G$92)^2+(H47-$H$92)^2+(I47-$I$92)^2+(J47-$J$92)^2+(K47-$K$92)^2+(L47-$L$92)^2+(M47-$M$92)^2+(N47-$N$92)^2+(O47-$O$92)^2+(P47-$P$92)^2+(Q47-$Q$92)^2+(R47-$R$92)^2+(S47-$S$92)^2+(T47-$T$92)^2+(U47-$U$92)^2+(V47-$V$92)^2+(W47-$W$92)^2+(X47-$X$92)^2+(Y47-$Y$92)^2+(Z47-$Z$92)^2+(AA47-$AA$92)^2+(AB47-$AB$92)^2+(AC47-$AC$92)^2+(AD47-$AD$92)^2+(AE47-$AE$92)^2+(AF47-$AF$92)^2+(AG47-$AG$92)^2)</f>
        <v>1.5802467331265211</v>
      </c>
      <c r="GH47" s="36" t="s">
        <v>323</v>
      </c>
      <c r="GI47" s="37" t="s">
        <v>120</v>
      </c>
      <c r="GK47" s="44"/>
      <c r="GL47" s="36">
        <f>SQRT((A47-$A$93)^2+(B47-$B$93)^2+(C47-$C$93)^2+(D47-$D$93)^2+(E47-$E$93)^2+(F47-$F$93)^2+(G47-$G$93)^2+(H47-$H$93)^2+(I47-$I$93)^2+(J47-$J$93)^2+(K47-$K$93)^2+(L47-$L$93)^2+(M47-$M$93)^2+(N47-$N$93)^2+(O47-$O$93)^2+(P47-$P$93)^2+(Q47-$Q$93)^2+(R47-$R$93)^2+(S47-$S$93)^2+(T47-$T$93)^2+(U47-$U$93)^2+(V47-$V$93)^2+(W47-$W$93)^2+(X47-$X$93)^2+(Y47-$Y$93)^2+(Z47-$Z$93)^2+(AA47-$AA$93)^2+(AB47-$AB$93)^2+(AC47-$AC$93)^2+(AD47-$AD$93)^2+(AE47-$AE$93)^2+(AF47-$AF$93)^2+(AG47-$AG$93)^2)</f>
        <v>2.0429417786885438</v>
      </c>
      <c r="GM47" s="36" t="s">
        <v>141</v>
      </c>
      <c r="GN47" s="37" t="s">
        <v>120</v>
      </c>
      <c r="GP47" s="44"/>
      <c r="GQ47" s="36">
        <f>SQRT((A47-$A$94)^2+(B47-$B$94)^2+(C47-$C$94)^2+(D47-$D$94)^2+(E47-$E$94)^2+(F47-$F$94)^2+(G47-$G$94)^2+(H47-$H$94)^2+(I47-$I$94)^2+(J47-$J$94)^2+(K47-$K$94)^2+(L47-$L$94)^2+(M47-$M$94)^2+(N47-$N$94)^2+(O47-$O$94)^2+(P47-$P$94)^2+(Q47-$Q$94)^2+(R47-$R$94)^2+(S47-$S$94)^2+(T47-$T$94)^2+(U47-$U$94)^2+(V47-$V$94)^2+(W47-$W$94)^2+(X47-$X$94)^2+(Y47-$Y$94)^2+(Z47-$Z$94)^2+(AA47-$AA$94)^2+(AB47-$AB$94)^2+(AC47-$AC$94)^2+(AD47-$AD$94)^2+(AE47-$AE$94)^2+(AF47-$AF$94)^2+(AG47-$AG$94)^2)</f>
        <v>0.79631219159964706</v>
      </c>
      <c r="GR47" s="36" t="s">
        <v>144</v>
      </c>
      <c r="GS47" s="37" t="s">
        <v>120</v>
      </c>
      <c r="GU47" s="44"/>
      <c r="GV47" s="36">
        <f>SQRT((A47-$A$95)^2+(B47-$B$95)^2+(C47-$C$95)^2+(D47-$D$95)^2+(E47-$E$95)^2+(F47-$F$95)^2+(G47-$G$95)^2+(H47-$H$95)^2+(I47-$I$95)^2+(J47-$J$95)^2+(K47-$K$95)^2+(L47-$L$95)^2+(M47-$M$95)^2+(N47-$N$95)^2+(O47-$O$95)^2+(P47-$P$95)^2+(Q47-$Q$95)^2+(R47-$R$95)^2+(S47-$S$95)^2+(T47-$T$95)^2+(U47-$U$95)^2+(V47-$V$95)^2+(W47-$W$95)^2+(X47-$X$95)^2+(Y47-$Y$95)^2+(Z47-$Z$95)^2+(AA47-$AA$95)^2+(AB47-$AB$95)^2+(AC47-$AC$95)^2+(AD47-$AD$95)^2+(AE47-$AE$95)^2+(AF47-$AF$95)^2+(AG47-$AG$95)^2)</f>
        <v>2.6650515942472857</v>
      </c>
      <c r="GW47" s="36" t="s">
        <v>337</v>
      </c>
      <c r="GX47" s="37" t="s">
        <v>120</v>
      </c>
      <c r="GZ47" s="44"/>
      <c r="HA47" s="36">
        <f>SQRT((A47-$A$96)^2+(B47-$B$96)^2+(C47-$C$96)^2+(D47-$D$96)^2+(E47-$E$96)^2+(F47-$F$96)^2+(G47-$G$96)^2+(H47-$H$96)^2+(I47-$I$96)^2+(J47-$J$96)^2+(K47-$K$96)^2+(L47-$L$96)^2+(M47-$M$96)^2+(N47-$N$96)^2+(O47-$O$96)^2+(P47-$P$96)^2+(Q47-$Q$96)^2+(R47-$R$96)^2+(S47-$S$96)^2+(T47-$T$96)^2+(U47-$U$96)^2+(V47-$V$96)^2+(W47-$W$96)^2+(X47-$X$96)^2+(Y47-$Y$96)^2+(Z47-$Z$96)^2+(AA47-$AA$96)^2+(AB47-$AB$96)^2+(AC47-$AC$96)^2+(AD47-$AD$96)^2+(AE47-$AE$96)^2+(AF47-$AF$96)^2+(AG47-$AG$96)^2)</f>
        <v>2.4734703466093046</v>
      </c>
      <c r="HB47" s="36" t="s">
        <v>316</v>
      </c>
      <c r="HC47" s="37" t="s">
        <v>120</v>
      </c>
      <c r="HE47" s="44"/>
      <c r="HF47" s="36">
        <f>SQRT((A47-$A$97)^2+(B47-$B$97)^2+(C47-$C$97)^2+(D47-$D$97)^2+(E47-$E$97)^2+(F47-$F$97)^2+(G47-$G$97)^2+(H47-$H$97)^2+(I47-$I$97)^2+(J47-$J$97)^2+(K47-$K$97)^2+(L47-$L$97)^2+(M47-$M$97)^2+(N47-$N$97)^2+(O47-$O$97)^2+(P47-$P$97)^2+(Q47-$Q$97)^2+(R47-$R$97)^2+(S47-$S$97)^2+(T47-$T$97)^2+(U47-$U$97)^2+(V47-$V$97)^2+(W47-$W$97)^2+(X47-$X$97)^2+(Y47-$Y$97)^2+(Z47-$Z$97)^2+(AA47-$AA$97)^2+(AB47-$AB$97)^2+(AC47-$AC$97)^2+(AD47-$AD$97)^2+(AE47-$AE$97)^2+(AF47-$AF$97)^2+(AG47-$AG$97)^2)</f>
        <v>0.92587713968465313</v>
      </c>
      <c r="HG47" s="36" t="s">
        <v>324</v>
      </c>
      <c r="HH47" s="37" t="s">
        <v>120</v>
      </c>
      <c r="HJ47" s="44"/>
      <c r="HK47" s="36">
        <f>SQRT((A47-$A$98)^2+(B47-$B$98)^2+(C47-$C$98)^2+(D47-$D$98)^2+(E47-$E$98)^2+(F47-$F$98)^2+(G47-$G$98)^2+(H47-$H$98)^2+(I47-$I$98)^2+(J47-$J$98)^2+(K47-$K$98)^2+(L47-$L$98)^2+(M47-$M$98)^2+(N47-$N$98)^2+(O47-$O$98)^2+(P47-$P$98)^2+(Q47-$Q$98)^2+(R47-$R$98)^2+(S47-$S$98)^2+(T47-$T$98)^2+(U47-$U$98)^2+(V47-$V$98)^2+(W47-$W$98)^2+(X47-$X$98)^2+(Y47-$Y$98)^2+(Z47-$Z$98)^2+(AA47-$AA$98)^2+(AB47-$AB$98)^2+(AC47-$AC$98)^2+(AD47-$AD$98)^2+(AE47-$AE$98)^2+(AF47-$AF$98)^2+(AG47-$AG$98)^2)</f>
        <v>0.92587713968465313</v>
      </c>
      <c r="HL47" s="36" t="s">
        <v>324</v>
      </c>
      <c r="HM47" s="37" t="s">
        <v>120</v>
      </c>
      <c r="HO47" s="44"/>
      <c r="HP47" s="36">
        <f>SQRT((A47-$A$99)^2+(B47-$B$99)^2+(C47-$C$99)^2+(D47-$D$99)^2+(E47-$E$99)^2+(F47-$F$99)^2+(G47-$G$99)^2+(H47-$H$99)^2+(I47-$I$99)^2+(J47-$J$99)^2+(K47-$K$99)^2+(L47-$L$99)^2+(M47-$M$99)^2+(N47-$N$99)^2+(O47-$O$99)^2+(P47-$P$99)^2+(Q47-$Q$99)^2+(R47-$R$99)^2+(S47-$S$99)^2+(T47-$T$99)^2+(U47-$U$99)^2+(V47-$V$99)^2+(W47-$W$99)^2+(X47-$X$99)^2+(Y47-$Y$99)^2+(Z47-$Z$99)^2+(AA47-$AA$99)^2+(AB47-$AB$99)^2+(AC47-$AC$99)^2+(AD47-$AD$99)^2+(AE47-$AE$99)^2+(AF47-$AF$99)^2+(AG47-$AG$99)^2)</f>
        <v>0.92587713968465313</v>
      </c>
      <c r="HQ47" s="36" t="s">
        <v>324</v>
      </c>
      <c r="HR47" s="37" t="s">
        <v>120</v>
      </c>
      <c r="HT47" s="44"/>
      <c r="HU47" s="36">
        <f>SQRT((A47-$A$100)^2+(B47-$B$100)^2+(C47-$C$100)^2+(D47-$D$100)^2+(E47-$E$100)^2+(F47-$F$100)^2+(G47-$G$100)^2+(H47-$H$100)^2+(I47-$I$100)^2+(J47-$J$100)^2+(K47-$K$100)^2+(L47-$L$100)^2+(M47-$M$100)^2+(N47-$N$100)^2+(O47-$O$100)^2+(P47-$P$100)^2+(Q47-$Q$100)^2+(R47-$R$100)^2+(S47-$S$100)^2+(T47-$T$100)^2+(U47-$U$100)^2+(V47-$V$100)^2+(W47-$W$100)^2+(X47-$X$100)^2+(Y47-$Y$100)^2+(Z47-$Z$100)^2+(AA47-$AA$100)^2+(AB47-$AB$100)^2+(AC47-$AC$100)^2+(AD47-$AD$100)^2+(AE47-$AE$100)^2+(AF47-$AF$100)^2+(AG47-$AG$100)^2)</f>
        <v>0.92587713968465313</v>
      </c>
      <c r="HV47" s="36" t="s">
        <v>324</v>
      </c>
      <c r="HW47" s="37" t="s">
        <v>120</v>
      </c>
      <c r="HY47" s="44"/>
      <c r="HZ47" s="36">
        <f>SQRT((A47-$A$101)^2+(B47-$B$101)^2+(C47-$C$101)^2+(D47-$D$101)^2+(E47-$E$101)^2+(F47-$F$101)^2+(G47-$G$101)^2+(H47-$H$101)^2+(I47-$I$101)^2+(J47-$J$101)^2+(K47-$K$101)^2+(L47-$L$101)^2+(M47-$M$101)^2+(N47-$N$101)^2+(O47-$O$101)^2+(P47-$P$101)^2+(Q47-$Q$101)^2+(R47-$R$101)^2+(S47-$S$101)^2+(T47-$T$101)^2+(U47-$U$101)^2+(V47-$V$101)^2+(W47-$W$101)^2+(X47-$X$101)^2+(Y47-$Y$101)^2+(Z47-$Z$101)^2+(AA47-$AA$101)^2+(AB47-$AB$101)^2+(AC47-$AC$101)^2+(AD47-$AD$101)^2+(AE47-$AE$101)^2+(AF47-$AF$101)^2+(AG47-$AG$101)^2)</f>
        <v>1.9579609575042887</v>
      </c>
      <c r="IA47" s="36" t="s">
        <v>339</v>
      </c>
      <c r="IB47" s="37" t="s">
        <v>120</v>
      </c>
    </row>
    <row r="48" spans="1:236" x14ac:dyDescent="0.35">
      <c r="A48" s="2">
        <v>0.5</v>
      </c>
      <c r="B48" s="2">
        <v>0.25</v>
      </c>
      <c r="C48" s="2">
        <v>0.33333333333333298</v>
      </c>
      <c r="D48" s="2">
        <v>0.66666666666666596</v>
      </c>
      <c r="E48" s="2">
        <v>0.33333333333333298</v>
      </c>
      <c r="F48" s="2">
        <v>1</v>
      </c>
      <c r="G48" s="2">
        <v>0.55555555555555503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0.33333333333333298</v>
      </c>
      <c r="O48" s="2">
        <v>0</v>
      </c>
      <c r="P48" s="2">
        <v>0.4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 t="s">
        <v>120</v>
      </c>
      <c r="AI48" s="42"/>
      <c r="AJ48" s="42"/>
      <c r="AL48" s="44"/>
      <c r="AM48" s="36">
        <f>SQRT((A48-$A$62)^2+(B48-$B$62)^2+(C48-$C$62)^2+(D48-$D$62)^2+(E48-$E$62)^2+(F48-$F$62)^2+(G48-$G$62)^2+(H48-$H$62)^2+(I48-$I$62)^2+(J48-$J$62)^2+(K48-$K$62)^2+(L48-$L$62)^2+(M48-$M$62)^2+(N48-$N$62)^2+(O48-$O$62)^2+(P48-$P$62)^2+(Q48-$Q$62)^2+(R48-$R$62)^2+(S48-$S$62)^2+(T48-$T$62)^2+(U48-$U$62)^2+(V48-$V$62)^2+(W48-$W$62)^2+(X48-$X$62)^2+(Y48-$Y$62)^2+(Z48-$Z$62)^2+(AA48-$AA$62)^2+(AB48-$AB$62)^2+(AC48-$AC$62)^2+(AD48-$AD$62)^2+(AE48-$AE$62)^2+(AF48-$AF$62)^2+(AG48-$AG$62)^2)</f>
        <v>2.2620050103098062</v>
      </c>
      <c r="AN48" s="36" t="s">
        <v>332</v>
      </c>
      <c r="AO48" s="37" t="s">
        <v>120</v>
      </c>
      <c r="AQ48" s="44"/>
      <c r="AR48" s="36">
        <f>SQRT((A48-$A$63)^2+(B48-$B$63)^2+(C48-$C$63)^2+(D48-$D$63)^2+(E48-$E$63)^2+(F48-$F$63)^2+(G48-$G$63)^2+(H48-$H$63)^2+(I48-$I$63)^2+(J48-$J$63)^2+(K48-$K$63)^2+(L48-$L$63)^2+(M48-$M$63)^2+(N48-$N$63)^2+(O48-$O$63)^2+(P48-$P$63)^2+(Q48-$Q$63)^2+(R48-$R$63)^2+(S48-$S$63)^2+(T48-$T$63)^2+(U48-$U$63)^2+(V48-$V$63)^2+(W48-$W$63)^2+(X48-$X$63)^2+(Y48-$Y$63)^2+(Z48-$Z$63)^2+(AA48-$AA$63)^2+(AB48-$AB$63)^2+(AC48-$AC$63)^2+(AD48-$AD$63)^2+(AE48-$AE$63)^2+(AF48-$AF$63)^2+(AG48-$AG$63)^2)</f>
        <v>1.3719631085941952</v>
      </c>
      <c r="AS48" s="36" t="s">
        <v>327</v>
      </c>
      <c r="AT48" s="37" t="s">
        <v>120</v>
      </c>
      <c r="AV48" s="44"/>
      <c r="AW48" s="36">
        <f>SQRT((A48-$A$64)^2+(B48-$B$64)^2+(C48-$C$64)^2+(D48-$D$64)^2+(E48-$E$64)^2+(F48-$F$64)^2+(G48-$G$64)^2+(H48-$H$64)^2+(I48-$I$64)^2+(J48-$J$64)^2+(K48-$K$64)^2+(L48-$L$64)^2+(M48-$M$64)^2+(N48-$N$64)^2+(O48-$O$64)^2+(P48-$P$64)^2+(Q48-$Q$64)^2+(R48-$R$64)^2+(S48-$S$64)^2+(T48-$T$64)^2+(U48-$U$64)^2+(V48-$V$64)^2+(W48-$W$64)^2+(X48-$X$64)^2+(Y48-$Y$64)^2+(Z48-$Z$64)^2+(AA48-$AA$64)^2+(AB48-$AB$64)^2+(AC48-$AC$64)^2+(AD48-$AD$64)^2+(AE48-$AE$64)^2+(AF48-$AF$64)^2+(AG48-$AG$64)^2)</f>
        <v>1.3719631085941952</v>
      </c>
      <c r="AX48" s="36" t="s">
        <v>327</v>
      </c>
      <c r="AY48" s="37" t="s">
        <v>120</v>
      </c>
      <c r="BA48" s="44"/>
      <c r="BB48" s="36">
        <f>SQRT((A48-$A$65)^2+(B48-$B$65)^2+(C48-$C$65)^2+(D48-$D$65)^2+(E48-$E$65)^2+(F48-$F$65)^2+(G48-$G$65)^2+(H48-$H$65)^2+(I48-$I$65)^2+(J48-$J$65)^2+(K48-$K$65)^2+(L48-$L$65)^2+(M48-$M$65)^2+(N48-$N$65)^2+(O48-$O$65)^2+(P48-$P$65)^2+(Q48-$Q$65)^2+(R48-$R$65)^2+(S48-$S$65)^2+(T48-$T$65)^2+(U48-$U$65)^2+(V48-$V$65)^2+(W48-$W$65)^2+(X48-$X$65)^2+(Y48-$Y$65)^2+(Z48-$Z$65)^2+(AA48-$AA$65)^2+(AB48-$AB$65)^2+(AC48-$AC$65)^2+(AD48-$AD$65)^2+(AE48-$AE$65)^2+(AF48-$AF$65)^2+(AG48-$AG$65)^2)</f>
        <v>1.3719631085941952</v>
      </c>
      <c r="BC48" s="36" t="s">
        <v>327</v>
      </c>
      <c r="BD48" s="37" t="s">
        <v>120</v>
      </c>
      <c r="BF48" s="44"/>
      <c r="BG48" s="36">
        <f>SQRT((A48-$A$66)^2+(B48-$B$66)^2+(C48-$C$66)^2+(D48-$D$66)^2+(E48-$E$66)^2+(F48-$F$66)^2+(G48-$G$66)^2+(H48-$H$66)^2+(I48-$I$66)^2+(J48-$J$66)^2+(K48-$K$66)^2+(L48-$L$66)^2+(M48-$M$66)^2+(N48-$N$66)^2+(O48-$O$66)^2+(P48-$P$66)^2+(Q48-$Q$66)^2+(R48-$R$66)^2+(S48-$S$66)^2+(T48-$T$66)^2+(U48-$U$66)^2+(V48-$V$66)^2+(W48-$W$66)^2+(X48-$X$66)^2+(Y48-$Y$66)^2+(Z48-$Z$66)^2+(AA48-$AA$66)^2+(AB48-$AB$66)^2+(AC48-$AC$66)^2+(AD48-$AD$66)^2+(AE48-$AE$66)^2+(AF48-$AF$66)^2+(AG48-$AG$66)^2)</f>
        <v>1.3719631085941952</v>
      </c>
      <c r="BH48" s="36" t="s">
        <v>327</v>
      </c>
      <c r="BI48" s="37" t="s">
        <v>120</v>
      </c>
      <c r="BK48" s="44"/>
      <c r="BL48" s="36">
        <f>SQRT((A48-$A$67)^2+(B48-$B$67)^2+(C48-$C$67)^2+(D48-$D$67)^2+(E48-$E$67)^2+(F48-$F$67)^2+(G48-$G$67)^2+(H48-$H$67)^2+(I48-$I$67)^2+(J48-$J$67)^2+(K48-$K$67)^2+(L48-$L$67)^2+(M48-$M$67)^2+(N48-$N$67)^2+(O48-$O$67)^2+(P48-$P$67)^2+(Q48-$Q$67)^2+(R48-$R$67)^2+(S48-$S$67)^2+(T48-$T$67)^2+(U48-$U$67)^2+(V48-$V$67)^2+(W48-$W$67)^2+(X48-$X$67)^2+(Y48-$Y$67)^2+(Z48-$Z$67)^2+(AA48-$AA$67)^2+(AB48-$AB$67)^2+(AC48-$AC$67)^2+(AD48-$AD$67)^2+(AE48-$AE$67)^2+(AF48-$AF$67)^2+(AG48-$AG$67)^2)</f>
        <v>1.3719631085941952</v>
      </c>
      <c r="BM48" s="36" t="s">
        <v>327</v>
      </c>
      <c r="BN48" s="37" t="s">
        <v>120</v>
      </c>
      <c r="BP48" s="44"/>
      <c r="BQ48" s="36">
        <f>SQRT((A48-$A$68)^2+(B48-$B$68)^2+(C48-$C$68)^2+(D48-$D$68)^2+(E48-$E$68)^2+(F48-$F$68)^2+(G48-$G$68)^2+(H48-$H$68)^2+(I48-$I$68)^2+(J48-$J$68)^2+(K48-$K$68)^2+(L48-$L$68)^2+(M48-$M$68)^2+(N48-$N$68)^2+(O48-$O$68)^2+(P48-$P$68)^2+(Q48-$Q$68)^2+(R48-$R$68)^2+(S48-$S$68)^2+(T48-$T$68)^2+(U48-$U$68)^2+(V48-$V$68)^2+(W48-$W$68)^2+(X48-$X$68)^2+(Y48-$Y$68)^2+(Z48-$Z$68)^2+(AA48-$AA$68)^2+(AB48-$AB$68)^2+(AC48-$AC$68)^2+(AD48-$AD$68)^2+(AE48-$AE$68)^2+(AF48-$AF$68)^2+(AG48-$AG$68)^2)</f>
        <v>1.3719631085941952</v>
      </c>
      <c r="BR48" s="36" t="s">
        <v>327</v>
      </c>
      <c r="BS48" s="37" t="s">
        <v>120</v>
      </c>
      <c r="BU48" s="44"/>
      <c r="BV48" s="36">
        <f>SQRT((A48-$A$69)^2+(B48-$B$69)^2+(C48-$C$69)^2+(D48-$D$69)^2+(E48-$E$69)^2+(F48-$F$69)^2+(G48-$G$69)^2+(H48-$H$69)^2+(I48-$I$69)^2+(J48-$J$69)^2+(K48-$K$69)^2+(L48-$L$69)^2+(M48-$M$69)^2+(N48-$N$69)^2+(O48-$O$69)^2+(P48-$P$69)^2+(Q48-$Q$69)^2+(R48-$R$69)^2+(S48-$S$69)^2+(T48-$T$69)^2+(U48-$U$69)^2+(V48-$V$69)^2+(W48-$W$69)^2+(X48-$X$69)^2+(Y48-$Y$69)^2+(Z48-$Z$69)^2+(AA48-$AA$69)^2+(AB48-$AB$69)^2+(AC48-$AC$69)^2+(AD48-$AD$69)^2+(AE48-$AE$69)^2+(AF48-$AF$69)^2+(AG48-$AG$69)^2)</f>
        <v>1.7949842595422112</v>
      </c>
      <c r="BW48" s="36" t="s">
        <v>131</v>
      </c>
      <c r="BX48" s="37" t="s">
        <v>120</v>
      </c>
      <c r="BZ48" s="44"/>
      <c r="CA48" s="36">
        <f>SQRT((A48-$A$70)^2+(B48-$B$70)^2+(C48-$C$70)^2+(D48-$D$70)^2+(E48-$E$70)^2+(F48-$F$70)^2+(G48-$G$70)^2+(H48-$H$70)^2+(I48-$I$70)^2+(J48-$J$70)^2+(K48-$K$70)^2+(L48-$L$70)^2+(M48-$M$70)^2+(N48-$N$70)^2+(O48-$O$70)^2+(P48-$P$70)^2+(Q48-$Q$70)^2+(R48-$R$70)^2+(S48-$S$70)^2+(T48-$T$70)^2+(U48-$U$70)^2+(V48-$V$70)^2+(W48-$W$70)^2+(X48-$X$70)^2+(Y48-$Y$70)^2+(Z48-$Z$70)^2+(AA48-$AA$70)^2+(AB48-$AB$70)^2+(AC48-$AC$70)^2+(AD48-$AD$70)^2+(AE48-$AE$70)^2+(AF48-$AF$70)^2+(AG48-$AG$70)^2)</f>
        <v>1.1563648808040832</v>
      </c>
      <c r="CB48" s="36" t="s">
        <v>323</v>
      </c>
      <c r="CC48" s="37" t="s">
        <v>120</v>
      </c>
      <c r="CE48" s="44"/>
      <c r="CF48" s="36">
        <f>SQRT((A48-$A$71)^2+(B48-$B$71)^2+(C48-$C$71)^2+(D48-$D$71)^2+(E48-$E$71)^2+(F48-$F$71)^2+(G48-$G$71)^2+(H48-$H$71)^2+(I48-$I$71)^2+(J48-$J$71)^2+(K48-$K$71)^2+(L48-$L$71)^2+(M48-$M$71)^2+(N48-$N$71)^2+(O48-$O$71)^2+(P48-$P$71)^2+(Q48-$Q$71)^2+(R48-$R$71)^2+(S48-$S$71)^2+(T48-$T$71)^2+(U48-$U$71)^2+(V48-$V$71)^2+(W48-$W$71)^2+(X48-$X$71)^2+(Y48-$Y$71)^2+(Z48-$Z$71)^2+(AA48-$AA$71)^2+(AB48-$AB$71)^2+(AC48-$AC$71)^2+(AD48-$AD$71)^2+(AE48-$AE$71)^2+(AF48-$AF$71)^2+(AG48-$AG$71)^2)</f>
        <v>1.5400980357689129</v>
      </c>
      <c r="CG48" s="36" t="s">
        <v>316</v>
      </c>
      <c r="CH48" s="37" t="s">
        <v>120</v>
      </c>
      <c r="CJ48" s="44"/>
      <c r="CK48" s="36">
        <f>SQRT((A48-$A$72)^2+(B48-$B$72)^2+(C48-$C$72)^2+(D48-$D$72)^2+(E48-$E$72)^2+(F48-$F$72)^2+(G48-$G$72)^2+(H48-$H$72)^2+(I48-$I$72)^2+(J48-$J$72)^2+(K48-$K$72)^2+(L48-$L$72)^2+(M48-$M$72)^2+(N48-$N$72)^2+(O48-$O$72)^2+(P48-$P$72)^2+(Q48-$Q$72)^2+(R48-$R$72)^2+(S48-$S$72)^2+(T48-$T$72)^2+(U48-$U$72)^2+(V48-$V$72)^2+(W48-$W$72)^2+(X48-$X$72)^2+(Y48-$Y$72)^2+(Z48-$Z$72)^2+(AA48-$AA$72)^2+(AB48-$AB$72)^2+(AC48-$AC$72)^2+(AD48-$AD$72)^2+(AE48-$AE$72)^2+(AF48-$AF$72)^2+(AG48-$AG$72)^2)</f>
        <v>1.9478115568539556</v>
      </c>
      <c r="CL48" s="36" t="s">
        <v>124</v>
      </c>
      <c r="CM48" s="37" t="s">
        <v>120</v>
      </c>
      <c r="CO48" s="44"/>
      <c r="CP48" s="36">
        <f>SQRT((A48-$A$73)^2+(B48-$B$73)^2+(C48-$C$73)^2+(D48-$D$73)^2+(E48-$E$73)^2+(F48-$F$73)^2+(G48-$G$73)^2+(H48-$H$73)^2+(I48-$I$73)^2+(J48-$J$73)^2+(K48-$K$73)^2+(L48-$L$73)^2+(M48-$M$73)^2+(N48-$N$73)^2+(O48-$O$73)^2+(P48-$P$73)^2+(Q48-$Q$73)^2+(R48-$R$73)^2+(S48-$S$73)^2+(T48-$T$73)^2+(U48-$U$73)^2+(V48-$V$73)^2+(W48-$W$73)^2+(X48-$X$73)^2+(Y48-$Y$73)^2+(Z48-$Z$73)^2+(AA48-$AA$73)^2+(AB48-$AB$73)^2+(AC48-$AC$73)^2+(AD48-$AD$73)^2+(AE48-$AE$73)^2+(AF48-$AF$73)^2+(AG48-$AG$73)^2)</f>
        <v>1.5937377450509227</v>
      </c>
      <c r="CQ48" s="36" t="s">
        <v>143</v>
      </c>
      <c r="CR48" s="37" t="s">
        <v>120</v>
      </c>
      <c r="CT48" s="44"/>
      <c r="CU48" s="36">
        <f>SQRT((A48-$A$74)^2+(B48-$B$74)^2+(C48-$C$74)^2+(D48-$D$74)^2+(E48-$E$74)^2+(F48-$F$74)^2+(G48-$G$74)^2+(H48-$H$74)^2+(I48-$I$74)^2+(J48-$J$74)^2+(K48-$K$74)^2+(L48-$L$74)^2+(M48-$M$74)^2+(N48-$N$74)^2+(O48-$O$74)^2+(P48-$P$74)^2+(Q48-$Q$74)^2+(R48-$R$74)^2+(S48-$S$74)^2+(T48-$T$74)^2+(U48-$U$74)^2+(V48-$V$74)^2+(W48-$W$74)^2+(X48-$X$74)^2+(Y48-$Y$74)^2+(Z48-$Z$74)^2+(AA48-$AA$74)^2+(AB48-$AB$74)^2+(AC48-$AC$74)^2+(AD48-$AD$74)^2+(AE48-$AE$74)^2+(AF48-$AF$74)^2+(AG48-$AG$74)^2)</f>
        <v>1.8633899812498247</v>
      </c>
      <c r="CV48" s="36" t="s">
        <v>315</v>
      </c>
      <c r="CW48" s="37" t="s">
        <v>120</v>
      </c>
      <c r="CY48" s="44"/>
      <c r="CZ48" s="36">
        <f>SQRT((A48-$A$75)^2+(B48-$B$75)^2+(C48-$C$75)^2+(D48-$D$75)^2+(E48-$E$75)^2+(F48-$F$75)^2+(G48-$G$75)^2+(H48-$H$75)^2+(I48-$I$75)^2+(J48-$J$75)^2+(K48-$K$75)^2+(L48-$L$75)^2+(M48-$M$75)^2+(N48-$N$75)^2+(O48-$O$75)^2+(P48-$P$75)^2+(Q48-$Q$75)^2+(R48-$R$75)^2+(S48-$S$75)^2+(T48-$T$75)^2+(U48-$U$75)^2+(V48-$V$75)^2+(W48-$W$75)^2+(X48-$X$75)^2+(Y48-$Y$75)^2+(Z48-$Z$75)^2+(AA48-$AA$75)^2+(AB48-$AB$75)^2+(AC48-$AC$75)^2+(AD48-$AD$75)^2+(AE48-$AE$75)^2+(AF48-$AF$75)^2+(AG48-$AG$75)^2)</f>
        <v>1.9035055380358978</v>
      </c>
      <c r="DA48" s="36" t="s">
        <v>330</v>
      </c>
      <c r="DB48" s="37" t="s">
        <v>120</v>
      </c>
      <c r="DD48" s="44"/>
      <c r="DE48" s="36">
        <f>SQRT((A48-$A$76)^2+(B48-$B$76)^2+(C48-$C$76)^2+(D48-$D$76)^2+(E48-$E$76)^2+(F48-$F$76)^2+(G48-$G$76)^2+(H48-$H$76)^2+(I48-$I$76)^2+(J48-$J$76)^2+(K48-$K$76)^2+(L48-$L$76)^2+(M48-$M$76)^2+(N48-$N$76)^2+(O48-$O$76)^2+(P48-$P$76)^2+(Q48-$Q$76)^2+(R48-$R$76)^2+(S48-$S$76)^2+(T48-$T$76)^2+(U48-$U$76)^2+(V48-$V$76)^2+(W48-$W$76)^2+(X48-$X$76)^2+(Y48-$Y$76)^2+(Z48-$Z$76)^2+(AA48-$AA$76)^2+(AB48-$AB$76)^2+(AC48-$AC$76)^2+(AD48-$AD$76)^2+(AE48-$AE$76)^2+(AF48-$AF$76)^2+(AG48-$AG$76)^2)</f>
        <v>1.6895101196632245</v>
      </c>
      <c r="DF48" s="36" t="s">
        <v>140</v>
      </c>
      <c r="DG48" s="37" t="s">
        <v>120</v>
      </c>
      <c r="DI48" s="44"/>
      <c r="DJ48" s="36">
        <f>SQRT((A48-$A$77)^2+(B48-$B$77)^2+(C48-$C$77)^2+(D48-$D$77)^2+(E48-$E$77)^2+(F48-$F$77)^2+(G48-$G$77)^2+(H48-$H$77)^2+(I48-$I$77)^2+(J48-$J$77)^2+(K48-$K$77)^2+(L48-$L$77)^2+(M48-$M$77)^2+(N48-$N$77)^2+(O48-$O$77)^2+(P48-$P$77)^2+(Q48-$Q$77)^2+(R48-$R$77)^2+(S48-$S$77)^2+(T48-$T$77)^2+(U48-$U$77)^2+(V48-$V$77)^2+(W48-$W$77)^2+(X48-$X$77)^2+(Y48-$Y$77)^2+(Z48-$Z$77)^2+(AA48-$AA$77)^2+(AB48-$AB$77)^2+(AC48-$AC$77)^2+(AD48-$AD$77)^2+(AE48-$AE$77)^2+(AF48-$AF$77)^2+(AG48-$AG$77)^2)</f>
        <v>2.3610849671755192</v>
      </c>
      <c r="DK48" s="36" t="s">
        <v>324</v>
      </c>
      <c r="DL48" s="37" t="s">
        <v>120</v>
      </c>
      <c r="DN48" s="44"/>
      <c r="DO48" s="36">
        <f>SQRT((A48-$A$78)^2+(B48-$B$78)^2+(C48-$C$78)^2+(D48-$D$78)^2+(E48-$E$78)^2+(F48-$F$78)^2+(G48-$G$78)^2+(H48-$H$78)^2+(I48-$I$78)^2+(J48-$J$78)^2+(K48-$K$78)^2+(L48-$L$78)^2+(M48-$M$78)^2+(N48-$N$78)^2+(O48-$O$78)^2+(P48-$P$78)^2+(Q48-$Q$78)^2+(R48-$R$78)^2+(S48-$S$78)^2+(T48-$T$78)^2+(U48-$U$78)^2+(V48-$V$78)^2+(W48-$W$78)^2+(X48-$X$78)^2+(Y48-$Y$78)^2+(Z48-$Z$78)^2+(AA48-$AA$78)^2+(AB48-$AB$78)^2+(AC48-$AC$78)^2+(AD48-$AD$78)^2+(AE48-$AE$78)^2+(AF48-$AF$78)^2+(AG48-$AG$78)^2)</f>
        <v>1.3547044761132754</v>
      </c>
      <c r="DP48" s="36" t="s">
        <v>146</v>
      </c>
      <c r="DQ48" s="37" t="s">
        <v>120</v>
      </c>
      <c r="DS48" s="44"/>
      <c r="DT48" s="36">
        <f>SQRT((A48-$A$79)^2+(B48-$B$79)^2+(C48-$C$79)^2+(D48-$D$79)^2+(E48-$E$79)^2+(F48-$F$79)^2+(G48-$G$79)^2+(H48-$H$79)^2+(I48-$I$79)^2+(J48-$J$79)^2+(K48-$K$79)^2+(L48-$L$79)^2+(M48-$M$79)^2+(N48-$N$79)^2+(O48-$O$79)^2+(P48-$P$79)^2+(Q48-$Q$79)^2+(R48-$R$79)^2+(S48-$S$79)^2+(T48-$T$79)^2+(U48-$U$79)^2+(V48-$V$79)^2+(W48-$W$79)^2+(X48-$X$79)^2+(Y48-$Y$79)^2+(Z48-$Z$79)^2+(AA48-$AA$79)^2+(AB48-$AB$79)^2+(AC48-$AC$79)^2+(AD48-$AD$79)^2+(AE48-$AE$79)^2+(AF48-$AF$79)^2+(AG48-$AG$79)^2)</f>
        <v>1.6985082436071151</v>
      </c>
      <c r="DU48" s="36" t="s">
        <v>315</v>
      </c>
      <c r="DV48" s="37" t="s">
        <v>120</v>
      </c>
      <c r="DX48" s="44"/>
      <c r="DY48" s="36">
        <f>SQRT((A48-$A$80)^2+(B48-$B$80)^2+(C48-$C$80)^2+(D48-$D$80)^2+(E48-$E$80)^2+(F48-$F$80)^2+(G48-$G$80)^2+(H48-$H$80)^2+(I48-$I$80)^2+(J48-$J$80)^2+(K48-$K$80)^2+(L48-$L$80)^2+(M48-$M$80)^2+(N48-$N$80)^2+(O48-$O$80)^2+(P48-$P$80)^2+(Q48-$Q$80)^2+(R48-$R$80)^2+(S48-$S$80)^2+(T48-$T$80)^2+(U48-$U$80)^2+(V48-$V$80)^2+(W48-$W$80)^2+(X48-$X$80)^2+(Y48-$Y$80)^2+(Z48-$Z$80)^2+(AA48-$AA$80)^2+(AB48-$AB$80)^2+(AC48-$AC$80)^2+(AD48-$AD$80)^2+(AE48-$AE$80)^2+(AF48-$AF$80)^2+(AG48-$AG$80)^2)</f>
        <v>2.1213203435596424</v>
      </c>
      <c r="DZ48" s="36" t="s">
        <v>326</v>
      </c>
      <c r="EA48" s="37" t="s">
        <v>120</v>
      </c>
      <c r="EC48" s="44"/>
      <c r="ED48" s="36">
        <f>SQRT((A48-$A$81)^2+(B48-$B$81)^2+(C48-$C$81)^2+(D48-$D$81)^2+(E48-$E$81)^2+(F48-$F$81)^2+(G48-$G$81)^2+(H48-$H$81)^2+(I48-$I$81)^2+(J48-$J$81)^2+(K48-$K$81)^2+(L48-$L$81)^2+(M48-$M$81)^2+(N48-$N$81)^2+(O48-$O$81)^2+(P48-$P$81)^2+(Q48-$Q$81)^2+(R48-$R$81)^2+(S48-$S$81)^2+(T48-$T$81)^2+(U48-$U$81)^2+(V48-$V$81)^2+(W48-$W$81)^2+(X48-$X$81)^2+(Y48-$Y$81)^2+(Z48-$Z$81)^2+(AA48-$AA$81)^2+(AB48-$AB$81)^2+(AC48-$AC$81)^2+(AD48-$AD$81)^2+(AE48-$AE$81)^2+(AF48-$AF$81)^2+(AG48-$AG$81)^2)</f>
        <v>2.1710852381035415</v>
      </c>
      <c r="EE48" s="36" t="s">
        <v>134</v>
      </c>
      <c r="EF48" s="37" t="s">
        <v>120</v>
      </c>
      <c r="EH48" s="44"/>
      <c r="EI48" s="36">
        <f>SQRT((A48-$A$82)^2+(B48-$B$82)^2+(C48-$C$82)^2+(D48-$D$82)^2+(E48-$E$82)^2+(F48-$F$82)^2+(G48-$G$82)^2+(H48-$H$82)^2+(I48-$I$82)^2+(J48-$J$82)^2+(K48-$K$82)^2+(L48-$L$82)^2+(M48-$M$82)^2+(N48-$N$82)^2+(O48-$O$82)^2+(P48-$P$82)^2+(Q48-$Q$82)^2+(R48-$R$82)^2+(S48-$S$82)^2+(T48-$T$82)^2+(U48-$U$82)^2+(V48-$V$82)^2+(W48-$W$82)^2+(X48-$X$82)^2+(Y48-$Y$82)^2+(Z48-$Z$82)^2+(AA48-$AA$82)^2+(AB48-$AB$82)^2+(AC48-$AC$82)^2+(AD48-$AD$82)^2+(AE48-$AE$82)^2+(AF48-$AF$82)^2+(AG48-$AG$82)^2)</f>
        <v>1.5098571661073734</v>
      </c>
      <c r="EJ48" s="36" t="s">
        <v>135</v>
      </c>
      <c r="EK48" s="37" t="s">
        <v>120</v>
      </c>
      <c r="EM48" s="44"/>
      <c r="EN48" s="36">
        <f>SQRT((A48-$A$83)^2+(B48-$B$83)^2+(C48-$C$83)^2+(D48-$D$83)^2+(E48-$E$83)^2+(F48-$F$83)^2+(G48-$G$83)^2+(H48-$H$83)^2+(I48-$I$83)^2+(J48-$J$83)^2+(K48-$K$83)^2+(L48-$L$83)^2+(M48-$M$83)^2+(N48-$N$83)^2+(O48-$O$83)^2+(P48-$P$83)^2+(Q48-$Q$83)^2+(R48-$R$83)^2+(S48-$S$83)^2+(T48-$T$83)^2+(U48-$U$83)^2+(V48-$V$83)^2+(W48-$W$83)^2+(X48-$X$83)^2+(Y48-$Y$83)^2+(Z48-$Z$83)^2+(AA48-$AA$83)^2+(AB48-$AB$83)^2+(AC48-$AC$83)^2+(AD48-$AD$83)^2+(AE48-$AE$83)^2+(AF48-$AF$83)^2+(AG48-$AG$83)^2)</f>
        <v>1.2977338349947698</v>
      </c>
      <c r="EO48" s="36" t="s">
        <v>327</v>
      </c>
      <c r="EP48" s="37" t="s">
        <v>120</v>
      </c>
      <c r="ER48" s="44"/>
      <c r="ES48" s="36">
        <f>SQRT((A48-$A$84)^2+(B48-$B$84)^2+(C48-$C$84)^2+(D48-$D$84)^2+(E48-$E$84)^2+(F48-$F$84)^2+(G48-$G$84)^2+(H48-$H$84)^2+(I48-$I$84)^2+(J48-$J$84)^2+(K48-$K$84)^2+(L48-$L$84)^2+(M48-$M$84)^2+(N48-$N$84)^2+(O48-$O$84)^2+(P48-$P$84)^2+(Q48-$Q$84)^2+(R48-$R$84)^2+(S48-$S$84)^2+(T48-$T$84)^2+(U48-$U$84)^2+(V48-$V$84)^2+(W48-$W$84)^2+(X48-$X$84)^2+(Y48-$Y$84)^2+(Z48-$Z$84)^2+(AA48-$AA$84)^2+(AB48-$AB$84)^2+(AC48-$AC$84)^2+(AD48-$AD$84)^2+(AE48-$AE$84)^2+(AF48-$AF$84)^2+(AG48-$AG$84)^2)</f>
        <v>1.3719631085941952</v>
      </c>
      <c r="ET48" s="36" t="s">
        <v>327</v>
      </c>
      <c r="EU48" s="37" t="s">
        <v>120</v>
      </c>
      <c r="EW48" s="44"/>
      <c r="EX48" s="36">
        <f>SQRT((A48-$A$85)^2+(B48-$B$85)^2+(C48-$C$85)^2+(D48-$D$85)^2+(E48-$E$85)^2+(F48-$F$85)^2+(G48-$G$85)^2+(H48-$H$85)^2+(I48-$I$85)^2+(J48-$J$85)^2+(K48-$K$85)^2+(L48-$L$85)^2+(M48-$M$85)^2+(N48-$N$85)^2+(O48-$O$85)^2+(P48-$P$85)^2+(Q48-$Q$85)^2+(R48-$R$85)^2+(S48-$S$85)^2+(T48-$T$85)^2+(U48-$U$85)^2+(V48-$V$85)^2+(W48-$W$85)^2+(X48-$X$85)^2+(Y48-$Y$85)^2+(Z48-$Z$85)^2+(AA48-$AA$85)^2+(AB48-$AB$85)^2+(AC48-$AC$85)^2+(AD48-$AD$85)^2+(AE48-$AE$85)^2+(AF48-$AF$85)^2+(AG48-$AG$85)^2)</f>
        <v>1.3719631085941952</v>
      </c>
      <c r="EY48" s="36" t="s">
        <v>327</v>
      </c>
      <c r="EZ48" s="37" t="s">
        <v>120</v>
      </c>
      <c r="FB48" s="44"/>
      <c r="FC48" s="36">
        <f>SQRT((A48-$A$86)^2+(B48-$B$86)^2+(C48-$C$86)^2+(D48-$D$86)^2+(E48-$E$86)^2+(F48-$F$86)^2+(G48-$G$86)^2+(H48-$H$86)^2+(I48-$I$86)^2+(J48-$J$86)^2+(K48-$K$86)^2+(L48-$L$86)^2+(M48-$M$86)^2+(N48-$N$86)^2+(O48-$O$86)^2+(P48-$P$86)^2+(Q48-$Q$86)^2+(R48-$R$86)^2+(S48-$S$86)^2+(T48-$T$86)^2+(U48-$U$86)^2+(V48-$V$86)^2+(W48-$W$86)^2+(X48-$X$86)^2+(Y48-$Y$86)^2+(Z48-$Z$86)^2+(AA48-$AA$86)^2+(AB48-$AB$86)^2+(AC48-$AC$86)^2+(AD48-$AD$86)^2+(AE48-$AE$86)^2+(AF48-$AF$86)^2+(AG48-$AG$86)^2)</f>
        <v>1.3719631085941952</v>
      </c>
      <c r="FD48" s="36" t="s">
        <v>327</v>
      </c>
      <c r="FE48" s="37" t="s">
        <v>120</v>
      </c>
      <c r="FG48" s="44"/>
      <c r="FH48" s="36">
        <f>SQRT((A48-$A$87)^2+(B48-$B$87)^2+(C48-$C$87)^2+(D48-$D$87)^2+(E48-$E$87)^2+(F48-$F$87)^2+(G48-$G$87)^2+(H48-$H$87)^2+(I48-$I$87)^2+(J48-$J$87)^2+(K48-$K$87)^2+(L48-$L$87)^2+(M48-$M$87)^2+(N48-$N$87)^2+(O48-$O$87)^2+(P48-$P$87)^2+(Q48-$Q$87)^2+(R48-$R$87)^2+(S48-$S$87)^2+(T48-$T$87)^2+(U48-$U$87)^2+(V48-$V$87)^2+(W48-$W$87)^2+(X48-$X$87)^2+(Y48-$Y$87)^2+(Z48-$Z$87)^2+(AA48-$AA$87)^2+(AB48-$AB$87)^2+(AC48-$AC$87)^2+(AD48-$AD$87)^2+(AE48-$AE$87)^2+(AF48-$AF$87)^2+(AG48-$AG$87)^2)</f>
        <v>1.2041594578792294</v>
      </c>
      <c r="FI48" s="36" t="s">
        <v>144</v>
      </c>
      <c r="FJ48" s="37" t="s">
        <v>120</v>
      </c>
      <c r="FL48" s="44"/>
      <c r="FM48" s="36">
        <f>SQRT((A48-$A$88)^2+(B48-$B$88)^2+(C48-$C$88)^2+(D48-$D$88)^2+(E48-$E$88)^2+(F48-$F$88)^2+(G48-$G$88)^2+(H48-$H$88)^2+(I48-$I$88)^2+(J48-$J$88)^2+(K48-$K$88)^2+(L48-$L$88)^2+(M48-$M$88)^2+(N48-$N$88)^2+(O48-$O$88)^2+(P48-$P$88)^2+(Q48-$Q$88)^2+(R48-$R$88)^2+(S48-$S$88)^2+(T48-$T$88)^2+(U48-$U$88)^2+(V48-$V$88)^2+(W48-$W$88)^2+(X48-$X$88)^2+(Y48-$Y$88)^2+(Z48-$Z$88)^2+(AA48-$AA$88)^2+(AB48-$AB$88)^2+(AC48-$AC$88)^2+(AD48-$AD$88)^2+(AE48-$AE$88)^2+(AF48-$AF$88)^2+(AG48-$AG$88)^2)</f>
        <v>1.6843929878615151</v>
      </c>
      <c r="FN48" s="36" t="s">
        <v>335</v>
      </c>
      <c r="FO48" s="37" t="s">
        <v>120</v>
      </c>
      <c r="FQ48" s="44"/>
      <c r="FR48" s="36">
        <f>SQRT((A48-$A$89)^2+(B48-$B$89)^2+(C48-$C$89)^2+(D48-$D$89)^2+(E48-$E$89)^2+(F48-$F$89)^2+(G48-$G$89)^2+(H48-$H$89)^2+(I48-$I$89)^2+(J48-$J$89)^2+(K48-$K$89)^2+(L48-$L$89)^2+(M48-$M$89)^2+(N48-$N$89)^2+(O48-$O$89)^2+(P48-$P$89)^2+(Q48-$Q$89)^2+(R48-$R$89)^2+(S48-$S$89)^2+(T48-$T$89)^2+(U48-$U$89)^2+(V48-$V$89)^2+(W48-$W$89)^2+(X48-$X$89)^2+(Y48-$Y$89)^2+(Z48-$Z$89)^2+(AA48-$AA$89)^2+(AB48-$AB$89)^2+(AC48-$AC$89)^2+(AD48-$AD$89)^2+(AE48-$AE$89)^2+(AF48-$AF$89)^2+(AG48-$AG$89)^2)</f>
        <v>2.1501937897160186</v>
      </c>
      <c r="FS48" s="36" t="s">
        <v>316</v>
      </c>
      <c r="FT48" s="37" t="s">
        <v>120</v>
      </c>
      <c r="FV48" s="44"/>
      <c r="FW48" s="36">
        <f>SQRT((A48-$A$90)^2+(B48-$B$90)^2+(C48-$C$90)^2+(D48-$D$90)^2+(E48-$E$90)^2+(F48-$F$90)^2+(G48-$G$90)^2+(H48-$H$90)^2+(I48-$I$90)^2+(J48-$J$90)^2+(K48-$K$90)^2+(L48-$L$90)^2+(M48-$M$90)^2+(N48-$N$90)^2+(O48-$O$90)^2+(P48-$P$90)^2+(Q48-$Q$90)^2+(R48-$R$90)^2+(S48-$S$90)^2+(T48-$T$90)^2+(U48-$U$90)^2+(V48-$V$90)^2+(W48-$W$90)^2+(X48-$X$90)^2+(Y48-$Y$90)^2+(Z48-$Z$90)^2+(AA48-$AA$90)^2+(AB48-$AB$90)^2+(AC48-$AC$90)^2+(AD48-$AD$90)^2+(AE48-$AE$90)^2+(AF48-$AF$90)^2+(AG48-$AG$90)^2)</f>
        <v>2.0733762053445313</v>
      </c>
      <c r="FX48" s="36" t="s">
        <v>323</v>
      </c>
      <c r="FY48" s="37" t="s">
        <v>120</v>
      </c>
      <c r="GA48" s="44"/>
      <c r="GB48" s="36">
        <f>SQRT((A48-$A$91)^2+(B48-$B$91)^2+(C48-$C$91)^2+(D48-$D$91)^2+(E48-$E$91)^2+(F48-$F$91)^2+(G48-$G$91)^2+(H48-$H$91)^2+(I48-$I$91)^2+(J48-$J$91)^2+(K48-$K$91)^2+(L48-$L$91)^2+(M48-$M$91)^2+(N48-$N$91)^2+(O48-$O$91)^2+(P48-$P$91)^2+(Q48-$Q$91)^2+(R48-$R$91)^2+(S48-$S$91)^2+(T48-$T$91)^2+(U48-$U$91)^2+(V48-$V$91)^2+(W48-$W$91)^2+(X48-$X$91)^2+(Y48-$Y$91)^2+(Z48-$Z$91)^2+(AA48-$AA$91)^2+(AB48-$AB$91)^2+(AC48-$AC$91)^2+(AD48-$AD$91)^2+(AE48-$AE$91)^2+(AF48-$AF$91)^2+(AG48-$AG$91)^2)</f>
        <v>2.3478713763747789</v>
      </c>
      <c r="GC48" s="36" t="s">
        <v>317</v>
      </c>
      <c r="GD48" s="37" t="s">
        <v>120</v>
      </c>
      <c r="GF48" s="44"/>
      <c r="GG48" s="36">
        <f>SQRT((A48-$A$92)^2+(B48-$B$92)^2+(C48-$C$92)^2+(D48-$D$92)^2+(E48-$E$92)^2+(F48-$F$92)^2+(G48-$G$92)^2+(H48-$H$92)^2+(I48-$I$92)^2+(J48-$J$92)^2+(K48-$K$92)^2+(L48-$L$92)^2+(M48-$M$92)^2+(N48-$N$92)^2+(O48-$O$92)^2+(P48-$P$92)^2+(Q48-$Q$92)^2+(R48-$R$92)^2+(S48-$S$92)^2+(T48-$T$92)^2+(U48-$U$92)^2+(V48-$V$92)^2+(W48-$W$92)^2+(X48-$X$92)^2+(Y48-$Y$92)^2+(Z48-$Z$92)^2+(AA48-$AA$92)^2+(AB48-$AB$92)^2+(AC48-$AC$92)^2+(AD48-$AD$92)^2+(AE48-$AE$92)^2+(AF48-$AF$92)^2+(AG48-$AG$92)^2)</f>
        <v>0.89966769408446801</v>
      </c>
      <c r="GH48" s="36" t="s">
        <v>135</v>
      </c>
      <c r="GI48" s="37" t="s">
        <v>120</v>
      </c>
      <c r="GK48" s="44"/>
      <c r="GL48" s="36">
        <f>SQRT((A48-$A$93)^2+(B48-$B$93)^2+(C48-$C$93)^2+(D48-$D$93)^2+(E48-$E$93)^2+(F48-$F$93)^2+(G48-$G$93)^2+(H48-$H$93)^2+(I48-$I$93)^2+(J48-$J$93)^2+(K48-$K$93)^2+(L48-$L$93)^2+(M48-$M$93)^2+(N48-$N$93)^2+(O48-$O$93)^2+(P48-$P$93)^2+(Q48-$Q$93)^2+(R48-$R$93)^2+(S48-$S$93)^2+(T48-$T$93)^2+(U48-$U$93)^2+(V48-$V$93)^2+(W48-$W$93)^2+(X48-$X$93)^2+(Y48-$Y$93)^2+(Z48-$Z$93)^2+(AA48-$AA$93)^2+(AB48-$AB$93)^2+(AC48-$AC$93)^2+(AD48-$AD$93)^2+(AE48-$AE$93)^2+(AF48-$AF$93)^2+(AG48-$AG$93)^2)</f>
        <v>2.4095296913159903</v>
      </c>
      <c r="GM48" s="36" t="s">
        <v>142</v>
      </c>
      <c r="GN48" s="37" t="s">
        <v>120</v>
      </c>
      <c r="GP48" s="44"/>
      <c r="GQ48" s="36">
        <f>SQRT((A48-$A$94)^2+(B48-$B$94)^2+(C48-$C$94)^2+(D48-$D$94)^2+(E48-$E$94)^2+(F48-$F$94)^2+(G48-$G$94)^2+(H48-$H$94)^2+(I48-$I$94)^2+(J48-$J$94)^2+(K48-$K$94)^2+(L48-$L$94)^2+(M48-$M$94)^2+(N48-$N$94)^2+(O48-$O$94)^2+(P48-$P$94)^2+(Q48-$Q$94)^2+(R48-$R$94)^2+(S48-$S$94)^2+(T48-$T$94)^2+(U48-$U$94)^2+(V48-$V$94)^2+(W48-$W$94)^2+(X48-$X$94)^2+(Y48-$Y$94)^2+(Z48-$Z$94)^2+(AA48-$AA$94)^2+(AB48-$AB$94)^2+(AC48-$AC$94)^2+(AD48-$AD$94)^2+(AE48-$AE$94)^2+(AF48-$AF$94)^2+(AG48-$AG$94)^2)</f>
        <v>1.2255165785365822</v>
      </c>
      <c r="GR48" s="36" t="s">
        <v>135</v>
      </c>
      <c r="GS48" s="37" t="s">
        <v>120</v>
      </c>
      <c r="GU48" s="44"/>
      <c r="GV48" s="36">
        <f>SQRT((A48-$A$95)^2+(B48-$B$95)^2+(C48-$C$95)^2+(D48-$D$95)^2+(E48-$E$95)^2+(F48-$F$95)^2+(G48-$G$95)^2+(H48-$H$95)^2+(I48-$I$95)^2+(J48-$J$95)^2+(K48-$K$95)^2+(L48-$L$95)^2+(M48-$M$95)^2+(N48-$N$95)^2+(O48-$O$95)^2+(P48-$P$95)^2+(Q48-$Q$95)^2+(R48-$R$95)^2+(S48-$S$95)^2+(T48-$T$95)^2+(U48-$U$95)^2+(V48-$V$95)^2+(W48-$W$95)^2+(X48-$X$95)^2+(Y48-$Y$95)^2+(Z48-$Z$95)^2+(AA48-$AA$95)^2+(AB48-$AB$95)^2+(AC48-$AC$95)^2+(AD48-$AD$95)^2+(AE48-$AE$95)^2+(AF48-$AF$95)^2+(AG48-$AG$95)^2)</f>
        <v>2.8404322832195019</v>
      </c>
      <c r="GW48" s="36" t="s">
        <v>142</v>
      </c>
      <c r="GX48" s="37" t="s">
        <v>120</v>
      </c>
      <c r="GZ48" s="44"/>
      <c r="HA48" s="36">
        <f>SQRT((A48-$A$96)^2+(B48-$B$96)^2+(C48-$C$96)^2+(D48-$D$96)^2+(E48-$E$96)^2+(F48-$F$96)^2+(G48-$G$96)^2+(H48-$H$96)^2+(I48-$I$96)^2+(J48-$J$96)^2+(K48-$K$96)^2+(L48-$L$96)^2+(M48-$M$96)^2+(N48-$N$96)^2+(O48-$O$96)^2+(P48-$P$96)^2+(Q48-$Q$96)^2+(R48-$R$96)^2+(S48-$S$96)^2+(T48-$T$96)^2+(U48-$U$96)^2+(V48-$V$96)^2+(W48-$W$96)^2+(X48-$X$96)^2+(Y48-$Y$96)^2+(Z48-$Z$96)^2+(AA48-$AA$96)^2+(AB48-$AB$96)^2+(AC48-$AC$96)^2+(AD48-$AD$96)^2+(AE48-$AE$96)^2+(AF48-$AF$96)^2+(AG48-$AG$96)^2)</f>
        <v>2.6926339851115628</v>
      </c>
      <c r="HB48" s="36" t="s">
        <v>141</v>
      </c>
      <c r="HC48" s="37" t="s">
        <v>120</v>
      </c>
      <c r="HE48" s="44"/>
      <c r="HF48" s="36">
        <f>SQRT((A48-$A$97)^2+(B48-$B$97)^2+(C48-$C$97)^2+(D48-$D$97)^2+(E48-$E$97)^2+(F48-$F$97)^2+(G48-$G$97)^2+(H48-$H$97)^2+(I48-$I$97)^2+(J48-$J$97)^2+(K48-$K$97)^2+(L48-$L$97)^2+(M48-$M$97)^2+(N48-$N$97)^2+(O48-$O$97)^2+(P48-$P$97)^2+(Q48-$Q$97)^2+(R48-$R$97)^2+(S48-$S$97)^2+(T48-$T$97)^2+(U48-$U$97)^2+(V48-$V$97)^2+(W48-$W$97)^2+(X48-$X$97)^2+(Y48-$Y$97)^2+(Z48-$Z$97)^2+(AA48-$AA$97)^2+(AB48-$AB$97)^2+(AC48-$AC$97)^2+(AD48-$AD$97)^2+(AE48-$AE$97)^2+(AF48-$AF$97)^2+(AG48-$AG$97)^2)</f>
        <v>1.3719631085941952</v>
      </c>
      <c r="HG48" s="36" t="s">
        <v>327</v>
      </c>
      <c r="HH48" s="37" t="s">
        <v>120</v>
      </c>
      <c r="HJ48" s="44"/>
      <c r="HK48" s="36">
        <f>SQRT((A48-$A$98)^2+(B48-$B$98)^2+(C48-$C$98)^2+(D48-$D$98)^2+(E48-$E$98)^2+(F48-$F$98)^2+(G48-$G$98)^2+(H48-$H$98)^2+(I48-$I$98)^2+(J48-$J$98)^2+(K48-$K$98)^2+(L48-$L$98)^2+(M48-$M$98)^2+(N48-$N$98)^2+(O48-$O$98)^2+(P48-$P$98)^2+(Q48-$Q$98)^2+(R48-$R$98)^2+(S48-$S$98)^2+(T48-$T$98)^2+(U48-$U$98)^2+(V48-$V$98)^2+(W48-$W$98)^2+(X48-$X$98)^2+(Y48-$Y$98)^2+(Z48-$Z$98)^2+(AA48-$AA$98)^2+(AB48-$AB$98)^2+(AC48-$AC$98)^2+(AD48-$AD$98)^2+(AE48-$AE$98)^2+(AF48-$AF$98)^2+(AG48-$AG$98)^2)</f>
        <v>1.3719631085941952</v>
      </c>
      <c r="HL48" s="36" t="s">
        <v>327</v>
      </c>
      <c r="HM48" s="37" t="s">
        <v>120</v>
      </c>
      <c r="HO48" s="44"/>
      <c r="HP48" s="36">
        <f>SQRT((A48-$A$99)^2+(B48-$B$99)^2+(C48-$C$99)^2+(D48-$D$99)^2+(E48-$E$99)^2+(F48-$F$99)^2+(G48-$G$99)^2+(H48-$H$99)^2+(I48-$I$99)^2+(J48-$J$99)^2+(K48-$K$99)^2+(L48-$L$99)^2+(M48-$M$99)^2+(N48-$N$99)^2+(O48-$O$99)^2+(P48-$P$99)^2+(Q48-$Q$99)^2+(R48-$R$99)^2+(S48-$S$99)^2+(T48-$T$99)^2+(U48-$U$99)^2+(V48-$V$99)^2+(W48-$W$99)^2+(X48-$X$99)^2+(Y48-$Y$99)^2+(Z48-$Z$99)^2+(AA48-$AA$99)^2+(AB48-$AB$99)^2+(AC48-$AC$99)^2+(AD48-$AD$99)^2+(AE48-$AE$99)^2+(AF48-$AF$99)^2+(AG48-$AG$99)^2)</f>
        <v>1.3719631085941952</v>
      </c>
      <c r="HQ48" s="36" t="s">
        <v>327</v>
      </c>
      <c r="HR48" s="37" t="s">
        <v>120</v>
      </c>
      <c r="HT48" s="44"/>
      <c r="HU48" s="36">
        <f>SQRT((A48-$A$100)^2+(B48-$B$100)^2+(C48-$C$100)^2+(D48-$D$100)^2+(E48-$E$100)^2+(F48-$F$100)^2+(G48-$G$100)^2+(H48-$H$100)^2+(I48-$I$100)^2+(J48-$J$100)^2+(K48-$K$100)^2+(L48-$L$100)^2+(M48-$M$100)^2+(N48-$N$100)^2+(O48-$O$100)^2+(P48-$P$100)^2+(Q48-$Q$100)^2+(R48-$R$100)^2+(S48-$S$100)^2+(T48-$T$100)^2+(U48-$U$100)^2+(V48-$V$100)^2+(W48-$W$100)^2+(X48-$X$100)^2+(Y48-$Y$100)^2+(Z48-$Z$100)^2+(AA48-$AA$100)^2+(AB48-$AB$100)^2+(AC48-$AC$100)^2+(AD48-$AD$100)^2+(AE48-$AE$100)^2+(AF48-$AF$100)^2+(AG48-$AG$100)^2)</f>
        <v>1.3719631085941952</v>
      </c>
      <c r="HV48" s="36" t="s">
        <v>327</v>
      </c>
      <c r="HW48" s="37" t="s">
        <v>120</v>
      </c>
      <c r="HY48" s="44"/>
      <c r="HZ48" s="36">
        <f>SQRT((A48-$A$101)^2+(B48-$B$101)^2+(C48-$C$101)^2+(D48-$D$101)^2+(E48-$E$101)^2+(F48-$F$101)^2+(G48-$G$101)^2+(H48-$H$101)^2+(I48-$I$101)^2+(J48-$J$101)^2+(K48-$K$101)^2+(L48-$L$101)^2+(M48-$M$101)^2+(N48-$N$101)^2+(O48-$O$101)^2+(P48-$P$101)^2+(Q48-$Q$101)^2+(R48-$R$101)^2+(S48-$S$101)^2+(T48-$T$101)^2+(U48-$U$101)^2+(V48-$V$101)^2+(W48-$W$101)^2+(X48-$X$101)^2+(Y48-$Y$101)^2+(Z48-$Z$101)^2+(AA48-$AA$101)^2+(AB48-$AB$101)^2+(AC48-$AC$101)^2+(AD48-$AD$101)^2+(AE48-$AE$101)^2+(AF48-$AF$101)^2+(AG48-$AG$101)^2)</f>
        <v>2.1554195260629272</v>
      </c>
      <c r="IA48" s="36" t="s">
        <v>138</v>
      </c>
      <c r="IB48" s="37" t="s">
        <v>120</v>
      </c>
    </row>
    <row r="49" spans="1:236" x14ac:dyDescent="0.35">
      <c r="A49" s="2">
        <v>0.83333333333333304</v>
      </c>
      <c r="B49" s="2">
        <v>0.25</v>
      </c>
      <c r="C49" s="2">
        <v>0.33333333333333298</v>
      </c>
      <c r="D49" s="2">
        <v>0.5</v>
      </c>
      <c r="E49" s="2">
        <v>0.33333333333333298</v>
      </c>
      <c r="F49" s="2">
        <v>1</v>
      </c>
      <c r="G49" s="2">
        <v>0.55555555555555503</v>
      </c>
      <c r="H49" s="2">
        <v>1</v>
      </c>
      <c r="I49" s="2">
        <v>0.5</v>
      </c>
      <c r="J49" s="2">
        <v>0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>
        <v>0.4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0</v>
      </c>
      <c r="AH49" s="2" t="s">
        <v>121</v>
      </c>
      <c r="AI49" s="42"/>
      <c r="AJ49" s="42"/>
      <c r="AL49" s="44"/>
      <c r="AM49" s="36">
        <f>SQRT((A49-$A$62)^2+(B49-$B$62)^2+(C49-$C$62)^2+(D49-$D$62)^2+(E49-$E$62)^2+(F49-$F$62)^2+(G49-$G$62)^2+(H49-$H$62)^2+(I49-$I$62)^2+(J49-$J$62)^2+(K49-$K$62)^2+(L49-$L$62)^2+(M49-$M$62)^2+(N49-$N$62)^2+(O49-$O$62)^2+(P49-$P$62)^2+(Q49-$Q$62)^2+(R49-$R$62)^2+(S49-$S$62)^2+(T49-$T$62)^2+(U49-$U$62)^2+(V49-$V$62)^2+(W49-$W$62)^2+(X49-$X$62)^2+(Y49-$Y$62)^2+(Z49-$Z$62)^2+(AA49-$AA$62)^2+(AB49-$AB$62)^2+(AC49-$AC$62)^2+(AD49-$AD$62)^2+(AE49-$AE$62)^2+(AF49-$AF$62)^2+(AG49-$AG$62)^2)</f>
        <v>2.0669354663903325</v>
      </c>
      <c r="AN49" s="36" t="s">
        <v>326</v>
      </c>
      <c r="AO49" s="37" t="s">
        <v>120</v>
      </c>
      <c r="AQ49" s="44"/>
      <c r="AR49" s="36">
        <f>SQRT((A49-$A$63)^2+(B49-$B$63)^2+(C49-$C$63)^2+(D49-$D$63)^2+(E49-$E$63)^2+(F49-$F$63)^2+(G49-$G$63)^2+(H49-$H$63)^2+(I49-$I$63)^2+(J49-$J$63)^2+(K49-$K$63)^2+(L49-$L$63)^2+(M49-$M$63)^2+(N49-$N$63)^2+(O49-$O$63)^2+(P49-$P$63)^2+(Q49-$Q$63)^2+(R49-$R$63)^2+(S49-$S$63)^2+(T49-$T$63)^2+(U49-$U$63)^2+(V49-$V$63)^2+(W49-$W$63)^2+(X49-$X$63)^2+(Y49-$Y$63)^2+(Z49-$Z$63)^2+(AA49-$AA$63)^2+(AB49-$AB$63)^2+(AC49-$AC$63)^2+(AD49-$AD$63)^2+(AE49-$AE$63)^2+(AF49-$AF$63)^2+(AG49-$AG$63)^2)</f>
        <v>1.5803432913036388</v>
      </c>
      <c r="AS49" s="36" t="s">
        <v>323</v>
      </c>
      <c r="AT49" s="37" t="s">
        <v>120</v>
      </c>
      <c r="AV49" s="44"/>
      <c r="AW49" s="36">
        <f>SQRT((A49-$A$64)^2+(B49-$B$64)^2+(C49-$C$64)^2+(D49-$D$64)^2+(E49-$E$64)^2+(F49-$F$64)^2+(G49-$G$64)^2+(H49-$H$64)^2+(I49-$I$64)^2+(J49-$J$64)^2+(K49-$K$64)^2+(L49-$L$64)^2+(M49-$M$64)^2+(N49-$N$64)^2+(O49-$O$64)^2+(P49-$P$64)^2+(Q49-$Q$64)^2+(R49-$R$64)^2+(S49-$S$64)^2+(T49-$T$64)^2+(U49-$U$64)^2+(V49-$V$64)^2+(W49-$W$64)^2+(X49-$X$64)^2+(Y49-$Y$64)^2+(Z49-$Z$64)^2+(AA49-$AA$64)^2+(AB49-$AB$64)^2+(AC49-$AC$64)^2+(AD49-$AD$64)^2+(AE49-$AE$64)^2+(AF49-$AF$64)^2+(AG49-$AG$64)^2)</f>
        <v>1.5803432913036388</v>
      </c>
      <c r="AX49" s="36" t="s">
        <v>323</v>
      </c>
      <c r="AY49" s="37" t="s">
        <v>120</v>
      </c>
      <c r="BA49" s="44"/>
      <c r="BB49" s="36">
        <f>SQRT((A49-$A$65)^2+(B49-$B$65)^2+(C49-$C$65)^2+(D49-$D$65)^2+(E49-$E$65)^2+(F49-$F$65)^2+(G49-$G$65)^2+(H49-$H$65)^2+(I49-$I$65)^2+(J49-$J$65)^2+(K49-$K$65)^2+(L49-$L$65)^2+(M49-$M$65)^2+(N49-$N$65)^2+(O49-$O$65)^2+(P49-$P$65)^2+(Q49-$Q$65)^2+(R49-$R$65)^2+(S49-$S$65)^2+(T49-$T$65)^2+(U49-$U$65)^2+(V49-$V$65)^2+(W49-$W$65)^2+(X49-$X$65)^2+(Y49-$Y$65)^2+(Z49-$Z$65)^2+(AA49-$AA$65)^2+(AB49-$AB$65)^2+(AC49-$AC$65)^2+(AD49-$AD$65)^2+(AE49-$AE$65)^2+(AF49-$AF$65)^2+(AG49-$AG$65)^2)</f>
        <v>1.5803432913036388</v>
      </c>
      <c r="BC49" s="36" t="s">
        <v>323</v>
      </c>
      <c r="BD49" s="37" t="s">
        <v>120</v>
      </c>
      <c r="BF49" s="44"/>
      <c r="BG49" s="36">
        <f>SQRT((A49-$A$66)^2+(B49-$B$66)^2+(C49-$C$66)^2+(D49-$D$66)^2+(E49-$E$66)^2+(F49-$F$66)^2+(G49-$G$66)^2+(H49-$H$66)^2+(I49-$I$66)^2+(J49-$J$66)^2+(K49-$K$66)^2+(L49-$L$66)^2+(M49-$M$66)^2+(N49-$N$66)^2+(O49-$O$66)^2+(P49-$P$66)^2+(Q49-$Q$66)^2+(R49-$R$66)^2+(S49-$S$66)^2+(T49-$T$66)^2+(U49-$U$66)^2+(V49-$V$66)^2+(W49-$W$66)^2+(X49-$X$66)^2+(Y49-$Y$66)^2+(Z49-$Z$66)^2+(AA49-$AA$66)^2+(AB49-$AB$66)^2+(AC49-$AC$66)^2+(AD49-$AD$66)^2+(AE49-$AE$66)^2+(AF49-$AF$66)^2+(AG49-$AG$66)^2)</f>
        <v>1.5803432913036388</v>
      </c>
      <c r="BH49" s="36" t="s">
        <v>323</v>
      </c>
      <c r="BI49" s="37" t="s">
        <v>120</v>
      </c>
      <c r="BK49" s="44"/>
      <c r="BL49" s="36">
        <f>SQRT((A49-$A$67)^2+(B49-$B$67)^2+(C49-$C$67)^2+(D49-$D$67)^2+(E49-$E$67)^2+(F49-$F$67)^2+(G49-$G$67)^2+(H49-$H$67)^2+(I49-$I$67)^2+(J49-$J$67)^2+(K49-$K$67)^2+(L49-$L$67)^2+(M49-$M$67)^2+(N49-$N$67)^2+(O49-$O$67)^2+(P49-$P$67)^2+(Q49-$Q$67)^2+(R49-$R$67)^2+(S49-$S$67)^2+(T49-$T$67)^2+(U49-$U$67)^2+(V49-$V$67)^2+(W49-$W$67)^2+(X49-$X$67)^2+(Y49-$Y$67)^2+(Z49-$Z$67)^2+(AA49-$AA$67)^2+(AB49-$AB$67)^2+(AC49-$AC$67)^2+(AD49-$AD$67)^2+(AE49-$AE$67)^2+(AF49-$AF$67)^2+(AG49-$AG$67)^2)</f>
        <v>1.5803432913036388</v>
      </c>
      <c r="BM49" s="36" t="s">
        <v>323</v>
      </c>
      <c r="BN49" s="37" t="s">
        <v>120</v>
      </c>
      <c r="BP49" s="44"/>
      <c r="BQ49" s="36">
        <f>SQRT((A49-$A$68)^2+(B49-$B$68)^2+(C49-$C$68)^2+(D49-$D$68)^2+(E49-$E$68)^2+(F49-$F$68)^2+(G49-$G$68)^2+(H49-$H$68)^2+(I49-$I$68)^2+(J49-$J$68)^2+(K49-$K$68)^2+(L49-$L$68)^2+(M49-$M$68)^2+(N49-$N$68)^2+(O49-$O$68)^2+(P49-$P$68)^2+(Q49-$Q$68)^2+(R49-$R$68)^2+(S49-$S$68)^2+(T49-$T$68)^2+(U49-$U$68)^2+(V49-$V$68)^2+(W49-$W$68)^2+(X49-$X$68)^2+(Y49-$Y$68)^2+(Z49-$Z$68)^2+(AA49-$AA$68)^2+(AB49-$AB$68)^2+(AC49-$AC$68)^2+(AD49-$AD$68)^2+(AE49-$AE$68)^2+(AF49-$AF$68)^2+(AG49-$AG$68)^2)</f>
        <v>1.5803432913036388</v>
      </c>
      <c r="BR49" s="36" t="s">
        <v>323</v>
      </c>
      <c r="BS49" s="37" t="s">
        <v>120</v>
      </c>
      <c r="BU49" s="44"/>
      <c r="BV49" s="36">
        <f>SQRT((A49-$A$69)^2+(B49-$B$69)^2+(C49-$C$69)^2+(D49-$D$69)^2+(E49-$E$69)^2+(F49-$F$69)^2+(G49-$G$69)^2+(H49-$H$69)^2+(I49-$I$69)^2+(J49-$J$69)^2+(K49-$K$69)^2+(L49-$L$69)^2+(M49-$M$69)^2+(N49-$N$69)^2+(O49-$O$69)^2+(P49-$P$69)^2+(Q49-$Q$69)^2+(R49-$R$69)^2+(S49-$S$69)^2+(T49-$T$69)^2+(U49-$U$69)^2+(V49-$V$69)^2+(W49-$W$69)^2+(X49-$X$69)^2+(Y49-$Y$69)^2+(Z49-$Z$69)^2+(AA49-$AA$69)^2+(AB49-$AB$69)^2+(AC49-$AC$69)^2+(AD49-$AD$69)^2+(AE49-$AE$69)^2+(AF49-$AF$69)^2+(AG49-$AG$69)^2)</f>
        <v>2.7022566893544657</v>
      </c>
      <c r="BW49" s="36" t="s">
        <v>324</v>
      </c>
      <c r="BX49" s="37" t="s">
        <v>120</v>
      </c>
      <c r="BZ49" s="44"/>
      <c r="CA49" s="36">
        <f>SQRT((A49-$A$70)^2+(B49-$B$70)^2+(C49-$C$70)^2+(D49-$D$70)^2+(E49-$E$70)^2+(F49-$F$70)^2+(G49-$G$70)^2+(H49-$H$70)^2+(I49-$I$70)^2+(J49-$J$70)^2+(K49-$K$70)^2+(L49-$L$70)^2+(M49-$M$70)^2+(N49-$N$70)^2+(O49-$O$70)^2+(P49-$P$70)^2+(Q49-$Q$70)^2+(R49-$R$70)^2+(S49-$S$70)^2+(T49-$T$70)^2+(U49-$U$70)^2+(V49-$V$70)^2+(W49-$W$70)^2+(X49-$X$70)^2+(Y49-$Y$70)^2+(Z49-$Z$70)^2+(AA49-$AA$70)^2+(AB49-$AB$70)^2+(AC49-$AC$70)^2+(AD49-$AD$70)^2+(AE49-$AE$70)^2+(AF49-$AF$70)^2+(AG49-$AG$70)^2)</f>
        <v>1.7617736529485588</v>
      </c>
      <c r="CB49" s="36" t="s">
        <v>138</v>
      </c>
      <c r="CC49" s="37" t="s">
        <v>120</v>
      </c>
      <c r="CE49" s="44"/>
      <c r="CF49" s="36">
        <f>SQRT((A49-$A$71)^2+(B49-$B$71)^2+(C49-$C$71)^2+(D49-$D$71)^2+(E49-$E$71)^2+(F49-$F$71)^2+(G49-$G$71)^2+(H49-$H$71)^2+(I49-$I$71)^2+(J49-$J$71)^2+(K49-$K$71)^2+(L49-$L$71)^2+(M49-$M$71)^2+(N49-$N$71)^2+(O49-$O$71)^2+(P49-$P$71)^2+(Q49-$Q$71)^2+(R49-$R$71)^2+(S49-$S$71)^2+(T49-$T$71)^2+(U49-$U$71)^2+(V49-$V$71)^2+(W49-$W$71)^2+(X49-$X$71)^2+(Y49-$Y$71)^2+(Z49-$Z$71)^2+(AA49-$AA$71)^2+(AB49-$AB$71)^2+(AC49-$AC$71)^2+(AD49-$AD$71)^2+(AE49-$AE$71)^2+(AF49-$AF$71)^2+(AG49-$AG$71)^2)</f>
        <v>1.4998932420532609</v>
      </c>
      <c r="CG49" s="36" t="s">
        <v>313</v>
      </c>
      <c r="CH49" s="37" t="s">
        <v>120</v>
      </c>
      <c r="CJ49" s="44"/>
      <c r="CK49" s="36">
        <f>SQRT((A49-$A$72)^2+(B49-$B$72)^2+(C49-$C$72)^2+(D49-$D$72)^2+(E49-$E$72)^2+(F49-$F$72)^2+(G49-$G$72)^2+(H49-$H$72)^2+(I49-$I$72)^2+(J49-$J$72)^2+(K49-$K$72)^2+(L49-$L$72)^2+(M49-$M$72)^2+(N49-$N$72)^2+(O49-$O$72)^2+(P49-$P$72)^2+(Q49-$Q$72)^2+(R49-$R$72)^2+(S49-$S$72)^2+(T49-$T$72)^2+(U49-$U$72)^2+(V49-$V$72)^2+(W49-$W$72)^2+(X49-$X$72)^2+(Y49-$Y$72)^2+(Z49-$Z$72)^2+(AA49-$AA$72)^2+(AB49-$AB$72)^2+(AC49-$AC$72)^2+(AD49-$AD$72)^2+(AE49-$AE$72)^2+(AF49-$AF$72)^2+(AG49-$AG$72)^2)</f>
        <v>1.5291874657667963</v>
      </c>
      <c r="CL49" s="36" t="s">
        <v>339</v>
      </c>
      <c r="CM49" s="37" t="s">
        <v>120</v>
      </c>
      <c r="CO49" s="44"/>
      <c r="CP49" s="36">
        <f>SQRT((A49-$A$73)^2+(B49-$B$73)^2+(C49-$C$73)^2+(D49-$D$73)^2+(E49-$E$73)^2+(F49-$F$73)^2+(G49-$G$73)^2+(H49-$H$73)^2+(I49-$I$73)^2+(J49-$J$73)^2+(K49-$K$73)^2+(L49-$L$73)^2+(M49-$M$73)^2+(N49-$N$73)^2+(O49-$O$73)^2+(P49-$P$73)^2+(Q49-$Q$73)^2+(R49-$R$73)^2+(S49-$S$73)^2+(T49-$T$73)^2+(U49-$U$73)^2+(V49-$V$73)^2+(W49-$W$73)^2+(X49-$X$73)^2+(Y49-$Y$73)^2+(Z49-$Z$73)^2+(AA49-$AA$73)^2+(AB49-$AB$73)^2+(AC49-$AC$73)^2+(AD49-$AD$73)^2+(AE49-$AE$73)^2+(AF49-$AF$73)^2+(AG49-$AG$73)^2)</f>
        <v>2.0072092289766128</v>
      </c>
      <c r="CQ49" s="36" t="s">
        <v>138</v>
      </c>
      <c r="CR49" s="37" t="s">
        <v>120</v>
      </c>
      <c r="CT49" s="44"/>
      <c r="CU49" s="36">
        <f>SQRT((A49-$A$74)^2+(B49-$B$74)^2+(C49-$C$74)^2+(D49-$D$74)^2+(E49-$E$74)^2+(F49-$F$74)^2+(G49-$G$74)^2+(H49-$H$74)^2+(I49-$I$74)^2+(J49-$J$74)^2+(K49-$K$74)^2+(L49-$L$74)^2+(M49-$M$74)^2+(N49-$N$74)^2+(O49-$O$74)^2+(P49-$P$74)^2+(Q49-$Q$74)^2+(R49-$R$74)^2+(S49-$S$74)^2+(T49-$T$74)^2+(U49-$U$74)^2+(V49-$V$74)^2+(W49-$W$74)^2+(X49-$X$74)^2+(Y49-$Y$74)^2+(Z49-$Z$74)^2+(AA49-$AA$74)^2+(AB49-$AB$74)^2+(AC49-$AC$74)^2+(AD49-$AD$74)^2+(AE49-$AE$74)^2+(AF49-$AF$74)^2+(AG49-$AG$74)^2)</f>
        <v>1.8027756377319943</v>
      </c>
      <c r="CV49" s="36" t="s">
        <v>316</v>
      </c>
      <c r="CW49" s="37" t="s">
        <v>120</v>
      </c>
      <c r="CY49" s="44"/>
      <c r="CZ49" s="36">
        <f>SQRT((A49-$A$75)^2+(B49-$B$75)^2+(C49-$C$75)^2+(D49-$D$75)^2+(E49-$E$75)^2+(F49-$F$75)^2+(G49-$G$75)^2+(H49-$H$75)^2+(I49-$I$75)^2+(J49-$J$75)^2+(K49-$K$75)^2+(L49-$L$75)^2+(M49-$M$75)^2+(N49-$N$75)^2+(O49-$O$75)^2+(P49-$P$75)^2+(Q49-$Q$75)^2+(R49-$R$75)^2+(S49-$S$75)^2+(T49-$T$75)^2+(U49-$U$75)^2+(V49-$V$75)^2+(W49-$W$75)^2+(X49-$X$75)^2+(Y49-$Y$75)^2+(Z49-$Z$75)^2+(AA49-$AA$75)^2+(AB49-$AB$75)^2+(AC49-$AC$75)^2+(AD49-$AD$75)^2+(AE49-$AE$75)^2+(AF49-$AF$75)^2+(AG49-$AG$75)^2)</f>
        <v>1.7953644012660308</v>
      </c>
      <c r="DA49" s="36" t="s">
        <v>124</v>
      </c>
      <c r="DB49" s="37" t="s">
        <v>120</v>
      </c>
      <c r="DD49" s="44"/>
      <c r="DE49" s="36">
        <f>SQRT((A49-$A$76)^2+(B49-$B$76)^2+(C49-$C$76)^2+(D49-$D$76)^2+(E49-$E$76)^2+(F49-$F$76)^2+(G49-$G$76)^2+(H49-$H$76)^2+(I49-$I$76)^2+(J49-$J$76)^2+(K49-$K$76)^2+(L49-$L$76)^2+(M49-$M$76)^2+(N49-$N$76)^2+(O49-$O$76)^2+(P49-$P$76)^2+(Q49-$Q$76)^2+(R49-$R$76)^2+(S49-$S$76)^2+(T49-$T$76)^2+(U49-$U$76)^2+(V49-$V$76)^2+(W49-$W$76)^2+(X49-$X$76)^2+(Y49-$Y$76)^2+(Z49-$Z$76)^2+(AA49-$AA$76)^2+(AB49-$AB$76)^2+(AC49-$AC$76)^2+(AD49-$AD$76)^2+(AE49-$AE$76)^2+(AF49-$AF$76)^2+(AG49-$AG$76)^2)</f>
        <v>1.4903392604072105</v>
      </c>
      <c r="DF49" s="36" t="s">
        <v>124</v>
      </c>
      <c r="DG49" s="37" t="s">
        <v>120</v>
      </c>
      <c r="DI49" s="44"/>
      <c r="DJ49" s="36">
        <f>SQRT((A49-$A$77)^2+(B49-$B$77)^2+(C49-$C$77)^2+(D49-$D$77)^2+(E49-$E$77)^2+(F49-$F$77)^2+(G49-$G$77)^2+(H49-$H$77)^2+(I49-$I$77)^2+(J49-$J$77)^2+(K49-$K$77)^2+(L49-$L$77)^2+(M49-$M$77)^2+(N49-$N$77)^2+(O49-$O$77)^2+(P49-$P$77)^2+(Q49-$Q$77)^2+(R49-$R$77)^2+(S49-$S$77)^2+(T49-$T$77)^2+(U49-$U$77)^2+(V49-$V$77)^2+(W49-$W$77)^2+(X49-$X$77)^2+(Y49-$Y$77)^2+(Z49-$Z$77)^2+(AA49-$AA$77)^2+(AB49-$AB$77)^2+(AC49-$AC$77)^2+(AD49-$AD$77)^2+(AE49-$AE$77)^2+(AF49-$AF$77)^2+(AG49-$AG$77)^2)</f>
        <v>2.2254213084267889</v>
      </c>
      <c r="DK49" s="36" t="s">
        <v>326</v>
      </c>
      <c r="DL49" s="37" t="s">
        <v>120</v>
      </c>
      <c r="DN49" s="44"/>
      <c r="DO49" s="36">
        <f>SQRT((A49-$A$78)^2+(B49-$B$78)^2+(C49-$C$78)^2+(D49-$D$78)^2+(E49-$E$78)^2+(F49-$F$78)^2+(G49-$G$78)^2+(H49-$H$78)^2+(I49-$I$78)^2+(J49-$J$78)^2+(K49-$K$78)^2+(L49-$L$78)^2+(M49-$M$78)^2+(N49-$N$78)^2+(O49-$O$78)^2+(P49-$P$78)^2+(Q49-$Q$78)^2+(R49-$R$78)^2+(S49-$S$78)^2+(T49-$T$78)^2+(U49-$U$78)^2+(V49-$V$78)^2+(W49-$W$78)^2+(X49-$X$78)^2+(Y49-$Y$78)^2+(Z49-$Z$78)^2+(AA49-$AA$78)^2+(AB49-$AB$78)^2+(AC49-$AC$78)^2+(AD49-$AD$78)^2+(AE49-$AE$78)^2+(AF49-$AF$78)^2+(AG49-$AG$78)^2)</f>
        <v>1.8534357872883926</v>
      </c>
      <c r="DP49" s="36" t="s">
        <v>143</v>
      </c>
      <c r="DQ49" s="37" t="s">
        <v>120</v>
      </c>
      <c r="DS49" s="44"/>
      <c r="DT49" s="36">
        <f>SQRT((A49-$A$79)^2+(B49-$B$79)^2+(C49-$C$79)^2+(D49-$D$79)^2+(E49-$E$79)^2+(F49-$F$79)^2+(G49-$G$79)^2+(H49-$H$79)^2+(I49-$I$79)^2+(J49-$J$79)^2+(K49-$K$79)^2+(L49-$L$79)^2+(M49-$M$79)^2+(N49-$N$79)^2+(O49-$O$79)^2+(P49-$P$79)^2+(Q49-$Q$79)^2+(R49-$R$79)^2+(S49-$S$79)^2+(T49-$T$79)^2+(U49-$U$79)^2+(V49-$V$79)^2+(W49-$W$79)^2+(X49-$X$79)^2+(Y49-$Y$79)^2+(Z49-$Z$79)^2+(AA49-$AA$79)^2+(AB49-$AB$79)^2+(AC49-$AC$79)^2+(AD49-$AD$79)^2+(AE49-$AE$79)^2+(AF49-$AF$79)^2+(AG49-$AG$79)^2)</f>
        <v>1.4945864649092446</v>
      </c>
      <c r="DU49" s="36" t="s">
        <v>339</v>
      </c>
      <c r="DV49" s="37" t="s">
        <v>120</v>
      </c>
      <c r="DX49" s="44"/>
      <c r="DY49" s="36">
        <f>SQRT((A49-$A$80)^2+(B49-$B$80)^2+(C49-$C$80)^2+(D49-$D$80)^2+(E49-$E$80)^2+(F49-$F$80)^2+(G49-$G$80)^2+(H49-$H$80)^2+(I49-$I$80)^2+(J49-$J$80)^2+(K49-$K$80)^2+(L49-$L$80)^2+(M49-$M$80)^2+(N49-$N$80)^2+(O49-$O$80)^2+(P49-$P$80)^2+(Q49-$Q$80)^2+(R49-$R$80)^2+(S49-$S$80)^2+(T49-$T$80)^2+(U49-$U$80)^2+(V49-$V$80)^2+(W49-$W$80)^2+(X49-$X$80)^2+(Y49-$Y$80)^2+(Z49-$Z$80)^2+(AA49-$AA$80)^2+(AB49-$AB$80)^2+(AC49-$AC$80)^2+(AD49-$AD$80)^2+(AE49-$AE$80)^2+(AF49-$AF$80)^2+(AG49-$AG$80)^2)</f>
        <v>1.545603082582617</v>
      </c>
      <c r="DZ49" s="36" t="s">
        <v>316</v>
      </c>
      <c r="EA49" s="37" t="s">
        <v>120</v>
      </c>
      <c r="EC49" s="44"/>
      <c r="ED49" s="36">
        <f>SQRT((A49-$A$81)^2+(B49-$B$81)^2+(C49-$C$81)^2+(D49-$D$81)^2+(E49-$E$81)^2+(F49-$F$81)^2+(G49-$G$81)^2+(H49-$H$81)^2+(I49-$I$81)^2+(J49-$J$81)^2+(K49-$K$81)^2+(L49-$L$81)^2+(M49-$M$81)^2+(N49-$N$81)^2+(O49-$O$81)^2+(P49-$P$81)^2+(Q49-$Q$81)^2+(R49-$R$81)^2+(S49-$S$81)^2+(T49-$T$81)^2+(U49-$U$81)^2+(V49-$V$81)^2+(W49-$W$81)^2+(X49-$X$81)^2+(Y49-$Y$81)^2+(Z49-$Z$81)^2+(AA49-$AA$81)^2+(AB49-$AB$81)^2+(AC49-$AC$81)^2+(AD49-$AD$81)^2+(AE49-$AE$81)^2+(AF49-$AF$81)^2+(AG49-$AG$81)^2)</f>
        <v>1.4840822079655829</v>
      </c>
      <c r="EE49" s="36" t="s">
        <v>339</v>
      </c>
      <c r="EF49" s="37" t="s">
        <v>120</v>
      </c>
      <c r="EH49" s="44"/>
      <c r="EI49" s="36">
        <f>SQRT((A49-$A$82)^2+(B49-$B$82)^2+(C49-$C$82)^2+(D49-$D$82)^2+(E49-$E$82)^2+(F49-$F$82)^2+(G49-$G$82)^2+(H49-$H$82)^2+(I49-$I$82)^2+(J49-$J$82)^2+(K49-$K$82)^2+(L49-$L$82)^2+(M49-$M$82)^2+(N49-$N$82)^2+(O49-$O$82)^2+(P49-$P$82)^2+(Q49-$Q$82)^2+(R49-$R$82)^2+(S49-$S$82)^2+(T49-$T$82)^2+(U49-$U$82)^2+(V49-$V$82)^2+(W49-$W$82)^2+(X49-$X$82)^2+(Y49-$Y$82)^2+(Z49-$Z$82)^2+(AA49-$AA$82)^2+(AB49-$AB$82)^2+(AC49-$AC$82)^2+(AD49-$AD$82)^2+(AE49-$AE$82)^2+(AF49-$AF$82)^2+(AG49-$AG$82)^2)</f>
        <v>2.0660487774819543</v>
      </c>
      <c r="EJ49" s="36" t="s">
        <v>315</v>
      </c>
      <c r="EK49" s="37" t="s">
        <v>120</v>
      </c>
      <c r="EM49" s="44"/>
      <c r="EN49" s="36">
        <f>SQRT((A49-$A$83)^2+(B49-$B$83)^2+(C49-$C$83)^2+(D49-$D$83)^2+(E49-$E$83)^2+(F49-$F$83)^2+(G49-$G$83)^2+(H49-$H$83)^2+(I49-$I$83)^2+(J49-$J$83)^2+(K49-$K$83)^2+(L49-$L$83)^2+(M49-$M$83)^2+(N49-$N$83)^2+(O49-$O$83)^2+(P49-$P$83)^2+(Q49-$Q$83)^2+(R49-$R$83)^2+(S49-$S$83)^2+(T49-$T$83)^2+(U49-$U$83)^2+(V49-$V$83)^2+(W49-$W$83)^2+(X49-$X$83)^2+(Y49-$Y$83)^2+(Z49-$Z$83)^2+(AA49-$AA$83)^2+(AB49-$AB$83)^2+(AC49-$AC$83)^2+(AD49-$AD$83)^2+(AE49-$AE$83)^2+(AF49-$AF$83)^2+(AG49-$AG$83)^2)</f>
        <v>1.8606157271903325</v>
      </c>
      <c r="EO49" s="36" t="s">
        <v>137</v>
      </c>
      <c r="EP49" s="37" t="s">
        <v>120</v>
      </c>
      <c r="ER49" s="44"/>
      <c r="ES49" s="36">
        <f>SQRT((A49-$A$84)^2+(B49-$B$84)^2+(C49-$C$84)^2+(D49-$D$84)^2+(E49-$E$84)^2+(F49-$F$84)^2+(G49-$G$84)^2+(H49-$H$84)^2+(I49-$I$84)^2+(J49-$J$84)^2+(K49-$K$84)^2+(L49-$L$84)^2+(M49-$M$84)^2+(N49-$N$84)^2+(O49-$O$84)^2+(P49-$P$84)^2+(Q49-$Q$84)^2+(R49-$R$84)^2+(S49-$S$84)^2+(T49-$T$84)^2+(U49-$U$84)^2+(V49-$V$84)^2+(W49-$W$84)^2+(X49-$X$84)^2+(Y49-$Y$84)^2+(Z49-$Z$84)^2+(AA49-$AA$84)^2+(AB49-$AB$84)^2+(AC49-$AC$84)^2+(AD49-$AD$84)^2+(AE49-$AE$84)^2+(AF49-$AF$84)^2+(AG49-$AG$84)^2)</f>
        <v>1.5803432913036388</v>
      </c>
      <c r="ET49" s="36" t="s">
        <v>323</v>
      </c>
      <c r="EU49" s="37" t="s">
        <v>120</v>
      </c>
      <c r="EW49" s="44"/>
      <c r="EX49" s="36">
        <f>SQRT((A49-$A$85)^2+(B49-$B$85)^2+(C49-$C$85)^2+(D49-$D$85)^2+(E49-$E$85)^2+(F49-$F$85)^2+(G49-$G$85)^2+(H49-$H$85)^2+(I49-$I$85)^2+(J49-$J$85)^2+(K49-$K$85)^2+(L49-$L$85)^2+(M49-$M$85)^2+(N49-$N$85)^2+(O49-$O$85)^2+(P49-$P$85)^2+(Q49-$Q$85)^2+(R49-$R$85)^2+(S49-$S$85)^2+(T49-$T$85)^2+(U49-$U$85)^2+(V49-$V$85)^2+(W49-$W$85)^2+(X49-$X$85)^2+(Y49-$Y$85)^2+(Z49-$Z$85)^2+(AA49-$AA$85)^2+(AB49-$AB$85)^2+(AC49-$AC$85)^2+(AD49-$AD$85)^2+(AE49-$AE$85)^2+(AF49-$AF$85)^2+(AG49-$AG$85)^2)</f>
        <v>1.5803432913036388</v>
      </c>
      <c r="EY49" s="36" t="s">
        <v>323</v>
      </c>
      <c r="EZ49" s="37" t="s">
        <v>120</v>
      </c>
      <c r="FB49" s="44"/>
      <c r="FC49" s="36">
        <f>SQRT((A49-$A$86)^2+(B49-$B$86)^2+(C49-$C$86)^2+(D49-$D$86)^2+(E49-$E$86)^2+(F49-$F$86)^2+(G49-$G$86)^2+(H49-$H$86)^2+(I49-$I$86)^2+(J49-$J$86)^2+(K49-$K$86)^2+(L49-$L$86)^2+(M49-$M$86)^2+(N49-$N$86)^2+(O49-$O$86)^2+(P49-$P$86)^2+(Q49-$Q$86)^2+(R49-$R$86)^2+(S49-$S$86)^2+(T49-$T$86)^2+(U49-$U$86)^2+(V49-$V$86)^2+(W49-$W$86)^2+(X49-$X$86)^2+(Y49-$Y$86)^2+(Z49-$Z$86)^2+(AA49-$AA$86)^2+(AB49-$AB$86)^2+(AC49-$AC$86)^2+(AD49-$AD$86)^2+(AE49-$AE$86)^2+(AF49-$AF$86)^2+(AG49-$AG$86)^2)</f>
        <v>1.5803432913036388</v>
      </c>
      <c r="FD49" s="36" t="s">
        <v>323</v>
      </c>
      <c r="FE49" s="37" t="s">
        <v>120</v>
      </c>
      <c r="FG49" s="44"/>
      <c r="FH49" s="36">
        <f>SQRT((A49-$A$87)^2+(B49-$B$87)^2+(C49-$C$87)^2+(D49-$D$87)^2+(E49-$E$87)^2+(F49-$F$87)^2+(G49-$G$87)^2+(H49-$H$87)^2+(I49-$I$87)^2+(J49-$J$87)^2+(K49-$K$87)^2+(L49-$L$87)^2+(M49-$M$87)^2+(N49-$N$87)^2+(O49-$O$87)^2+(P49-$P$87)^2+(Q49-$Q$87)^2+(R49-$R$87)^2+(S49-$S$87)^2+(T49-$T$87)^2+(U49-$U$87)^2+(V49-$V$87)^2+(W49-$W$87)^2+(X49-$X$87)^2+(Y49-$Y$87)^2+(Z49-$Z$87)^2+(AA49-$AA$87)^2+(AB49-$AB$87)^2+(AC49-$AC$87)^2+(AD49-$AD$87)^2+(AE49-$AE$87)^2+(AF49-$AF$87)^2+(AG49-$AG$87)^2)</f>
        <v>1.8544241394268164</v>
      </c>
      <c r="FI49" s="36" t="s">
        <v>315</v>
      </c>
      <c r="FJ49" s="37" t="s">
        <v>120</v>
      </c>
      <c r="FL49" s="44"/>
      <c r="FM49" s="36">
        <f>SQRT((A49-$A$88)^2+(B49-$B$88)^2+(C49-$C$88)^2+(D49-$D$88)^2+(E49-$E$88)^2+(F49-$F$88)^2+(G49-$G$88)^2+(H49-$H$88)^2+(I49-$I$88)^2+(J49-$J$88)^2+(K49-$K$88)^2+(L49-$L$88)^2+(M49-$M$88)^2+(N49-$N$88)^2+(O49-$O$88)^2+(P49-$P$88)^2+(Q49-$Q$88)^2+(R49-$R$88)^2+(S49-$S$88)^2+(T49-$T$88)^2+(U49-$U$88)^2+(V49-$V$88)^2+(W49-$W$88)^2+(X49-$X$88)^2+(Y49-$Y$88)^2+(Z49-$Z$88)^2+(AA49-$AA$88)^2+(AB49-$AB$88)^2+(AC49-$AC$88)^2+(AD49-$AD$88)^2+(AE49-$AE$88)^2+(AF49-$AF$88)^2+(AG49-$AG$88)^2)</f>
        <v>1.4882733335428746</v>
      </c>
      <c r="FN49" s="36" t="s">
        <v>133</v>
      </c>
      <c r="FO49" s="37" t="s">
        <v>120</v>
      </c>
      <c r="FQ49" s="44"/>
      <c r="FR49" s="36">
        <f>SQRT((A49-$A$89)^2+(B49-$B$89)^2+(C49-$C$89)^2+(D49-$D$89)^2+(E49-$E$89)^2+(F49-$F$89)^2+(G49-$G$89)^2+(H49-$H$89)^2+(I49-$I$89)^2+(J49-$J$89)^2+(K49-$K$89)^2+(L49-$L$89)^2+(M49-$M$89)^2+(N49-$N$89)^2+(O49-$O$89)^2+(P49-$P$89)^2+(Q49-$Q$89)^2+(R49-$R$89)^2+(S49-$S$89)^2+(T49-$T$89)^2+(U49-$U$89)^2+(V49-$V$89)^2+(W49-$W$89)^2+(X49-$X$89)^2+(Y49-$Y$89)^2+(Z49-$Z$89)^2+(AA49-$AA$89)^2+(AB49-$AB$89)^2+(AC49-$AC$89)^2+(AD49-$AD$89)^2+(AE49-$AE$89)^2+(AF49-$AF$89)^2+(AG49-$AG$89)^2)</f>
        <v>1.3337499349161703</v>
      </c>
      <c r="FS49" s="36" t="s">
        <v>339</v>
      </c>
      <c r="FT49" s="37" t="s">
        <v>120</v>
      </c>
      <c r="FV49" s="44"/>
      <c r="FW49" s="36">
        <f>SQRT((A49-$A$90)^2+(B49-$B$90)^2+(C49-$C$90)^2+(D49-$D$90)^2+(E49-$E$90)^2+(F49-$F$90)^2+(G49-$G$90)^2+(H49-$H$90)^2+(I49-$I$90)^2+(J49-$J$90)^2+(K49-$K$90)^2+(L49-$L$90)^2+(M49-$M$90)^2+(N49-$N$90)^2+(O49-$O$90)^2+(P49-$P$90)^2+(Q49-$Q$90)^2+(R49-$R$90)^2+(S49-$S$90)^2+(T49-$T$90)^2+(U49-$U$90)^2+(V49-$V$90)^2+(W49-$W$90)^2+(X49-$X$90)^2+(Y49-$Y$90)^2+(Z49-$Z$90)^2+(AA49-$AA$90)^2+(AB49-$AB$90)^2+(AC49-$AC$90)^2+(AD49-$AD$90)^2+(AE49-$AE$90)^2+(AF49-$AF$90)^2+(AG49-$AG$90)^2)</f>
        <v>2.1131861147460618</v>
      </c>
      <c r="FX49" s="36" t="s">
        <v>339</v>
      </c>
      <c r="FY49" s="37" t="s">
        <v>120</v>
      </c>
      <c r="GA49" s="44"/>
      <c r="GB49" s="36">
        <f>SQRT((A49-$A$91)^2+(B49-$B$91)^2+(C49-$C$91)^2+(D49-$D$91)^2+(E49-$E$91)^2+(F49-$F$91)^2+(G49-$G$91)^2+(H49-$H$91)^2+(I49-$I$91)^2+(J49-$J$91)^2+(K49-$K$91)^2+(L49-$L$91)^2+(M49-$M$91)^2+(N49-$N$91)^2+(O49-$O$91)^2+(P49-$P$91)^2+(Q49-$Q$91)^2+(R49-$R$91)^2+(S49-$S$91)^2+(T49-$T$91)^2+(U49-$U$91)^2+(V49-$V$91)^2+(W49-$W$91)^2+(X49-$X$91)^2+(Y49-$Y$91)^2+(Z49-$Z$91)^2+(AA49-$AA$91)^2+(AB49-$AB$91)^2+(AC49-$AC$91)^2+(AD49-$AD$91)^2+(AE49-$AE$91)^2+(AF49-$AF$91)^2+(AG49-$AG$91)^2)</f>
        <v>2.5278998749510979</v>
      </c>
      <c r="GC49" s="36" t="s">
        <v>324</v>
      </c>
      <c r="GD49" s="37" t="s">
        <v>120</v>
      </c>
      <c r="GF49" s="44"/>
      <c r="GG49" s="36">
        <f>SQRT((A49-$A$92)^2+(B49-$B$92)^2+(C49-$C$92)^2+(D49-$D$92)^2+(E49-$E$92)^2+(F49-$F$92)^2+(G49-$G$92)^2+(H49-$H$92)^2+(I49-$I$92)^2+(J49-$J$92)^2+(K49-$K$92)^2+(L49-$L$92)^2+(M49-$M$92)^2+(N49-$N$92)^2+(O49-$O$92)^2+(P49-$P$92)^2+(Q49-$Q$92)^2+(R49-$R$92)^2+(S49-$S$92)^2+(T49-$T$92)^2+(U49-$U$92)^2+(V49-$V$92)^2+(W49-$W$92)^2+(X49-$X$92)^2+(Y49-$Y$92)^2+(Z49-$Z$92)^2+(AA49-$AA$92)^2+(AB49-$AB$92)^2+(AC49-$AC$92)^2+(AD49-$AD$92)^2+(AE49-$AE$92)^2+(AF49-$AF$92)^2+(AG49-$AG$92)^2)</f>
        <v>1.9631215969021656</v>
      </c>
      <c r="GH49" s="36" t="s">
        <v>130</v>
      </c>
      <c r="GI49" s="37" t="s">
        <v>120</v>
      </c>
      <c r="GK49" s="44"/>
      <c r="GL49" s="36">
        <f>SQRT((A49-$A$93)^2+(B49-$B$93)^2+(C49-$C$93)^2+(D49-$D$93)^2+(E49-$E$93)^2+(F49-$F$93)^2+(G49-$G$93)^2+(H49-$H$93)^2+(I49-$I$93)^2+(J49-$J$93)^2+(K49-$K$93)^2+(L49-$L$93)^2+(M49-$M$93)^2+(N49-$N$93)^2+(O49-$O$93)^2+(P49-$P$93)^2+(Q49-$Q$93)^2+(R49-$R$93)^2+(S49-$S$93)^2+(T49-$T$93)^2+(U49-$U$93)^2+(V49-$V$93)^2+(W49-$W$93)^2+(X49-$X$93)^2+(Y49-$Y$93)^2+(Z49-$Z$93)^2+(AA49-$AA$93)^2+(AB49-$AB$93)^2+(AC49-$AC$93)^2+(AD49-$AD$93)^2+(AE49-$AE$93)^2+(AF49-$AF$93)^2+(AG49-$AG$93)^2)</f>
        <v>2.7234067717556338</v>
      </c>
      <c r="GM49" s="36" t="s">
        <v>137</v>
      </c>
      <c r="GN49" s="37" t="s">
        <v>120</v>
      </c>
      <c r="GP49" s="44"/>
      <c r="GQ49" s="36">
        <f>SQRT((A49-$A$94)^2+(B49-$B$94)^2+(C49-$C$94)^2+(D49-$D$94)^2+(E49-$E$94)^2+(F49-$F$94)^2+(G49-$G$94)^2+(H49-$H$94)^2+(I49-$I$94)^2+(J49-$J$94)^2+(K49-$K$94)^2+(L49-$L$94)^2+(M49-$M$94)^2+(N49-$N$94)^2+(O49-$O$94)^2+(P49-$P$94)^2+(Q49-$Q$94)^2+(R49-$R$94)^2+(S49-$S$94)^2+(T49-$T$94)^2+(U49-$U$94)^2+(V49-$V$94)^2+(W49-$W$94)^2+(X49-$X$94)^2+(Y49-$Y$94)^2+(Z49-$Z$94)^2+(AA49-$AA$94)^2+(AB49-$AB$94)^2+(AC49-$AC$94)^2+(AD49-$AD$94)^2+(AE49-$AE$94)^2+(AF49-$AF$94)^2+(AG49-$AG$94)^2)</f>
        <v>2.0115504787880552</v>
      </c>
      <c r="GR49" s="36" t="s">
        <v>327</v>
      </c>
      <c r="GS49" s="37" t="s">
        <v>120</v>
      </c>
      <c r="GU49" s="44"/>
      <c r="GV49" s="36">
        <f>SQRT((A49-$A$95)^2+(B49-$B$95)^2+(C49-$C$95)^2+(D49-$D$95)^2+(E49-$E$95)^2+(F49-$F$95)^2+(G49-$G$95)^2+(H49-$H$95)^2+(I49-$I$95)^2+(J49-$J$95)^2+(K49-$K$95)^2+(L49-$L$95)^2+(M49-$M$95)^2+(N49-$N$95)^2+(O49-$O$95)^2+(P49-$P$95)^2+(Q49-$Q$95)^2+(R49-$R$95)^2+(S49-$S$95)^2+(T49-$T$95)^2+(U49-$U$95)^2+(V49-$V$95)^2+(W49-$W$95)^2+(X49-$X$95)^2+(Y49-$Y$95)^2+(Z49-$Z$95)^2+(AA49-$AA$95)^2+(AB49-$AB$95)^2+(AC49-$AC$95)^2+(AD49-$AD$95)^2+(AE49-$AE$95)^2+(AF49-$AF$95)^2+(AG49-$AG$95)^2)</f>
        <v>2.5714781741247581</v>
      </c>
      <c r="GW49" s="36" t="s">
        <v>124</v>
      </c>
      <c r="GX49" s="37" t="s">
        <v>120</v>
      </c>
      <c r="GZ49" s="44"/>
      <c r="HA49" s="36">
        <f>SQRT((A49-$A$96)^2+(B49-$B$96)^2+(C49-$C$96)^2+(D49-$D$96)^2+(E49-$E$96)^2+(F49-$F$96)^2+(G49-$G$96)^2+(H49-$H$96)^2+(I49-$I$96)^2+(J49-$J$96)^2+(K49-$K$96)^2+(L49-$L$96)^2+(M49-$M$96)^2+(N49-$N$96)^2+(O49-$O$96)^2+(P49-$P$96)^2+(Q49-$Q$96)^2+(R49-$R$96)^2+(S49-$S$96)^2+(T49-$T$96)^2+(U49-$U$96)^2+(V49-$V$96)^2+(W49-$W$96)^2+(X49-$X$96)^2+(Y49-$Y$96)^2+(Z49-$Z$96)^2+(AA49-$AA$96)^2+(AB49-$AB$96)^2+(AC49-$AC$96)^2+(AD49-$AD$96)^2+(AE49-$AE$96)^2+(AF49-$AF$96)^2+(AG49-$AG$96)^2)</f>
        <v>2.6087992129202533</v>
      </c>
      <c r="HB49" s="36" t="s">
        <v>326</v>
      </c>
      <c r="HC49" s="37" t="s">
        <v>120</v>
      </c>
      <c r="HE49" s="44"/>
      <c r="HF49" s="36">
        <f>SQRT((A49-$A$97)^2+(B49-$B$97)^2+(C49-$C$97)^2+(D49-$D$97)^2+(E49-$E$97)^2+(F49-$F$97)^2+(G49-$G$97)^2+(H49-$H$97)^2+(I49-$I$97)^2+(J49-$J$97)^2+(K49-$K$97)^2+(L49-$L$97)^2+(M49-$M$97)^2+(N49-$N$97)^2+(O49-$O$97)^2+(P49-$P$97)^2+(Q49-$Q$97)^2+(R49-$R$97)^2+(S49-$S$97)^2+(T49-$T$97)^2+(U49-$U$97)^2+(V49-$V$97)^2+(W49-$W$97)^2+(X49-$X$97)^2+(Y49-$Y$97)^2+(Z49-$Z$97)^2+(AA49-$AA$97)^2+(AB49-$AB$97)^2+(AC49-$AC$97)^2+(AD49-$AD$97)^2+(AE49-$AE$97)^2+(AF49-$AF$97)^2+(AG49-$AG$97)^2)</f>
        <v>1.5803432913036388</v>
      </c>
      <c r="HG49" s="36" t="s">
        <v>323</v>
      </c>
      <c r="HH49" s="37" t="s">
        <v>120</v>
      </c>
      <c r="HJ49" s="44"/>
      <c r="HK49" s="36">
        <f>SQRT((A49-$A$98)^2+(B49-$B$98)^2+(C49-$C$98)^2+(D49-$D$98)^2+(E49-$E$98)^2+(F49-$F$98)^2+(G49-$G$98)^2+(H49-$H$98)^2+(I49-$I$98)^2+(J49-$J$98)^2+(K49-$K$98)^2+(L49-$L$98)^2+(M49-$M$98)^2+(N49-$N$98)^2+(O49-$O$98)^2+(P49-$P$98)^2+(Q49-$Q$98)^2+(R49-$R$98)^2+(S49-$S$98)^2+(T49-$T$98)^2+(U49-$U$98)^2+(V49-$V$98)^2+(W49-$W$98)^2+(X49-$X$98)^2+(Y49-$Y$98)^2+(Z49-$Z$98)^2+(AA49-$AA$98)^2+(AB49-$AB$98)^2+(AC49-$AC$98)^2+(AD49-$AD$98)^2+(AE49-$AE$98)^2+(AF49-$AF$98)^2+(AG49-$AG$98)^2)</f>
        <v>1.5803432913036388</v>
      </c>
      <c r="HL49" s="36" t="s">
        <v>323</v>
      </c>
      <c r="HM49" s="37" t="s">
        <v>120</v>
      </c>
      <c r="HO49" s="44"/>
      <c r="HP49" s="36">
        <f>SQRT((A49-$A$99)^2+(B49-$B$99)^2+(C49-$C$99)^2+(D49-$D$99)^2+(E49-$E$99)^2+(F49-$F$99)^2+(G49-$G$99)^2+(H49-$H$99)^2+(I49-$I$99)^2+(J49-$J$99)^2+(K49-$K$99)^2+(L49-$L$99)^2+(M49-$M$99)^2+(N49-$N$99)^2+(O49-$O$99)^2+(P49-$P$99)^2+(Q49-$Q$99)^2+(R49-$R$99)^2+(S49-$S$99)^2+(T49-$T$99)^2+(U49-$U$99)^2+(V49-$V$99)^2+(W49-$W$99)^2+(X49-$X$99)^2+(Y49-$Y$99)^2+(Z49-$Z$99)^2+(AA49-$AA$99)^2+(AB49-$AB$99)^2+(AC49-$AC$99)^2+(AD49-$AD$99)^2+(AE49-$AE$99)^2+(AF49-$AF$99)^2+(AG49-$AG$99)^2)</f>
        <v>1.5803432913036388</v>
      </c>
      <c r="HQ49" s="36" t="s">
        <v>323</v>
      </c>
      <c r="HR49" s="37" t="s">
        <v>120</v>
      </c>
      <c r="HT49" s="44"/>
      <c r="HU49" s="36">
        <f>SQRT((A49-$A$100)^2+(B49-$B$100)^2+(C49-$C$100)^2+(D49-$D$100)^2+(E49-$E$100)^2+(F49-$F$100)^2+(G49-$G$100)^2+(H49-$H$100)^2+(I49-$I$100)^2+(J49-$J$100)^2+(K49-$K$100)^2+(L49-$L$100)^2+(M49-$M$100)^2+(N49-$N$100)^2+(O49-$O$100)^2+(P49-$P$100)^2+(Q49-$Q$100)^2+(R49-$R$100)^2+(S49-$S$100)^2+(T49-$T$100)^2+(U49-$U$100)^2+(V49-$V$100)^2+(W49-$W$100)^2+(X49-$X$100)^2+(Y49-$Y$100)^2+(Z49-$Z$100)^2+(AA49-$AA$100)^2+(AB49-$AB$100)^2+(AC49-$AC$100)^2+(AD49-$AD$100)^2+(AE49-$AE$100)^2+(AF49-$AF$100)^2+(AG49-$AG$100)^2)</f>
        <v>1.5803432913036388</v>
      </c>
      <c r="HV49" s="36" t="s">
        <v>323</v>
      </c>
      <c r="HW49" s="37" t="s">
        <v>120</v>
      </c>
      <c r="HY49" s="44"/>
      <c r="HZ49" s="36">
        <f>SQRT((A49-$A$101)^2+(B49-$B$101)^2+(C49-$C$101)^2+(D49-$D$101)^2+(E49-$E$101)^2+(F49-$F$101)^2+(G49-$G$101)^2+(H49-$H$101)^2+(I49-$I$101)^2+(J49-$J$101)^2+(K49-$K$101)^2+(L49-$L$101)^2+(M49-$M$101)^2+(N49-$N$101)^2+(O49-$O$101)^2+(P49-$P$101)^2+(Q49-$Q$101)^2+(R49-$R$101)^2+(S49-$S$101)^2+(T49-$T$101)^2+(U49-$U$101)^2+(V49-$V$101)^2+(W49-$W$101)^2+(X49-$X$101)^2+(Y49-$Y$101)^2+(Z49-$Z$101)^2+(AA49-$AA$101)^2+(AB49-$AB$101)^2+(AC49-$AC$101)^2+(AD49-$AD$101)^2+(AE49-$AE$101)^2+(AF49-$AF$101)^2+(AG49-$AG$101)^2)</f>
        <v>1.5567951410224501</v>
      </c>
      <c r="IA49" s="36" t="s">
        <v>326</v>
      </c>
      <c r="IB49" s="37" t="s">
        <v>120</v>
      </c>
    </row>
    <row r="50" spans="1:236" x14ac:dyDescent="0.35">
      <c r="A50" s="2">
        <v>0.5</v>
      </c>
      <c r="B50" s="2">
        <v>0.25</v>
      </c>
      <c r="C50" s="2">
        <v>0.33333333333333298</v>
      </c>
      <c r="D50" s="2">
        <v>0.66666666666666596</v>
      </c>
      <c r="E50" s="2">
        <v>0</v>
      </c>
      <c r="F50" s="2">
        <v>1</v>
      </c>
      <c r="G50" s="2">
        <v>0.55555555555555503</v>
      </c>
      <c r="H50" s="2">
        <v>1</v>
      </c>
      <c r="I50" s="2">
        <v>0.5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1</v>
      </c>
      <c r="U50" s="2">
        <v>1</v>
      </c>
      <c r="V50" s="2">
        <v>0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0</v>
      </c>
      <c r="AH50" s="2" t="s">
        <v>120</v>
      </c>
      <c r="AI50" s="42"/>
      <c r="AJ50" s="42"/>
      <c r="AL50" s="44"/>
      <c r="AM50" s="36">
        <f>SQRT((A50-$A$62)^2+(B50-$B$62)^2+(C50-$C$62)^2+(D50-$D$62)^2+(E50-$E$62)^2+(F50-$F$62)^2+(G50-$G$62)^2+(H50-$H$62)^2+(I50-$I$62)^2+(J50-$J$62)^2+(K50-$K$62)^2+(L50-$L$62)^2+(M50-$M$62)^2+(N50-$N$62)^2+(O50-$O$62)^2+(P50-$P$62)^2+(Q50-$Q$62)^2+(R50-$R$62)^2+(S50-$S$62)^2+(T50-$T$62)^2+(U50-$U$62)^2+(V50-$V$62)^2+(W50-$W$62)^2+(X50-$X$62)^2+(Y50-$Y$62)^2+(Z50-$Z$62)^2+(AA50-$AA$62)^2+(AB50-$AB$62)^2+(AC50-$AC$62)^2+(AD50-$AD$62)^2+(AE50-$AE$62)^2+(AF50-$AF$62)^2+(AG50-$AG$62)^2)</f>
        <v>1.5762120556715851</v>
      </c>
      <c r="AN50" s="36" t="s">
        <v>141</v>
      </c>
      <c r="AO50" s="37" t="s">
        <v>120</v>
      </c>
      <c r="AQ50" s="44"/>
      <c r="AR50" s="36">
        <f>SQRT((A50-$A$63)^2+(B50-$B$63)^2+(C50-$C$63)^2+(D50-$D$63)^2+(E50-$E$63)^2+(F50-$F$63)^2+(G50-$G$63)^2+(H50-$H$63)^2+(I50-$I$63)^2+(J50-$J$63)^2+(K50-$K$63)^2+(L50-$L$63)^2+(M50-$M$63)^2+(N50-$N$63)^2+(O50-$O$63)^2+(P50-$P$63)^2+(Q50-$Q$63)^2+(R50-$R$63)^2+(S50-$S$63)^2+(T50-$T$63)^2+(U50-$U$63)^2+(V50-$V$63)^2+(W50-$W$63)^2+(X50-$X$63)^2+(Y50-$Y$63)^2+(Z50-$Z$63)^2+(AA50-$AA$63)^2+(AB50-$AB$63)^2+(AC50-$AC$63)^2+(AD50-$AD$63)^2+(AE50-$AE$63)^2+(AF50-$AF$63)^2+(AG50-$AG$63)^2)</f>
        <v>1.2168423348626936</v>
      </c>
      <c r="AS50" s="36" t="s">
        <v>123</v>
      </c>
      <c r="AT50" s="37" t="s">
        <v>120</v>
      </c>
      <c r="AV50" s="44"/>
      <c r="AW50" s="36">
        <f>SQRT((A50-$A$64)^2+(B50-$B$64)^2+(C50-$C$64)^2+(D50-$D$64)^2+(E50-$E$64)^2+(F50-$F$64)^2+(G50-$G$64)^2+(H50-$H$64)^2+(I50-$I$64)^2+(J50-$J$64)^2+(K50-$K$64)^2+(L50-$L$64)^2+(M50-$M$64)^2+(N50-$N$64)^2+(O50-$O$64)^2+(P50-$P$64)^2+(Q50-$Q$64)^2+(R50-$R$64)^2+(S50-$S$64)^2+(T50-$T$64)^2+(U50-$U$64)^2+(V50-$V$64)^2+(W50-$W$64)^2+(X50-$X$64)^2+(Y50-$Y$64)^2+(Z50-$Z$64)^2+(AA50-$AA$64)^2+(AB50-$AB$64)^2+(AC50-$AC$64)^2+(AD50-$AD$64)^2+(AE50-$AE$64)^2+(AF50-$AF$64)^2+(AG50-$AG$64)^2)</f>
        <v>1.2168423348626936</v>
      </c>
      <c r="AX50" s="36" t="s">
        <v>123</v>
      </c>
      <c r="AY50" s="37" t="s">
        <v>120</v>
      </c>
      <c r="BA50" s="44"/>
      <c r="BB50" s="36">
        <f>SQRT((A50-$A$65)^2+(B50-$B$65)^2+(C50-$C$65)^2+(D50-$D$65)^2+(E50-$E$65)^2+(F50-$F$65)^2+(G50-$G$65)^2+(H50-$H$65)^2+(I50-$I$65)^2+(J50-$J$65)^2+(K50-$K$65)^2+(L50-$L$65)^2+(M50-$M$65)^2+(N50-$N$65)^2+(O50-$O$65)^2+(P50-$P$65)^2+(Q50-$Q$65)^2+(R50-$R$65)^2+(S50-$S$65)^2+(T50-$T$65)^2+(U50-$U$65)^2+(V50-$V$65)^2+(W50-$W$65)^2+(X50-$X$65)^2+(Y50-$Y$65)^2+(Z50-$Z$65)^2+(AA50-$AA$65)^2+(AB50-$AB$65)^2+(AC50-$AC$65)^2+(AD50-$AD$65)^2+(AE50-$AE$65)^2+(AF50-$AF$65)^2+(AG50-$AG$65)^2)</f>
        <v>1.2168423348626936</v>
      </c>
      <c r="BC50" s="36" t="s">
        <v>123</v>
      </c>
      <c r="BD50" s="37" t="s">
        <v>120</v>
      </c>
      <c r="BF50" s="44"/>
      <c r="BG50" s="36">
        <f>SQRT((A50-$A$66)^2+(B50-$B$66)^2+(C50-$C$66)^2+(D50-$D$66)^2+(E50-$E$66)^2+(F50-$F$66)^2+(G50-$G$66)^2+(H50-$H$66)^2+(I50-$I$66)^2+(J50-$J$66)^2+(K50-$K$66)^2+(L50-$L$66)^2+(M50-$M$66)^2+(N50-$N$66)^2+(O50-$O$66)^2+(P50-$P$66)^2+(Q50-$Q$66)^2+(R50-$R$66)^2+(S50-$S$66)^2+(T50-$T$66)^2+(U50-$U$66)^2+(V50-$V$66)^2+(W50-$W$66)^2+(X50-$X$66)^2+(Y50-$Y$66)^2+(Z50-$Z$66)^2+(AA50-$AA$66)^2+(AB50-$AB$66)^2+(AC50-$AC$66)^2+(AD50-$AD$66)^2+(AE50-$AE$66)^2+(AF50-$AF$66)^2+(AG50-$AG$66)^2)</f>
        <v>1.2168423348626936</v>
      </c>
      <c r="BH50" s="36" t="s">
        <v>123</v>
      </c>
      <c r="BI50" s="37" t="s">
        <v>120</v>
      </c>
      <c r="BK50" s="44"/>
      <c r="BL50" s="36">
        <f>SQRT((A50-$A$67)^2+(B50-$B$67)^2+(C50-$C$67)^2+(D50-$D$67)^2+(E50-$E$67)^2+(F50-$F$67)^2+(G50-$G$67)^2+(H50-$H$67)^2+(I50-$I$67)^2+(J50-$J$67)^2+(K50-$K$67)^2+(L50-$L$67)^2+(M50-$M$67)^2+(N50-$N$67)^2+(O50-$O$67)^2+(P50-$P$67)^2+(Q50-$Q$67)^2+(R50-$R$67)^2+(S50-$S$67)^2+(T50-$T$67)^2+(U50-$U$67)^2+(V50-$V$67)^2+(W50-$W$67)^2+(X50-$X$67)^2+(Y50-$Y$67)^2+(Z50-$Z$67)^2+(AA50-$AA$67)^2+(AB50-$AB$67)^2+(AC50-$AC$67)^2+(AD50-$AD$67)^2+(AE50-$AE$67)^2+(AF50-$AF$67)^2+(AG50-$AG$67)^2)</f>
        <v>1.2168423348626936</v>
      </c>
      <c r="BM50" s="36" t="s">
        <v>123</v>
      </c>
      <c r="BN50" s="37" t="s">
        <v>120</v>
      </c>
      <c r="BP50" s="44"/>
      <c r="BQ50" s="36">
        <f>SQRT((A50-$A$68)^2+(B50-$B$68)^2+(C50-$C$68)^2+(D50-$D$68)^2+(E50-$E$68)^2+(F50-$F$68)^2+(G50-$G$68)^2+(H50-$H$68)^2+(I50-$I$68)^2+(J50-$J$68)^2+(K50-$K$68)^2+(L50-$L$68)^2+(M50-$M$68)^2+(N50-$N$68)^2+(O50-$O$68)^2+(P50-$P$68)^2+(Q50-$Q$68)^2+(R50-$R$68)^2+(S50-$S$68)^2+(T50-$T$68)^2+(U50-$U$68)^2+(V50-$V$68)^2+(W50-$W$68)^2+(X50-$X$68)^2+(Y50-$Y$68)^2+(Z50-$Z$68)^2+(AA50-$AA$68)^2+(AB50-$AB$68)^2+(AC50-$AC$68)^2+(AD50-$AD$68)^2+(AE50-$AE$68)^2+(AF50-$AF$68)^2+(AG50-$AG$68)^2)</f>
        <v>1.2168423348626936</v>
      </c>
      <c r="BR50" s="36" t="s">
        <v>123</v>
      </c>
      <c r="BS50" s="37" t="s">
        <v>120</v>
      </c>
      <c r="BU50" s="44"/>
      <c r="BV50" s="36">
        <f>SQRT((A50-$A$69)^2+(B50-$B$69)^2+(C50-$C$69)^2+(D50-$D$69)^2+(E50-$E$69)^2+(F50-$F$69)^2+(G50-$G$69)^2+(H50-$H$69)^2+(I50-$I$69)^2+(J50-$J$69)^2+(K50-$K$69)^2+(L50-$L$69)^2+(M50-$M$69)^2+(N50-$N$69)^2+(O50-$O$69)^2+(P50-$P$69)^2+(Q50-$Q$69)^2+(R50-$R$69)^2+(S50-$S$69)^2+(T50-$T$69)^2+(U50-$U$69)^2+(V50-$V$69)^2+(W50-$W$69)^2+(X50-$X$69)^2+(Y50-$Y$69)^2+(Z50-$Z$69)^2+(AA50-$AA$69)^2+(AB50-$AB$69)^2+(AC50-$AC$69)^2+(AD50-$AD$69)^2+(AE50-$AE$69)^2+(AF50-$AF$69)^2+(AG50-$AG$69)^2)</f>
        <v>2.4986155372756751</v>
      </c>
      <c r="BW50" s="36" t="s">
        <v>138</v>
      </c>
      <c r="BX50" s="37" t="s">
        <v>120</v>
      </c>
      <c r="BZ50" s="44"/>
      <c r="CA50" s="36">
        <f>SQRT((A50-$A$70)^2+(B50-$B$70)^2+(C50-$C$70)^2+(D50-$D$70)^2+(E50-$E$70)^2+(F50-$F$70)^2+(G50-$G$70)^2+(H50-$H$70)^2+(I50-$I$70)^2+(J50-$J$70)^2+(K50-$K$70)^2+(L50-$L$70)^2+(M50-$M$70)^2+(N50-$N$70)^2+(O50-$O$70)^2+(P50-$P$70)^2+(Q50-$Q$70)^2+(R50-$R$70)^2+(S50-$S$70)^2+(T50-$T$70)^2+(U50-$U$70)^2+(V50-$V$70)^2+(W50-$W$70)^2+(X50-$X$70)^2+(Y50-$Y$70)^2+(Z50-$Z$70)^2+(AA50-$AA$70)^2+(AB50-$AB$70)^2+(AC50-$AC$70)^2+(AD50-$AD$70)^2+(AE50-$AE$70)^2+(AF50-$AF$70)^2+(AG50-$AG$70)^2)</f>
        <v>1.2348917018649124</v>
      </c>
      <c r="CB50" s="36" t="s">
        <v>144</v>
      </c>
      <c r="CC50" s="37" t="s">
        <v>120</v>
      </c>
      <c r="CE50" s="44"/>
      <c r="CF50" s="36">
        <f>SQRT((A50-$A$71)^2+(B50-$B$71)^2+(C50-$C$71)^2+(D50-$D$71)^2+(E50-$E$71)^2+(F50-$F$71)^2+(G50-$G$71)^2+(H50-$H$71)^2+(I50-$I$71)^2+(J50-$J$71)^2+(K50-$K$71)^2+(L50-$L$71)^2+(M50-$M$71)^2+(N50-$N$71)^2+(O50-$O$71)^2+(P50-$P$71)^2+(Q50-$Q$71)^2+(R50-$R$71)^2+(S50-$S$71)^2+(T50-$T$71)^2+(U50-$U$71)^2+(V50-$V$71)^2+(W50-$W$71)^2+(X50-$X$71)^2+(Y50-$Y$71)^2+(Z50-$Z$71)^2+(AA50-$AA$71)^2+(AB50-$AB$71)^2+(AC50-$AC$71)^2+(AD50-$AD$71)^2+(AE50-$AE$71)^2+(AF50-$AF$71)^2+(AG50-$AG$71)^2)</f>
        <v>1.5998999148562518</v>
      </c>
      <c r="CG50" s="36" t="s">
        <v>339</v>
      </c>
      <c r="CH50" s="37" t="s">
        <v>120</v>
      </c>
      <c r="CJ50" s="44"/>
      <c r="CK50" s="36">
        <f>SQRT((A50-$A$72)^2+(B50-$B$72)^2+(C50-$C$72)^2+(D50-$D$72)^2+(E50-$E$72)^2+(F50-$F$72)^2+(G50-$G$72)^2+(H50-$H$72)^2+(I50-$I$72)^2+(J50-$J$72)^2+(K50-$K$72)^2+(L50-$L$72)^2+(M50-$M$72)^2+(N50-$N$72)^2+(O50-$O$72)^2+(P50-$P$72)^2+(Q50-$Q$72)^2+(R50-$R$72)^2+(S50-$S$72)^2+(T50-$T$72)^2+(U50-$U$72)^2+(V50-$V$72)^2+(W50-$W$72)^2+(X50-$X$72)^2+(Y50-$Y$72)^2+(Z50-$Z$72)^2+(AA50-$AA$72)^2+(AB50-$AB$72)^2+(AC50-$AC$72)^2+(AD50-$AD$72)^2+(AE50-$AE$72)^2+(AF50-$AF$72)^2+(AG50-$AG$72)^2)</f>
        <v>1.7267737659553462</v>
      </c>
      <c r="CL50" s="36" t="s">
        <v>326</v>
      </c>
      <c r="CM50" s="37" t="s">
        <v>120</v>
      </c>
      <c r="CO50" s="44"/>
      <c r="CP50" s="36">
        <f>SQRT((A50-$A$73)^2+(B50-$B$73)^2+(C50-$C$73)^2+(D50-$D$73)^2+(E50-$E$73)^2+(F50-$F$73)^2+(G50-$G$73)^2+(H50-$H$73)^2+(I50-$I$73)^2+(J50-$J$73)^2+(K50-$K$73)^2+(L50-$L$73)^2+(M50-$M$73)^2+(N50-$N$73)^2+(O50-$O$73)^2+(P50-$P$73)^2+(Q50-$Q$73)^2+(R50-$R$73)^2+(S50-$S$73)^2+(T50-$T$73)^2+(U50-$U$73)^2+(V50-$V$73)^2+(W50-$W$73)^2+(X50-$X$73)^2+(Y50-$Y$73)^2+(Z50-$Z$73)^2+(AA50-$AA$73)^2+(AB50-$AB$73)^2+(AC50-$AC$73)^2+(AD50-$AD$73)^2+(AE50-$AE$73)^2+(AF50-$AF$73)^2+(AG50-$AG$73)^2)</f>
        <v>0.47726070210921195</v>
      </c>
      <c r="CQ50" s="36" t="s">
        <v>324</v>
      </c>
      <c r="CR50" s="37" t="s">
        <v>120</v>
      </c>
      <c r="CT50" s="44"/>
      <c r="CU50" s="36">
        <f>SQRT((A50-$A$74)^2+(B50-$B$74)^2+(C50-$C$74)^2+(D50-$D$74)^2+(E50-$E$74)^2+(F50-$F$74)^2+(G50-$G$74)^2+(H50-$H$74)^2+(I50-$I$74)^2+(J50-$J$74)^2+(K50-$K$74)^2+(L50-$L$74)^2+(M50-$M$74)^2+(N50-$N$74)^2+(O50-$O$74)^2+(P50-$P$74)^2+(Q50-$Q$74)^2+(R50-$R$74)^2+(S50-$S$74)^2+(T50-$T$74)^2+(U50-$U$74)^2+(V50-$V$74)^2+(W50-$W$74)^2+(X50-$X$74)^2+(Y50-$Y$74)^2+(Z50-$Z$74)^2+(AA50-$AA$74)^2+(AB50-$AB$74)^2+(AC50-$AC$74)^2+(AD50-$AD$74)^2+(AE50-$AE$74)^2+(AF50-$AF$74)^2+(AG50-$AG$74)^2)</f>
        <v>1.077032961426901</v>
      </c>
      <c r="CV50" s="36" t="s">
        <v>148</v>
      </c>
      <c r="CW50" s="37" t="s">
        <v>120</v>
      </c>
      <c r="CY50" s="44"/>
      <c r="CZ50" s="36">
        <f>SQRT((A50-$A$75)^2+(B50-$B$75)^2+(C50-$C$75)^2+(D50-$D$75)^2+(E50-$E$75)^2+(F50-$F$75)^2+(G50-$G$75)^2+(H50-$H$75)^2+(I50-$I$75)^2+(J50-$J$75)^2+(K50-$K$75)^2+(L50-$L$75)^2+(M50-$M$75)^2+(N50-$N$75)^2+(O50-$O$75)^2+(P50-$P$75)^2+(Q50-$Q$75)^2+(R50-$R$75)^2+(S50-$S$75)^2+(T50-$T$75)^2+(U50-$U$75)^2+(V50-$V$75)^2+(W50-$W$75)^2+(X50-$X$75)^2+(Y50-$Y$75)^2+(Z50-$Z$75)^2+(AA50-$AA$75)^2+(AB50-$AB$75)^2+(AC50-$AC$75)^2+(AD50-$AD$75)^2+(AE50-$AE$75)^2+(AF50-$AF$75)^2+(AG50-$AG$75)^2)</f>
        <v>1.1450376024878448</v>
      </c>
      <c r="DA50" s="36" t="s">
        <v>329</v>
      </c>
      <c r="DB50" s="37" t="s">
        <v>120</v>
      </c>
      <c r="DD50" s="44"/>
      <c r="DE50" s="36">
        <f>SQRT((A50-$A$76)^2+(B50-$B$76)^2+(C50-$C$76)^2+(D50-$D$76)^2+(E50-$E$76)^2+(F50-$F$76)^2+(G50-$G$76)^2+(H50-$H$76)^2+(I50-$I$76)^2+(J50-$J$76)^2+(K50-$K$76)^2+(L50-$L$76)^2+(M50-$M$76)^2+(N50-$N$76)^2+(O50-$O$76)^2+(P50-$P$76)^2+(Q50-$Q$76)^2+(R50-$R$76)^2+(S50-$S$76)^2+(T50-$T$76)^2+(U50-$U$76)^2+(V50-$V$76)^2+(W50-$W$76)^2+(X50-$X$76)^2+(Y50-$Y$76)^2+(Z50-$Z$76)^2+(AA50-$AA$76)^2+(AB50-$AB$76)^2+(AC50-$AC$76)^2+(AD50-$AD$76)^2+(AE50-$AE$76)^2+(AF50-$AF$76)^2+(AG50-$AG$76)^2)</f>
        <v>1.744196726926817</v>
      </c>
      <c r="DF50" s="36" t="s">
        <v>315</v>
      </c>
      <c r="DG50" s="37" t="s">
        <v>120</v>
      </c>
      <c r="DI50" s="44"/>
      <c r="DJ50" s="36">
        <f>SQRT((A50-$A$77)^2+(B50-$B$77)^2+(C50-$C$77)^2+(D50-$D$77)^2+(E50-$E$77)^2+(F50-$F$77)^2+(G50-$G$77)^2+(H50-$H$77)^2+(I50-$I$77)^2+(J50-$J$77)^2+(K50-$K$77)^2+(L50-$L$77)^2+(M50-$M$77)^2+(N50-$N$77)^2+(O50-$O$77)^2+(P50-$P$77)^2+(Q50-$Q$77)^2+(R50-$R$77)^2+(S50-$S$77)^2+(T50-$T$77)^2+(U50-$U$77)^2+(V50-$V$77)^2+(W50-$W$77)^2+(X50-$X$77)^2+(Y50-$Y$77)^2+(Z50-$Z$77)^2+(AA50-$AA$77)^2+(AB50-$AB$77)^2+(AC50-$AC$77)^2+(AD50-$AD$77)^2+(AE50-$AE$77)^2+(AF50-$AF$77)^2+(AG50-$AG$77)^2)</f>
        <v>1.8062391868188443</v>
      </c>
      <c r="DK50" s="36" t="s">
        <v>315</v>
      </c>
      <c r="DL50" s="37" t="s">
        <v>120</v>
      </c>
      <c r="DN50" s="44"/>
      <c r="DO50" s="36">
        <f>SQRT((A50-$A$78)^2+(B50-$B$78)^2+(C50-$C$78)^2+(D50-$D$78)^2+(E50-$E$78)^2+(F50-$F$78)^2+(G50-$G$78)^2+(H50-$H$78)^2+(I50-$I$78)^2+(J50-$J$78)^2+(K50-$K$78)^2+(L50-$L$78)^2+(M50-$M$78)^2+(N50-$N$78)^2+(O50-$O$78)^2+(P50-$P$78)^2+(Q50-$Q$78)^2+(R50-$R$78)^2+(S50-$S$78)^2+(T50-$T$78)^2+(U50-$U$78)^2+(V50-$V$78)^2+(W50-$W$78)^2+(X50-$X$78)^2+(Y50-$Y$78)^2+(Z50-$Z$78)^2+(AA50-$AA$78)^2+(AB50-$AB$78)^2+(AC50-$AC$78)^2+(AD50-$AD$78)^2+(AE50-$AE$78)^2+(AF50-$AF$78)^2+(AG50-$AG$78)^2)</f>
        <v>1.2340996699534126</v>
      </c>
      <c r="DP50" s="36" t="s">
        <v>324</v>
      </c>
      <c r="DQ50" s="37" t="s">
        <v>120</v>
      </c>
      <c r="DS50" s="44"/>
      <c r="DT50" s="36">
        <f>SQRT((A50-$A$79)^2+(B50-$B$79)^2+(C50-$C$79)^2+(D50-$D$79)^2+(E50-$E$79)^2+(F50-$F$79)^2+(G50-$G$79)^2+(H50-$H$79)^2+(I50-$I$79)^2+(J50-$J$79)^2+(K50-$K$79)^2+(L50-$L$79)^2+(M50-$M$79)^2+(N50-$N$79)^2+(O50-$O$79)^2+(P50-$P$79)^2+(Q50-$Q$79)^2+(R50-$R$79)^2+(S50-$S$79)^2+(T50-$T$79)^2+(U50-$U$79)^2+(V50-$V$79)^2+(W50-$W$79)^2+(X50-$X$79)^2+(Y50-$Y$79)^2+(Z50-$Z$79)^2+(AA50-$AA$79)^2+(AB50-$AB$79)^2+(AC50-$AC$79)^2+(AD50-$AD$79)^2+(AE50-$AE$79)^2+(AF50-$AF$79)^2+(AG50-$AG$79)^2)</f>
        <v>1.6039663435930025</v>
      </c>
      <c r="DU50" s="36" t="s">
        <v>136</v>
      </c>
      <c r="DV50" s="37" t="s">
        <v>120</v>
      </c>
      <c r="DX50" s="44"/>
      <c r="DY50" s="36">
        <f>SQRT((A50-$A$80)^2+(B50-$B$80)^2+(C50-$C$80)^2+(D50-$D$80)^2+(E50-$E$80)^2+(F50-$F$80)^2+(G50-$G$80)^2+(H50-$H$80)^2+(I50-$I$80)^2+(J50-$J$80)^2+(K50-$K$80)^2+(L50-$L$80)^2+(M50-$M$80)^2+(N50-$N$80)^2+(O50-$O$80)^2+(P50-$P$80)^2+(Q50-$Q$80)^2+(R50-$R$80)^2+(S50-$S$80)^2+(T50-$T$80)^2+(U50-$U$80)^2+(V50-$V$80)^2+(W50-$W$80)^2+(X50-$X$80)^2+(Y50-$Y$80)^2+(Z50-$Z$80)^2+(AA50-$AA$80)^2+(AB50-$AB$80)^2+(AC50-$AC$80)^2+(AD50-$AD$80)^2+(AE50-$AE$80)^2+(AF50-$AF$80)^2+(AG50-$AG$80)^2)</f>
        <v>2.0464060637561103</v>
      </c>
      <c r="DZ50" s="36" t="s">
        <v>124</v>
      </c>
      <c r="EA50" s="37" t="s">
        <v>120</v>
      </c>
      <c r="EC50" s="44"/>
      <c r="ED50" s="36">
        <f>SQRT((A50-$A$81)^2+(B50-$B$81)^2+(C50-$C$81)^2+(D50-$D$81)^2+(E50-$E$81)^2+(F50-$F$81)^2+(G50-$G$81)^2+(H50-$H$81)^2+(I50-$I$81)^2+(J50-$J$81)^2+(K50-$K$81)^2+(L50-$L$81)^2+(M50-$M$81)^2+(N50-$N$81)^2+(O50-$O$81)^2+(P50-$P$81)^2+(Q50-$Q$81)^2+(R50-$R$81)^2+(S50-$S$81)^2+(T50-$T$81)^2+(U50-$U$81)^2+(V50-$V$81)^2+(W50-$W$81)^2+(X50-$X$81)^2+(Y50-$Y$81)^2+(Z50-$Z$81)^2+(AA50-$AA$81)^2+(AB50-$AB$81)^2+(AC50-$AC$81)^2+(AD50-$AD$81)^2+(AE50-$AE$81)^2+(AF50-$AF$81)^2+(AG50-$AG$81)^2)</f>
        <v>2.0979487336178853</v>
      </c>
      <c r="EE50" s="36" t="s">
        <v>326</v>
      </c>
      <c r="EF50" s="37" t="s">
        <v>120</v>
      </c>
      <c r="EH50" s="44"/>
      <c r="EI50" s="36">
        <f>SQRT((A50-$A$82)^2+(B50-$B$82)^2+(C50-$C$82)^2+(D50-$D$82)^2+(E50-$E$82)^2+(F50-$F$82)^2+(G50-$G$82)^2+(H50-$H$82)^2+(I50-$I$82)^2+(J50-$J$82)^2+(K50-$K$82)^2+(L50-$L$82)^2+(M50-$M$82)^2+(N50-$N$82)^2+(O50-$O$82)^2+(P50-$P$82)^2+(Q50-$Q$82)^2+(R50-$R$82)^2+(S50-$S$82)^2+(T50-$T$82)^2+(U50-$U$82)^2+(V50-$V$82)^2+(W50-$W$82)^2+(X50-$X$82)^2+(Y50-$Y$82)^2+(Z50-$Z$82)^2+(AA50-$AA$82)^2+(AB50-$AB$82)^2+(AC50-$AC$82)^2+(AD50-$AD$82)^2+(AE50-$AE$82)^2+(AF50-$AF$82)^2+(AG50-$AG$82)^2)</f>
        <v>1.6400209334169451</v>
      </c>
      <c r="EJ50" s="36" t="s">
        <v>144</v>
      </c>
      <c r="EK50" s="37" t="s">
        <v>120</v>
      </c>
      <c r="EM50" s="44"/>
      <c r="EN50" s="36">
        <f>SQRT((A50-$A$83)^2+(B50-$B$83)^2+(C50-$C$83)^2+(D50-$D$83)^2+(E50-$E$83)^2+(F50-$F$83)^2+(G50-$G$83)^2+(H50-$H$83)^2+(I50-$I$83)^2+(J50-$J$83)^2+(K50-$K$83)^2+(L50-$L$83)^2+(M50-$M$83)^2+(N50-$N$83)^2+(O50-$O$83)^2+(P50-$P$83)^2+(Q50-$Q$83)^2+(R50-$R$83)^2+(S50-$S$83)^2+(T50-$T$83)^2+(U50-$U$83)^2+(V50-$V$83)^2+(W50-$W$83)^2+(X50-$X$83)^2+(Y50-$Y$83)^2+(Z50-$Z$83)^2+(AA50-$AA$83)^2+(AB50-$AB$83)^2+(AC50-$AC$83)^2+(AD50-$AD$83)^2+(AE50-$AE$83)^2+(AF50-$AF$83)^2+(AG50-$AG$83)^2)</f>
        <v>1.1712774582770773</v>
      </c>
      <c r="EO50" s="36" t="s">
        <v>323</v>
      </c>
      <c r="EP50" s="37" t="s">
        <v>120</v>
      </c>
      <c r="ER50" s="44"/>
      <c r="ES50" s="36">
        <f>SQRT((A50-$A$84)^2+(B50-$B$84)^2+(C50-$C$84)^2+(D50-$D$84)^2+(E50-$E$84)^2+(F50-$F$84)^2+(G50-$G$84)^2+(H50-$H$84)^2+(I50-$I$84)^2+(J50-$J$84)^2+(K50-$K$84)^2+(L50-$L$84)^2+(M50-$M$84)^2+(N50-$N$84)^2+(O50-$O$84)^2+(P50-$P$84)^2+(Q50-$Q$84)^2+(R50-$R$84)^2+(S50-$S$84)^2+(T50-$T$84)^2+(U50-$U$84)^2+(V50-$V$84)^2+(W50-$W$84)^2+(X50-$X$84)^2+(Y50-$Y$84)^2+(Z50-$Z$84)^2+(AA50-$AA$84)^2+(AB50-$AB$84)^2+(AC50-$AC$84)^2+(AD50-$AD$84)^2+(AE50-$AE$84)^2+(AF50-$AF$84)^2+(AG50-$AG$84)^2)</f>
        <v>1.2168423348626936</v>
      </c>
      <c r="ET50" s="36" t="s">
        <v>123</v>
      </c>
      <c r="EU50" s="37" t="s">
        <v>120</v>
      </c>
      <c r="EW50" s="44"/>
      <c r="EX50" s="36">
        <f>SQRT((A50-$A$85)^2+(B50-$B$85)^2+(C50-$C$85)^2+(D50-$D$85)^2+(E50-$E$85)^2+(F50-$F$85)^2+(G50-$G$85)^2+(H50-$H$85)^2+(I50-$I$85)^2+(J50-$J$85)^2+(K50-$K$85)^2+(L50-$L$85)^2+(M50-$M$85)^2+(N50-$N$85)^2+(O50-$O$85)^2+(P50-$P$85)^2+(Q50-$Q$85)^2+(R50-$R$85)^2+(S50-$S$85)^2+(T50-$T$85)^2+(U50-$U$85)^2+(V50-$V$85)^2+(W50-$W$85)^2+(X50-$X$85)^2+(Y50-$Y$85)^2+(Z50-$Z$85)^2+(AA50-$AA$85)^2+(AB50-$AB$85)^2+(AC50-$AC$85)^2+(AD50-$AD$85)^2+(AE50-$AE$85)^2+(AF50-$AF$85)^2+(AG50-$AG$85)^2)</f>
        <v>1.2168423348626936</v>
      </c>
      <c r="EY50" s="36" t="s">
        <v>123</v>
      </c>
      <c r="EZ50" s="37" t="s">
        <v>120</v>
      </c>
      <c r="FB50" s="44"/>
      <c r="FC50" s="36">
        <f>SQRT((A50-$A$86)^2+(B50-$B$86)^2+(C50-$C$86)^2+(D50-$D$86)^2+(E50-$E$86)^2+(F50-$F$86)^2+(G50-$G$86)^2+(H50-$H$86)^2+(I50-$I$86)^2+(J50-$J$86)^2+(K50-$K$86)^2+(L50-$L$86)^2+(M50-$M$86)^2+(N50-$N$86)^2+(O50-$O$86)^2+(P50-$P$86)^2+(Q50-$Q$86)^2+(R50-$R$86)^2+(S50-$S$86)^2+(T50-$T$86)^2+(U50-$U$86)^2+(V50-$V$86)^2+(W50-$W$86)^2+(X50-$X$86)^2+(Y50-$Y$86)^2+(Z50-$Z$86)^2+(AA50-$AA$86)^2+(AB50-$AB$86)^2+(AC50-$AC$86)^2+(AD50-$AD$86)^2+(AE50-$AE$86)^2+(AF50-$AF$86)^2+(AG50-$AG$86)^2)</f>
        <v>1.2168423348626936</v>
      </c>
      <c r="FD50" s="36" t="s">
        <v>123</v>
      </c>
      <c r="FE50" s="37" t="s">
        <v>120</v>
      </c>
      <c r="FG50" s="44"/>
      <c r="FH50" s="36">
        <f>SQRT((A50-$A$87)^2+(B50-$B$87)^2+(C50-$C$87)^2+(D50-$D$87)^2+(E50-$E$87)^2+(F50-$F$87)^2+(G50-$G$87)^2+(H50-$H$87)^2+(I50-$I$87)^2+(J50-$J$87)^2+(K50-$K$87)^2+(L50-$L$87)^2+(M50-$M$87)^2+(N50-$N$87)^2+(O50-$O$87)^2+(P50-$P$87)^2+(Q50-$Q$87)^2+(R50-$R$87)^2+(S50-$S$87)^2+(T50-$T$87)^2+(U50-$U$87)^2+(V50-$V$87)^2+(W50-$W$87)^2+(X50-$X$87)^2+(Y50-$Y$87)^2+(Z50-$Z$87)^2+(AA50-$AA$87)^2+(AB50-$AB$87)^2+(AC50-$AC$87)^2+(AD50-$AD$87)^2+(AE50-$AE$87)^2+(AF50-$AF$87)^2+(AG50-$AG$87)^2)</f>
        <v>1.147945023848171</v>
      </c>
      <c r="FI50" s="36" t="s">
        <v>329</v>
      </c>
      <c r="FJ50" s="37" t="s">
        <v>120</v>
      </c>
      <c r="FL50" s="44"/>
      <c r="FM50" s="36">
        <f>SQRT((A50-$A$88)^2+(B50-$B$88)^2+(C50-$C$88)^2+(D50-$D$88)^2+(E50-$E$88)^2+(F50-$F$88)^2+(G50-$G$88)^2+(H50-$H$88)^2+(I50-$I$88)^2+(J50-$J$88)^2+(K50-$K$88)^2+(L50-$L$88)^2+(M50-$M$88)^2+(N50-$N$88)^2+(O50-$O$88)^2+(P50-$P$88)^2+(Q50-$Q$88)^2+(R50-$R$88)^2+(S50-$S$88)^2+(T50-$T$88)^2+(U50-$U$88)^2+(V50-$V$88)^2+(W50-$W$88)^2+(X50-$X$88)^2+(Y50-$Y$88)^2+(Z50-$Z$88)^2+(AA50-$AA$88)^2+(AB50-$AB$88)^2+(AC50-$AC$88)^2+(AD50-$AD$88)^2+(AE50-$AE$88)^2+(AF50-$AF$88)^2+(AG50-$AG$88)^2)</f>
        <v>1.6574618359277664</v>
      </c>
      <c r="FN50" s="36" t="s">
        <v>134</v>
      </c>
      <c r="FO50" s="37" t="s">
        <v>120</v>
      </c>
      <c r="FQ50" s="44"/>
      <c r="FR50" s="36">
        <f>SQRT((A50-$A$89)^2+(B50-$B$89)^2+(C50-$C$89)^2+(D50-$D$89)^2+(E50-$E$89)^2+(F50-$F$89)^2+(G50-$G$89)^2+(H50-$H$89)^2+(I50-$I$89)^2+(J50-$J$89)^2+(K50-$K$89)^2+(L50-$L$89)^2+(M50-$M$89)^2+(N50-$N$89)^2+(O50-$O$89)^2+(P50-$P$89)^2+(Q50-$Q$89)^2+(R50-$R$89)^2+(S50-$S$89)^2+(T50-$T$89)^2+(U50-$U$89)^2+(V50-$V$89)^2+(W50-$W$89)^2+(X50-$X$89)^2+(Y50-$Y$89)^2+(Z50-$Z$89)^2+(AA50-$AA$89)^2+(AB50-$AB$89)^2+(AC50-$AC$89)^2+(AD50-$AD$89)^2+(AE50-$AE$89)^2+(AF50-$AF$89)^2+(AG50-$AG$89)^2)</f>
        <v>2.0763215336529917</v>
      </c>
      <c r="FS50" s="36" t="s">
        <v>333</v>
      </c>
      <c r="FT50" s="37" t="s">
        <v>120</v>
      </c>
      <c r="FV50" s="44"/>
      <c r="FW50" s="36">
        <f>SQRT((A50-$A$90)^2+(B50-$B$90)^2+(C50-$C$90)^2+(D50-$D$90)^2+(E50-$E$90)^2+(F50-$F$90)^2+(G50-$G$90)^2+(H50-$H$90)^2+(I50-$I$90)^2+(J50-$J$90)^2+(K50-$K$90)^2+(L50-$L$90)^2+(M50-$M$90)^2+(N50-$N$90)^2+(O50-$O$90)^2+(P50-$P$90)^2+(Q50-$Q$90)^2+(R50-$R$90)^2+(S50-$S$90)^2+(T50-$T$90)^2+(U50-$U$90)^2+(V50-$V$90)^2+(W50-$W$90)^2+(X50-$X$90)^2+(Y50-$Y$90)^2+(Z50-$Z$90)^2+(AA50-$AA$90)^2+(AB50-$AB$90)^2+(AC50-$AC$90)^2+(AD50-$AD$90)^2+(AE50-$AE$90)^2+(AF50-$AF$90)^2+(AG50-$AG$90)^2)</f>
        <v>1.545603082582617</v>
      </c>
      <c r="FX50" s="36" t="s">
        <v>313</v>
      </c>
      <c r="FY50" s="37" t="s">
        <v>120</v>
      </c>
      <c r="GA50" s="44"/>
      <c r="GB50" s="36">
        <f>SQRT((A50-$A$91)^2+(B50-$B$91)^2+(C50-$C$91)^2+(D50-$D$91)^2+(E50-$E$91)^2+(F50-$F$91)^2+(G50-$G$91)^2+(H50-$H$91)^2+(I50-$I$91)^2+(J50-$J$91)^2+(K50-$K$91)^2+(L50-$L$91)^2+(M50-$M$91)^2+(N50-$N$91)^2+(O50-$O$91)^2+(P50-$P$91)^2+(Q50-$Q$91)^2+(R50-$R$91)^2+(S50-$S$91)^2+(T50-$T$91)^2+(U50-$U$91)^2+(V50-$V$91)^2+(W50-$W$91)^2+(X50-$X$91)^2+(Y50-$Y$91)^2+(Z50-$Z$91)^2+(AA50-$AA$91)^2+(AB50-$AB$91)^2+(AC50-$AC$91)^2+(AD50-$AD$91)^2+(AE50-$AE$91)^2+(AF50-$AF$91)^2+(AG50-$AG$91)^2)</f>
        <v>1.542814887722366</v>
      </c>
      <c r="GC50" s="36" t="s">
        <v>143</v>
      </c>
      <c r="GD50" s="37" t="s">
        <v>120</v>
      </c>
      <c r="GF50" s="44"/>
      <c r="GG50" s="36">
        <f>SQRT((A50-$A$92)^2+(B50-$B$92)^2+(C50-$C$92)^2+(D50-$D$92)^2+(E50-$E$92)^2+(F50-$F$92)^2+(G50-$G$92)^2+(H50-$H$92)^2+(I50-$I$92)^2+(J50-$J$92)^2+(K50-$K$92)^2+(L50-$L$92)^2+(M50-$M$92)^2+(N50-$N$92)^2+(O50-$O$92)^2+(P50-$P$92)^2+(Q50-$Q$92)^2+(R50-$R$92)^2+(S50-$S$92)^2+(T50-$T$92)^2+(U50-$U$92)^2+(V50-$V$92)^2+(W50-$W$92)^2+(X50-$X$92)^2+(Y50-$Y$92)^2+(Z50-$Z$92)^2+(AA50-$AA$92)^2+(AB50-$AB$92)^2+(AC50-$AC$92)^2+(AD50-$AD$92)^2+(AE50-$AE$92)^2+(AF50-$AF$92)^2+(AG50-$AG$92)^2)</f>
        <v>1.5802467331265211</v>
      </c>
      <c r="GH50" s="36" t="s">
        <v>138</v>
      </c>
      <c r="GI50" s="37" t="s">
        <v>120</v>
      </c>
      <c r="GK50" s="44"/>
      <c r="GL50" s="36">
        <f>SQRT((A50-$A$93)^2+(B50-$B$93)^2+(C50-$C$93)^2+(D50-$D$93)^2+(E50-$E$93)^2+(F50-$F$93)^2+(G50-$G$93)^2+(H50-$H$93)^2+(I50-$I$93)^2+(J50-$J$93)^2+(K50-$K$93)^2+(L50-$L$93)^2+(M50-$M$93)^2+(N50-$N$93)^2+(O50-$O$93)^2+(P50-$P$93)^2+(Q50-$Q$93)^2+(R50-$R$93)^2+(S50-$S$93)^2+(T50-$T$93)^2+(U50-$U$93)^2+(V50-$V$93)^2+(W50-$W$93)^2+(X50-$X$93)^2+(Y50-$Y$93)^2+(Z50-$Z$93)^2+(AA50-$AA$93)^2+(AB50-$AB$93)^2+(AC50-$AC$93)^2+(AD50-$AD$93)^2+(AE50-$AE$93)^2+(AF50-$AF$93)^2+(AG50-$AG$93)^2)</f>
        <v>1.6351180725290484</v>
      </c>
      <c r="GM50" s="36" t="s">
        <v>135</v>
      </c>
      <c r="GN50" s="37" t="s">
        <v>120</v>
      </c>
      <c r="GP50" s="44"/>
      <c r="GQ50" s="36">
        <f>SQRT((A50-$A$94)^2+(B50-$B$94)^2+(C50-$C$94)^2+(D50-$D$94)^2+(E50-$E$94)^2+(F50-$F$94)^2+(G50-$G$94)^2+(H50-$H$94)^2+(I50-$I$94)^2+(J50-$J$94)^2+(K50-$K$94)^2+(L50-$L$94)^2+(M50-$M$94)^2+(N50-$N$94)^2+(O50-$O$94)^2+(P50-$P$94)^2+(Q50-$Q$94)^2+(R50-$R$94)^2+(S50-$S$94)^2+(T50-$T$94)^2+(U50-$U$94)^2+(V50-$V$94)^2+(W50-$W$94)^2+(X50-$X$94)^2+(Y50-$Y$94)^2+(Z50-$Z$94)^2+(AA50-$AA$94)^2+(AB50-$AB$94)^2+(AC50-$AC$94)^2+(AD50-$AD$94)^2+(AE50-$AE$94)^2+(AF50-$AF$94)^2+(AG50-$AG$94)^2)</f>
        <v>1.4608603993846343</v>
      </c>
      <c r="GR50" s="36" t="s">
        <v>146</v>
      </c>
      <c r="GS50" s="37" t="s">
        <v>120</v>
      </c>
      <c r="GU50" s="44"/>
      <c r="GV50" s="36">
        <f>SQRT((A50-$A$95)^2+(B50-$B$95)^2+(C50-$C$95)^2+(D50-$D$95)^2+(E50-$E$95)^2+(F50-$F$95)^2+(G50-$G$95)^2+(H50-$H$95)^2+(I50-$I$95)^2+(J50-$J$95)^2+(K50-$K$95)^2+(L50-$L$95)^2+(M50-$M$95)^2+(N50-$N$95)^2+(O50-$O$95)^2+(P50-$P$95)^2+(Q50-$Q$95)^2+(R50-$R$95)^2+(S50-$S$95)^2+(T50-$T$95)^2+(U50-$U$95)^2+(V50-$V$95)^2+(W50-$W$95)^2+(X50-$X$95)^2+(Y50-$Y$95)^2+(Z50-$Z$95)^2+(AA50-$AA$95)^2+(AB50-$AB$95)^2+(AC50-$AC$95)^2+(AD50-$AD$95)^2+(AE50-$AE$95)^2+(AF50-$AF$95)^2+(AG50-$AG$95)^2)</f>
        <v>2.2216735433752035</v>
      </c>
      <c r="GW50" s="36" t="s">
        <v>323</v>
      </c>
      <c r="GX50" s="37" t="s">
        <v>120</v>
      </c>
      <c r="GZ50" s="44"/>
      <c r="HA50" s="36">
        <f>SQRT((A50-$A$96)^2+(B50-$B$96)^2+(C50-$C$96)^2+(D50-$D$96)^2+(E50-$E$96)^2+(F50-$F$96)^2+(G50-$G$96)^2+(H50-$H$96)^2+(I50-$I$96)^2+(J50-$J$96)^2+(K50-$K$96)^2+(L50-$L$96)^2+(M50-$M$96)^2+(N50-$N$96)^2+(O50-$O$96)^2+(P50-$P$96)^2+(Q50-$Q$96)^2+(R50-$R$96)^2+(S50-$S$96)^2+(T50-$T$96)^2+(U50-$U$96)^2+(V50-$V$96)^2+(W50-$W$96)^2+(X50-$X$96)^2+(Y50-$Y$96)^2+(Z50-$Z$96)^2+(AA50-$AA$96)^2+(AB50-$AB$96)^2+(AC50-$AC$96)^2+(AD50-$AD$96)^2+(AE50-$AE$96)^2+(AF50-$AF$96)^2+(AG50-$AG$96)^2)</f>
        <v>2.1489661597046044</v>
      </c>
      <c r="HB50" s="36" t="s">
        <v>124</v>
      </c>
      <c r="HC50" s="37" t="s">
        <v>120</v>
      </c>
      <c r="HE50" s="44"/>
      <c r="HF50" s="36">
        <f>SQRT((A50-$A$97)^2+(B50-$B$97)^2+(C50-$C$97)^2+(D50-$D$97)^2+(E50-$E$97)^2+(F50-$F$97)^2+(G50-$G$97)^2+(H50-$H$97)^2+(I50-$I$97)^2+(J50-$J$97)^2+(K50-$K$97)^2+(L50-$L$97)^2+(M50-$M$97)^2+(N50-$N$97)^2+(O50-$O$97)^2+(P50-$P$97)^2+(Q50-$Q$97)^2+(R50-$R$97)^2+(S50-$S$97)^2+(T50-$T$97)^2+(U50-$U$97)^2+(V50-$V$97)^2+(W50-$W$97)^2+(X50-$X$97)^2+(Y50-$Y$97)^2+(Z50-$Z$97)^2+(AA50-$AA$97)^2+(AB50-$AB$97)^2+(AC50-$AC$97)^2+(AD50-$AD$97)^2+(AE50-$AE$97)^2+(AF50-$AF$97)^2+(AG50-$AG$97)^2)</f>
        <v>1.2168423348626936</v>
      </c>
      <c r="HG50" s="36" t="s">
        <v>123</v>
      </c>
      <c r="HH50" s="37" t="s">
        <v>120</v>
      </c>
      <c r="HJ50" s="44"/>
      <c r="HK50" s="36">
        <f>SQRT((A50-$A$98)^2+(B50-$B$98)^2+(C50-$C$98)^2+(D50-$D$98)^2+(E50-$E$98)^2+(F50-$F$98)^2+(G50-$G$98)^2+(H50-$H$98)^2+(I50-$I$98)^2+(J50-$J$98)^2+(K50-$K$98)^2+(L50-$L$98)^2+(M50-$M$98)^2+(N50-$N$98)^2+(O50-$O$98)^2+(P50-$P$98)^2+(Q50-$Q$98)^2+(R50-$R$98)^2+(S50-$S$98)^2+(T50-$T$98)^2+(U50-$U$98)^2+(V50-$V$98)^2+(W50-$W$98)^2+(X50-$X$98)^2+(Y50-$Y$98)^2+(Z50-$Z$98)^2+(AA50-$AA$98)^2+(AB50-$AB$98)^2+(AC50-$AC$98)^2+(AD50-$AD$98)^2+(AE50-$AE$98)^2+(AF50-$AF$98)^2+(AG50-$AG$98)^2)</f>
        <v>1.2168423348626936</v>
      </c>
      <c r="HL50" s="36" t="s">
        <v>123</v>
      </c>
      <c r="HM50" s="37" t="s">
        <v>120</v>
      </c>
      <c r="HO50" s="44"/>
      <c r="HP50" s="36">
        <f>SQRT((A50-$A$99)^2+(B50-$B$99)^2+(C50-$C$99)^2+(D50-$D$99)^2+(E50-$E$99)^2+(F50-$F$99)^2+(G50-$G$99)^2+(H50-$H$99)^2+(I50-$I$99)^2+(J50-$J$99)^2+(K50-$K$99)^2+(L50-$L$99)^2+(M50-$M$99)^2+(N50-$N$99)^2+(O50-$O$99)^2+(P50-$P$99)^2+(Q50-$Q$99)^2+(R50-$R$99)^2+(S50-$S$99)^2+(T50-$T$99)^2+(U50-$U$99)^2+(V50-$V$99)^2+(W50-$W$99)^2+(X50-$X$99)^2+(Y50-$Y$99)^2+(Z50-$Z$99)^2+(AA50-$AA$99)^2+(AB50-$AB$99)^2+(AC50-$AC$99)^2+(AD50-$AD$99)^2+(AE50-$AE$99)^2+(AF50-$AF$99)^2+(AG50-$AG$99)^2)</f>
        <v>1.2168423348626936</v>
      </c>
      <c r="HQ50" s="36" t="s">
        <v>123</v>
      </c>
      <c r="HR50" s="37" t="s">
        <v>120</v>
      </c>
      <c r="HT50" s="44"/>
      <c r="HU50" s="36">
        <f>SQRT((A50-$A$100)^2+(B50-$B$100)^2+(C50-$C$100)^2+(D50-$D$100)^2+(E50-$E$100)^2+(F50-$F$100)^2+(G50-$G$100)^2+(H50-$H$100)^2+(I50-$I$100)^2+(J50-$J$100)^2+(K50-$K$100)^2+(L50-$L$100)^2+(M50-$M$100)^2+(N50-$N$100)^2+(O50-$O$100)^2+(P50-$P$100)^2+(Q50-$Q$100)^2+(R50-$R$100)^2+(S50-$S$100)^2+(T50-$T$100)^2+(U50-$U$100)^2+(V50-$V$100)^2+(W50-$W$100)^2+(X50-$X$100)^2+(Y50-$Y$100)^2+(Z50-$Z$100)^2+(AA50-$AA$100)^2+(AB50-$AB$100)^2+(AC50-$AC$100)^2+(AD50-$AD$100)^2+(AE50-$AE$100)^2+(AF50-$AF$100)^2+(AG50-$AG$100)^2)</f>
        <v>1.2168423348626936</v>
      </c>
      <c r="HV50" s="36" t="s">
        <v>123</v>
      </c>
      <c r="HW50" s="37" t="s">
        <v>120</v>
      </c>
      <c r="HY50" s="44"/>
      <c r="HZ50" s="36">
        <f>SQRT((A50-$A$101)^2+(B50-$B$101)^2+(C50-$C$101)^2+(D50-$D$101)^2+(E50-$E$101)^2+(F50-$F$101)^2+(G50-$G$101)^2+(H50-$H$101)^2+(I50-$I$101)^2+(J50-$J$101)^2+(K50-$K$101)^2+(L50-$L$101)^2+(M50-$M$101)^2+(N50-$N$101)^2+(O50-$O$101)^2+(P50-$P$101)^2+(Q50-$Q$101)^2+(R50-$R$101)^2+(S50-$S$101)^2+(T50-$T$101)^2+(U50-$U$101)^2+(V50-$V$101)^2+(W50-$W$101)^2+(X50-$X$101)^2+(Y50-$Y$101)^2+(Z50-$Z$101)^2+(AA50-$AA$101)^2+(AB50-$AB$101)^2+(AC50-$AC$101)^2+(AD50-$AD$101)^2+(AE50-$AE$101)^2+(AF50-$AF$101)^2+(AG50-$AG$101)^2)</f>
        <v>2.0817327184610206</v>
      </c>
      <c r="IA50" s="36" t="s">
        <v>124</v>
      </c>
      <c r="IB50" s="37" t="s">
        <v>120</v>
      </c>
    </row>
    <row r="51" spans="1:236" x14ac:dyDescent="0.35">
      <c r="A51" s="2">
        <v>0.83333333333333304</v>
      </c>
      <c r="B51" s="2">
        <v>0</v>
      </c>
      <c r="C51" s="2">
        <v>0</v>
      </c>
      <c r="D51" s="2">
        <v>0.66666666666666596</v>
      </c>
      <c r="E51" s="2">
        <v>0</v>
      </c>
      <c r="F51" s="2">
        <v>1</v>
      </c>
      <c r="G51" s="2">
        <v>0.55555555555555503</v>
      </c>
      <c r="H51" s="2">
        <v>0</v>
      </c>
      <c r="I51" s="2">
        <v>0.5</v>
      </c>
      <c r="J51" s="2">
        <v>0</v>
      </c>
      <c r="K51" s="2">
        <v>0</v>
      </c>
      <c r="L51" s="2">
        <v>0.2</v>
      </c>
      <c r="M51" s="2">
        <v>1</v>
      </c>
      <c r="N51" s="2">
        <v>0</v>
      </c>
      <c r="O51" s="2">
        <v>1</v>
      </c>
      <c r="P51" s="2">
        <v>0.4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0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0</v>
      </c>
      <c r="AH51" s="2" t="s">
        <v>120</v>
      </c>
      <c r="AI51" s="42"/>
      <c r="AJ51" s="42"/>
      <c r="AL51" s="44"/>
      <c r="AM51" s="36">
        <f>SQRT((A51-$A$62)^2+(B51-$B$62)^2+(C51-$C$62)^2+(D51-$D$62)^2+(E51-$E$62)^2+(F51-$F$62)^2+(G51-$G$62)^2+(H51-$H$62)^2+(I51-$I$62)^2+(J51-$J$62)^2+(K51-$K$62)^2+(L51-$L$62)^2+(M51-$M$62)^2+(N51-$N$62)^2+(O51-$O$62)^2+(P51-$P$62)^2+(Q51-$Q$62)^2+(R51-$R$62)^2+(S51-$S$62)^2+(T51-$T$62)^2+(U51-$U$62)^2+(V51-$V$62)^2+(W51-$W$62)^2+(X51-$X$62)^2+(Y51-$Y$62)^2+(Z51-$Z$62)^2+(AA51-$AA$62)^2+(AB51-$AB$62)^2+(AC51-$AC$62)^2+(AD51-$AD$62)^2+(AE51-$AE$62)^2+(AF51-$AF$62)^2+(AG51-$AG$62)^2)</f>
        <v>2.2111460075414886</v>
      </c>
      <c r="AN51" s="36" t="s">
        <v>134</v>
      </c>
      <c r="AO51" s="37" t="s">
        <v>120</v>
      </c>
      <c r="AQ51" s="44"/>
      <c r="AR51" s="36">
        <f>SQRT((A51-$A$63)^2+(B51-$B$63)^2+(C51-$C$63)^2+(D51-$D$63)^2+(E51-$E$63)^2+(F51-$F$63)^2+(G51-$G$63)^2+(H51-$H$63)^2+(I51-$I$63)^2+(J51-$J$63)^2+(K51-$K$63)^2+(L51-$L$63)^2+(M51-$M$63)^2+(N51-$N$63)^2+(O51-$O$63)^2+(P51-$P$63)^2+(Q51-$Q$63)^2+(R51-$R$63)^2+(S51-$S$63)^2+(T51-$T$63)^2+(U51-$U$63)^2+(V51-$V$63)^2+(W51-$W$63)^2+(X51-$X$63)^2+(Y51-$Y$63)^2+(Z51-$Z$63)^2+(AA51-$AA$63)^2+(AB51-$AB$63)^2+(AC51-$AC$63)^2+(AD51-$AD$63)^2+(AE51-$AE$63)^2+(AF51-$AF$63)^2+(AG51-$AG$63)^2)</f>
        <v>1.6610428663047978</v>
      </c>
      <c r="AS51" s="36" t="s">
        <v>329</v>
      </c>
      <c r="AT51" s="37" t="s">
        <v>120</v>
      </c>
      <c r="AV51" s="44"/>
      <c r="AW51" s="36">
        <f>SQRT((A51-$A$64)^2+(B51-$B$64)^2+(C51-$C$64)^2+(D51-$D$64)^2+(E51-$E$64)^2+(F51-$F$64)^2+(G51-$G$64)^2+(H51-$H$64)^2+(I51-$I$64)^2+(J51-$J$64)^2+(K51-$K$64)^2+(L51-$L$64)^2+(M51-$M$64)^2+(N51-$N$64)^2+(O51-$O$64)^2+(P51-$P$64)^2+(Q51-$Q$64)^2+(R51-$R$64)^2+(S51-$S$64)^2+(T51-$T$64)^2+(U51-$U$64)^2+(V51-$V$64)^2+(W51-$W$64)^2+(X51-$X$64)^2+(Y51-$Y$64)^2+(Z51-$Z$64)^2+(AA51-$AA$64)^2+(AB51-$AB$64)^2+(AC51-$AC$64)^2+(AD51-$AD$64)^2+(AE51-$AE$64)^2+(AF51-$AF$64)^2+(AG51-$AG$64)^2)</f>
        <v>1.6610428663047978</v>
      </c>
      <c r="AX51" s="36" t="s">
        <v>329</v>
      </c>
      <c r="AY51" s="37" t="s">
        <v>120</v>
      </c>
      <c r="BA51" s="44"/>
      <c r="BB51" s="36">
        <f>SQRT((A51-$A$65)^2+(B51-$B$65)^2+(C51-$C$65)^2+(D51-$D$65)^2+(E51-$E$65)^2+(F51-$F$65)^2+(G51-$G$65)^2+(H51-$H$65)^2+(I51-$I$65)^2+(J51-$J$65)^2+(K51-$K$65)^2+(L51-$L$65)^2+(M51-$M$65)^2+(N51-$N$65)^2+(O51-$O$65)^2+(P51-$P$65)^2+(Q51-$Q$65)^2+(R51-$R$65)^2+(S51-$S$65)^2+(T51-$T$65)^2+(U51-$U$65)^2+(V51-$V$65)^2+(W51-$W$65)^2+(X51-$X$65)^2+(Y51-$Y$65)^2+(Z51-$Z$65)^2+(AA51-$AA$65)^2+(AB51-$AB$65)^2+(AC51-$AC$65)^2+(AD51-$AD$65)^2+(AE51-$AE$65)^2+(AF51-$AF$65)^2+(AG51-$AG$65)^2)</f>
        <v>1.6610428663047978</v>
      </c>
      <c r="BC51" s="36" t="s">
        <v>329</v>
      </c>
      <c r="BD51" s="37" t="s">
        <v>120</v>
      </c>
      <c r="BF51" s="44"/>
      <c r="BG51" s="36">
        <f>SQRT((A51-$A$66)^2+(B51-$B$66)^2+(C51-$C$66)^2+(D51-$D$66)^2+(E51-$E$66)^2+(F51-$F$66)^2+(G51-$G$66)^2+(H51-$H$66)^2+(I51-$I$66)^2+(J51-$J$66)^2+(K51-$K$66)^2+(L51-$L$66)^2+(M51-$M$66)^2+(N51-$N$66)^2+(O51-$O$66)^2+(P51-$P$66)^2+(Q51-$Q$66)^2+(R51-$R$66)^2+(S51-$S$66)^2+(T51-$T$66)^2+(U51-$U$66)^2+(V51-$V$66)^2+(W51-$W$66)^2+(X51-$X$66)^2+(Y51-$Y$66)^2+(Z51-$Z$66)^2+(AA51-$AA$66)^2+(AB51-$AB$66)^2+(AC51-$AC$66)^2+(AD51-$AD$66)^2+(AE51-$AE$66)^2+(AF51-$AF$66)^2+(AG51-$AG$66)^2)</f>
        <v>1.6610428663047978</v>
      </c>
      <c r="BH51" s="36" t="s">
        <v>329</v>
      </c>
      <c r="BI51" s="37" t="s">
        <v>120</v>
      </c>
      <c r="BK51" s="44"/>
      <c r="BL51" s="36">
        <f>SQRT((A51-$A$67)^2+(B51-$B$67)^2+(C51-$C$67)^2+(D51-$D$67)^2+(E51-$E$67)^2+(F51-$F$67)^2+(G51-$G$67)^2+(H51-$H$67)^2+(I51-$I$67)^2+(J51-$J$67)^2+(K51-$K$67)^2+(L51-$L$67)^2+(M51-$M$67)^2+(N51-$N$67)^2+(O51-$O$67)^2+(P51-$P$67)^2+(Q51-$Q$67)^2+(R51-$R$67)^2+(S51-$S$67)^2+(T51-$T$67)^2+(U51-$U$67)^2+(V51-$V$67)^2+(W51-$W$67)^2+(X51-$X$67)^2+(Y51-$Y$67)^2+(Z51-$Z$67)^2+(AA51-$AA$67)^2+(AB51-$AB$67)^2+(AC51-$AC$67)^2+(AD51-$AD$67)^2+(AE51-$AE$67)^2+(AF51-$AF$67)^2+(AG51-$AG$67)^2)</f>
        <v>1.6610428663047978</v>
      </c>
      <c r="BM51" s="36" t="s">
        <v>329</v>
      </c>
      <c r="BN51" s="37" t="s">
        <v>120</v>
      </c>
      <c r="BP51" s="44"/>
      <c r="BQ51" s="36">
        <f>SQRT((A51-$A$68)^2+(B51-$B$68)^2+(C51-$C$68)^2+(D51-$D$68)^2+(E51-$E$68)^2+(F51-$F$68)^2+(G51-$G$68)^2+(H51-$H$68)^2+(I51-$I$68)^2+(J51-$J$68)^2+(K51-$K$68)^2+(L51-$L$68)^2+(M51-$M$68)^2+(N51-$N$68)^2+(O51-$O$68)^2+(P51-$P$68)^2+(Q51-$Q$68)^2+(R51-$R$68)^2+(S51-$S$68)^2+(T51-$T$68)^2+(U51-$U$68)^2+(V51-$V$68)^2+(W51-$W$68)^2+(X51-$X$68)^2+(Y51-$Y$68)^2+(Z51-$Z$68)^2+(AA51-$AA$68)^2+(AB51-$AB$68)^2+(AC51-$AC$68)^2+(AD51-$AD$68)^2+(AE51-$AE$68)^2+(AF51-$AF$68)^2+(AG51-$AG$68)^2)</f>
        <v>1.6610428663047978</v>
      </c>
      <c r="BR51" s="36" t="s">
        <v>329</v>
      </c>
      <c r="BS51" s="37" t="s">
        <v>120</v>
      </c>
      <c r="BU51" s="44"/>
      <c r="BV51" s="36">
        <f>SQRT((A51-$A$69)^2+(B51-$B$69)^2+(C51-$C$69)^2+(D51-$D$69)^2+(E51-$E$69)^2+(F51-$F$69)^2+(G51-$G$69)^2+(H51-$H$69)^2+(I51-$I$69)^2+(J51-$J$69)^2+(K51-$K$69)^2+(L51-$L$69)^2+(M51-$M$69)^2+(N51-$N$69)^2+(O51-$O$69)^2+(P51-$P$69)^2+(Q51-$Q$69)^2+(R51-$R$69)^2+(S51-$S$69)^2+(T51-$T$69)^2+(U51-$U$69)^2+(V51-$V$69)^2+(W51-$W$69)^2+(X51-$X$69)^2+(Y51-$Y$69)^2+(Z51-$Z$69)^2+(AA51-$AA$69)^2+(AB51-$AB$69)^2+(AC51-$AC$69)^2+(AD51-$AD$69)^2+(AE51-$AE$69)^2+(AF51-$AF$69)^2+(AG51-$AG$69)^2)</f>
        <v>2.8475166933927341</v>
      </c>
      <c r="BW51" s="36" t="s">
        <v>327</v>
      </c>
      <c r="BX51" s="37" t="s">
        <v>120</v>
      </c>
      <c r="BZ51" s="44"/>
      <c r="CA51" s="36">
        <f>SQRT((A51-$A$70)^2+(B51-$B$70)^2+(C51-$C$70)^2+(D51-$D$70)^2+(E51-$E$70)^2+(F51-$F$70)^2+(G51-$G$70)^2+(H51-$H$70)^2+(I51-$I$70)^2+(J51-$J$70)^2+(K51-$K$70)^2+(L51-$L$70)^2+(M51-$M$70)^2+(N51-$N$70)^2+(O51-$O$70)^2+(P51-$P$70)^2+(Q51-$Q$70)^2+(R51-$R$70)^2+(S51-$S$70)^2+(T51-$T$70)^2+(U51-$U$70)^2+(V51-$V$70)^2+(W51-$W$70)^2+(X51-$X$70)^2+(Y51-$Y$70)^2+(Z51-$Z$70)^2+(AA51-$AA$70)^2+(AB51-$AB$70)^2+(AC51-$AC$70)^2+(AD51-$AD$70)^2+(AE51-$AE$70)^2+(AF51-$AF$70)^2+(AG51-$AG$70)^2)</f>
        <v>1.8535575374627367</v>
      </c>
      <c r="CB51" s="36" t="s">
        <v>137</v>
      </c>
      <c r="CC51" s="37" t="s">
        <v>120</v>
      </c>
      <c r="CE51" s="44"/>
      <c r="CF51" s="36">
        <f>SQRT((A51-$A$71)^2+(B51-$B$71)^2+(C51-$C$71)^2+(D51-$D$71)^2+(E51-$E$71)^2+(F51-$F$71)^2+(G51-$G$71)^2+(H51-$H$71)^2+(I51-$I$71)^2+(J51-$J$71)^2+(K51-$K$71)^2+(L51-$L$71)^2+(M51-$M$71)^2+(N51-$N$71)^2+(O51-$O$71)^2+(P51-$P$71)^2+(Q51-$Q$71)^2+(R51-$R$71)^2+(S51-$S$71)^2+(T51-$T$71)^2+(U51-$U$71)^2+(V51-$V$71)^2+(W51-$W$71)^2+(X51-$X$71)^2+(Y51-$Y$71)^2+(Z51-$Z$71)^2+(AA51-$AA$71)^2+(AB51-$AB$71)^2+(AC51-$AC$71)^2+(AD51-$AD$71)^2+(AE51-$AE$71)^2+(AF51-$AF$71)^2+(AG51-$AG$71)^2)</f>
        <v>1.6451470688112531</v>
      </c>
      <c r="CG51" s="36" t="s">
        <v>124</v>
      </c>
      <c r="CH51" s="37" t="s">
        <v>120</v>
      </c>
      <c r="CJ51" s="44"/>
      <c r="CK51" s="36">
        <f>SQRT((A51-$A$72)^2+(B51-$B$72)^2+(C51-$C$72)^2+(D51-$D$72)^2+(E51-$E$72)^2+(F51-$F$72)^2+(G51-$G$72)^2+(H51-$H$72)^2+(I51-$I$72)^2+(J51-$J$72)^2+(K51-$K$72)^2+(L51-$L$72)^2+(M51-$M$72)^2+(N51-$N$72)^2+(O51-$O$72)^2+(P51-$P$72)^2+(Q51-$Q$72)^2+(R51-$R$72)^2+(S51-$S$72)^2+(T51-$T$72)^2+(U51-$U$72)^2+(V51-$V$72)^2+(W51-$W$72)^2+(X51-$X$72)^2+(Y51-$Y$72)^2+(Z51-$Z$72)^2+(AA51-$AA$72)^2+(AB51-$AB$72)^2+(AC51-$AC$72)^2+(AD51-$AD$72)^2+(AE51-$AE$72)^2+(AF51-$AF$72)^2+(AG51-$AG$72)^2)</f>
        <v>1.7007250418988114</v>
      </c>
      <c r="CL51" s="36" t="s">
        <v>123</v>
      </c>
      <c r="CM51" s="37" t="s">
        <v>120</v>
      </c>
      <c r="CO51" s="44"/>
      <c r="CP51" s="36">
        <f>SQRT((A51-$A$73)^2+(B51-$B$73)^2+(C51-$C$73)^2+(D51-$D$73)^2+(E51-$E$73)^2+(F51-$F$73)^2+(G51-$G$73)^2+(H51-$H$73)^2+(I51-$I$73)^2+(J51-$J$73)^2+(K51-$K$73)^2+(L51-$L$73)^2+(M51-$M$73)^2+(N51-$N$73)^2+(O51-$O$73)^2+(P51-$P$73)^2+(Q51-$Q$73)^2+(R51-$R$73)^2+(S51-$S$73)^2+(T51-$T$73)^2+(U51-$U$73)^2+(V51-$V$73)^2+(W51-$W$73)^2+(X51-$X$73)^2+(Y51-$Y$73)^2+(Z51-$Z$73)^2+(AA51-$AA$73)^2+(AB51-$AB$73)^2+(AC51-$AC$73)^2+(AD51-$AD$73)^2+(AE51-$AE$73)^2+(AF51-$AF$73)^2+(AG51-$AG$73)^2)</f>
        <v>2.1032382440206603</v>
      </c>
      <c r="CQ51" s="36" t="s">
        <v>315</v>
      </c>
      <c r="CR51" s="37" t="s">
        <v>120</v>
      </c>
      <c r="CT51" s="44"/>
      <c r="CU51" s="36">
        <f>SQRT((A51-$A$74)^2+(B51-$B$74)^2+(C51-$C$74)^2+(D51-$D$74)^2+(E51-$E$74)^2+(F51-$F$74)^2+(G51-$G$74)^2+(H51-$H$74)^2+(I51-$I$74)^2+(J51-$J$74)^2+(K51-$K$74)^2+(L51-$L$74)^2+(M51-$M$74)^2+(N51-$N$74)^2+(O51-$O$74)^2+(P51-$P$74)^2+(Q51-$Q$74)^2+(R51-$R$74)^2+(S51-$S$74)^2+(T51-$T$74)^2+(U51-$U$74)^2+(V51-$V$74)^2+(W51-$W$74)^2+(X51-$X$74)^2+(Y51-$Y$74)^2+(Z51-$Z$74)^2+(AA51-$AA$74)^2+(AB51-$AB$74)^2+(AC51-$AC$74)^2+(AD51-$AD$74)^2+(AE51-$AE$74)^2+(AF51-$AF$74)^2+(AG51-$AG$74)^2)</f>
        <v>1.8233820834433527</v>
      </c>
      <c r="CV51" s="36" t="s">
        <v>134</v>
      </c>
      <c r="CW51" s="37" t="s">
        <v>120</v>
      </c>
      <c r="CY51" s="44"/>
      <c r="CZ51" s="36">
        <f>SQRT((A51-$A$75)^2+(B51-$B$75)^2+(C51-$C$75)^2+(D51-$D$75)^2+(E51-$E$75)^2+(F51-$F$75)^2+(G51-$G$75)^2+(H51-$H$75)^2+(I51-$I$75)^2+(J51-$J$75)^2+(K51-$K$75)^2+(L51-$L$75)^2+(M51-$M$75)^2+(N51-$N$75)^2+(O51-$O$75)^2+(P51-$P$75)^2+(Q51-$Q$75)^2+(R51-$R$75)^2+(S51-$S$75)^2+(T51-$T$75)^2+(U51-$U$75)^2+(V51-$V$75)^2+(W51-$W$75)^2+(X51-$X$75)^2+(Y51-$Y$75)^2+(Z51-$Z$75)^2+(AA51-$AA$75)^2+(AB51-$AB$75)^2+(AC51-$AC$75)^2+(AD51-$AD$75)^2+(AE51-$AE$75)^2+(AF51-$AF$75)^2+(AG51-$AG$75)^2)</f>
        <v>1.9021187017522212</v>
      </c>
      <c r="DA51" s="36" t="s">
        <v>326</v>
      </c>
      <c r="DB51" s="37" t="s">
        <v>120</v>
      </c>
      <c r="DD51" s="44"/>
      <c r="DE51" s="36">
        <f>SQRT((A51-$A$76)^2+(B51-$B$76)^2+(C51-$C$76)^2+(D51-$D$76)^2+(E51-$E$76)^2+(F51-$F$76)^2+(G51-$G$76)^2+(H51-$H$76)^2+(I51-$I$76)^2+(J51-$J$76)^2+(K51-$K$76)^2+(L51-$L$76)^2+(M51-$M$76)^2+(N51-$N$76)^2+(O51-$O$76)^2+(P51-$P$76)^2+(Q51-$Q$76)^2+(R51-$R$76)^2+(S51-$S$76)^2+(T51-$T$76)^2+(U51-$U$76)^2+(V51-$V$76)^2+(W51-$W$76)^2+(X51-$X$76)^2+(Y51-$Y$76)^2+(Z51-$Z$76)^2+(AA51-$AA$76)^2+(AB51-$AB$76)^2+(AC51-$AC$76)^2+(AD51-$AD$76)^2+(AE51-$AE$76)^2+(AF51-$AF$76)^2+(AG51-$AG$76)^2)</f>
        <v>1.7770918815738128</v>
      </c>
      <c r="DF51" s="36" t="s">
        <v>317</v>
      </c>
      <c r="DG51" s="37" t="s">
        <v>120</v>
      </c>
      <c r="DI51" s="44"/>
      <c r="DJ51" s="36">
        <f>SQRT((A51-$A$77)^2+(B51-$B$77)^2+(C51-$C$77)^2+(D51-$D$77)^2+(E51-$E$77)^2+(F51-$F$77)^2+(G51-$G$77)^2+(H51-$H$77)^2+(I51-$I$77)^2+(J51-$J$77)^2+(K51-$K$77)^2+(L51-$L$77)^2+(M51-$M$77)^2+(N51-$N$77)^2+(O51-$O$77)^2+(P51-$P$77)^2+(Q51-$Q$77)^2+(R51-$R$77)^2+(S51-$S$77)^2+(T51-$T$77)^2+(U51-$U$77)^2+(V51-$V$77)^2+(W51-$W$77)^2+(X51-$X$77)^2+(Y51-$Y$77)^2+(Z51-$Z$77)^2+(AA51-$AA$77)^2+(AB51-$AB$77)^2+(AC51-$AC$77)^2+(AD51-$AD$77)^2+(AE51-$AE$77)^2+(AF51-$AF$77)^2+(AG51-$AG$77)^2)</f>
        <v>2.4776781245530843</v>
      </c>
      <c r="DK51" s="36" t="s">
        <v>136</v>
      </c>
      <c r="DL51" s="37" t="s">
        <v>120</v>
      </c>
      <c r="DN51" s="44"/>
      <c r="DO51" s="36">
        <f>SQRT((A51-$A$78)^2+(B51-$B$78)^2+(C51-$C$78)^2+(D51-$D$78)^2+(E51-$E$78)^2+(F51-$F$78)^2+(G51-$G$78)^2+(H51-$H$78)^2+(I51-$I$78)^2+(J51-$J$78)^2+(K51-$K$78)^2+(L51-$L$78)^2+(M51-$M$78)^2+(N51-$N$78)^2+(O51-$O$78)^2+(P51-$P$78)^2+(Q51-$Q$78)^2+(R51-$R$78)^2+(S51-$S$78)^2+(T51-$T$78)^2+(U51-$U$78)^2+(V51-$V$78)^2+(W51-$W$78)^2+(X51-$X$78)^2+(Y51-$Y$78)^2+(Z51-$Z$78)^2+(AA51-$AA$78)^2+(AB51-$AB$78)^2+(AC51-$AC$78)^2+(AD51-$AD$78)^2+(AE51-$AE$78)^2+(AF51-$AF$78)^2+(AG51-$AG$78)^2)</f>
        <v>1.8662058347356394</v>
      </c>
      <c r="DP51" s="36" t="s">
        <v>323</v>
      </c>
      <c r="DQ51" s="37" t="s">
        <v>120</v>
      </c>
      <c r="DS51" s="44"/>
      <c r="DT51" s="36">
        <f>SQRT((A51-$A$79)^2+(B51-$B$79)^2+(C51-$C$79)^2+(D51-$D$79)^2+(E51-$E$79)^2+(F51-$F$79)^2+(G51-$G$79)^2+(H51-$H$79)^2+(I51-$I$79)^2+(J51-$J$79)^2+(K51-$K$79)^2+(L51-$L$79)^2+(M51-$M$79)^2+(N51-$N$79)^2+(O51-$O$79)^2+(P51-$P$79)^2+(Q51-$Q$79)^2+(R51-$R$79)^2+(S51-$S$79)^2+(T51-$T$79)^2+(U51-$U$79)^2+(V51-$V$79)^2+(W51-$W$79)^2+(X51-$X$79)^2+(Y51-$Y$79)^2+(Z51-$Z$79)^2+(AA51-$AA$79)^2+(AB51-$AB$79)^2+(AC51-$AC$79)^2+(AD51-$AD$79)^2+(AE51-$AE$79)^2+(AF51-$AF$79)^2+(AG51-$AG$79)^2)</f>
        <v>1.6201433322066272</v>
      </c>
      <c r="DU51" s="36" t="s">
        <v>317</v>
      </c>
      <c r="DV51" s="37" t="s">
        <v>120</v>
      </c>
      <c r="DX51" s="44"/>
      <c r="DY51" s="36">
        <f>SQRT((A51-$A$80)^2+(B51-$B$80)^2+(C51-$C$80)^2+(D51-$D$80)^2+(E51-$E$80)^2+(F51-$F$80)^2+(G51-$G$80)^2+(H51-$H$80)^2+(I51-$I$80)^2+(J51-$J$80)^2+(K51-$K$80)^2+(L51-$L$80)^2+(M51-$M$80)^2+(N51-$N$80)^2+(O51-$O$80)^2+(P51-$P$80)^2+(Q51-$Q$80)^2+(R51-$R$80)^2+(S51-$S$80)^2+(T51-$T$80)^2+(U51-$U$80)^2+(V51-$V$80)^2+(W51-$W$80)^2+(X51-$X$80)^2+(Y51-$Y$80)^2+(Z51-$Z$80)^2+(AA51-$AA$80)^2+(AB51-$AB$80)^2+(AC51-$AC$80)^2+(AD51-$AD$80)^2+(AE51-$AE$80)^2+(AF51-$AF$80)^2+(AG51-$AG$80)^2)</f>
        <v>1.5695894721585995</v>
      </c>
      <c r="DZ51" s="36" t="s">
        <v>339</v>
      </c>
      <c r="EA51" s="37" t="s">
        <v>120</v>
      </c>
      <c r="EC51" s="44"/>
      <c r="ED51" s="36">
        <f>SQRT((A51-$A$81)^2+(B51-$B$81)^2+(C51-$C$81)^2+(D51-$D$81)^2+(E51-$E$81)^2+(F51-$F$81)^2+(G51-$G$81)^2+(H51-$H$81)^2+(I51-$I$81)^2+(J51-$J$81)^2+(K51-$K$81)^2+(L51-$L$81)^2+(M51-$M$81)^2+(N51-$N$81)^2+(O51-$O$81)^2+(P51-$P$81)^2+(Q51-$Q$81)^2+(R51-$R$81)^2+(S51-$S$81)^2+(T51-$T$81)^2+(U51-$U$81)^2+(V51-$V$81)^2+(W51-$W$81)^2+(X51-$X$81)^2+(Y51-$Y$81)^2+(Z51-$Z$81)^2+(AA51-$AA$81)^2+(AB51-$AB$81)^2+(AC51-$AC$81)^2+(AD51-$AD$81)^2+(AE51-$AE$81)^2+(AF51-$AF$81)^2+(AG51-$AG$81)^2)</f>
        <v>1.5</v>
      </c>
      <c r="EE51" s="36" t="s">
        <v>138</v>
      </c>
      <c r="EF51" s="37" t="s">
        <v>120</v>
      </c>
      <c r="EH51" s="44"/>
      <c r="EI51" s="36">
        <f>SQRT((A51-$A$82)^2+(B51-$B$82)^2+(C51-$C$82)^2+(D51-$D$82)^2+(E51-$E$82)^2+(F51-$F$82)^2+(G51-$G$82)^2+(H51-$H$82)^2+(I51-$I$82)^2+(J51-$J$82)^2+(K51-$K$82)^2+(L51-$L$82)^2+(M51-$M$82)^2+(N51-$N$82)^2+(O51-$O$82)^2+(P51-$P$82)^2+(Q51-$Q$82)^2+(R51-$R$82)^2+(S51-$S$82)^2+(T51-$T$82)^2+(U51-$U$82)^2+(V51-$V$82)^2+(W51-$W$82)^2+(X51-$X$82)^2+(Y51-$Y$82)^2+(Z51-$Z$82)^2+(AA51-$AA$82)^2+(AB51-$AB$82)^2+(AC51-$AC$82)^2+(AD51-$AD$82)^2+(AE51-$AE$82)^2+(AF51-$AF$82)^2+(AG51-$AG$82)^2)</f>
        <v>2.1818574644965056</v>
      </c>
      <c r="EJ51" s="36" t="s">
        <v>146</v>
      </c>
      <c r="EK51" s="37" t="s">
        <v>120</v>
      </c>
      <c r="EM51" s="44"/>
      <c r="EN51" s="36">
        <f>SQRT((A51-$A$83)^2+(B51-$B$83)^2+(C51-$C$83)^2+(D51-$D$83)^2+(E51-$E$83)^2+(F51-$F$83)^2+(G51-$G$83)^2+(H51-$H$83)^2+(I51-$I$83)^2+(J51-$J$83)^2+(K51-$K$83)^2+(L51-$L$83)^2+(M51-$M$83)^2+(N51-$N$83)^2+(O51-$O$83)^2+(P51-$P$83)^2+(Q51-$Q$83)^2+(R51-$R$83)^2+(S51-$S$83)^2+(T51-$T$83)^2+(U51-$U$83)^2+(V51-$V$83)^2+(W51-$W$83)^2+(X51-$X$83)^2+(Y51-$Y$83)^2+(Z51-$Z$83)^2+(AA51-$AA$83)^2+(AB51-$AB$83)^2+(AC51-$AC$83)^2+(AD51-$AD$83)^2+(AE51-$AE$83)^2+(AF51-$AF$83)^2+(AG51-$AG$83)^2)</f>
        <v>1.7858865821400893</v>
      </c>
      <c r="EO51" s="36" t="s">
        <v>136</v>
      </c>
      <c r="EP51" s="37" t="s">
        <v>120</v>
      </c>
      <c r="ER51" s="44"/>
      <c r="ES51" s="36">
        <f>SQRT((A51-$A$84)^2+(B51-$B$84)^2+(C51-$C$84)^2+(D51-$D$84)^2+(E51-$E$84)^2+(F51-$F$84)^2+(G51-$G$84)^2+(H51-$H$84)^2+(I51-$I$84)^2+(J51-$J$84)^2+(K51-$K$84)^2+(L51-$L$84)^2+(M51-$M$84)^2+(N51-$N$84)^2+(O51-$O$84)^2+(P51-$P$84)^2+(Q51-$Q$84)^2+(R51-$R$84)^2+(S51-$S$84)^2+(T51-$T$84)^2+(U51-$U$84)^2+(V51-$V$84)^2+(W51-$W$84)^2+(X51-$X$84)^2+(Y51-$Y$84)^2+(Z51-$Z$84)^2+(AA51-$AA$84)^2+(AB51-$AB$84)^2+(AC51-$AC$84)^2+(AD51-$AD$84)^2+(AE51-$AE$84)^2+(AF51-$AF$84)^2+(AG51-$AG$84)^2)</f>
        <v>1.6610428663047978</v>
      </c>
      <c r="ET51" s="36" t="s">
        <v>329</v>
      </c>
      <c r="EU51" s="37" t="s">
        <v>120</v>
      </c>
      <c r="EW51" s="44"/>
      <c r="EX51" s="36">
        <f>SQRT((A51-$A$85)^2+(B51-$B$85)^2+(C51-$C$85)^2+(D51-$D$85)^2+(E51-$E$85)^2+(F51-$F$85)^2+(G51-$G$85)^2+(H51-$H$85)^2+(I51-$I$85)^2+(J51-$J$85)^2+(K51-$K$85)^2+(L51-$L$85)^2+(M51-$M$85)^2+(N51-$N$85)^2+(O51-$O$85)^2+(P51-$P$85)^2+(Q51-$Q$85)^2+(R51-$R$85)^2+(S51-$S$85)^2+(T51-$T$85)^2+(U51-$U$85)^2+(V51-$V$85)^2+(W51-$W$85)^2+(X51-$X$85)^2+(Y51-$Y$85)^2+(Z51-$Z$85)^2+(AA51-$AA$85)^2+(AB51-$AB$85)^2+(AC51-$AC$85)^2+(AD51-$AD$85)^2+(AE51-$AE$85)^2+(AF51-$AF$85)^2+(AG51-$AG$85)^2)</f>
        <v>1.6610428663047978</v>
      </c>
      <c r="EY51" s="36" t="s">
        <v>329</v>
      </c>
      <c r="EZ51" s="37" t="s">
        <v>120</v>
      </c>
      <c r="FB51" s="44"/>
      <c r="FC51" s="36">
        <f>SQRT((A51-$A$86)^2+(B51-$B$86)^2+(C51-$C$86)^2+(D51-$D$86)^2+(E51-$E$86)^2+(F51-$F$86)^2+(G51-$G$86)^2+(H51-$H$86)^2+(I51-$I$86)^2+(J51-$J$86)^2+(K51-$K$86)^2+(L51-$L$86)^2+(M51-$M$86)^2+(N51-$N$86)^2+(O51-$O$86)^2+(P51-$P$86)^2+(Q51-$Q$86)^2+(R51-$R$86)^2+(S51-$S$86)^2+(T51-$T$86)^2+(U51-$U$86)^2+(V51-$V$86)^2+(W51-$W$86)^2+(X51-$X$86)^2+(Y51-$Y$86)^2+(Z51-$Z$86)^2+(AA51-$AA$86)^2+(AB51-$AB$86)^2+(AC51-$AC$86)^2+(AD51-$AD$86)^2+(AE51-$AE$86)^2+(AF51-$AF$86)^2+(AG51-$AG$86)^2)</f>
        <v>1.6610428663047978</v>
      </c>
      <c r="FD51" s="36" t="s">
        <v>329</v>
      </c>
      <c r="FE51" s="37" t="s">
        <v>120</v>
      </c>
      <c r="FG51" s="44"/>
      <c r="FH51" s="36">
        <f>SQRT((A51-$A$87)^2+(B51-$B$87)^2+(C51-$C$87)^2+(D51-$D$87)^2+(E51-$E$87)^2+(F51-$F$87)^2+(G51-$G$87)^2+(H51-$H$87)^2+(I51-$I$87)^2+(J51-$J$87)^2+(K51-$K$87)^2+(L51-$L$87)^2+(M51-$M$87)^2+(N51-$N$87)^2+(O51-$O$87)^2+(P51-$P$87)^2+(Q51-$Q$87)^2+(R51-$R$87)^2+(S51-$S$87)^2+(T51-$T$87)^2+(U51-$U$87)^2+(V51-$V$87)^2+(W51-$W$87)^2+(X51-$X$87)^2+(Y51-$Y$87)^2+(Z51-$Z$87)^2+(AA51-$AA$87)^2+(AB51-$AB$87)^2+(AC51-$AC$87)^2+(AD51-$AD$87)^2+(AE51-$AE$87)^2+(AF51-$AF$87)^2+(AG51-$AG$87)^2)</f>
        <v>1.9579609575042887</v>
      </c>
      <c r="FI51" s="36" t="s">
        <v>323</v>
      </c>
      <c r="FJ51" s="37" t="s">
        <v>120</v>
      </c>
      <c r="FL51" s="44"/>
      <c r="FM51" s="36">
        <f>SQRT((A51-$A$88)^2+(B51-$B$88)^2+(C51-$C$88)^2+(D51-$D$88)^2+(E51-$E$88)^2+(F51-$F$88)^2+(G51-$G$88)^2+(H51-$H$88)^2+(I51-$I$88)^2+(J51-$J$88)^2+(K51-$K$88)^2+(L51-$L$88)^2+(M51-$M$88)^2+(N51-$N$88)^2+(O51-$O$88)^2+(P51-$P$88)^2+(Q51-$Q$88)^2+(R51-$R$88)^2+(S51-$S$88)^2+(T51-$T$88)^2+(U51-$U$88)^2+(V51-$V$88)^2+(W51-$W$88)^2+(X51-$X$88)^2+(Y51-$Y$88)^2+(Z51-$Z$88)^2+(AA51-$AA$88)^2+(AB51-$AB$88)^2+(AC51-$AC$88)^2+(AD51-$AD$88)^2+(AE51-$AE$88)^2+(AF51-$AF$88)^2+(AG51-$AG$88)^2)</f>
        <v>1.6303060347392286</v>
      </c>
      <c r="FN51" s="36" t="s">
        <v>313</v>
      </c>
      <c r="FO51" s="37" t="s">
        <v>120</v>
      </c>
      <c r="FQ51" s="44"/>
      <c r="FR51" s="36">
        <f>SQRT((A51-$A$89)^2+(B51-$B$89)^2+(C51-$C$89)^2+(D51-$D$89)^2+(E51-$E$89)^2+(F51-$F$89)^2+(G51-$G$89)^2+(H51-$H$89)^2+(I51-$I$89)^2+(J51-$J$89)^2+(K51-$K$89)^2+(L51-$L$89)^2+(M51-$M$89)^2+(N51-$N$89)^2+(O51-$O$89)^2+(P51-$P$89)^2+(Q51-$Q$89)^2+(R51-$R$89)^2+(S51-$S$89)^2+(T51-$T$89)^2+(U51-$U$89)^2+(V51-$V$89)^2+(W51-$W$89)^2+(X51-$X$89)^2+(Y51-$Y$89)^2+(Z51-$Z$89)^2+(AA51-$AA$89)^2+(AB51-$AB$89)^2+(AC51-$AC$89)^2+(AD51-$AD$89)^2+(AE51-$AE$89)^2+(AF51-$AF$89)^2+(AG51-$AG$89)^2)</f>
        <v>1.4743171677461775</v>
      </c>
      <c r="FS51" s="36" t="s">
        <v>134</v>
      </c>
      <c r="FT51" s="37" t="s">
        <v>120</v>
      </c>
      <c r="FV51" s="44"/>
      <c r="FW51" s="36">
        <f>SQRT((A51-$A$90)^2+(B51-$B$90)^2+(C51-$C$90)^2+(D51-$D$90)^2+(E51-$E$90)^2+(F51-$F$90)^2+(G51-$G$90)^2+(H51-$H$90)^2+(I51-$I$90)^2+(J51-$J$90)^2+(K51-$K$90)^2+(L51-$L$90)^2+(M51-$M$90)^2+(N51-$N$90)^2+(O51-$O$90)^2+(P51-$P$90)^2+(Q51-$Q$90)^2+(R51-$R$90)^2+(S51-$S$90)^2+(T51-$T$90)^2+(U51-$U$90)^2+(V51-$V$90)^2+(W51-$W$90)^2+(X51-$X$90)^2+(Y51-$Y$90)^2+(Z51-$Z$90)^2+(AA51-$AA$90)^2+(AB51-$AB$90)^2+(AC51-$AC$90)^2+(AD51-$AD$90)^2+(AE51-$AE$90)^2+(AF51-$AF$90)^2+(AG51-$AG$90)^2)</f>
        <v>2.1823152842795195</v>
      </c>
      <c r="FX51" s="36" t="s">
        <v>316</v>
      </c>
      <c r="FY51" s="37" t="s">
        <v>120</v>
      </c>
      <c r="GA51" s="44"/>
      <c r="GB51" s="36">
        <f>SQRT((A51-$A$91)^2+(B51-$B$91)^2+(C51-$C$91)^2+(D51-$D$91)^2+(E51-$E$91)^2+(F51-$F$91)^2+(G51-$G$91)^2+(H51-$H$91)^2+(I51-$I$91)^2+(J51-$J$91)^2+(K51-$K$91)^2+(L51-$L$91)^2+(M51-$M$91)^2+(N51-$N$91)^2+(O51-$O$91)^2+(P51-$P$91)^2+(Q51-$Q$91)^2+(R51-$R$91)^2+(S51-$S$91)^2+(T51-$T$91)^2+(U51-$U$91)^2+(V51-$V$91)^2+(W51-$W$91)^2+(X51-$X$91)^2+(Y51-$Y$91)^2+(Z51-$Z$91)^2+(AA51-$AA$91)^2+(AB51-$AB$91)^2+(AC51-$AC$91)^2+(AD51-$AD$91)^2+(AE51-$AE$91)^2+(AF51-$AF$91)^2+(AG51-$AG$91)^2)</f>
        <v>2.5806975801127878</v>
      </c>
      <c r="GC51" s="36" t="s">
        <v>147</v>
      </c>
      <c r="GD51" s="37" t="s">
        <v>120</v>
      </c>
      <c r="GF51" s="44"/>
      <c r="GG51" s="36">
        <f>SQRT((A51-$A$92)^2+(B51-$B$92)^2+(C51-$C$92)^2+(D51-$D$92)^2+(E51-$E$92)^2+(F51-$F$92)^2+(G51-$G$92)^2+(H51-$H$92)^2+(I51-$I$92)^2+(J51-$J$92)^2+(K51-$K$92)^2+(L51-$L$92)^2+(M51-$M$92)^2+(N51-$N$92)^2+(O51-$O$92)^2+(P51-$P$92)^2+(Q51-$Q$92)^2+(R51-$R$92)^2+(S51-$S$92)^2+(T51-$T$92)^2+(U51-$U$92)^2+(V51-$V$92)^2+(W51-$W$92)^2+(X51-$X$92)^2+(Y51-$Y$92)^2+(Z51-$Z$92)^2+(AA51-$AA$92)^2+(AB51-$AB$92)^2+(AC51-$AC$92)^2+(AD51-$AD$92)^2+(AE51-$AE$92)^2+(AF51-$AF$92)^2+(AG51-$AG$92)^2)</f>
        <v>2.0458923590171905</v>
      </c>
      <c r="GH51" s="36" t="s">
        <v>146</v>
      </c>
      <c r="GI51" s="37" t="s">
        <v>120</v>
      </c>
      <c r="GK51" s="44"/>
      <c r="GL51" s="36">
        <f>SQRT((A51-$A$93)^2+(B51-$B$93)^2+(C51-$C$93)^2+(D51-$D$93)^2+(E51-$E$93)^2+(F51-$F$93)^2+(G51-$G$93)^2+(H51-$H$93)^2+(I51-$I$93)^2+(J51-$J$93)^2+(K51-$K$93)^2+(L51-$L$93)^2+(M51-$M$93)^2+(N51-$N$93)^2+(O51-$O$93)^2+(P51-$P$93)^2+(Q51-$Q$93)^2+(R51-$R$93)^2+(S51-$S$93)^2+(T51-$T$93)^2+(U51-$U$93)^2+(V51-$V$93)^2+(W51-$W$93)^2+(X51-$X$93)^2+(Y51-$Y$93)^2+(Z51-$Z$93)^2+(AA51-$AA$93)^2+(AB51-$AB$93)^2+(AC51-$AC$93)^2+(AD51-$AD$93)^2+(AE51-$AE$93)^2+(AF51-$AF$93)^2+(AG51-$AG$93)^2)</f>
        <v>2.6729093595639273</v>
      </c>
      <c r="GM51" s="36" t="s">
        <v>315</v>
      </c>
      <c r="GN51" s="37" t="s">
        <v>120</v>
      </c>
      <c r="GP51" s="44"/>
      <c r="GQ51" s="36">
        <f>SQRT((A51-$A$94)^2+(B51-$B$94)^2+(C51-$C$94)^2+(D51-$D$94)^2+(E51-$E$94)^2+(F51-$F$94)^2+(G51-$G$94)^2+(H51-$H$94)^2+(I51-$I$94)^2+(J51-$J$94)^2+(K51-$K$94)^2+(L51-$L$94)^2+(M51-$M$94)^2+(N51-$N$94)^2+(O51-$O$94)^2+(P51-$P$94)^2+(Q51-$Q$94)^2+(R51-$R$94)^2+(S51-$S$94)^2+(T51-$T$94)^2+(U51-$U$94)^2+(V51-$V$94)^2+(W51-$W$94)^2+(X51-$X$94)^2+(Y51-$Y$94)^2+(Z51-$Z$94)^2+(AA51-$AA$94)^2+(AB51-$AB$94)^2+(AC51-$AC$94)^2+(AD51-$AD$94)^2+(AE51-$AE$94)^2+(AF51-$AF$94)^2+(AG51-$AG$94)^2)</f>
        <v>2.1040838058513232</v>
      </c>
      <c r="GR51" s="36" t="s">
        <v>323</v>
      </c>
      <c r="GS51" s="37" t="s">
        <v>120</v>
      </c>
      <c r="GU51" s="44"/>
      <c r="GV51" s="36">
        <f>SQRT((A51-$A$95)^2+(B51-$B$95)^2+(C51-$C$95)^2+(D51-$D$95)^2+(E51-$E$95)^2+(F51-$F$95)^2+(G51-$G$95)^2+(H51-$H$95)^2+(I51-$I$95)^2+(J51-$J$95)^2+(K51-$K$95)^2+(L51-$L$95)^2+(M51-$M$95)^2+(N51-$N$95)^2+(O51-$O$95)^2+(P51-$P$95)^2+(Q51-$Q$95)^2+(R51-$R$95)^2+(S51-$S$95)^2+(T51-$T$95)^2+(U51-$U$95)^2+(V51-$V$95)^2+(W51-$W$95)^2+(X51-$X$95)^2+(Y51-$Y$95)^2+(Z51-$Z$95)^2+(AA51-$AA$95)^2+(AB51-$AB$95)^2+(AC51-$AC$95)^2+(AD51-$AD$95)^2+(AE51-$AE$95)^2+(AF51-$AF$95)^2+(AG51-$AG$95)^2)</f>
        <v>2.6233989826601332</v>
      </c>
      <c r="GW51" s="36" t="s">
        <v>339</v>
      </c>
      <c r="GX51" s="37" t="s">
        <v>120</v>
      </c>
      <c r="GZ51" s="44"/>
      <c r="HA51" s="36">
        <f>SQRT((A51-$A$96)^2+(B51-$B$96)^2+(C51-$C$96)^2+(D51-$D$96)^2+(E51-$E$96)^2+(F51-$F$96)^2+(G51-$G$96)^2+(H51-$H$96)^2+(I51-$I$96)^2+(J51-$J$96)^2+(K51-$K$96)^2+(L51-$L$96)^2+(M51-$M$96)^2+(N51-$N$96)^2+(O51-$O$96)^2+(P51-$P$96)^2+(Q51-$Q$96)^2+(R51-$R$96)^2+(S51-$S$96)^2+(T51-$T$96)^2+(U51-$U$96)^2+(V51-$V$96)^2+(W51-$W$96)^2+(X51-$X$96)^2+(Y51-$Y$96)^2+(Z51-$Z$96)^2+(AA51-$AA$96)^2+(AB51-$AB$96)^2+(AC51-$AC$96)^2+(AD51-$AD$96)^2+(AE51-$AE$96)^2+(AF51-$AF$96)^2+(AG51-$AG$96)^2)</f>
        <v>2.1807236311728166</v>
      </c>
      <c r="HB51" s="36" t="s">
        <v>134</v>
      </c>
      <c r="HC51" s="37" t="s">
        <v>120</v>
      </c>
      <c r="HE51" s="44"/>
      <c r="HF51" s="36">
        <f>SQRT((A51-$A$97)^2+(B51-$B$97)^2+(C51-$C$97)^2+(D51-$D$97)^2+(E51-$E$97)^2+(F51-$F$97)^2+(G51-$G$97)^2+(H51-$H$97)^2+(I51-$I$97)^2+(J51-$J$97)^2+(K51-$K$97)^2+(L51-$L$97)^2+(M51-$M$97)^2+(N51-$N$97)^2+(O51-$O$97)^2+(P51-$P$97)^2+(Q51-$Q$97)^2+(R51-$R$97)^2+(S51-$S$97)^2+(T51-$T$97)^2+(U51-$U$97)^2+(V51-$V$97)^2+(W51-$W$97)^2+(X51-$X$97)^2+(Y51-$Y$97)^2+(Z51-$Z$97)^2+(AA51-$AA$97)^2+(AB51-$AB$97)^2+(AC51-$AC$97)^2+(AD51-$AD$97)^2+(AE51-$AE$97)^2+(AF51-$AF$97)^2+(AG51-$AG$97)^2)</f>
        <v>1.6610428663047978</v>
      </c>
      <c r="HG51" s="36" t="s">
        <v>329</v>
      </c>
      <c r="HH51" s="37" t="s">
        <v>120</v>
      </c>
      <c r="HJ51" s="44"/>
      <c r="HK51" s="36">
        <f>SQRT((A51-$A$98)^2+(B51-$B$98)^2+(C51-$C$98)^2+(D51-$D$98)^2+(E51-$E$98)^2+(F51-$F$98)^2+(G51-$G$98)^2+(H51-$H$98)^2+(I51-$I$98)^2+(J51-$J$98)^2+(K51-$K$98)^2+(L51-$L$98)^2+(M51-$M$98)^2+(N51-$N$98)^2+(O51-$O$98)^2+(P51-$P$98)^2+(Q51-$Q$98)^2+(R51-$R$98)^2+(S51-$S$98)^2+(T51-$T$98)^2+(U51-$U$98)^2+(V51-$V$98)^2+(W51-$W$98)^2+(X51-$X$98)^2+(Y51-$Y$98)^2+(Z51-$Z$98)^2+(AA51-$AA$98)^2+(AB51-$AB$98)^2+(AC51-$AC$98)^2+(AD51-$AD$98)^2+(AE51-$AE$98)^2+(AF51-$AF$98)^2+(AG51-$AG$98)^2)</f>
        <v>1.6610428663047978</v>
      </c>
      <c r="HL51" s="36" t="s">
        <v>329</v>
      </c>
      <c r="HM51" s="37" t="s">
        <v>120</v>
      </c>
      <c r="HO51" s="44"/>
      <c r="HP51" s="36">
        <f>SQRT((A51-$A$99)^2+(B51-$B$99)^2+(C51-$C$99)^2+(D51-$D$99)^2+(E51-$E$99)^2+(F51-$F$99)^2+(G51-$G$99)^2+(H51-$H$99)^2+(I51-$I$99)^2+(J51-$J$99)^2+(K51-$K$99)^2+(L51-$L$99)^2+(M51-$M$99)^2+(N51-$N$99)^2+(O51-$O$99)^2+(P51-$P$99)^2+(Q51-$Q$99)^2+(R51-$R$99)^2+(S51-$S$99)^2+(T51-$T$99)^2+(U51-$U$99)^2+(V51-$V$99)^2+(W51-$W$99)^2+(X51-$X$99)^2+(Y51-$Y$99)^2+(Z51-$Z$99)^2+(AA51-$AA$99)^2+(AB51-$AB$99)^2+(AC51-$AC$99)^2+(AD51-$AD$99)^2+(AE51-$AE$99)^2+(AF51-$AF$99)^2+(AG51-$AG$99)^2)</f>
        <v>1.6610428663047978</v>
      </c>
      <c r="HQ51" s="36" t="s">
        <v>329</v>
      </c>
      <c r="HR51" s="37" t="s">
        <v>120</v>
      </c>
      <c r="HT51" s="44"/>
      <c r="HU51" s="36">
        <f>SQRT((A51-$A$100)^2+(B51-$B$100)^2+(C51-$C$100)^2+(D51-$D$100)^2+(E51-$E$100)^2+(F51-$F$100)^2+(G51-$G$100)^2+(H51-$H$100)^2+(I51-$I$100)^2+(J51-$J$100)^2+(K51-$K$100)^2+(L51-$L$100)^2+(M51-$M$100)^2+(N51-$N$100)^2+(O51-$O$100)^2+(P51-$P$100)^2+(Q51-$Q$100)^2+(R51-$R$100)^2+(S51-$S$100)^2+(T51-$T$100)^2+(U51-$U$100)^2+(V51-$V$100)^2+(W51-$W$100)^2+(X51-$X$100)^2+(Y51-$Y$100)^2+(Z51-$Z$100)^2+(AA51-$AA$100)^2+(AB51-$AB$100)^2+(AC51-$AC$100)^2+(AD51-$AD$100)^2+(AE51-$AE$100)^2+(AF51-$AF$100)^2+(AG51-$AG$100)^2)</f>
        <v>1.6610428663047978</v>
      </c>
      <c r="HV51" s="36" t="s">
        <v>329</v>
      </c>
      <c r="HW51" s="37" t="s">
        <v>120</v>
      </c>
      <c r="HY51" s="44"/>
      <c r="HZ51" s="36">
        <f>SQRT((A51-$A$101)^2+(B51-$B$101)^2+(C51-$C$101)^2+(D51-$D$101)^2+(E51-$E$101)^2+(F51-$F$101)^2+(G51-$G$101)^2+(H51-$H$101)^2+(I51-$I$101)^2+(J51-$J$101)^2+(K51-$K$101)^2+(L51-$L$101)^2+(M51-$M$101)^2+(N51-$N$101)^2+(O51-$O$101)^2+(P51-$P$101)^2+(Q51-$Q$101)^2+(R51-$R$101)^2+(S51-$S$101)^2+(T51-$T$101)^2+(U51-$U$101)^2+(V51-$V$101)^2+(W51-$W$101)^2+(X51-$X$101)^2+(Y51-$Y$101)^2+(Z51-$Z$101)^2+(AA51-$AA$101)^2+(AB51-$AB$101)^2+(AC51-$AC$101)^2+(AD51-$AD$101)^2+(AE51-$AE$101)^2+(AF51-$AF$101)^2+(AG51-$AG$101)^2)</f>
        <v>1.4666666666666666</v>
      </c>
      <c r="IA51" s="36" t="s">
        <v>134</v>
      </c>
      <c r="IB51" s="37" t="s">
        <v>120</v>
      </c>
    </row>
    <row r="52" spans="1:236" x14ac:dyDescent="0.35">
      <c r="A52" s="2">
        <v>0.66666666666666596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0.55555555555555503</v>
      </c>
      <c r="H52" s="2">
        <v>1</v>
      </c>
      <c r="I52" s="2">
        <v>1</v>
      </c>
      <c r="J52" s="2">
        <v>0</v>
      </c>
      <c r="K52" s="2">
        <v>0</v>
      </c>
      <c r="L52" s="2">
        <v>0.2</v>
      </c>
      <c r="M52" s="2">
        <v>1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1</v>
      </c>
      <c r="AC52" s="2">
        <v>1</v>
      </c>
      <c r="AD52" s="2">
        <v>1</v>
      </c>
      <c r="AE52" s="2">
        <v>0</v>
      </c>
      <c r="AF52" s="2">
        <v>1</v>
      </c>
      <c r="AG52" s="2">
        <v>0.5</v>
      </c>
      <c r="AH52" s="2" t="s">
        <v>120</v>
      </c>
      <c r="AI52" s="42"/>
      <c r="AJ52" s="42"/>
      <c r="AL52" s="44"/>
      <c r="AM52" s="36">
        <f>SQRT((A52-$A$62)^2+(B52-$B$62)^2+(C52-$C$62)^2+(D52-$D$62)^2+(E52-$E$62)^2+(F52-$F$62)^2+(G52-$G$62)^2+(H52-$H$62)^2+(I52-$I$62)^2+(J52-$J$62)^2+(K52-$K$62)^2+(L52-$L$62)^2+(M52-$M$62)^2+(N52-$N$62)^2+(O52-$O$62)^2+(P52-$P$62)^2+(Q52-$Q$62)^2+(R52-$R$62)^2+(S52-$S$62)^2+(T52-$T$62)^2+(U52-$U$62)^2+(V52-$V$62)^2+(W52-$W$62)^2+(X52-$X$62)^2+(Y52-$Y$62)^2+(Z52-$Z$62)^2+(AA52-$AA$62)^2+(AB52-$AB$62)^2+(AC52-$AC$62)^2+(AD52-$AD$62)^2+(AE52-$AE$62)^2+(AF52-$AF$62)^2+(AG52-$AG$62)^2)</f>
        <v>1.3043729868748772</v>
      </c>
      <c r="AN52" s="36" t="s">
        <v>138</v>
      </c>
      <c r="AO52" s="37" t="s">
        <v>120</v>
      </c>
      <c r="AQ52" s="44"/>
      <c r="AR52" s="36">
        <f>SQRT((A52-$A$63)^2+(B52-$B$63)^2+(C52-$C$63)^2+(D52-$D$63)^2+(E52-$E$63)^2+(F52-$F$63)^2+(G52-$G$63)^2+(H52-$H$63)^2+(I52-$I$63)^2+(J52-$J$63)^2+(K52-$K$63)^2+(L52-$L$63)^2+(M52-$M$63)^2+(N52-$N$63)^2+(O52-$O$63)^2+(P52-$P$63)^2+(Q52-$Q$63)^2+(R52-$R$63)^2+(S52-$S$63)^2+(T52-$T$63)^2+(U52-$U$63)^2+(V52-$V$63)^2+(W52-$W$63)^2+(X52-$X$63)^2+(Y52-$Y$63)^2+(Z52-$Z$63)^2+(AA52-$AA$63)^2+(AB52-$AB$63)^2+(AC52-$AC$63)^2+(AD52-$AD$63)^2+(AE52-$AE$63)^2+(AF52-$AF$63)^2+(AG52-$AG$63)^2)</f>
        <v>1.9981441013815551</v>
      </c>
      <c r="AS52" s="36" t="s">
        <v>136</v>
      </c>
      <c r="AT52" s="37" t="s">
        <v>120</v>
      </c>
      <c r="AV52" s="44"/>
      <c r="AW52" s="36">
        <f>SQRT((A52-$A$64)^2+(B52-$B$64)^2+(C52-$C$64)^2+(D52-$D$64)^2+(E52-$E$64)^2+(F52-$F$64)^2+(G52-$G$64)^2+(H52-$H$64)^2+(I52-$I$64)^2+(J52-$J$64)^2+(K52-$K$64)^2+(L52-$L$64)^2+(M52-$M$64)^2+(N52-$N$64)^2+(O52-$O$64)^2+(P52-$P$64)^2+(Q52-$Q$64)^2+(R52-$R$64)^2+(S52-$S$64)^2+(T52-$T$64)^2+(U52-$U$64)^2+(V52-$V$64)^2+(W52-$W$64)^2+(X52-$X$64)^2+(Y52-$Y$64)^2+(Z52-$Z$64)^2+(AA52-$AA$64)^2+(AB52-$AB$64)^2+(AC52-$AC$64)^2+(AD52-$AD$64)^2+(AE52-$AE$64)^2+(AF52-$AF$64)^2+(AG52-$AG$64)^2)</f>
        <v>1.9981441013815551</v>
      </c>
      <c r="AX52" s="36" t="s">
        <v>136</v>
      </c>
      <c r="AY52" s="37" t="s">
        <v>120</v>
      </c>
      <c r="BA52" s="44"/>
      <c r="BB52" s="36">
        <f>SQRT((A52-$A$65)^2+(B52-$B$65)^2+(C52-$C$65)^2+(D52-$D$65)^2+(E52-$E$65)^2+(F52-$F$65)^2+(G52-$G$65)^2+(H52-$H$65)^2+(I52-$I$65)^2+(J52-$J$65)^2+(K52-$K$65)^2+(L52-$L$65)^2+(M52-$M$65)^2+(N52-$N$65)^2+(O52-$O$65)^2+(P52-$P$65)^2+(Q52-$Q$65)^2+(R52-$R$65)^2+(S52-$S$65)^2+(T52-$T$65)^2+(U52-$U$65)^2+(V52-$V$65)^2+(W52-$W$65)^2+(X52-$X$65)^2+(Y52-$Y$65)^2+(Z52-$Z$65)^2+(AA52-$AA$65)^2+(AB52-$AB$65)^2+(AC52-$AC$65)^2+(AD52-$AD$65)^2+(AE52-$AE$65)^2+(AF52-$AF$65)^2+(AG52-$AG$65)^2)</f>
        <v>1.9981441013815551</v>
      </c>
      <c r="BC52" s="36" t="s">
        <v>136</v>
      </c>
      <c r="BD52" s="37" t="s">
        <v>120</v>
      </c>
      <c r="BF52" s="44"/>
      <c r="BG52" s="36">
        <f>SQRT((A52-$A$66)^2+(B52-$B$66)^2+(C52-$C$66)^2+(D52-$D$66)^2+(E52-$E$66)^2+(F52-$F$66)^2+(G52-$G$66)^2+(H52-$H$66)^2+(I52-$I$66)^2+(J52-$J$66)^2+(K52-$K$66)^2+(L52-$L$66)^2+(M52-$M$66)^2+(N52-$N$66)^2+(O52-$O$66)^2+(P52-$P$66)^2+(Q52-$Q$66)^2+(R52-$R$66)^2+(S52-$S$66)^2+(T52-$T$66)^2+(U52-$U$66)^2+(V52-$V$66)^2+(W52-$W$66)^2+(X52-$X$66)^2+(Y52-$Y$66)^2+(Z52-$Z$66)^2+(AA52-$AA$66)^2+(AB52-$AB$66)^2+(AC52-$AC$66)^2+(AD52-$AD$66)^2+(AE52-$AE$66)^2+(AF52-$AF$66)^2+(AG52-$AG$66)^2)</f>
        <v>1.9981441013815551</v>
      </c>
      <c r="BH52" s="36" t="s">
        <v>136</v>
      </c>
      <c r="BI52" s="37" t="s">
        <v>120</v>
      </c>
      <c r="BK52" s="44"/>
      <c r="BL52" s="36">
        <f>SQRT((A52-$A$67)^2+(B52-$B$67)^2+(C52-$C$67)^2+(D52-$D$67)^2+(E52-$E$67)^2+(F52-$F$67)^2+(G52-$G$67)^2+(H52-$H$67)^2+(I52-$I$67)^2+(J52-$J$67)^2+(K52-$K$67)^2+(L52-$L$67)^2+(M52-$M$67)^2+(N52-$N$67)^2+(O52-$O$67)^2+(P52-$P$67)^2+(Q52-$Q$67)^2+(R52-$R$67)^2+(S52-$S$67)^2+(T52-$T$67)^2+(U52-$U$67)^2+(V52-$V$67)^2+(W52-$W$67)^2+(X52-$X$67)^2+(Y52-$Y$67)^2+(Z52-$Z$67)^2+(AA52-$AA$67)^2+(AB52-$AB$67)^2+(AC52-$AC$67)^2+(AD52-$AD$67)^2+(AE52-$AE$67)^2+(AF52-$AF$67)^2+(AG52-$AG$67)^2)</f>
        <v>1.9981441013815551</v>
      </c>
      <c r="BM52" s="36" t="s">
        <v>136</v>
      </c>
      <c r="BN52" s="37" t="s">
        <v>120</v>
      </c>
      <c r="BP52" s="44"/>
      <c r="BQ52" s="36">
        <f>SQRT((A52-$A$68)^2+(B52-$B$68)^2+(C52-$C$68)^2+(D52-$D$68)^2+(E52-$E$68)^2+(F52-$F$68)^2+(G52-$G$68)^2+(H52-$H$68)^2+(I52-$I$68)^2+(J52-$J$68)^2+(K52-$K$68)^2+(L52-$L$68)^2+(M52-$M$68)^2+(N52-$N$68)^2+(O52-$O$68)^2+(P52-$P$68)^2+(Q52-$Q$68)^2+(R52-$R$68)^2+(S52-$S$68)^2+(T52-$T$68)^2+(U52-$U$68)^2+(V52-$V$68)^2+(W52-$W$68)^2+(X52-$X$68)^2+(Y52-$Y$68)^2+(Z52-$Z$68)^2+(AA52-$AA$68)^2+(AB52-$AB$68)^2+(AC52-$AC$68)^2+(AD52-$AD$68)^2+(AE52-$AE$68)^2+(AF52-$AF$68)^2+(AG52-$AG$68)^2)</f>
        <v>1.9981441013815551</v>
      </c>
      <c r="BR52" s="36" t="s">
        <v>136</v>
      </c>
      <c r="BS52" s="37" t="s">
        <v>120</v>
      </c>
      <c r="BU52" s="44"/>
      <c r="BV52" s="36">
        <f>SQRT((A52-$A$69)^2+(B52-$B$69)^2+(C52-$C$69)^2+(D52-$D$69)^2+(E52-$E$69)^2+(F52-$F$69)^2+(G52-$G$69)^2+(H52-$H$69)^2+(I52-$I$69)^2+(J52-$J$69)^2+(K52-$K$69)^2+(L52-$L$69)^2+(M52-$M$69)^2+(N52-$N$69)^2+(O52-$O$69)^2+(P52-$P$69)^2+(Q52-$Q$69)^2+(R52-$R$69)^2+(S52-$S$69)^2+(T52-$T$69)^2+(U52-$U$69)^2+(V52-$V$69)^2+(W52-$W$69)^2+(X52-$X$69)^2+(Y52-$Y$69)^2+(Z52-$Z$69)^2+(AA52-$AA$69)^2+(AB52-$AB$69)^2+(AC52-$AC$69)^2+(AD52-$AD$69)^2+(AE52-$AE$69)^2+(AF52-$AF$69)^2+(AG52-$AG$69)^2)</f>
        <v>3.0771943191028392</v>
      </c>
      <c r="BW52" s="36" t="s">
        <v>140</v>
      </c>
      <c r="BX52" s="37" t="s">
        <v>120</v>
      </c>
      <c r="BZ52" s="44"/>
      <c r="CA52" s="36">
        <f>SQRT((A52-$A$70)^2+(B52-$B$70)^2+(C52-$C$70)^2+(D52-$D$70)^2+(E52-$E$70)^2+(F52-$F$70)^2+(G52-$G$70)^2+(H52-$H$70)^2+(I52-$I$70)^2+(J52-$J$70)^2+(K52-$K$70)^2+(L52-$L$70)^2+(M52-$M$70)^2+(N52-$N$70)^2+(O52-$O$70)^2+(P52-$P$70)^2+(Q52-$Q$70)^2+(R52-$R$70)^2+(S52-$S$70)^2+(T52-$T$70)^2+(U52-$U$70)^2+(V52-$V$70)^2+(W52-$W$70)^2+(X52-$X$70)^2+(Y52-$Y$70)^2+(Z52-$Z$70)^2+(AA52-$AA$70)^2+(AB52-$AB$70)^2+(AC52-$AC$70)^2+(AD52-$AD$70)^2+(AE52-$AE$70)^2+(AF52-$AF$70)^2+(AG52-$AG$70)^2)</f>
        <v>2.4117815069857689</v>
      </c>
      <c r="CB52" s="36" t="s">
        <v>136</v>
      </c>
      <c r="CC52" s="37" t="s">
        <v>120</v>
      </c>
      <c r="CE52" s="44"/>
      <c r="CF52" s="36">
        <f>SQRT((A52-$A$71)^2+(B52-$B$71)^2+(C52-$C$71)^2+(D52-$D$71)^2+(E52-$E$71)^2+(F52-$F$71)^2+(G52-$G$71)^2+(H52-$H$71)^2+(I52-$I$71)^2+(J52-$J$71)^2+(K52-$K$71)^2+(L52-$L$71)^2+(M52-$M$71)^2+(N52-$N$71)^2+(O52-$O$71)^2+(P52-$P$71)^2+(Q52-$Q$71)^2+(R52-$R$71)^2+(S52-$S$71)^2+(T52-$T$71)^2+(U52-$U$71)^2+(V52-$V$71)^2+(W52-$W$71)^2+(X52-$X$71)^2+(Y52-$Y$71)^2+(Z52-$Z$71)^2+(AA52-$AA$71)^2+(AB52-$AB$71)^2+(AC52-$AC$71)^2+(AD52-$AD$71)^2+(AE52-$AE$71)^2+(AF52-$AF$71)^2+(AG52-$AG$71)^2)</f>
        <v>2.2432048090213081</v>
      </c>
      <c r="CG52" s="36" t="s">
        <v>136</v>
      </c>
      <c r="CH52" s="37" t="s">
        <v>120</v>
      </c>
      <c r="CJ52" s="44"/>
      <c r="CK52" s="36">
        <f>SQRT((A52-$A$72)^2+(B52-$B$72)^2+(C52-$C$72)^2+(D52-$D$72)^2+(E52-$E$72)^2+(F52-$F$72)^2+(G52-$G$72)^2+(H52-$H$72)^2+(I52-$I$72)^2+(J52-$J$72)^2+(K52-$K$72)^2+(L52-$L$72)^2+(M52-$M$72)^2+(N52-$N$72)^2+(O52-$O$72)^2+(P52-$P$72)^2+(Q52-$Q$72)^2+(R52-$R$72)^2+(S52-$S$72)^2+(T52-$T$72)^2+(U52-$U$72)^2+(V52-$V$72)^2+(W52-$W$72)^2+(X52-$X$72)^2+(Y52-$Y$72)^2+(Z52-$Z$72)^2+(AA52-$AA$72)^2+(AB52-$AB$72)^2+(AC52-$AC$72)^2+(AD52-$AD$72)^2+(AE52-$AE$72)^2+(AF52-$AF$72)^2+(AG52-$AG$72)^2)</f>
        <v>1.839725868711545</v>
      </c>
      <c r="CL52" s="36" t="s">
        <v>315</v>
      </c>
      <c r="CM52" s="37" t="s">
        <v>120</v>
      </c>
      <c r="CO52" s="44"/>
      <c r="CP52" s="36">
        <f>SQRT((A52-$A$73)^2+(B52-$B$73)^2+(C52-$C$73)^2+(D52-$D$73)^2+(E52-$E$73)^2+(F52-$F$73)^2+(G52-$G$73)^2+(H52-$H$73)^2+(I52-$I$73)^2+(J52-$J$73)^2+(K52-$K$73)^2+(L52-$L$73)^2+(M52-$M$73)^2+(N52-$N$73)^2+(O52-$O$73)^2+(P52-$P$73)^2+(Q52-$Q$73)^2+(R52-$R$73)^2+(S52-$S$73)^2+(T52-$T$73)^2+(U52-$U$73)^2+(V52-$V$73)^2+(W52-$W$73)^2+(X52-$X$73)^2+(Y52-$Y$73)^2+(Z52-$Z$73)^2+(AA52-$AA$73)^2+(AB52-$AB$73)^2+(AC52-$AC$73)^2+(AD52-$AD$73)^2+(AE52-$AE$73)^2+(AF52-$AF$73)^2+(AG52-$AG$73)^2)</f>
        <v>2.0950338103874757</v>
      </c>
      <c r="CQ52" s="36" t="s">
        <v>330</v>
      </c>
      <c r="CR52" s="37" t="s">
        <v>120</v>
      </c>
      <c r="CT52" s="44"/>
      <c r="CU52" s="36">
        <f>SQRT((A52-$A$74)^2+(B52-$B$74)^2+(C52-$C$74)^2+(D52-$D$74)^2+(E52-$E$74)^2+(F52-$F$74)^2+(G52-$G$74)^2+(H52-$H$74)^2+(I52-$I$74)^2+(J52-$J$74)^2+(K52-$K$74)^2+(L52-$L$74)^2+(M52-$M$74)^2+(N52-$N$74)^2+(O52-$O$74)^2+(P52-$P$74)^2+(Q52-$Q$74)^2+(R52-$R$74)^2+(S52-$S$74)^2+(T52-$T$74)^2+(U52-$U$74)^2+(V52-$V$74)^2+(W52-$W$74)^2+(X52-$X$74)^2+(Y52-$Y$74)^2+(Z52-$Z$74)^2+(AA52-$AA$74)^2+(AB52-$AB$74)^2+(AC52-$AC$74)^2+(AD52-$AD$74)^2+(AE52-$AE$74)^2+(AF52-$AF$74)^2+(AG52-$AG$74)^2)</f>
        <v>1.8291619210264936</v>
      </c>
      <c r="CV52" s="36" t="s">
        <v>313</v>
      </c>
      <c r="CW52" s="37" t="s">
        <v>120</v>
      </c>
      <c r="CY52" s="44"/>
      <c r="CZ52" s="36">
        <f>SQRT((A52-$A$75)^2+(B52-$B$75)^2+(C52-$C$75)^2+(D52-$D$75)^2+(E52-$E$75)^2+(F52-$F$75)^2+(G52-$G$75)^2+(H52-$H$75)^2+(I52-$I$75)^2+(J52-$J$75)^2+(K52-$K$75)^2+(L52-$L$75)^2+(M52-$M$75)^2+(N52-$N$75)^2+(O52-$O$75)^2+(P52-$P$75)^2+(Q52-$Q$75)^2+(R52-$R$75)^2+(S52-$S$75)^2+(T52-$T$75)^2+(U52-$U$75)^2+(V52-$V$75)^2+(W52-$W$75)^2+(X52-$X$75)^2+(Y52-$Y$75)^2+(Z52-$Z$75)^2+(AA52-$AA$75)^2+(AB52-$AB$75)^2+(AC52-$AC$75)^2+(AD52-$AD$75)^2+(AE52-$AE$75)^2+(AF52-$AF$75)^2+(AG52-$AG$75)^2)</f>
        <v>1.8783118898509785</v>
      </c>
      <c r="DA52" s="36" t="s">
        <v>323</v>
      </c>
      <c r="DB52" s="37" t="s">
        <v>120</v>
      </c>
      <c r="DD52" s="44"/>
      <c r="DE52" s="36">
        <f>SQRT((A52-$A$76)^2+(B52-$B$76)^2+(C52-$C$76)^2+(D52-$D$76)^2+(E52-$E$76)^2+(F52-$F$76)^2+(G52-$G$76)^2+(H52-$H$76)^2+(I52-$I$76)^2+(J52-$J$76)^2+(K52-$K$76)^2+(L52-$L$76)^2+(M52-$M$76)^2+(N52-$N$76)^2+(O52-$O$76)^2+(P52-$P$76)^2+(Q52-$Q$76)^2+(R52-$R$76)^2+(S52-$S$76)^2+(T52-$T$76)^2+(U52-$U$76)^2+(V52-$V$76)^2+(W52-$W$76)^2+(X52-$X$76)^2+(Y52-$Y$76)^2+(Z52-$Z$76)^2+(AA52-$AA$76)^2+(AB52-$AB$76)^2+(AC52-$AC$76)^2+(AD52-$AD$76)^2+(AE52-$AE$76)^2+(AF52-$AF$76)^2+(AG52-$AG$76)^2)</f>
        <v>2.1759416863101415</v>
      </c>
      <c r="DF52" s="36" t="s">
        <v>323</v>
      </c>
      <c r="DG52" s="37" t="s">
        <v>120</v>
      </c>
      <c r="DI52" s="44"/>
      <c r="DJ52" s="36">
        <f>SQRT((A52-$A$77)^2+(B52-$B$77)^2+(C52-$C$77)^2+(D52-$D$77)^2+(E52-$E$77)^2+(F52-$F$77)^2+(G52-$G$77)^2+(H52-$H$77)^2+(I52-$I$77)^2+(J52-$J$77)^2+(K52-$K$77)^2+(L52-$L$77)^2+(M52-$M$77)^2+(N52-$N$77)^2+(O52-$O$77)^2+(P52-$P$77)^2+(Q52-$Q$77)^2+(R52-$R$77)^2+(S52-$S$77)^2+(T52-$T$77)^2+(U52-$U$77)^2+(V52-$V$77)^2+(W52-$W$77)^2+(X52-$X$77)^2+(Y52-$Y$77)^2+(Z52-$Z$77)^2+(AA52-$AA$77)^2+(AB52-$AB$77)^2+(AC52-$AC$77)^2+(AD52-$AD$77)^2+(AE52-$AE$77)^2+(AF52-$AF$77)^2+(AG52-$AG$77)^2)</f>
        <v>1.7776388834631178</v>
      </c>
      <c r="DK52" s="36" t="s">
        <v>141</v>
      </c>
      <c r="DL52" s="37" t="s">
        <v>120</v>
      </c>
      <c r="DN52" s="44"/>
      <c r="DO52" s="36">
        <f>SQRT((A52-$A$78)^2+(B52-$B$78)^2+(C52-$C$78)^2+(D52-$D$78)^2+(E52-$E$78)^2+(F52-$F$78)^2+(G52-$G$78)^2+(H52-$H$78)^2+(I52-$I$78)^2+(J52-$J$78)^2+(K52-$K$78)^2+(L52-$L$78)^2+(M52-$M$78)^2+(N52-$N$78)^2+(O52-$O$78)^2+(P52-$P$78)^2+(Q52-$Q$78)^2+(R52-$R$78)^2+(S52-$S$78)^2+(T52-$T$78)^2+(U52-$U$78)^2+(V52-$V$78)^2+(W52-$W$78)^2+(X52-$X$78)^2+(Y52-$Y$78)^2+(Z52-$Z$78)^2+(AA52-$AA$78)^2+(AB52-$AB$78)^2+(AC52-$AC$78)^2+(AD52-$AD$78)^2+(AE52-$AE$78)^2+(AF52-$AF$78)^2+(AG52-$AG$78)^2)</f>
        <v>2.2797087629099249</v>
      </c>
      <c r="DP52" s="36" t="s">
        <v>138</v>
      </c>
      <c r="DQ52" s="37" t="s">
        <v>120</v>
      </c>
      <c r="DS52" s="44"/>
      <c r="DT52" s="36">
        <f>SQRT((A52-$A$79)^2+(B52-$B$79)^2+(C52-$C$79)^2+(D52-$D$79)^2+(E52-$E$79)^2+(F52-$F$79)^2+(G52-$G$79)^2+(H52-$H$79)^2+(I52-$I$79)^2+(J52-$J$79)^2+(K52-$K$79)^2+(L52-$L$79)^2+(M52-$M$79)^2+(N52-$N$79)^2+(O52-$O$79)^2+(P52-$P$79)^2+(Q52-$Q$79)^2+(R52-$R$79)^2+(S52-$S$79)^2+(T52-$T$79)^2+(U52-$U$79)^2+(V52-$V$79)^2+(W52-$W$79)^2+(X52-$X$79)^2+(Y52-$Y$79)^2+(Z52-$Z$79)^2+(AA52-$AA$79)^2+(AB52-$AB$79)^2+(AC52-$AC$79)^2+(AD52-$AD$79)^2+(AE52-$AE$79)^2+(AF52-$AF$79)^2+(AG52-$AG$79)^2)</f>
        <v>2.1227055635785237</v>
      </c>
      <c r="DU52" s="36" t="s">
        <v>124</v>
      </c>
      <c r="DV52" s="37" t="s">
        <v>120</v>
      </c>
      <c r="DX52" s="44"/>
      <c r="DY52" s="36">
        <f>SQRT((A52-$A$80)^2+(B52-$B$80)^2+(C52-$C$80)^2+(D52-$D$80)^2+(E52-$E$80)^2+(F52-$F$80)^2+(G52-$G$80)^2+(H52-$H$80)^2+(I52-$I$80)^2+(J52-$J$80)^2+(K52-$K$80)^2+(L52-$L$80)^2+(M52-$M$80)^2+(N52-$N$80)^2+(O52-$O$80)^2+(P52-$P$80)^2+(Q52-$Q$80)^2+(R52-$R$80)^2+(S52-$S$80)^2+(T52-$T$80)^2+(U52-$U$80)^2+(V52-$V$80)^2+(W52-$W$80)^2+(X52-$X$80)^2+(Y52-$Y$80)^2+(Z52-$Z$80)^2+(AA52-$AA$80)^2+(AB52-$AB$80)^2+(AC52-$AC$80)^2+(AD52-$AD$80)^2+(AE52-$AE$80)^2+(AF52-$AF$80)^2+(AG52-$AG$80)^2)</f>
        <v>2.5355801440038661</v>
      </c>
      <c r="DZ52" s="36" t="s">
        <v>313</v>
      </c>
      <c r="EA52" s="37" t="s">
        <v>120</v>
      </c>
      <c r="EC52" s="44"/>
      <c r="ED52" s="36">
        <f>SQRT((A52-$A$81)^2+(B52-$B$81)^2+(C52-$C$81)^2+(D52-$D$81)^2+(E52-$E$81)^2+(F52-$F$81)^2+(G52-$G$81)^2+(H52-$H$81)^2+(I52-$I$81)^2+(J52-$J$81)^2+(K52-$K$81)^2+(L52-$L$81)^2+(M52-$M$81)^2+(N52-$N$81)^2+(O52-$O$81)^2+(P52-$P$81)^2+(Q52-$Q$81)^2+(R52-$R$81)^2+(S52-$S$81)^2+(T52-$T$81)^2+(U52-$U$81)^2+(V52-$V$81)^2+(W52-$W$81)^2+(X52-$X$81)^2+(Y52-$Y$81)^2+(Z52-$Z$81)^2+(AA52-$AA$81)^2+(AB52-$AB$81)^2+(AC52-$AC$81)^2+(AD52-$AD$81)^2+(AE52-$AE$81)^2+(AF52-$AF$81)^2+(AG52-$AG$81)^2)</f>
        <v>2.4931015935086869</v>
      </c>
      <c r="EE52" s="36" t="s">
        <v>313</v>
      </c>
      <c r="EF52" s="37" t="s">
        <v>120</v>
      </c>
      <c r="EH52" s="44"/>
      <c r="EI52" s="36">
        <f>SQRT((A52-$A$82)^2+(B52-$B$82)^2+(C52-$C$82)^2+(D52-$D$82)^2+(E52-$E$82)^2+(F52-$F$82)^2+(G52-$G$82)^2+(H52-$H$82)^2+(I52-$I$82)^2+(J52-$J$82)^2+(K52-$K$82)^2+(L52-$L$82)^2+(M52-$M$82)^2+(N52-$N$82)^2+(O52-$O$82)^2+(P52-$P$82)^2+(Q52-$Q$82)^2+(R52-$R$82)^2+(S52-$S$82)^2+(T52-$T$82)^2+(U52-$U$82)^2+(V52-$V$82)^2+(W52-$W$82)^2+(X52-$X$82)^2+(Y52-$Y$82)^2+(Z52-$Z$82)^2+(AA52-$AA$82)^2+(AB52-$AB$82)^2+(AC52-$AC$82)^2+(AD52-$AD$82)^2+(AE52-$AE$82)^2+(AF52-$AF$82)^2+(AG52-$AG$82)^2)</f>
        <v>2.2428565217199323</v>
      </c>
      <c r="EJ52" s="36" t="s">
        <v>323</v>
      </c>
      <c r="EK52" s="37" t="s">
        <v>120</v>
      </c>
      <c r="EM52" s="44"/>
      <c r="EN52" s="36">
        <f>SQRT((A52-$A$83)^2+(B52-$B$83)^2+(C52-$C$83)^2+(D52-$D$83)^2+(E52-$E$83)^2+(F52-$F$83)^2+(G52-$G$83)^2+(H52-$H$83)^2+(I52-$I$83)^2+(J52-$J$83)^2+(K52-$K$83)^2+(L52-$L$83)^2+(M52-$M$83)^2+(N52-$N$83)^2+(O52-$O$83)^2+(P52-$P$83)^2+(Q52-$Q$83)^2+(R52-$R$83)^2+(S52-$S$83)^2+(T52-$T$83)^2+(U52-$U$83)^2+(V52-$V$83)^2+(W52-$W$83)^2+(X52-$X$83)^2+(Y52-$Y$83)^2+(Z52-$Z$83)^2+(AA52-$AA$83)^2+(AB52-$AB$83)^2+(AC52-$AC$83)^2+(AD52-$AD$83)^2+(AE52-$AE$83)^2+(AF52-$AF$83)^2+(AG52-$AG$83)^2)</f>
        <v>2.2393860367221361</v>
      </c>
      <c r="EO52" s="36" t="s">
        <v>138</v>
      </c>
      <c r="EP52" s="37" t="s">
        <v>120</v>
      </c>
      <c r="ER52" s="44"/>
      <c r="ES52" s="36">
        <f>SQRT((A52-$A$84)^2+(B52-$B$84)^2+(C52-$C$84)^2+(D52-$D$84)^2+(E52-$E$84)^2+(F52-$F$84)^2+(G52-$G$84)^2+(H52-$H$84)^2+(I52-$I$84)^2+(J52-$J$84)^2+(K52-$K$84)^2+(L52-$L$84)^2+(M52-$M$84)^2+(N52-$N$84)^2+(O52-$O$84)^2+(P52-$P$84)^2+(Q52-$Q$84)^2+(R52-$R$84)^2+(S52-$S$84)^2+(T52-$T$84)^2+(U52-$U$84)^2+(V52-$V$84)^2+(W52-$W$84)^2+(X52-$X$84)^2+(Y52-$Y$84)^2+(Z52-$Z$84)^2+(AA52-$AA$84)^2+(AB52-$AB$84)^2+(AC52-$AC$84)^2+(AD52-$AD$84)^2+(AE52-$AE$84)^2+(AF52-$AF$84)^2+(AG52-$AG$84)^2)</f>
        <v>1.9981441013815551</v>
      </c>
      <c r="ET52" s="36" t="s">
        <v>136</v>
      </c>
      <c r="EU52" s="37" t="s">
        <v>120</v>
      </c>
      <c r="EW52" s="44"/>
      <c r="EX52" s="36">
        <f>SQRT((A52-$A$85)^2+(B52-$B$85)^2+(C52-$C$85)^2+(D52-$D$85)^2+(E52-$E$85)^2+(F52-$F$85)^2+(G52-$G$85)^2+(H52-$H$85)^2+(I52-$I$85)^2+(J52-$J$85)^2+(K52-$K$85)^2+(L52-$L$85)^2+(M52-$M$85)^2+(N52-$N$85)^2+(O52-$O$85)^2+(P52-$P$85)^2+(Q52-$Q$85)^2+(R52-$R$85)^2+(S52-$S$85)^2+(T52-$T$85)^2+(U52-$U$85)^2+(V52-$V$85)^2+(W52-$W$85)^2+(X52-$X$85)^2+(Y52-$Y$85)^2+(Z52-$Z$85)^2+(AA52-$AA$85)^2+(AB52-$AB$85)^2+(AC52-$AC$85)^2+(AD52-$AD$85)^2+(AE52-$AE$85)^2+(AF52-$AF$85)^2+(AG52-$AG$85)^2)</f>
        <v>1.9981441013815551</v>
      </c>
      <c r="EY52" s="36" t="s">
        <v>136</v>
      </c>
      <c r="EZ52" s="37" t="s">
        <v>120</v>
      </c>
      <c r="FB52" s="44"/>
      <c r="FC52" s="36">
        <f>SQRT((A52-$A$86)^2+(B52-$B$86)^2+(C52-$C$86)^2+(D52-$D$86)^2+(E52-$E$86)^2+(F52-$F$86)^2+(G52-$G$86)^2+(H52-$H$86)^2+(I52-$I$86)^2+(J52-$J$86)^2+(K52-$K$86)^2+(L52-$L$86)^2+(M52-$M$86)^2+(N52-$N$86)^2+(O52-$O$86)^2+(P52-$P$86)^2+(Q52-$Q$86)^2+(R52-$R$86)^2+(S52-$S$86)^2+(T52-$T$86)^2+(U52-$U$86)^2+(V52-$V$86)^2+(W52-$W$86)^2+(X52-$X$86)^2+(Y52-$Y$86)^2+(Z52-$Z$86)^2+(AA52-$AA$86)^2+(AB52-$AB$86)^2+(AC52-$AC$86)^2+(AD52-$AD$86)^2+(AE52-$AE$86)^2+(AF52-$AF$86)^2+(AG52-$AG$86)^2)</f>
        <v>1.9981441013815551</v>
      </c>
      <c r="FD52" s="36" t="s">
        <v>136</v>
      </c>
      <c r="FE52" s="37" t="s">
        <v>120</v>
      </c>
      <c r="FG52" s="44"/>
      <c r="FH52" s="36">
        <f>SQRT((A52-$A$87)^2+(B52-$B$87)^2+(C52-$C$87)^2+(D52-$D$87)^2+(E52-$E$87)^2+(F52-$F$87)^2+(G52-$G$87)^2+(H52-$H$87)^2+(I52-$I$87)^2+(J52-$J$87)^2+(K52-$K$87)^2+(L52-$L$87)^2+(M52-$M$87)^2+(N52-$N$87)^2+(O52-$O$87)^2+(P52-$P$87)^2+(Q52-$Q$87)^2+(R52-$R$87)^2+(S52-$S$87)^2+(T52-$T$87)^2+(U52-$U$87)^2+(V52-$V$87)^2+(W52-$W$87)^2+(X52-$X$87)^2+(Y52-$Y$87)^2+(Z52-$Z$87)^2+(AA52-$AA$87)^2+(AB52-$AB$87)^2+(AC52-$AC$87)^2+(AD52-$AD$87)^2+(AE52-$AE$87)^2+(AF52-$AF$87)^2+(AG52-$AG$87)^2)</f>
        <v>2.4452334585202014</v>
      </c>
      <c r="FI52" s="36" t="s">
        <v>138</v>
      </c>
      <c r="FJ52" s="37" t="s">
        <v>120</v>
      </c>
      <c r="FL52" s="44"/>
      <c r="FM52" s="36">
        <f>SQRT((A52-$A$88)^2+(B52-$B$88)^2+(C52-$C$88)^2+(D52-$D$88)^2+(E52-$E$88)^2+(F52-$F$88)^2+(G52-$G$88)^2+(H52-$H$88)^2+(I52-$I$88)^2+(J52-$J$88)^2+(K52-$K$88)^2+(L52-$L$88)^2+(M52-$M$88)^2+(N52-$N$88)^2+(O52-$O$88)^2+(P52-$P$88)^2+(Q52-$Q$88)^2+(R52-$R$88)^2+(S52-$S$88)^2+(T52-$T$88)^2+(U52-$U$88)^2+(V52-$V$88)^2+(W52-$W$88)^2+(X52-$X$88)^2+(Y52-$Y$88)^2+(Z52-$Z$88)^2+(AA52-$AA$88)^2+(AB52-$AB$88)^2+(AC52-$AC$88)^2+(AD52-$AD$88)^2+(AE52-$AE$88)^2+(AF52-$AF$88)^2+(AG52-$AG$88)^2)</f>
        <v>2.2323433212893606</v>
      </c>
      <c r="FN52" s="36" t="s">
        <v>333</v>
      </c>
      <c r="FO52" s="37" t="s">
        <v>120</v>
      </c>
      <c r="FQ52" s="44"/>
      <c r="FR52" s="36">
        <f>SQRT((A52-$A$89)^2+(B52-$B$89)^2+(C52-$C$89)^2+(D52-$D$89)^2+(E52-$E$89)^2+(F52-$F$89)^2+(G52-$G$89)^2+(H52-$H$89)^2+(I52-$I$89)^2+(J52-$J$89)^2+(K52-$K$89)^2+(L52-$L$89)^2+(M52-$M$89)^2+(N52-$N$89)^2+(O52-$O$89)^2+(P52-$P$89)^2+(Q52-$Q$89)^2+(R52-$R$89)^2+(S52-$S$89)^2+(T52-$T$89)^2+(U52-$U$89)^2+(V52-$V$89)^2+(W52-$W$89)^2+(X52-$X$89)^2+(Y52-$Y$89)^2+(Z52-$Z$89)^2+(AA52-$AA$89)^2+(AB52-$AB$89)^2+(AC52-$AC$89)^2+(AD52-$AD$89)^2+(AE52-$AE$89)^2+(AF52-$AF$89)^2+(AG52-$AG$89)^2)</f>
        <v>2.5111418385533963</v>
      </c>
      <c r="FS52" s="36" t="s">
        <v>124</v>
      </c>
      <c r="FT52" s="37" t="s">
        <v>120</v>
      </c>
      <c r="FV52" s="44"/>
      <c r="FW52" s="36">
        <f>SQRT((A52-$A$90)^2+(B52-$B$90)^2+(C52-$C$90)^2+(D52-$D$90)^2+(E52-$E$90)^2+(F52-$F$90)^2+(G52-$G$90)^2+(H52-$H$90)^2+(I52-$I$90)^2+(J52-$J$90)^2+(K52-$K$90)^2+(L52-$L$90)^2+(M52-$M$90)^2+(N52-$N$90)^2+(O52-$O$90)^2+(P52-$P$90)^2+(Q52-$Q$90)^2+(R52-$R$90)^2+(S52-$S$90)^2+(T52-$T$90)^2+(U52-$U$90)^2+(V52-$V$90)^2+(W52-$W$90)^2+(X52-$X$90)^2+(Y52-$Y$90)^2+(Z52-$Z$90)^2+(AA52-$AA$90)^2+(AB52-$AB$90)^2+(AC52-$AC$90)^2+(AD52-$AD$90)^2+(AE52-$AE$90)^2+(AF52-$AF$90)^2+(AG52-$AG$90)^2)</f>
        <v>2.0047859403603829</v>
      </c>
      <c r="FX52" s="36" t="s">
        <v>329</v>
      </c>
      <c r="FY52" s="37" t="s">
        <v>120</v>
      </c>
      <c r="GA52" s="44"/>
      <c r="GB52" s="36">
        <f>SQRT((A52-$A$91)^2+(B52-$B$91)^2+(C52-$C$91)^2+(D52-$D$91)^2+(E52-$E$91)^2+(F52-$F$91)^2+(G52-$G$91)^2+(H52-$H$91)^2+(I52-$I$91)^2+(J52-$J$91)^2+(K52-$K$91)^2+(L52-$L$91)^2+(M52-$M$91)^2+(N52-$N$91)^2+(O52-$O$91)^2+(P52-$P$91)^2+(Q52-$Q$91)^2+(R52-$R$91)^2+(S52-$S$91)^2+(T52-$T$91)^2+(U52-$U$91)^2+(V52-$V$91)^2+(W52-$W$91)^2+(X52-$X$91)^2+(Y52-$Y$91)^2+(Z52-$Z$91)^2+(AA52-$AA$91)^2+(AB52-$AB$91)^2+(AC52-$AC$91)^2+(AD52-$AD$91)^2+(AE52-$AE$91)^2+(AF52-$AF$91)^2+(AG52-$AG$91)^2)</f>
        <v>1.5365907428821477</v>
      </c>
      <c r="GC52" s="36" t="s">
        <v>327</v>
      </c>
      <c r="GD52" s="37" t="s">
        <v>120</v>
      </c>
      <c r="GF52" s="44"/>
      <c r="GG52" s="36">
        <f>SQRT((A52-$A$92)^2+(B52-$B$92)^2+(C52-$C$92)^2+(D52-$D$92)^2+(E52-$E$92)^2+(F52-$F$92)^2+(G52-$G$92)^2+(H52-$H$92)^2+(I52-$I$92)^2+(J52-$J$92)^2+(K52-$K$92)^2+(L52-$L$92)^2+(M52-$M$92)^2+(N52-$N$92)^2+(O52-$O$92)^2+(P52-$P$92)^2+(Q52-$Q$92)^2+(R52-$R$92)^2+(S52-$S$92)^2+(T52-$T$92)^2+(U52-$U$92)^2+(V52-$V$92)^2+(W52-$W$92)^2+(X52-$X$92)^2+(Y52-$Y$92)^2+(Z52-$Z$92)^2+(AA52-$AA$92)^2+(AB52-$AB$92)^2+(AC52-$AC$92)^2+(AD52-$AD$92)^2+(AE52-$AE$92)^2+(AF52-$AF$92)^2+(AG52-$AG$92)^2)</f>
        <v>2.485518285700119</v>
      </c>
      <c r="GH52" s="36" t="s">
        <v>136</v>
      </c>
      <c r="GI52" s="37" t="s">
        <v>120</v>
      </c>
      <c r="GK52" s="44"/>
      <c r="GL52" s="36">
        <f>SQRT((A52-$A$93)^2+(B52-$B$93)^2+(C52-$C$93)^2+(D52-$D$93)^2+(E52-$E$93)^2+(F52-$F$93)^2+(G52-$G$93)^2+(H52-$H$93)^2+(I52-$I$93)^2+(J52-$J$93)^2+(K52-$K$93)^2+(L52-$L$93)^2+(M52-$M$93)^2+(N52-$N$93)^2+(O52-$O$93)^2+(P52-$P$93)^2+(Q52-$Q$93)^2+(R52-$R$93)^2+(S52-$S$93)^2+(T52-$T$93)^2+(U52-$U$93)^2+(V52-$V$93)^2+(W52-$W$93)^2+(X52-$X$93)^2+(Y52-$Y$93)^2+(Z52-$Z$93)^2+(AA52-$AA$93)^2+(AB52-$AB$93)^2+(AC52-$AC$93)^2+(AD52-$AD$93)^2+(AE52-$AE$93)^2+(AF52-$AF$93)^2+(AG52-$AG$93)^2)</f>
        <v>1.7829438827088437</v>
      </c>
      <c r="GM52" s="36" t="s">
        <v>130</v>
      </c>
      <c r="GN52" s="37" t="s">
        <v>120</v>
      </c>
      <c r="GP52" s="44"/>
      <c r="GQ52" s="36">
        <f>SQRT((A52-$A$94)^2+(B52-$B$94)^2+(C52-$C$94)^2+(D52-$D$94)^2+(E52-$E$94)^2+(F52-$F$94)^2+(G52-$G$94)^2+(H52-$H$94)^2+(I52-$I$94)^2+(J52-$J$94)^2+(K52-$K$94)^2+(L52-$L$94)^2+(M52-$M$94)^2+(N52-$N$94)^2+(O52-$O$94)^2+(P52-$P$94)^2+(Q52-$Q$94)^2+(R52-$R$94)^2+(S52-$S$94)^2+(T52-$T$94)^2+(U52-$U$94)^2+(V52-$V$94)^2+(W52-$W$94)^2+(X52-$X$94)^2+(Y52-$Y$94)^2+(Z52-$Z$94)^2+(AA52-$AA$94)^2+(AB52-$AB$94)^2+(AC52-$AC$94)^2+(AD52-$AD$94)^2+(AE52-$AE$94)^2+(AF52-$AF$94)^2+(AG52-$AG$94)^2)</f>
        <v>2.6514911610302669</v>
      </c>
      <c r="GR52" s="36" t="s">
        <v>324</v>
      </c>
      <c r="GS52" s="37" t="s">
        <v>120</v>
      </c>
      <c r="GU52" s="44"/>
      <c r="GV52" s="36">
        <f>SQRT((A52-$A$95)^2+(B52-$B$95)^2+(C52-$C$95)^2+(D52-$D$95)^2+(E52-$E$95)^2+(F52-$F$95)^2+(G52-$G$95)^2+(H52-$H$95)^2+(I52-$I$95)^2+(J52-$J$95)^2+(K52-$K$95)^2+(L52-$L$95)^2+(M52-$M$95)^2+(N52-$N$95)^2+(O52-$O$95)^2+(P52-$P$95)^2+(Q52-$Q$95)^2+(R52-$R$95)^2+(S52-$S$95)^2+(T52-$T$95)^2+(U52-$U$95)^2+(V52-$V$95)^2+(W52-$W$95)^2+(X52-$X$95)^2+(Y52-$Y$95)^2+(Z52-$Z$95)^2+(AA52-$AA$95)^2+(AB52-$AB$95)^2+(AC52-$AC$95)^2+(AD52-$AD$95)^2+(AE52-$AE$95)^2+(AF52-$AF$95)^2+(AG52-$AG$95)^2)</f>
        <v>2.2912878474779199</v>
      </c>
      <c r="GW52" s="36" t="s">
        <v>141</v>
      </c>
      <c r="GX52" s="37" t="s">
        <v>120</v>
      </c>
      <c r="GZ52" s="44"/>
      <c r="HA52" s="36">
        <f>SQRT((A52-$A$96)^2+(B52-$B$96)^2+(C52-$C$96)^2+(D52-$D$96)^2+(E52-$E$96)^2+(F52-$F$96)^2+(G52-$G$96)^2+(H52-$H$96)^2+(I52-$I$96)^2+(J52-$J$96)^2+(K52-$K$96)^2+(L52-$L$96)^2+(M52-$M$96)^2+(N52-$N$96)^2+(O52-$O$96)^2+(P52-$P$96)^2+(Q52-$Q$96)^2+(R52-$R$96)^2+(S52-$S$96)^2+(T52-$T$96)^2+(U52-$U$96)^2+(V52-$V$96)^2+(W52-$W$96)^2+(X52-$X$96)^2+(Y52-$Y$96)^2+(Z52-$Z$96)^2+(AA52-$AA$96)^2+(AB52-$AB$96)^2+(AC52-$AC$96)^2+(AD52-$AD$96)^2+(AE52-$AE$96)^2+(AF52-$AF$96)^2+(AG52-$AG$96)^2)</f>
        <v>2.3596139043872788</v>
      </c>
      <c r="HB52" s="36" t="s">
        <v>323</v>
      </c>
      <c r="HC52" s="37" t="s">
        <v>120</v>
      </c>
      <c r="HE52" s="44"/>
      <c r="HF52" s="36">
        <f>SQRT((A52-$A$97)^2+(B52-$B$97)^2+(C52-$C$97)^2+(D52-$D$97)^2+(E52-$E$97)^2+(F52-$F$97)^2+(G52-$G$97)^2+(H52-$H$97)^2+(I52-$I$97)^2+(J52-$J$97)^2+(K52-$K$97)^2+(L52-$L$97)^2+(M52-$M$97)^2+(N52-$N$97)^2+(O52-$O$97)^2+(P52-$P$97)^2+(Q52-$Q$97)^2+(R52-$R$97)^2+(S52-$S$97)^2+(T52-$T$97)^2+(U52-$U$97)^2+(V52-$V$97)^2+(W52-$W$97)^2+(X52-$X$97)^2+(Y52-$Y$97)^2+(Z52-$Z$97)^2+(AA52-$AA$97)^2+(AB52-$AB$97)^2+(AC52-$AC$97)^2+(AD52-$AD$97)^2+(AE52-$AE$97)^2+(AF52-$AF$97)^2+(AG52-$AG$97)^2)</f>
        <v>1.9981441013815551</v>
      </c>
      <c r="HG52" s="36" t="s">
        <v>136</v>
      </c>
      <c r="HH52" s="37" t="s">
        <v>120</v>
      </c>
      <c r="HJ52" s="44"/>
      <c r="HK52" s="36">
        <f>SQRT((A52-$A$98)^2+(B52-$B$98)^2+(C52-$C$98)^2+(D52-$D$98)^2+(E52-$E$98)^2+(F52-$F$98)^2+(G52-$G$98)^2+(H52-$H$98)^2+(I52-$I$98)^2+(J52-$J$98)^2+(K52-$K$98)^2+(L52-$L$98)^2+(M52-$M$98)^2+(N52-$N$98)^2+(O52-$O$98)^2+(P52-$P$98)^2+(Q52-$Q$98)^2+(R52-$R$98)^2+(S52-$S$98)^2+(T52-$T$98)^2+(U52-$U$98)^2+(V52-$V$98)^2+(W52-$W$98)^2+(X52-$X$98)^2+(Y52-$Y$98)^2+(Z52-$Z$98)^2+(AA52-$AA$98)^2+(AB52-$AB$98)^2+(AC52-$AC$98)^2+(AD52-$AD$98)^2+(AE52-$AE$98)^2+(AF52-$AF$98)^2+(AG52-$AG$98)^2)</f>
        <v>1.9981441013815551</v>
      </c>
      <c r="HL52" s="36" t="s">
        <v>136</v>
      </c>
      <c r="HM52" s="37" t="s">
        <v>120</v>
      </c>
      <c r="HO52" s="44"/>
      <c r="HP52" s="36">
        <f>SQRT((A52-$A$99)^2+(B52-$B$99)^2+(C52-$C$99)^2+(D52-$D$99)^2+(E52-$E$99)^2+(F52-$F$99)^2+(G52-$G$99)^2+(H52-$H$99)^2+(I52-$I$99)^2+(J52-$J$99)^2+(K52-$K$99)^2+(L52-$L$99)^2+(M52-$M$99)^2+(N52-$N$99)^2+(O52-$O$99)^2+(P52-$P$99)^2+(Q52-$Q$99)^2+(R52-$R$99)^2+(S52-$S$99)^2+(T52-$T$99)^2+(U52-$U$99)^2+(V52-$V$99)^2+(W52-$W$99)^2+(X52-$X$99)^2+(Y52-$Y$99)^2+(Z52-$Z$99)^2+(AA52-$AA$99)^2+(AB52-$AB$99)^2+(AC52-$AC$99)^2+(AD52-$AD$99)^2+(AE52-$AE$99)^2+(AF52-$AF$99)^2+(AG52-$AG$99)^2)</f>
        <v>1.9981441013815551</v>
      </c>
      <c r="HQ52" s="36" t="s">
        <v>136</v>
      </c>
      <c r="HR52" s="37" t="s">
        <v>120</v>
      </c>
      <c r="HT52" s="44"/>
      <c r="HU52" s="36">
        <f>SQRT((A52-$A$100)^2+(B52-$B$100)^2+(C52-$C$100)^2+(D52-$D$100)^2+(E52-$E$100)^2+(F52-$F$100)^2+(G52-$G$100)^2+(H52-$H$100)^2+(I52-$I$100)^2+(J52-$J$100)^2+(K52-$K$100)^2+(L52-$L$100)^2+(M52-$M$100)^2+(N52-$N$100)^2+(O52-$O$100)^2+(P52-$P$100)^2+(Q52-$Q$100)^2+(R52-$R$100)^2+(S52-$S$100)^2+(T52-$T$100)^2+(U52-$U$100)^2+(V52-$V$100)^2+(W52-$W$100)^2+(X52-$X$100)^2+(Y52-$Y$100)^2+(Z52-$Z$100)^2+(AA52-$AA$100)^2+(AB52-$AB$100)^2+(AC52-$AC$100)^2+(AD52-$AD$100)^2+(AE52-$AE$100)^2+(AF52-$AF$100)^2+(AG52-$AG$100)^2)</f>
        <v>1.9981441013815551</v>
      </c>
      <c r="HV52" s="36" t="s">
        <v>136</v>
      </c>
      <c r="HW52" s="37" t="s">
        <v>120</v>
      </c>
      <c r="HY52" s="44"/>
      <c r="HZ52" s="36">
        <f>SQRT((A52-$A$101)^2+(B52-$B$101)^2+(C52-$C$101)^2+(D52-$D$101)^2+(E52-$E$101)^2+(F52-$F$101)^2+(G52-$G$101)^2+(H52-$H$101)^2+(I52-$I$101)^2+(J52-$J$101)^2+(K52-$K$101)^2+(L52-$L$101)^2+(M52-$M$101)^2+(N52-$N$101)^2+(O52-$O$101)^2+(P52-$P$101)^2+(Q52-$Q$101)^2+(R52-$R$101)^2+(S52-$S$101)^2+(T52-$T$101)^2+(U52-$U$101)^2+(V52-$V$101)^2+(W52-$W$101)^2+(X52-$X$101)^2+(Y52-$Y$101)^2+(Z52-$Z$101)^2+(AA52-$AA$101)^2+(AB52-$AB$101)^2+(AC52-$AC$101)^2+(AD52-$AD$101)^2+(AE52-$AE$101)^2+(AF52-$AF$101)^2+(AG52-$AG$101)^2)</f>
        <v>2.4843957458952106</v>
      </c>
      <c r="IA52" s="36" t="s">
        <v>313</v>
      </c>
      <c r="IB52" s="37" t="s">
        <v>120</v>
      </c>
    </row>
    <row r="53" spans="1:236" x14ac:dyDescent="0.35">
      <c r="A53" s="2">
        <v>0.66666666666666596</v>
      </c>
      <c r="B53" s="2">
        <v>0.5</v>
      </c>
      <c r="C53" s="2">
        <v>0.23899371069182301</v>
      </c>
      <c r="D53" s="2">
        <v>0</v>
      </c>
      <c r="E53" s="2">
        <v>0</v>
      </c>
      <c r="F53" s="2">
        <v>1</v>
      </c>
      <c r="G53" s="2">
        <v>0.55555555555555503</v>
      </c>
      <c r="H53" s="2">
        <v>1</v>
      </c>
      <c r="I53" s="2">
        <v>0.5</v>
      </c>
      <c r="J53" s="2">
        <v>0</v>
      </c>
      <c r="K53" s="2">
        <v>0</v>
      </c>
      <c r="L53" s="2">
        <v>0.2</v>
      </c>
      <c r="M53" s="2">
        <v>1</v>
      </c>
      <c r="N53" s="2">
        <v>0</v>
      </c>
      <c r="O53" s="2">
        <v>0</v>
      </c>
      <c r="P53" s="2">
        <v>0.4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0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0.19565217391304299</v>
      </c>
      <c r="AH53" s="2" t="s">
        <v>120</v>
      </c>
      <c r="AI53" s="42"/>
      <c r="AJ53" s="42"/>
      <c r="AL53" s="44"/>
      <c r="AM53" s="36">
        <f>SQRT((A53-$A$62)^2+(B53-$B$62)^2+(C53-$C$62)^2+(D53-$D$62)^2+(E53-$E$62)^2+(F53-$F$62)^2+(G53-$G$62)^2+(H53-$H$62)^2+(I53-$I$62)^2+(J53-$J$62)^2+(K53-$K$62)^2+(L53-$L$62)^2+(M53-$M$62)^2+(N53-$N$62)^2+(O53-$O$62)^2+(P53-$P$62)^2+(Q53-$Q$62)^2+(R53-$R$62)^2+(S53-$S$62)^2+(T53-$T$62)^2+(U53-$U$62)^2+(V53-$V$62)^2+(W53-$W$62)^2+(X53-$X$62)^2+(Y53-$Y$62)^2+(Z53-$Z$62)^2+(AA53-$AA$62)^2+(AB53-$AB$62)^2+(AC53-$AC$62)^2+(AD53-$AD$62)^2+(AE53-$AE$62)^2+(AF53-$AF$62)^2+(AG53-$AG$62)^2)</f>
        <v>1.8158902817446927</v>
      </c>
      <c r="AN53" s="36" t="s">
        <v>147</v>
      </c>
      <c r="AO53" s="37" t="s">
        <v>120</v>
      </c>
      <c r="AQ53" s="44"/>
      <c r="AR53" s="36">
        <f>SQRT((A53-$A$63)^2+(B53-$B$63)^2+(C53-$C$63)^2+(D53-$D$63)^2+(E53-$E$63)^2+(F53-$F$63)^2+(G53-$G$63)^2+(H53-$H$63)^2+(I53-$I$63)^2+(J53-$J$63)^2+(K53-$K$63)^2+(L53-$L$63)^2+(M53-$M$63)^2+(N53-$N$63)^2+(O53-$O$63)^2+(P53-$P$63)^2+(Q53-$Q$63)^2+(R53-$R$63)^2+(S53-$S$63)^2+(T53-$T$63)^2+(U53-$U$63)^2+(V53-$V$63)^2+(W53-$W$63)^2+(X53-$X$63)^2+(Y53-$Y$63)^2+(Z53-$Z$63)^2+(AA53-$AA$63)^2+(AB53-$AB$63)^2+(AC53-$AC$63)^2+(AD53-$AD$63)^2+(AE53-$AE$63)^2+(AF53-$AF$63)^2+(AG53-$AG$63)^2)</f>
        <v>1.1467591199175291</v>
      </c>
      <c r="AS53" s="36" t="s">
        <v>144</v>
      </c>
      <c r="AT53" s="37" t="s">
        <v>120</v>
      </c>
      <c r="AV53" s="44"/>
      <c r="AW53" s="36">
        <f>SQRT((A53-$A$64)^2+(B53-$B$64)^2+(C53-$C$64)^2+(D53-$D$64)^2+(E53-$E$64)^2+(F53-$F$64)^2+(G53-$G$64)^2+(H53-$H$64)^2+(I53-$I$64)^2+(J53-$J$64)^2+(K53-$K$64)^2+(L53-$L$64)^2+(M53-$M$64)^2+(N53-$N$64)^2+(O53-$O$64)^2+(P53-$P$64)^2+(Q53-$Q$64)^2+(R53-$R$64)^2+(S53-$S$64)^2+(T53-$T$64)^2+(U53-$U$64)^2+(V53-$V$64)^2+(W53-$W$64)^2+(X53-$X$64)^2+(Y53-$Y$64)^2+(Z53-$Z$64)^2+(AA53-$AA$64)^2+(AB53-$AB$64)^2+(AC53-$AC$64)^2+(AD53-$AD$64)^2+(AE53-$AE$64)^2+(AF53-$AF$64)^2+(AG53-$AG$64)^2)</f>
        <v>1.1467591199175291</v>
      </c>
      <c r="AX53" s="36" t="s">
        <v>144</v>
      </c>
      <c r="AY53" s="37" t="s">
        <v>120</v>
      </c>
      <c r="BA53" s="44"/>
      <c r="BB53" s="36">
        <f>SQRT((A53-$A$65)^2+(B53-$B$65)^2+(C53-$C$65)^2+(D53-$D$65)^2+(E53-$E$65)^2+(F53-$F$65)^2+(G53-$G$65)^2+(H53-$H$65)^2+(I53-$I$65)^2+(J53-$J$65)^2+(K53-$K$65)^2+(L53-$L$65)^2+(M53-$M$65)^2+(N53-$N$65)^2+(O53-$O$65)^2+(P53-$P$65)^2+(Q53-$Q$65)^2+(R53-$R$65)^2+(S53-$S$65)^2+(T53-$T$65)^2+(U53-$U$65)^2+(V53-$V$65)^2+(W53-$W$65)^2+(X53-$X$65)^2+(Y53-$Y$65)^2+(Z53-$Z$65)^2+(AA53-$AA$65)^2+(AB53-$AB$65)^2+(AC53-$AC$65)^2+(AD53-$AD$65)^2+(AE53-$AE$65)^2+(AF53-$AF$65)^2+(AG53-$AG$65)^2)</f>
        <v>1.1467591199175291</v>
      </c>
      <c r="BC53" s="36" t="s">
        <v>144</v>
      </c>
      <c r="BD53" s="37" t="s">
        <v>120</v>
      </c>
      <c r="BF53" s="44"/>
      <c r="BG53" s="36">
        <f>SQRT((A53-$A$66)^2+(B53-$B$66)^2+(C53-$C$66)^2+(D53-$D$66)^2+(E53-$E$66)^2+(F53-$F$66)^2+(G53-$G$66)^2+(H53-$H$66)^2+(I53-$I$66)^2+(J53-$J$66)^2+(K53-$K$66)^2+(L53-$L$66)^2+(M53-$M$66)^2+(N53-$N$66)^2+(O53-$O$66)^2+(P53-$P$66)^2+(Q53-$Q$66)^2+(R53-$R$66)^2+(S53-$S$66)^2+(T53-$T$66)^2+(U53-$U$66)^2+(V53-$V$66)^2+(W53-$W$66)^2+(X53-$X$66)^2+(Y53-$Y$66)^2+(Z53-$Z$66)^2+(AA53-$AA$66)^2+(AB53-$AB$66)^2+(AC53-$AC$66)^2+(AD53-$AD$66)^2+(AE53-$AE$66)^2+(AF53-$AF$66)^2+(AG53-$AG$66)^2)</f>
        <v>1.1467591199175291</v>
      </c>
      <c r="BH53" s="36" t="s">
        <v>144</v>
      </c>
      <c r="BI53" s="37" t="s">
        <v>120</v>
      </c>
      <c r="BK53" s="44"/>
      <c r="BL53" s="36">
        <f>SQRT((A53-$A$67)^2+(B53-$B$67)^2+(C53-$C$67)^2+(D53-$D$67)^2+(E53-$E$67)^2+(F53-$F$67)^2+(G53-$G$67)^2+(H53-$H$67)^2+(I53-$I$67)^2+(J53-$J$67)^2+(K53-$K$67)^2+(L53-$L$67)^2+(M53-$M$67)^2+(N53-$N$67)^2+(O53-$O$67)^2+(P53-$P$67)^2+(Q53-$Q$67)^2+(R53-$R$67)^2+(S53-$S$67)^2+(T53-$T$67)^2+(U53-$U$67)^2+(V53-$V$67)^2+(W53-$W$67)^2+(X53-$X$67)^2+(Y53-$Y$67)^2+(Z53-$Z$67)^2+(AA53-$AA$67)^2+(AB53-$AB$67)^2+(AC53-$AC$67)^2+(AD53-$AD$67)^2+(AE53-$AE$67)^2+(AF53-$AF$67)^2+(AG53-$AG$67)^2)</f>
        <v>1.1467591199175291</v>
      </c>
      <c r="BM53" s="36" t="s">
        <v>144</v>
      </c>
      <c r="BN53" s="37" t="s">
        <v>120</v>
      </c>
      <c r="BP53" s="44"/>
      <c r="BQ53" s="36">
        <f>SQRT((A53-$A$68)^2+(B53-$B$68)^2+(C53-$C$68)^2+(D53-$D$68)^2+(E53-$E$68)^2+(F53-$F$68)^2+(G53-$G$68)^2+(H53-$H$68)^2+(I53-$I$68)^2+(J53-$J$68)^2+(K53-$K$68)^2+(L53-$L$68)^2+(M53-$M$68)^2+(N53-$N$68)^2+(O53-$O$68)^2+(P53-$P$68)^2+(Q53-$Q$68)^2+(R53-$R$68)^2+(S53-$S$68)^2+(T53-$T$68)^2+(U53-$U$68)^2+(V53-$V$68)^2+(W53-$W$68)^2+(X53-$X$68)^2+(Y53-$Y$68)^2+(Z53-$Z$68)^2+(AA53-$AA$68)^2+(AB53-$AB$68)^2+(AC53-$AC$68)^2+(AD53-$AD$68)^2+(AE53-$AE$68)^2+(AF53-$AF$68)^2+(AG53-$AG$68)^2)</f>
        <v>1.1467591199175291</v>
      </c>
      <c r="BR53" s="36" t="s">
        <v>144</v>
      </c>
      <c r="BS53" s="37" t="s">
        <v>120</v>
      </c>
      <c r="BU53" s="44"/>
      <c r="BV53" s="36">
        <f>SQRT((A53-$A$69)^2+(B53-$B$69)^2+(C53-$C$69)^2+(D53-$D$69)^2+(E53-$E$69)^2+(F53-$F$69)^2+(G53-$G$69)^2+(H53-$H$69)^2+(I53-$I$69)^2+(J53-$J$69)^2+(K53-$K$69)^2+(L53-$L$69)^2+(M53-$M$69)^2+(N53-$N$69)^2+(O53-$O$69)^2+(P53-$P$69)^2+(Q53-$Q$69)^2+(R53-$R$69)^2+(S53-$S$69)^2+(T53-$T$69)^2+(U53-$U$69)^2+(V53-$V$69)^2+(W53-$W$69)^2+(X53-$X$69)^2+(Y53-$Y$69)^2+(Z53-$Z$69)^2+(AA53-$AA$69)^2+(AB53-$AB$69)^2+(AC53-$AC$69)^2+(AD53-$AD$69)^2+(AE53-$AE$69)^2+(AF53-$AF$69)^2+(AG53-$AG$69)^2)</f>
        <v>2.3235710251893211</v>
      </c>
      <c r="BW53" s="36" t="s">
        <v>123</v>
      </c>
      <c r="BX53" s="37" t="s">
        <v>120</v>
      </c>
      <c r="BZ53" s="44"/>
      <c r="CA53" s="36">
        <f>SQRT((A53-$A$70)^2+(B53-$B$70)^2+(C53-$C$70)^2+(D53-$D$70)^2+(E53-$E$70)^2+(F53-$F$70)^2+(G53-$G$70)^2+(H53-$H$70)^2+(I53-$I$70)^2+(J53-$J$70)^2+(K53-$K$70)^2+(L53-$L$70)^2+(M53-$M$70)^2+(N53-$N$70)^2+(O53-$O$70)^2+(P53-$P$70)^2+(Q53-$Q$70)^2+(R53-$R$70)^2+(S53-$S$70)^2+(T53-$T$70)^2+(U53-$U$70)^2+(V53-$V$70)^2+(W53-$W$70)^2+(X53-$X$70)^2+(Y53-$Y$70)^2+(Z53-$Z$70)^2+(AA53-$AA$70)^2+(AB53-$AB$70)^2+(AC53-$AC$70)^2+(AD53-$AD$70)^2+(AE53-$AE$70)^2+(AF53-$AF$70)^2+(AG53-$AG$70)^2)</f>
        <v>0.87002554240921204</v>
      </c>
      <c r="CB53" s="36" t="s">
        <v>315</v>
      </c>
      <c r="CC53" s="37" t="s">
        <v>120</v>
      </c>
      <c r="CE53" s="44"/>
      <c r="CF53" s="36">
        <f>SQRT((A53-$A$71)^2+(B53-$B$71)^2+(C53-$C$71)^2+(D53-$D$71)^2+(E53-$E$71)^2+(F53-$F$71)^2+(G53-$G$71)^2+(H53-$H$71)^2+(I53-$I$71)^2+(J53-$J$71)^2+(K53-$K$71)^2+(L53-$L$71)^2+(M53-$M$71)^2+(N53-$N$71)^2+(O53-$O$71)^2+(P53-$P$71)^2+(Q53-$Q$71)^2+(R53-$R$71)^2+(S53-$S$71)^2+(T53-$T$71)^2+(U53-$U$71)^2+(V53-$V$71)^2+(W53-$W$71)^2+(X53-$X$71)^2+(Y53-$Y$71)^2+(Z53-$Z$71)^2+(AA53-$AA$71)^2+(AB53-$AB$71)^2+(AC53-$AC$71)^2+(AD53-$AD$71)^2+(AE53-$AE$71)^2+(AF53-$AF$71)^2+(AG53-$AG$71)^2)</f>
        <v>1.3123346456686347</v>
      </c>
      <c r="CG53" s="36" t="s">
        <v>123</v>
      </c>
      <c r="CH53" s="37" t="s">
        <v>120</v>
      </c>
      <c r="CJ53" s="44"/>
      <c r="CK53" s="36">
        <f>SQRT((A53-$A$72)^2+(B53-$B$72)^2+(C53-$C$72)^2+(D53-$D$72)^2+(E53-$E$72)^2+(F53-$F$72)^2+(G53-$G$72)^2+(H53-$H$72)^2+(I53-$I$72)^2+(J53-$J$72)^2+(K53-$K$72)^2+(L53-$L$72)^2+(M53-$M$72)^2+(N53-$N$72)^2+(O53-$O$72)^2+(P53-$P$72)^2+(Q53-$Q$72)^2+(R53-$R$72)^2+(S53-$S$72)^2+(T53-$T$72)^2+(U53-$U$72)^2+(V53-$V$72)^2+(W53-$W$72)^2+(X53-$X$72)^2+(Y53-$Y$72)^2+(Z53-$Z$72)^2+(AA53-$AA$72)^2+(AB53-$AB$72)^2+(AC53-$AC$72)^2+(AD53-$AD$72)^2+(AE53-$AE$72)^2+(AF53-$AF$72)^2+(AG53-$AG$72)^2)</f>
        <v>1.1510194086167034</v>
      </c>
      <c r="CL53" s="36" t="s">
        <v>134</v>
      </c>
      <c r="CM53" s="37" t="s">
        <v>120</v>
      </c>
      <c r="CO53" s="44"/>
      <c r="CP53" s="36">
        <f>SQRT((A53-$A$73)^2+(B53-$B$73)^2+(C53-$C$73)^2+(D53-$D$73)^2+(E53-$E$73)^2+(F53-$F$73)^2+(G53-$G$73)^2+(H53-$H$73)^2+(I53-$I$73)^2+(J53-$J$73)^2+(K53-$K$73)^2+(L53-$L$73)^2+(M53-$M$73)^2+(N53-$N$73)^2+(O53-$O$73)^2+(P53-$P$73)^2+(Q53-$Q$73)^2+(R53-$R$73)^2+(S53-$S$73)^2+(T53-$T$73)^2+(U53-$U$73)^2+(V53-$V$73)^2+(W53-$W$73)^2+(X53-$X$73)^2+(Y53-$Y$73)^2+(Z53-$Z$73)^2+(AA53-$AA$73)^2+(AB53-$AB$73)^2+(AC53-$AC$73)^2+(AD53-$AD$73)^2+(AE53-$AE$73)^2+(AF53-$AF$73)^2+(AG53-$AG$73)^2)</f>
        <v>1.2904399610646737</v>
      </c>
      <c r="CQ53" s="36" t="s">
        <v>329</v>
      </c>
      <c r="CR53" s="37" t="s">
        <v>120</v>
      </c>
      <c r="CT53" s="44"/>
      <c r="CU53" s="36">
        <f>SQRT((A53-$A$74)^2+(B53-$B$74)^2+(C53-$C$74)^2+(D53-$D$74)^2+(E53-$E$74)^2+(F53-$F$74)^2+(G53-$G$74)^2+(H53-$H$74)^2+(I53-$I$74)^2+(J53-$J$74)^2+(K53-$K$74)^2+(L53-$L$74)^2+(M53-$M$74)^2+(N53-$N$74)^2+(O53-$O$74)^2+(P53-$P$74)^2+(Q53-$Q$74)^2+(R53-$R$74)^2+(S53-$S$74)^2+(T53-$T$74)^2+(U53-$U$74)^2+(V53-$V$74)^2+(W53-$W$74)^2+(X53-$X$74)^2+(Y53-$Y$74)^2+(Z53-$Z$74)^2+(AA53-$AA$74)^2+(AB53-$AB$74)^2+(AC53-$AC$74)^2+(AD53-$AD$74)^2+(AE53-$AE$74)^2+(AF53-$AF$74)^2+(AG53-$AG$74)^2)</f>
        <v>1.6192288163750246</v>
      </c>
      <c r="CV53" s="36" t="s">
        <v>139</v>
      </c>
      <c r="CW53" s="37" t="s">
        <v>120</v>
      </c>
      <c r="CY53" s="44"/>
      <c r="CZ53" s="36">
        <f>SQRT((A53-$A$75)^2+(B53-$B$75)^2+(C53-$C$75)^2+(D53-$D$75)^2+(E53-$E$75)^2+(F53-$F$75)^2+(G53-$G$75)^2+(H53-$H$75)^2+(I53-$I$75)^2+(J53-$J$75)^2+(K53-$K$75)^2+(L53-$L$75)^2+(M53-$M$75)^2+(N53-$N$75)^2+(O53-$O$75)^2+(P53-$P$75)^2+(Q53-$Q$75)^2+(R53-$R$75)^2+(S53-$S$75)^2+(T53-$T$75)^2+(U53-$U$75)^2+(V53-$V$75)^2+(W53-$W$75)^2+(X53-$X$75)^2+(Y53-$Y$75)^2+(Z53-$Z$75)^2+(AA53-$AA$75)^2+(AB53-$AB$75)^2+(AC53-$AC$75)^2+(AD53-$AD$75)^2+(AE53-$AE$75)^2+(AF53-$AF$75)^2+(AG53-$AG$75)^2)</f>
        <v>1.6745519346982003</v>
      </c>
      <c r="DA53" s="36" t="s">
        <v>339</v>
      </c>
      <c r="DB53" s="37" t="s">
        <v>120</v>
      </c>
      <c r="DD53" s="44"/>
      <c r="DE53" s="36">
        <f>SQRT((A53-$A$76)^2+(B53-$B$76)^2+(C53-$C$76)^2+(D53-$D$76)^2+(E53-$E$76)^2+(F53-$F$76)^2+(G53-$G$76)^2+(H53-$H$76)^2+(I53-$I$76)^2+(J53-$J$76)^2+(K53-$K$76)^2+(L53-$L$76)^2+(M53-$M$76)^2+(N53-$N$76)^2+(O53-$O$76)^2+(P53-$P$76)^2+(Q53-$Q$76)^2+(R53-$R$76)^2+(S53-$S$76)^2+(T53-$T$76)^2+(U53-$U$76)^2+(V53-$V$76)^2+(W53-$W$76)^2+(X53-$X$76)^2+(Y53-$Y$76)^2+(Z53-$Z$76)^2+(AA53-$AA$76)^2+(AB53-$AB$76)^2+(AC53-$AC$76)^2+(AD53-$AD$76)^2+(AE53-$AE$76)^2+(AF53-$AF$76)^2+(AG53-$AG$76)^2)</f>
        <v>1.2291423223809979</v>
      </c>
      <c r="DF53" s="36" t="s">
        <v>123</v>
      </c>
      <c r="DG53" s="37" t="s">
        <v>120</v>
      </c>
      <c r="DI53" s="44"/>
      <c r="DJ53" s="36">
        <f>SQRT((A53-$A$77)^2+(B53-$B$77)^2+(C53-$C$77)^2+(D53-$D$77)^2+(E53-$E$77)^2+(F53-$F$77)^2+(G53-$G$77)^2+(H53-$H$77)^2+(I53-$I$77)^2+(J53-$J$77)^2+(K53-$K$77)^2+(L53-$L$77)^2+(M53-$M$77)^2+(N53-$N$77)^2+(O53-$O$77)^2+(P53-$P$77)^2+(Q53-$Q$77)^2+(R53-$R$77)^2+(S53-$S$77)^2+(T53-$T$77)^2+(U53-$U$77)^2+(V53-$V$77)^2+(W53-$W$77)^2+(X53-$X$77)^2+(Y53-$Y$77)^2+(Z53-$Z$77)^2+(AA53-$AA$77)^2+(AB53-$AB$77)^2+(AC53-$AC$77)^2+(AD53-$AD$77)^2+(AE53-$AE$77)^2+(AF53-$AF$77)^2+(AG53-$AG$77)^2)</f>
        <v>1.9665732494680945</v>
      </c>
      <c r="DK53" s="36" t="s">
        <v>142</v>
      </c>
      <c r="DL53" s="37" t="s">
        <v>120</v>
      </c>
      <c r="DN53" s="44"/>
      <c r="DO53" s="36">
        <f>SQRT((A53-$A$78)^2+(B53-$B$78)^2+(C53-$C$78)^2+(D53-$D$78)^2+(E53-$E$78)^2+(F53-$F$78)^2+(G53-$G$78)^2+(H53-$H$78)^2+(I53-$I$78)^2+(J53-$J$78)^2+(K53-$K$78)^2+(L53-$L$78)^2+(M53-$M$78)^2+(N53-$N$78)^2+(O53-$O$78)^2+(P53-$P$78)^2+(Q53-$Q$78)^2+(R53-$R$78)^2+(S53-$S$78)^2+(T53-$T$78)^2+(U53-$U$78)^2+(V53-$V$78)^2+(W53-$W$78)^2+(X53-$X$78)^2+(Y53-$Y$78)^2+(Z53-$Z$78)^2+(AA53-$AA$78)^2+(AB53-$AB$78)^2+(AC53-$AC$78)^2+(AD53-$AD$78)^2+(AE53-$AE$78)^2+(AF53-$AF$78)^2+(AG53-$AG$78)^2)</f>
        <v>1.0007809141838639</v>
      </c>
      <c r="DP53" s="36" t="s">
        <v>136</v>
      </c>
      <c r="DQ53" s="37" t="s">
        <v>120</v>
      </c>
      <c r="DS53" s="44"/>
      <c r="DT53" s="36">
        <f>SQRT((A53-$A$79)^2+(B53-$B$79)^2+(C53-$C$79)^2+(D53-$D$79)^2+(E53-$E$79)^2+(F53-$F$79)^2+(G53-$G$79)^2+(H53-$H$79)^2+(I53-$I$79)^2+(J53-$J$79)^2+(K53-$K$79)^2+(L53-$L$79)^2+(M53-$M$79)^2+(N53-$N$79)^2+(O53-$O$79)^2+(P53-$P$79)^2+(Q53-$Q$79)^2+(R53-$R$79)^2+(S53-$S$79)^2+(T53-$T$79)^2+(U53-$U$79)^2+(V53-$V$79)^2+(W53-$W$79)^2+(X53-$X$79)^2+(Y53-$Y$79)^2+(Z53-$Z$79)^2+(AA53-$AA$79)^2+(AB53-$AB$79)^2+(AC53-$AC$79)^2+(AD53-$AD$79)^2+(AE53-$AE$79)^2+(AF53-$AF$79)^2+(AG53-$AG$79)^2)</f>
        <v>1.3023568315377754</v>
      </c>
      <c r="DU53" s="36" t="s">
        <v>123</v>
      </c>
      <c r="DV53" s="37" t="s">
        <v>120</v>
      </c>
      <c r="DX53" s="44"/>
      <c r="DY53" s="36">
        <f>SQRT((A53-$A$80)^2+(B53-$B$80)^2+(C53-$C$80)^2+(D53-$D$80)^2+(E53-$E$80)^2+(F53-$F$80)^2+(G53-$G$80)^2+(H53-$H$80)^2+(I53-$I$80)^2+(J53-$J$80)^2+(K53-$K$80)^2+(L53-$L$80)^2+(M53-$M$80)^2+(N53-$N$80)^2+(O53-$O$80)^2+(P53-$P$80)^2+(Q53-$Q$80)^2+(R53-$R$80)^2+(S53-$S$80)^2+(T53-$T$80)^2+(U53-$U$80)^2+(V53-$V$80)^2+(W53-$W$80)^2+(X53-$X$80)^2+(Y53-$Y$80)^2+(Z53-$Z$80)^2+(AA53-$AA$80)^2+(AB53-$AB$80)^2+(AC53-$AC$80)^2+(AD53-$AD$80)^2+(AE53-$AE$80)^2+(AF53-$AF$80)^2+(AG53-$AG$80)^2)</f>
        <v>1.9248987747704025</v>
      </c>
      <c r="DZ53" s="36" t="s">
        <v>317</v>
      </c>
      <c r="EA53" s="37" t="s">
        <v>120</v>
      </c>
      <c r="EC53" s="44"/>
      <c r="ED53" s="36">
        <f>SQRT((A53-$A$81)^2+(B53-$B$81)^2+(C53-$C$81)^2+(D53-$D$81)^2+(E53-$E$81)^2+(F53-$F$81)^2+(G53-$G$81)^2+(H53-$H$81)^2+(I53-$I$81)^2+(J53-$J$81)^2+(K53-$K$81)^2+(L53-$L$81)^2+(M53-$M$81)^2+(N53-$N$81)^2+(O53-$O$81)^2+(P53-$P$81)^2+(Q53-$Q$81)^2+(R53-$R$81)^2+(S53-$S$81)^2+(T53-$T$81)^2+(U53-$U$81)^2+(V53-$V$81)^2+(W53-$W$81)^2+(X53-$X$81)^2+(Y53-$Y$81)^2+(Z53-$Z$81)^2+(AA53-$AA$81)^2+(AB53-$AB$81)^2+(AC53-$AC$81)^2+(AD53-$AD$81)^2+(AE53-$AE$81)^2+(AF53-$AF$81)^2+(AG53-$AG$81)^2)</f>
        <v>1.9750831178618031</v>
      </c>
      <c r="EE53" s="36" t="s">
        <v>317</v>
      </c>
      <c r="EF53" s="37" t="s">
        <v>120</v>
      </c>
      <c r="EH53" s="44"/>
      <c r="EI53" s="36">
        <f>SQRT((A53-$A$82)^2+(B53-$B$82)^2+(C53-$C$82)^2+(D53-$D$82)^2+(E53-$E$82)^2+(F53-$F$82)^2+(G53-$G$82)^2+(H53-$H$82)^2+(I53-$I$82)^2+(J53-$J$82)^2+(K53-$K$82)^2+(L53-$L$82)^2+(M53-$M$82)^2+(N53-$N$82)^2+(O53-$O$82)^2+(P53-$P$82)^2+(Q53-$Q$82)^2+(R53-$R$82)^2+(S53-$S$82)^2+(T53-$T$82)^2+(U53-$U$82)^2+(V53-$V$82)^2+(W53-$W$82)^2+(X53-$X$82)^2+(Y53-$Y$82)^2+(Z53-$Z$82)^2+(AA53-$AA$82)^2+(AB53-$AB$82)^2+(AC53-$AC$82)^2+(AD53-$AD$82)^2+(AE53-$AE$82)^2+(AF53-$AF$82)^2+(AG53-$AG$82)^2)</f>
        <v>1.4749802137882417</v>
      </c>
      <c r="EJ53" s="36" t="s">
        <v>324</v>
      </c>
      <c r="EK53" s="37" t="s">
        <v>120</v>
      </c>
      <c r="EM53" s="44"/>
      <c r="EN53" s="36">
        <f>SQRT((A53-$A$83)^2+(B53-$B$83)^2+(C53-$C$83)^2+(D53-$D$83)^2+(E53-$E$83)^2+(F53-$F$83)^2+(G53-$G$83)^2+(H53-$H$83)^2+(I53-$I$83)^2+(J53-$J$83)^2+(K53-$K$83)^2+(L53-$L$83)^2+(M53-$M$83)^2+(N53-$N$83)^2+(O53-$O$83)^2+(P53-$P$83)^2+(Q53-$Q$83)^2+(R53-$R$83)^2+(S53-$S$83)^2+(T53-$T$83)^2+(U53-$U$83)^2+(V53-$V$83)^2+(W53-$W$83)^2+(X53-$X$83)^2+(Y53-$Y$83)^2+(Z53-$Z$83)^2+(AA53-$AA$83)^2+(AB53-$AB$83)^2+(AC53-$AC$83)^2+(AD53-$AD$83)^2+(AE53-$AE$83)^2+(AF53-$AF$83)^2+(AG53-$AG$83)^2)</f>
        <v>0.90517413571780092</v>
      </c>
      <c r="EO53" s="36" t="s">
        <v>315</v>
      </c>
      <c r="EP53" s="37" t="s">
        <v>120</v>
      </c>
      <c r="ER53" s="44"/>
      <c r="ES53" s="36">
        <f>SQRT((A53-$A$84)^2+(B53-$B$84)^2+(C53-$C$84)^2+(D53-$D$84)^2+(E53-$E$84)^2+(F53-$F$84)^2+(G53-$G$84)^2+(H53-$H$84)^2+(I53-$I$84)^2+(J53-$J$84)^2+(K53-$K$84)^2+(L53-$L$84)^2+(M53-$M$84)^2+(N53-$N$84)^2+(O53-$O$84)^2+(P53-$P$84)^2+(Q53-$Q$84)^2+(R53-$R$84)^2+(S53-$S$84)^2+(T53-$T$84)^2+(U53-$U$84)^2+(V53-$V$84)^2+(W53-$W$84)^2+(X53-$X$84)^2+(Y53-$Y$84)^2+(Z53-$Z$84)^2+(AA53-$AA$84)^2+(AB53-$AB$84)^2+(AC53-$AC$84)^2+(AD53-$AD$84)^2+(AE53-$AE$84)^2+(AF53-$AF$84)^2+(AG53-$AG$84)^2)</f>
        <v>1.1467591199175291</v>
      </c>
      <c r="ET53" s="36" t="s">
        <v>144</v>
      </c>
      <c r="EU53" s="37" t="s">
        <v>120</v>
      </c>
      <c r="EW53" s="44"/>
      <c r="EX53" s="36">
        <f>SQRT((A53-$A$85)^2+(B53-$B$85)^2+(C53-$C$85)^2+(D53-$D$85)^2+(E53-$E$85)^2+(F53-$F$85)^2+(G53-$G$85)^2+(H53-$H$85)^2+(I53-$I$85)^2+(J53-$J$85)^2+(K53-$K$85)^2+(L53-$L$85)^2+(M53-$M$85)^2+(N53-$N$85)^2+(O53-$O$85)^2+(P53-$P$85)^2+(Q53-$Q$85)^2+(R53-$R$85)^2+(S53-$S$85)^2+(T53-$T$85)^2+(U53-$U$85)^2+(V53-$V$85)^2+(W53-$W$85)^2+(X53-$X$85)^2+(Y53-$Y$85)^2+(Z53-$Z$85)^2+(AA53-$AA$85)^2+(AB53-$AB$85)^2+(AC53-$AC$85)^2+(AD53-$AD$85)^2+(AE53-$AE$85)^2+(AF53-$AF$85)^2+(AG53-$AG$85)^2)</f>
        <v>1.1467591199175291</v>
      </c>
      <c r="EY53" s="36" t="s">
        <v>144</v>
      </c>
      <c r="EZ53" s="37" t="s">
        <v>120</v>
      </c>
      <c r="FB53" s="44"/>
      <c r="FC53" s="36">
        <f>SQRT((A53-$A$86)^2+(B53-$B$86)^2+(C53-$C$86)^2+(D53-$D$86)^2+(E53-$E$86)^2+(F53-$F$86)^2+(G53-$G$86)^2+(H53-$H$86)^2+(I53-$I$86)^2+(J53-$J$86)^2+(K53-$K$86)^2+(L53-$L$86)^2+(M53-$M$86)^2+(N53-$N$86)^2+(O53-$O$86)^2+(P53-$P$86)^2+(Q53-$Q$86)^2+(R53-$R$86)^2+(S53-$S$86)^2+(T53-$T$86)^2+(U53-$U$86)^2+(V53-$V$86)^2+(W53-$W$86)^2+(X53-$X$86)^2+(Y53-$Y$86)^2+(Z53-$Z$86)^2+(AA53-$AA$86)^2+(AB53-$AB$86)^2+(AC53-$AC$86)^2+(AD53-$AD$86)^2+(AE53-$AE$86)^2+(AF53-$AF$86)^2+(AG53-$AG$86)^2)</f>
        <v>1.1467591199175291</v>
      </c>
      <c r="FD53" s="36" t="s">
        <v>144</v>
      </c>
      <c r="FE53" s="37" t="s">
        <v>120</v>
      </c>
      <c r="FG53" s="44"/>
      <c r="FH53" s="36">
        <f>SQRT((A53-$A$87)^2+(B53-$B$87)^2+(C53-$C$87)^2+(D53-$D$87)^2+(E53-$E$87)^2+(F53-$F$87)^2+(G53-$G$87)^2+(H53-$H$87)^2+(I53-$I$87)^2+(J53-$J$87)^2+(K53-$K$87)^2+(L53-$L$87)^2+(M53-$M$87)^2+(N53-$N$87)^2+(O53-$O$87)^2+(P53-$P$87)^2+(Q53-$Q$87)^2+(R53-$R$87)^2+(S53-$S$87)^2+(T53-$T$87)^2+(U53-$U$87)^2+(V53-$V$87)^2+(W53-$W$87)^2+(X53-$X$87)^2+(Y53-$Y$87)^2+(Z53-$Z$87)^2+(AA53-$AA$87)^2+(AB53-$AB$87)^2+(AC53-$AC$87)^2+(AD53-$AD$87)^2+(AE53-$AE$87)^2+(AF53-$AF$87)^2+(AG53-$AG$87)^2)</f>
        <v>1.0369355298728058</v>
      </c>
      <c r="FI53" s="36" t="s">
        <v>332</v>
      </c>
      <c r="FJ53" s="37" t="s">
        <v>120</v>
      </c>
      <c r="FL53" s="44"/>
      <c r="FM53" s="36">
        <f>SQRT((A53-$A$88)^2+(B53-$B$88)^2+(C53-$C$88)^2+(D53-$D$88)^2+(E53-$E$88)^2+(F53-$F$88)^2+(G53-$G$88)^2+(H53-$H$88)^2+(I53-$I$88)^2+(J53-$J$88)^2+(K53-$K$88)^2+(L53-$L$88)^2+(M53-$M$88)^2+(N53-$N$88)^2+(O53-$O$88)^2+(P53-$P$88)^2+(Q53-$Q$88)^2+(R53-$R$88)^2+(S53-$S$88)^2+(T53-$T$88)^2+(U53-$U$88)^2+(V53-$V$88)^2+(W53-$W$88)^2+(X53-$X$88)^2+(Y53-$Y$88)^2+(Z53-$Z$88)^2+(AA53-$AA$88)^2+(AB53-$AB$88)^2+(AC53-$AC$88)^2+(AD53-$AD$88)^2+(AE53-$AE$88)^2+(AF53-$AF$88)^2+(AG53-$AG$88)^2)</f>
        <v>1.5567951410224503</v>
      </c>
      <c r="FN53" s="36" t="s">
        <v>136</v>
      </c>
      <c r="FO53" s="37" t="s">
        <v>120</v>
      </c>
      <c r="FQ53" s="44"/>
      <c r="FR53" s="36">
        <f>SQRT((A53-$A$89)^2+(B53-$B$89)^2+(C53-$C$89)^2+(D53-$D$89)^2+(E53-$E$89)^2+(F53-$F$89)^2+(G53-$G$89)^2+(H53-$H$89)^2+(I53-$I$89)^2+(J53-$J$89)^2+(K53-$K$89)^2+(L53-$L$89)^2+(M53-$M$89)^2+(N53-$N$89)^2+(O53-$O$89)^2+(P53-$P$89)^2+(Q53-$Q$89)^2+(R53-$R$89)^2+(S53-$S$89)^2+(T53-$T$89)^2+(U53-$U$89)^2+(V53-$V$89)^2+(W53-$W$89)^2+(X53-$X$89)^2+(Y53-$Y$89)^2+(Z53-$Z$89)^2+(AA53-$AA$89)^2+(AB53-$AB$89)^2+(AC53-$AC$89)^2+(AD53-$AD$89)^2+(AE53-$AE$89)^2+(AF53-$AF$89)^2+(AG53-$AG$89)^2)</f>
        <v>1.8925913345937266</v>
      </c>
      <c r="FS53" s="36" t="s">
        <v>317</v>
      </c>
      <c r="FT53" s="37" t="s">
        <v>120</v>
      </c>
      <c r="FV53" s="44"/>
      <c r="FW53" s="36">
        <f>SQRT((A53-$A$90)^2+(B53-$B$90)^2+(C53-$C$90)^2+(D53-$D$90)^2+(E53-$E$90)^2+(F53-$F$90)^2+(G53-$G$90)^2+(H53-$H$90)^2+(I53-$I$90)^2+(J53-$J$90)^2+(K53-$K$90)^2+(L53-$L$90)^2+(M53-$M$90)^2+(N53-$N$90)^2+(O53-$O$90)^2+(P53-$P$90)^2+(Q53-$Q$90)^2+(R53-$R$90)^2+(S53-$S$90)^2+(T53-$T$90)^2+(U53-$U$90)^2+(V53-$V$90)^2+(W53-$W$90)^2+(X53-$X$90)^2+(Y53-$Y$90)^2+(Z53-$Z$90)^2+(AA53-$AA$90)^2+(AB53-$AB$90)^2+(AC53-$AC$90)^2+(AD53-$AD$90)^2+(AE53-$AE$90)^2+(AF53-$AF$90)^2+(AG53-$AG$90)^2)</f>
        <v>1.929748933225903</v>
      </c>
      <c r="FX53" s="36" t="s">
        <v>144</v>
      </c>
      <c r="FY53" s="37" t="s">
        <v>120</v>
      </c>
      <c r="GA53" s="44"/>
      <c r="GB53" s="36">
        <f>SQRT((A53-$A$91)^2+(B53-$B$91)^2+(C53-$C$91)^2+(D53-$D$91)^2+(E53-$E$91)^2+(F53-$F$91)^2+(G53-$G$91)^2+(H53-$H$91)^2+(I53-$I$91)^2+(J53-$J$91)^2+(K53-$K$91)^2+(L53-$L$91)^2+(M53-$M$91)^2+(N53-$N$91)^2+(O53-$O$91)^2+(P53-$P$91)^2+(Q53-$Q$91)^2+(R53-$R$91)^2+(S53-$S$91)^2+(T53-$T$91)^2+(U53-$U$91)^2+(V53-$V$91)^2+(W53-$W$91)^2+(X53-$X$91)^2+(Y53-$Y$91)^2+(Z53-$Z$91)^2+(AA53-$AA$91)^2+(AB53-$AB$91)^2+(AC53-$AC$91)^2+(AD53-$AD$91)^2+(AE53-$AE$91)^2+(AF53-$AF$91)^2+(AG53-$AG$91)^2)</f>
        <v>1.7806899517055781</v>
      </c>
      <c r="GC53" s="36" t="s">
        <v>315</v>
      </c>
      <c r="GD53" s="37" t="s">
        <v>120</v>
      </c>
      <c r="GF53" s="44"/>
      <c r="GG53" s="36">
        <f>SQRT((A53-$A$92)^2+(B53-$B$92)^2+(C53-$C$92)^2+(D53-$D$92)^2+(E53-$E$92)^2+(F53-$F$92)^2+(G53-$G$92)^2+(H53-$H$92)^2+(I53-$I$92)^2+(J53-$J$92)^2+(K53-$K$92)^2+(L53-$L$92)^2+(M53-$M$92)^2+(N53-$N$92)^2+(O53-$O$92)^2+(P53-$P$92)^2+(Q53-$Q$92)^2+(R53-$R$92)^2+(S53-$S$92)^2+(T53-$T$92)^2+(U53-$U$92)^2+(V53-$V$92)^2+(W53-$W$92)^2+(X53-$X$92)^2+(Y53-$Y$92)^2+(Z53-$Z$92)^2+(AA53-$AA$92)^2+(AB53-$AB$92)^2+(AC53-$AC$92)^2+(AD53-$AD$92)^2+(AE53-$AE$92)^2+(AF53-$AF$92)^2+(AG53-$AG$92)^2)</f>
        <v>1.2720281268728122</v>
      </c>
      <c r="GH53" s="36" t="s">
        <v>141</v>
      </c>
      <c r="GI53" s="37" t="s">
        <v>120</v>
      </c>
      <c r="GK53" s="44"/>
      <c r="GL53" s="36">
        <f>SQRT((A53-$A$93)^2+(B53-$B$93)^2+(C53-$C$93)^2+(D53-$D$93)^2+(E53-$E$93)^2+(F53-$F$93)^2+(G53-$G$93)^2+(H53-$H$93)^2+(I53-$I$93)^2+(J53-$J$93)^2+(K53-$K$93)^2+(L53-$L$93)^2+(M53-$M$93)^2+(N53-$N$93)^2+(O53-$O$93)^2+(P53-$P$93)^2+(Q53-$Q$93)^2+(R53-$R$93)^2+(S53-$S$93)^2+(T53-$T$93)^2+(U53-$U$93)^2+(V53-$V$93)^2+(W53-$W$93)^2+(X53-$X$93)^2+(Y53-$Y$93)^2+(Z53-$Z$93)^2+(AA53-$AA$93)^2+(AB53-$AB$93)^2+(AC53-$AC$93)^2+(AD53-$AD$93)^2+(AE53-$AE$93)^2+(AF53-$AF$93)^2+(AG53-$AG$93)^2)</f>
        <v>2.0719513285716795</v>
      </c>
      <c r="GM53" s="36" t="s">
        <v>329</v>
      </c>
      <c r="GN53" s="37" t="s">
        <v>120</v>
      </c>
      <c r="GP53" s="44"/>
      <c r="GQ53" s="36">
        <f>SQRT((A53-$A$94)^2+(B53-$B$94)^2+(C53-$C$94)^2+(D53-$D$94)^2+(E53-$E$94)^2+(F53-$F$94)^2+(G53-$G$94)^2+(H53-$H$94)^2+(I53-$I$94)^2+(J53-$J$94)^2+(K53-$K$94)^2+(L53-$L$94)^2+(M53-$M$94)^2+(N53-$N$94)^2+(O53-$O$94)^2+(P53-$P$94)^2+(Q53-$Q$94)^2+(R53-$R$94)^2+(S53-$S$94)^2+(T53-$T$94)^2+(U53-$U$94)^2+(V53-$V$94)^2+(W53-$W$94)^2+(X53-$X$94)^2+(Y53-$Y$94)^2+(Z53-$Z$94)^2+(AA53-$AA$94)^2+(AB53-$AB$94)^2+(AC53-$AC$94)^2+(AD53-$AD$94)^2+(AE53-$AE$94)^2+(AF53-$AF$94)^2+(AG53-$AG$94)^2)</f>
        <v>1.4749802137882417</v>
      </c>
      <c r="GR53" s="36" t="s">
        <v>329</v>
      </c>
      <c r="GS53" s="37" t="s">
        <v>120</v>
      </c>
      <c r="GU53" s="44"/>
      <c r="GV53" s="36">
        <f>SQRT((A53-$A$95)^2+(B53-$B$95)^2+(C53-$C$95)^2+(D53-$D$95)^2+(E53-$E$95)^2+(F53-$F$95)^2+(G53-$G$95)^2+(H53-$H$95)^2+(I53-$I$95)^2+(J53-$J$95)^2+(K53-$K$95)^2+(L53-$L$95)^2+(M53-$M$95)^2+(N53-$N$95)^2+(O53-$O$95)^2+(P53-$P$95)^2+(Q53-$Q$95)^2+(R53-$R$95)^2+(S53-$S$95)^2+(T53-$T$95)^2+(U53-$U$95)^2+(V53-$V$95)^2+(W53-$W$95)^2+(X53-$X$95)^2+(Y53-$Y$95)^2+(Z53-$Z$95)^2+(AA53-$AA$95)^2+(AB53-$AB$95)^2+(AC53-$AC$95)^2+(AD53-$AD$95)^2+(AE53-$AE$95)^2+(AF53-$AF$95)^2+(AG53-$AG$95)^2)</f>
        <v>2.3990410098427133</v>
      </c>
      <c r="GW53" s="36" t="s">
        <v>148</v>
      </c>
      <c r="GX53" s="37" t="s">
        <v>120</v>
      </c>
      <c r="GZ53" s="44"/>
      <c r="HA53" s="36">
        <f>SQRT((A53-$A$96)^2+(B53-$B$96)^2+(C53-$C$96)^2+(D53-$D$96)^2+(E53-$E$96)^2+(F53-$F$96)^2+(G53-$G$96)^2+(H53-$H$96)^2+(I53-$I$96)^2+(J53-$J$96)^2+(K53-$K$96)^2+(L53-$L$96)^2+(M53-$M$96)^2+(N53-$N$96)^2+(O53-$O$96)^2+(P53-$P$96)^2+(Q53-$Q$96)^2+(R53-$R$96)^2+(S53-$S$96)^2+(T53-$T$96)^2+(U53-$U$96)^2+(V53-$V$96)^2+(W53-$W$96)^2+(X53-$X$96)^2+(Y53-$Y$96)^2+(Z53-$Z$96)^2+(AA53-$AA$96)^2+(AB53-$AB$96)^2+(AC53-$AC$96)^2+(AD53-$AD$96)^2+(AE53-$AE$96)^2+(AF53-$AF$96)^2+(AG53-$AG$96)^2)</f>
        <v>2.3607574091136354</v>
      </c>
      <c r="HB53" s="36" t="s">
        <v>339</v>
      </c>
      <c r="HC53" s="37" t="s">
        <v>120</v>
      </c>
      <c r="HE53" s="44"/>
      <c r="HF53" s="36">
        <f>SQRT((A53-$A$97)^2+(B53-$B$97)^2+(C53-$C$97)^2+(D53-$D$97)^2+(E53-$E$97)^2+(F53-$F$97)^2+(G53-$G$97)^2+(H53-$H$97)^2+(I53-$I$97)^2+(J53-$J$97)^2+(K53-$K$97)^2+(L53-$L$97)^2+(M53-$M$97)^2+(N53-$N$97)^2+(O53-$O$97)^2+(P53-$P$97)^2+(Q53-$Q$97)^2+(R53-$R$97)^2+(S53-$S$97)^2+(T53-$T$97)^2+(U53-$U$97)^2+(V53-$V$97)^2+(W53-$W$97)^2+(X53-$X$97)^2+(Y53-$Y$97)^2+(Z53-$Z$97)^2+(AA53-$AA$97)^2+(AB53-$AB$97)^2+(AC53-$AC$97)^2+(AD53-$AD$97)^2+(AE53-$AE$97)^2+(AF53-$AF$97)^2+(AG53-$AG$97)^2)</f>
        <v>1.1467591199175291</v>
      </c>
      <c r="HG53" s="36" t="s">
        <v>144</v>
      </c>
      <c r="HH53" s="37" t="s">
        <v>120</v>
      </c>
      <c r="HJ53" s="44"/>
      <c r="HK53" s="36">
        <f>SQRT((A53-$A$98)^2+(B53-$B$98)^2+(C53-$C$98)^2+(D53-$D$98)^2+(E53-$E$98)^2+(F53-$F$98)^2+(G53-$G$98)^2+(H53-$H$98)^2+(I53-$I$98)^2+(J53-$J$98)^2+(K53-$K$98)^2+(L53-$L$98)^2+(M53-$M$98)^2+(N53-$N$98)^2+(O53-$O$98)^2+(P53-$P$98)^2+(Q53-$Q$98)^2+(R53-$R$98)^2+(S53-$S$98)^2+(T53-$T$98)^2+(U53-$U$98)^2+(V53-$V$98)^2+(W53-$W$98)^2+(X53-$X$98)^2+(Y53-$Y$98)^2+(Z53-$Z$98)^2+(AA53-$AA$98)^2+(AB53-$AB$98)^2+(AC53-$AC$98)^2+(AD53-$AD$98)^2+(AE53-$AE$98)^2+(AF53-$AF$98)^2+(AG53-$AG$98)^2)</f>
        <v>1.1467591199175291</v>
      </c>
      <c r="HL53" s="36" t="s">
        <v>144</v>
      </c>
      <c r="HM53" s="37" t="s">
        <v>120</v>
      </c>
      <c r="HO53" s="44"/>
      <c r="HP53" s="36">
        <f>SQRT((A53-$A$99)^2+(B53-$B$99)^2+(C53-$C$99)^2+(D53-$D$99)^2+(E53-$E$99)^2+(F53-$F$99)^2+(G53-$G$99)^2+(H53-$H$99)^2+(I53-$I$99)^2+(J53-$J$99)^2+(K53-$K$99)^2+(L53-$L$99)^2+(M53-$M$99)^2+(N53-$N$99)^2+(O53-$O$99)^2+(P53-$P$99)^2+(Q53-$Q$99)^2+(R53-$R$99)^2+(S53-$S$99)^2+(T53-$T$99)^2+(U53-$U$99)^2+(V53-$V$99)^2+(W53-$W$99)^2+(X53-$X$99)^2+(Y53-$Y$99)^2+(Z53-$Z$99)^2+(AA53-$AA$99)^2+(AB53-$AB$99)^2+(AC53-$AC$99)^2+(AD53-$AD$99)^2+(AE53-$AE$99)^2+(AF53-$AF$99)^2+(AG53-$AG$99)^2)</f>
        <v>1.1467591199175291</v>
      </c>
      <c r="HQ53" s="36" t="s">
        <v>144</v>
      </c>
      <c r="HR53" s="37" t="s">
        <v>120</v>
      </c>
      <c r="HT53" s="44"/>
      <c r="HU53" s="36">
        <f>SQRT((A53-$A$100)^2+(B53-$B$100)^2+(C53-$C$100)^2+(D53-$D$100)^2+(E53-$E$100)^2+(F53-$F$100)^2+(G53-$G$100)^2+(H53-$H$100)^2+(I53-$I$100)^2+(J53-$J$100)^2+(K53-$K$100)^2+(L53-$L$100)^2+(M53-$M$100)^2+(N53-$N$100)^2+(O53-$O$100)^2+(P53-$P$100)^2+(Q53-$Q$100)^2+(R53-$R$100)^2+(S53-$S$100)^2+(T53-$T$100)^2+(U53-$U$100)^2+(V53-$V$100)^2+(W53-$W$100)^2+(X53-$X$100)^2+(Y53-$Y$100)^2+(Z53-$Z$100)^2+(AA53-$AA$100)^2+(AB53-$AB$100)^2+(AC53-$AC$100)^2+(AD53-$AD$100)^2+(AE53-$AE$100)^2+(AF53-$AF$100)^2+(AG53-$AG$100)^2)</f>
        <v>1.1467591199175291</v>
      </c>
      <c r="HV53" s="36" t="s">
        <v>144</v>
      </c>
      <c r="HW53" s="37" t="s">
        <v>120</v>
      </c>
      <c r="HY53" s="44"/>
      <c r="HZ53" s="36">
        <f>SQRT((A53-$A$101)^2+(B53-$B$101)^2+(C53-$C$101)^2+(D53-$D$101)^2+(E53-$E$101)^2+(F53-$F$101)^2+(G53-$G$101)^2+(H53-$H$101)^2+(I53-$I$101)^2+(J53-$J$101)^2+(K53-$K$101)^2+(L53-$L$101)^2+(M53-$M$101)^2+(N53-$N$101)^2+(O53-$O$101)^2+(P53-$P$101)^2+(Q53-$Q$101)^2+(R53-$R$101)^2+(S53-$S$101)^2+(T53-$T$101)^2+(U53-$U$101)^2+(V53-$V$101)^2+(W53-$W$101)^2+(X53-$X$101)^2+(Y53-$Y$101)^2+(Z53-$Z$101)^2+(AA53-$AA$101)^2+(AB53-$AB$101)^2+(AC53-$AC$101)^2+(AD53-$AD$101)^2+(AE53-$AE$101)^2+(AF53-$AF$101)^2+(AG53-$AG$101)^2)</f>
        <v>1.9640824802256567</v>
      </c>
      <c r="IA53" s="36" t="s">
        <v>317</v>
      </c>
      <c r="IB53" s="37" t="s">
        <v>120</v>
      </c>
    </row>
    <row r="54" spans="1:236" x14ac:dyDescent="0.35">
      <c r="A54" s="2">
        <v>0.33333333333333298</v>
      </c>
      <c r="B54" s="2">
        <v>1</v>
      </c>
      <c r="C54" s="2">
        <v>1</v>
      </c>
      <c r="D54" s="2">
        <v>0</v>
      </c>
      <c r="E54" s="2">
        <v>0</v>
      </c>
      <c r="F54" s="2">
        <v>1</v>
      </c>
      <c r="G54" s="2">
        <v>0.22222222222222199</v>
      </c>
      <c r="H54" s="2">
        <v>1</v>
      </c>
      <c r="I54" s="2">
        <v>0</v>
      </c>
      <c r="J54" s="2">
        <v>0</v>
      </c>
      <c r="K54" s="2">
        <v>0.5</v>
      </c>
      <c r="L54" s="2">
        <v>0.158904109589041</v>
      </c>
      <c r="M54" s="2">
        <v>1</v>
      </c>
      <c r="N54" s="2">
        <v>0.66666666666666596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0</v>
      </c>
      <c r="W54" s="2">
        <v>1</v>
      </c>
      <c r="X54" s="2">
        <v>1</v>
      </c>
      <c r="Y54" s="2">
        <v>0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 t="s">
        <v>120</v>
      </c>
      <c r="AI54" s="42"/>
      <c r="AJ54" s="42"/>
      <c r="AL54" s="44"/>
      <c r="AM54" s="36">
        <f>SQRT((A54-$A$62)^2+(B54-$B$62)^2+(C54-$C$62)^2+(D54-$D$62)^2+(E54-$E$62)^2+(F54-$F$62)^2+(G54-$G$62)^2+(H54-$H$62)^2+(I54-$I$62)^2+(J54-$J$62)^2+(K54-$K$62)^2+(L54-$L$62)^2+(M54-$M$62)^2+(N54-$N$62)^2+(O54-$O$62)^2+(P54-$P$62)^2+(Q54-$Q$62)^2+(R54-$R$62)^2+(S54-$S$62)^2+(T54-$T$62)^2+(U54-$U$62)^2+(V54-$V$62)^2+(W54-$W$62)^2+(X54-$X$62)^2+(Y54-$Y$62)^2+(Z54-$Z$62)^2+(AA54-$AA$62)^2+(AB54-$AB$62)^2+(AC54-$AC$62)^2+(AD54-$AD$62)^2+(AE54-$AE$62)^2+(AF54-$AF$62)^2+(AG54-$AG$62)^2)</f>
        <v>2.2565386435836738</v>
      </c>
      <c r="AN54" s="36" t="s">
        <v>323</v>
      </c>
      <c r="AO54" s="37" t="s">
        <v>120</v>
      </c>
      <c r="AQ54" s="44"/>
      <c r="AR54" s="36">
        <f>SQRT((A54-$A$63)^2+(B54-$B$63)^2+(C54-$C$63)^2+(D54-$D$63)^2+(E54-$E$63)^2+(F54-$F$63)^2+(G54-$G$63)^2+(H54-$H$63)^2+(I54-$I$63)^2+(J54-$J$63)^2+(K54-$K$63)^2+(L54-$L$63)^2+(M54-$M$63)^2+(N54-$N$63)^2+(O54-$O$63)^2+(P54-$P$63)^2+(Q54-$Q$63)^2+(R54-$R$63)^2+(S54-$S$63)^2+(T54-$T$63)^2+(U54-$U$63)^2+(V54-$V$63)^2+(W54-$W$63)^2+(X54-$X$63)^2+(Y54-$Y$63)^2+(Z54-$Z$63)^2+(AA54-$AA$63)^2+(AB54-$AB$63)^2+(AC54-$AC$63)^2+(AD54-$AD$63)^2+(AE54-$AE$63)^2+(AF54-$AF$63)^2+(AG54-$AG$63)^2)</f>
        <v>2.1084918528614494</v>
      </c>
      <c r="AS54" s="36" t="s">
        <v>140</v>
      </c>
      <c r="AT54" s="37" t="s">
        <v>120</v>
      </c>
      <c r="AV54" s="44"/>
      <c r="AW54" s="36">
        <f>SQRT((A54-$A$64)^2+(B54-$B$64)^2+(C54-$C$64)^2+(D54-$D$64)^2+(E54-$E$64)^2+(F54-$F$64)^2+(G54-$G$64)^2+(H54-$H$64)^2+(I54-$I$64)^2+(J54-$J$64)^2+(K54-$K$64)^2+(L54-$L$64)^2+(M54-$M$64)^2+(N54-$N$64)^2+(O54-$O$64)^2+(P54-$P$64)^2+(Q54-$Q$64)^2+(R54-$R$64)^2+(S54-$S$64)^2+(T54-$T$64)^2+(U54-$U$64)^2+(V54-$V$64)^2+(W54-$W$64)^2+(X54-$X$64)^2+(Y54-$Y$64)^2+(Z54-$Z$64)^2+(AA54-$AA$64)^2+(AB54-$AB$64)^2+(AC54-$AC$64)^2+(AD54-$AD$64)^2+(AE54-$AE$64)^2+(AF54-$AF$64)^2+(AG54-$AG$64)^2)</f>
        <v>2.1084918528614494</v>
      </c>
      <c r="AX54" s="36" t="s">
        <v>140</v>
      </c>
      <c r="AY54" s="37" t="s">
        <v>120</v>
      </c>
      <c r="BA54" s="44"/>
      <c r="BB54" s="36">
        <f>SQRT((A54-$A$65)^2+(B54-$B$65)^2+(C54-$C$65)^2+(D54-$D$65)^2+(E54-$E$65)^2+(F54-$F$65)^2+(G54-$G$65)^2+(H54-$H$65)^2+(I54-$I$65)^2+(J54-$J$65)^2+(K54-$K$65)^2+(L54-$L$65)^2+(M54-$M$65)^2+(N54-$N$65)^2+(O54-$O$65)^2+(P54-$P$65)^2+(Q54-$Q$65)^2+(R54-$R$65)^2+(S54-$S$65)^2+(T54-$T$65)^2+(U54-$U$65)^2+(V54-$V$65)^2+(W54-$W$65)^2+(X54-$X$65)^2+(Y54-$Y$65)^2+(Z54-$Z$65)^2+(AA54-$AA$65)^2+(AB54-$AB$65)^2+(AC54-$AC$65)^2+(AD54-$AD$65)^2+(AE54-$AE$65)^2+(AF54-$AF$65)^2+(AG54-$AG$65)^2)</f>
        <v>2.1084918528614494</v>
      </c>
      <c r="BC54" s="36" t="s">
        <v>140</v>
      </c>
      <c r="BD54" s="37" t="s">
        <v>120</v>
      </c>
      <c r="BF54" s="44"/>
      <c r="BG54" s="36">
        <f>SQRT((A54-$A$66)^2+(B54-$B$66)^2+(C54-$C$66)^2+(D54-$D$66)^2+(E54-$E$66)^2+(F54-$F$66)^2+(G54-$G$66)^2+(H54-$H$66)^2+(I54-$I$66)^2+(J54-$J$66)^2+(K54-$K$66)^2+(L54-$L$66)^2+(M54-$M$66)^2+(N54-$N$66)^2+(O54-$O$66)^2+(P54-$P$66)^2+(Q54-$Q$66)^2+(R54-$R$66)^2+(S54-$S$66)^2+(T54-$T$66)^2+(U54-$U$66)^2+(V54-$V$66)^2+(W54-$W$66)^2+(X54-$X$66)^2+(Y54-$Y$66)^2+(Z54-$Z$66)^2+(AA54-$AA$66)^2+(AB54-$AB$66)^2+(AC54-$AC$66)^2+(AD54-$AD$66)^2+(AE54-$AE$66)^2+(AF54-$AF$66)^2+(AG54-$AG$66)^2)</f>
        <v>2.1084918528614494</v>
      </c>
      <c r="BH54" s="36" t="s">
        <v>140</v>
      </c>
      <c r="BI54" s="37" t="s">
        <v>120</v>
      </c>
      <c r="BK54" s="44"/>
      <c r="BL54" s="36">
        <f>SQRT((A54-$A$67)^2+(B54-$B$67)^2+(C54-$C$67)^2+(D54-$D$67)^2+(E54-$E$67)^2+(F54-$F$67)^2+(G54-$G$67)^2+(H54-$H$67)^2+(I54-$I$67)^2+(J54-$J$67)^2+(K54-$K$67)^2+(L54-$L$67)^2+(M54-$M$67)^2+(N54-$N$67)^2+(O54-$O$67)^2+(P54-$P$67)^2+(Q54-$Q$67)^2+(R54-$R$67)^2+(S54-$S$67)^2+(T54-$T$67)^2+(U54-$U$67)^2+(V54-$V$67)^2+(W54-$W$67)^2+(X54-$X$67)^2+(Y54-$Y$67)^2+(Z54-$Z$67)^2+(AA54-$AA$67)^2+(AB54-$AB$67)^2+(AC54-$AC$67)^2+(AD54-$AD$67)^2+(AE54-$AE$67)^2+(AF54-$AF$67)^2+(AG54-$AG$67)^2)</f>
        <v>2.1084918528614494</v>
      </c>
      <c r="BM54" s="36" t="s">
        <v>140</v>
      </c>
      <c r="BN54" s="37" t="s">
        <v>120</v>
      </c>
      <c r="BP54" s="44"/>
      <c r="BQ54" s="36">
        <f>SQRT((A54-$A$68)^2+(B54-$B$68)^2+(C54-$C$68)^2+(D54-$D$68)^2+(E54-$E$68)^2+(F54-$F$68)^2+(G54-$G$68)^2+(H54-$H$68)^2+(I54-$I$68)^2+(J54-$J$68)^2+(K54-$K$68)^2+(L54-$L$68)^2+(M54-$M$68)^2+(N54-$N$68)^2+(O54-$O$68)^2+(P54-$P$68)^2+(Q54-$Q$68)^2+(R54-$R$68)^2+(S54-$S$68)^2+(T54-$T$68)^2+(U54-$U$68)^2+(V54-$V$68)^2+(W54-$W$68)^2+(X54-$X$68)^2+(Y54-$Y$68)^2+(Z54-$Z$68)^2+(AA54-$AA$68)^2+(AB54-$AB$68)^2+(AC54-$AC$68)^2+(AD54-$AD$68)^2+(AE54-$AE$68)^2+(AF54-$AF$68)^2+(AG54-$AG$68)^2)</f>
        <v>2.1084918528614494</v>
      </c>
      <c r="BR54" s="36" t="s">
        <v>140</v>
      </c>
      <c r="BS54" s="37" t="s">
        <v>120</v>
      </c>
      <c r="BU54" s="44"/>
      <c r="BV54" s="36">
        <f>SQRT((A54-$A$69)^2+(B54-$B$69)^2+(C54-$C$69)^2+(D54-$D$69)^2+(E54-$E$69)^2+(F54-$F$69)^2+(G54-$G$69)^2+(H54-$H$69)^2+(I54-$I$69)^2+(J54-$J$69)^2+(K54-$K$69)^2+(L54-$L$69)^2+(M54-$M$69)^2+(N54-$N$69)^2+(O54-$O$69)^2+(P54-$P$69)^2+(Q54-$Q$69)^2+(R54-$R$69)^2+(S54-$S$69)^2+(T54-$T$69)^2+(U54-$U$69)^2+(V54-$V$69)^2+(W54-$W$69)^2+(X54-$X$69)^2+(Y54-$Y$69)^2+(Z54-$Z$69)^2+(AA54-$AA$69)^2+(AB54-$AB$69)^2+(AC54-$AC$69)^2+(AD54-$AD$69)^2+(AE54-$AE$69)^2+(AF54-$AF$69)^2+(AG54-$AG$69)^2)</f>
        <v>2.4848810372151937</v>
      </c>
      <c r="BW54" s="36" t="s">
        <v>148</v>
      </c>
      <c r="BX54" s="37" t="s">
        <v>120</v>
      </c>
      <c r="BZ54" s="44"/>
      <c r="CA54" s="36">
        <f>SQRT((A54-$A$70)^2+(B54-$B$70)^2+(C54-$C$70)^2+(D54-$D$70)^2+(E54-$E$70)^2+(F54-$F$70)^2+(G54-$G$70)^2+(H54-$H$70)^2+(I54-$I$70)^2+(J54-$J$70)^2+(K54-$K$70)^2+(L54-$L$70)^2+(M54-$M$70)^2+(N54-$N$70)^2+(O54-$O$70)^2+(P54-$P$70)^2+(Q54-$Q$70)^2+(R54-$R$70)^2+(S54-$S$70)^2+(T54-$T$70)^2+(U54-$U$70)^2+(V54-$V$70)^2+(W54-$W$70)^2+(X54-$X$70)^2+(Y54-$Y$70)^2+(Z54-$Z$70)^2+(AA54-$AA$70)^2+(AB54-$AB$70)^2+(AC54-$AC$70)^2+(AD54-$AD$70)^2+(AE54-$AE$70)^2+(AF54-$AF$70)^2+(AG54-$AG$70)^2)</f>
        <v>2.0763925402045715</v>
      </c>
      <c r="CB54" s="36" t="s">
        <v>332</v>
      </c>
      <c r="CC54" s="37" t="s">
        <v>120</v>
      </c>
      <c r="CE54" s="44"/>
      <c r="CF54" s="36">
        <f>SQRT((A54-$A$71)^2+(B54-$B$71)^2+(C54-$C$71)^2+(D54-$D$71)^2+(E54-$E$71)^2+(F54-$F$71)^2+(G54-$G$71)^2+(H54-$H$71)^2+(I54-$I$71)^2+(J54-$J$71)^2+(K54-$K$71)^2+(L54-$L$71)^2+(M54-$M$71)^2+(N54-$N$71)^2+(O54-$O$71)^2+(P54-$P$71)^2+(Q54-$Q$71)^2+(R54-$R$71)^2+(S54-$S$71)^2+(T54-$T$71)^2+(U54-$U$71)^2+(V54-$V$71)^2+(W54-$W$71)^2+(X54-$X$71)^2+(Y54-$Y$71)^2+(Z54-$Z$71)^2+(AA54-$AA$71)^2+(AB54-$AB$71)^2+(AC54-$AC$71)^2+(AD54-$AD$71)^2+(AE54-$AE$71)^2+(AF54-$AF$71)^2+(AG54-$AG$71)^2)</f>
        <v>2.2171090743767796</v>
      </c>
      <c r="CG54" s="36" t="s">
        <v>140</v>
      </c>
      <c r="CH54" s="37" t="s">
        <v>120</v>
      </c>
      <c r="CJ54" s="44"/>
      <c r="CK54" s="36">
        <f>SQRT((A54-$A$72)^2+(B54-$B$72)^2+(C54-$C$72)^2+(D54-$D$72)^2+(E54-$E$72)^2+(F54-$F$72)^2+(G54-$G$72)^2+(H54-$H$72)^2+(I54-$I$72)^2+(J54-$J$72)^2+(K54-$K$72)^2+(L54-$L$72)^2+(M54-$M$72)^2+(N54-$N$72)^2+(O54-$O$72)^2+(P54-$P$72)^2+(Q54-$Q$72)^2+(R54-$R$72)^2+(S54-$S$72)^2+(T54-$T$72)^2+(U54-$U$72)^2+(V54-$V$72)^2+(W54-$W$72)^2+(X54-$X$72)^2+(Y54-$Y$72)^2+(Z54-$Z$72)^2+(AA54-$AA$72)^2+(AB54-$AB$72)^2+(AC54-$AC$72)^2+(AD54-$AD$72)^2+(AE54-$AE$72)^2+(AF54-$AF$72)^2+(AG54-$AG$72)^2)</f>
        <v>2.4399551818955958</v>
      </c>
      <c r="CL54" s="36" t="s">
        <v>141</v>
      </c>
      <c r="CM54" s="37" t="s">
        <v>120</v>
      </c>
      <c r="CO54" s="44"/>
      <c r="CP54" s="36">
        <f>SQRT((A54-$A$73)^2+(B54-$B$73)^2+(C54-$C$73)^2+(D54-$D$73)^2+(E54-$E$73)^2+(F54-$F$73)^2+(G54-$G$73)^2+(H54-$H$73)^2+(I54-$I$73)^2+(J54-$J$73)^2+(K54-$K$73)^2+(L54-$L$73)^2+(M54-$M$73)^2+(N54-$N$73)^2+(O54-$O$73)^2+(P54-$P$73)^2+(Q54-$Q$73)^2+(R54-$R$73)^2+(S54-$S$73)^2+(T54-$T$73)^2+(U54-$U$73)^2+(V54-$V$73)^2+(W54-$W$73)^2+(X54-$X$73)^2+(Y54-$Y$73)^2+(Z54-$Z$73)^2+(AA54-$AA$73)^2+(AB54-$AB$73)^2+(AC54-$AC$73)^2+(AD54-$AD$73)^2+(AE54-$AE$73)^2+(AF54-$AF$73)^2+(AG54-$AG$73)^2)</f>
        <v>2.380889186134691</v>
      </c>
      <c r="CQ54" s="36" t="s">
        <v>148</v>
      </c>
      <c r="CR54" s="37" t="s">
        <v>120</v>
      </c>
      <c r="CT54" s="44"/>
      <c r="CU54" s="36">
        <f>SQRT((A54-$A$74)^2+(B54-$B$74)^2+(C54-$C$74)^2+(D54-$D$74)^2+(E54-$E$74)^2+(F54-$F$74)^2+(G54-$G$74)^2+(H54-$H$74)^2+(I54-$I$74)^2+(J54-$J$74)^2+(K54-$K$74)^2+(L54-$L$74)^2+(M54-$M$74)^2+(N54-$N$74)^2+(O54-$O$74)^2+(P54-$P$74)^2+(Q54-$Q$74)^2+(R54-$R$74)^2+(S54-$S$74)^2+(T54-$T$74)^2+(U54-$U$74)^2+(V54-$V$74)^2+(W54-$W$74)^2+(X54-$X$74)^2+(Y54-$Y$74)^2+(Z54-$Z$74)^2+(AA54-$AA$74)^2+(AB54-$AB$74)^2+(AC54-$AC$74)^2+(AD54-$AD$74)^2+(AE54-$AE$74)^2+(AF54-$AF$74)^2+(AG54-$AG$74)^2)</f>
        <v>2.5922910211368064</v>
      </c>
      <c r="CV54" s="36" t="s">
        <v>339</v>
      </c>
      <c r="CW54" s="37" t="s">
        <v>120</v>
      </c>
      <c r="CY54" s="44"/>
      <c r="CZ54" s="36">
        <f>SQRT((A54-$A$75)^2+(B54-$B$75)^2+(C54-$C$75)^2+(D54-$D$75)^2+(E54-$E$75)^2+(F54-$F$75)^2+(G54-$G$75)^2+(H54-$H$75)^2+(I54-$I$75)^2+(J54-$J$75)^2+(K54-$K$75)^2+(L54-$L$75)^2+(M54-$M$75)^2+(N54-$N$75)^2+(O54-$O$75)^2+(P54-$P$75)^2+(Q54-$Q$75)^2+(R54-$R$75)^2+(S54-$S$75)^2+(T54-$T$75)^2+(U54-$U$75)^2+(V54-$V$75)^2+(W54-$W$75)^2+(X54-$X$75)^2+(Y54-$Y$75)^2+(Z54-$Z$75)^2+(AA54-$AA$75)^2+(AB54-$AB$75)^2+(AC54-$AC$75)^2+(AD54-$AD$75)^2+(AE54-$AE$75)^2+(AF54-$AF$75)^2+(AG54-$AG$75)^2)</f>
        <v>2.5877424706548546</v>
      </c>
      <c r="DA54" s="36" t="s">
        <v>317</v>
      </c>
      <c r="DB54" s="37" t="s">
        <v>120</v>
      </c>
      <c r="DD54" s="44"/>
      <c r="DE54" s="36">
        <f>SQRT((A54-$A$76)^2+(B54-$B$76)^2+(C54-$C$76)^2+(D54-$D$76)^2+(E54-$E$76)^2+(F54-$F$76)^2+(G54-$G$76)^2+(H54-$H$76)^2+(I54-$I$76)^2+(J54-$J$76)^2+(K54-$K$76)^2+(L54-$L$76)^2+(M54-$M$76)^2+(N54-$N$76)^2+(O54-$O$76)^2+(P54-$P$76)^2+(Q54-$Q$76)^2+(R54-$R$76)^2+(S54-$S$76)^2+(T54-$T$76)^2+(U54-$U$76)^2+(V54-$V$76)^2+(W54-$W$76)^2+(X54-$X$76)^2+(Y54-$Y$76)^2+(Z54-$Z$76)^2+(AA54-$AA$76)^2+(AB54-$AB$76)^2+(AC54-$AC$76)^2+(AD54-$AD$76)^2+(AE54-$AE$76)^2+(AF54-$AF$76)^2+(AG54-$AG$76)^2)</f>
        <v>2.2429059784959895</v>
      </c>
      <c r="DF54" s="36" t="s">
        <v>339</v>
      </c>
      <c r="DG54" s="37" t="s">
        <v>120</v>
      </c>
      <c r="DI54" s="44"/>
      <c r="DJ54" s="36">
        <f>SQRT((A54-$A$77)^2+(B54-$B$77)^2+(C54-$C$77)^2+(D54-$D$77)^2+(E54-$E$77)^2+(F54-$F$77)^2+(G54-$G$77)^2+(H54-$H$77)^2+(I54-$I$77)^2+(J54-$J$77)^2+(K54-$K$77)^2+(L54-$L$77)^2+(M54-$M$77)^2+(N54-$N$77)^2+(O54-$O$77)^2+(P54-$P$77)^2+(Q54-$Q$77)^2+(R54-$R$77)^2+(S54-$S$77)^2+(T54-$T$77)^2+(U54-$U$77)^2+(V54-$V$77)^2+(W54-$W$77)^2+(X54-$X$77)^2+(Y54-$Y$77)^2+(Z54-$Z$77)^2+(AA54-$AA$77)^2+(AB54-$AB$77)^2+(AC54-$AC$77)^2+(AD54-$AD$77)^2+(AE54-$AE$77)^2+(AF54-$AF$77)^2+(AG54-$AG$77)^2)</f>
        <v>2.1201467415115403</v>
      </c>
      <c r="DK54" s="36" t="s">
        <v>123</v>
      </c>
      <c r="DL54" s="37" t="s">
        <v>120</v>
      </c>
      <c r="DN54" s="44"/>
      <c r="DO54" s="36">
        <f>SQRT((A54-$A$78)^2+(B54-$B$78)^2+(C54-$C$78)^2+(D54-$D$78)^2+(E54-$E$78)^2+(F54-$F$78)^2+(G54-$G$78)^2+(H54-$H$78)^2+(I54-$I$78)^2+(J54-$J$78)^2+(K54-$K$78)^2+(L54-$L$78)^2+(M54-$M$78)^2+(N54-$N$78)^2+(O54-$O$78)^2+(P54-$P$78)^2+(Q54-$Q$78)^2+(R54-$R$78)^2+(S54-$S$78)^2+(T54-$T$78)^2+(U54-$U$78)^2+(V54-$V$78)^2+(W54-$W$78)^2+(X54-$X$78)^2+(Y54-$Y$78)^2+(Z54-$Z$78)^2+(AA54-$AA$78)^2+(AB54-$AB$78)^2+(AC54-$AC$78)^2+(AD54-$AD$78)^2+(AE54-$AE$78)^2+(AF54-$AF$78)^2+(AG54-$AG$78)^2)</f>
        <v>2.310074041089865</v>
      </c>
      <c r="DP54" s="36" t="s">
        <v>123</v>
      </c>
      <c r="DQ54" s="37" t="s">
        <v>120</v>
      </c>
      <c r="DS54" s="44"/>
      <c r="DT54" s="36">
        <f>SQRT((A54-$A$79)^2+(B54-$B$79)^2+(C54-$C$79)^2+(D54-$D$79)^2+(E54-$E$79)^2+(F54-$F$79)^2+(G54-$G$79)^2+(H54-$H$79)^2+(I54-$I$79)^2+(J54-$J$79)^2+(K54-$K$79)^2+(L54-$L$79)^2+(M54-$M$79)^2+(N54-$N$79)^2+(O54-$O$79)^2+(P54-$P$79)^2+(Q54-$Q$79)^2+(R54-$R$79)^2+(S54-$S$79)^2+(T54-$T$79)^2+(U54-$U$79)^2+(V54-$V$79)^2+(W54-$W$79)^2+(X54-$X$79)^2+(Y54-$Y$79)^2+(Z54-$Z$79)^2+(AA54-$AA$79)^2+(AB54-$AB$79)^2+(AC54-$AC$79)^2+(AD54-$AD$79)^2+(AE54-$AE$79)^2+(AF54-$AF$79)^2+(AG54-$AG$79)^2)</f>
        <v>2.2354456175019162</v>
      </c>
      <c r="DU54" s="36" t="s">
        <v>140</v>
      </c>
      <c r="DV54" s="37" t="s">
        <v>120</v>
      </c>
      <c r="DX54" s="44"/>
      <c r="DY54" s="36">
        <f>SQRT((A54-$A$80)^2+(B54-$B$80)^2+(C54-$C$80)^2+(D54-$D$80)^2+(E54-$E$80)^2+(F54-$F$80)^2+(G54-$G$80)^2+(H54-$H$80)^2+(I54-$I$80)^2+(J54-$J$80)^2+(K54-$K$80)^2+(L54-$L$80)^2+(M54-$M$80)^2+(N54-$N$80)^2+(O54-$O$80)^2+(P54-$P$80)^2+(Q54-$Q$80)^2+(R54-$R$80)^2+(S54-$S$80)^2+(T54-$T$80)^2+(U54-$U$80)^2+(V54-$V$80)^2+(W54-$W$80)^2+(X54-$X$80)^2+(Y54-$Y$80)^2+(Z54-$Z$80)^2+(AA54-$AA$80)^2+(AB54-$AB$80)^2+(AC54-$AC$80)^2+(AD54-$AD$80)^2+(AE54-$AE$80)^2+(AF54-$AF$80)^2+(AG54-$AG$80)^2)</f>
        <v>2.7734806580340035</v>
      </c>
      <c r="DZ54" s="36" t="s">
        <v>140</v>
      </c>
      <c r="EA54" s="37" t="s">
        <v>120</v>
      </c>
      <c r="EC54" s="44"/>
      <c r="ED54" s="36">
        <f>SQRT((A54-$A$81)^2+(B54-$B$81)^2+(C54-$C$81)^2+(D54-$D$81)^2+(E54-$E$81)^2+(F54-$F$81)^2+(G54-$G$81)^2+(H54-$H$81)^2+(I54-$I$81)^2+(J54-$J$81)^2+(K54-$K$81)^2+(L54-$L$81)^2+(M54-$M$81)^2+(N54-$N$81)^2+(O54-$O$81)^2+(P54-$P$81)^2+(Q54-$Q$81)^2+(R54-$R$81)^2+(S54-$S$81)^2+(T54-$T$81)^2+(U54-$U$81)^2+(V54-$V$81)^2+(W54-$W$81)^2+(X54-$X$81)^2+(Y54-$Y$81)^2+(Z54-$Z$81)^2+(AA54-$AA$81)^2+(AB54-$AB$81)^2+(AC54-$AC$81)^2+(AD54-$AD$81)^2+(AE54-$AE$81)^2+(AF54-$AF$81)^2+(AG54-$AG$81)^2)</f>
        <v>2.9430747309928553</v>
      </c>
      <c r="EE54" s="36" t="s">
        <v>144</v>
      </c>
      <c r="EF54" s="37" t="s">
        <v>120</v>
      </c>
      <c r="EH54" s="44"/>
      <c r="EI54" s="36">
        <f>SQRT((A54-$A$82)^2+(B54-$B$82)^2+(C54-$C$82)^2+(D54-$D$82)^2+(E54-$E$82)^2+(F54-$F$82)^2+(G54-$G$82)^2+(H54-$H$82)^2+(I54-$I$82)^2+(J54-$J$82)^2+(K54-$K$82)^2+(L54-$L$82)^2+(M54-$M$82)^2+(N54-$N$82)^2+(O54-$O$82)^2+(P54-$P$82)^2+(Q54-$Q$82)^2+(R54-$R$82)^2+(S54-$S$82)^2+(T54-$T$82)^2+(U54-$U$82)^2+(V54-$V$82)^2+(W54-$W$82)^2+(X54-$X$82)^2+(Y54-$Y$82)^2+(Z54-$Z$82)^2+(AA54-$AA$82)^2+(AB54-$AB$82)^2+(AC54-$AC$82)^2+(AD54-$AD$82)^2+(AE54-$AE$82)^2+(AF54-$AF$82)^2+(AG54-$AG$82)^2)</f>
        <v>1.9011101633243237</v>
      </c>
      <c r="EJ54" s="36" t="s">
        <v>329</v>
      </c>
      <c r="EK54" s="37" t="s">
        <v>120</v>
      </c>
      <c r="EM54" s="44"/>
      <c r="EN54" s="36">
        <f>SQRT((A54-$A$83)^2+(B54-$B$83)^2+(C54-$C$83)^2+(D54-$D$83)^2+(E54-$E$83)^2+(F54-$F$83)^2+(G54-$G$83)^2+(H54-$H$83)^2+(I54-$I$83)^2+(J54-$J$83)^2+(K54-$K$83)^2+(L54-$L$83)^2+(M54-$M$83)^2+(N54-$N$83)^2+(O54-$O$83)^2+(P54-$P$83)^2+(Q54-$Q$83)^2+(R54-$R$83)^2+(S54-$S$83)^2+(T54-$T$83)^2+(U54-$U$83)^2+(V54-$V$83)^2+(W54-$W$83)^2+(X54-$X$83)^2+(Y54-$Y$83)^2+(Z54-$Z$83)^2+(AA54-$AA$83)^2+(AB54-$AB$83)^2+(AC54-$AC$83)^2+(AD54-$AD$83)^2+(AE54-$AE$83)^2+(AF54-$AF$83)^2+(AG54-$AG$83)^2)</f>
        <v>2.3151681837725904</v>
      </c>
      <c r="EO54" s="36" t="s">
        <v>123</v>
      </c>
      <c r="EP54" s="37" t="s">
        <v>120</v>
      </c>
      <c r="ER54" s="44"/>
      <c r="ES54" s="36">
        <f>SQRT((A54-$A$84)^2+(B54-$B$84)^2+(C54-$C$84)^2+(D54-$D$84)^2+(E54-$E$84)^2+(F54-$F$84)^2+(G54-$G$84)^2+(H54-$H$84)^2+(I54-$I$84)^2+(J54-$J$84)^2+(K54-$K$84)^2+(L54-$L$84)^2+(M54-$M$84)^2+(N54-$N$84)^2+(O54-$O$84)^2+(P54-$P$84)^2+(Q54-$Q$84)^2+(R54-$R$84)^2+(S54-$S$84)^2+(T54-$T$84)^2+(U54-$U$84)^2+(V54-$V$84)^2+(W54-$W$84)^2+(X54-$X$84)^2+(Y54-$Y$84)^2+(Z54-$Z$84)^2+(AA54-$AA$84)^2+(AB54-$AB$84)^2+(AC54-$AC$84)^2+(AD54-$AD$84)^2+(AE54-$AE$84)^2+(AF54-$AF$84)^2+(AG54-$AG$84)^2)</f>
        <v>2.1084918528614494</v>
      </c>
      <c r="ET54" s="36" t="s">
        <v>140</v>
      </c>
      <c r="EU54" s="37" t="s">
        <v>120</v>
      </c>
      <c r="EW54" s="44"/>
      <c r="EX54" s="36">
        <f>SQRT((A54-$A$85)^2+(B54-$B$85)^2+(C54-$C$85)^2+(D54-$D$85)^2+(E54-$E$85)^2+(F54-$F$85)^2+(G54-$G$85)^2+(H54-$H$85)^2+(I54-$I$85)^2+(J54-$J$85)^2+(K54-$K$85)^2+(L54-$L$85)^2+(M54-$M$85)^2+(N54-$N$85)^2+(O54-$O$85)^2+(P54-$P$85)^2+(Q54-$Q$85)^2+(R54-$R$85)^2+(S54-$S$85)^2+(T54-$T$85)^2+(U54-$U$85)^2+(V54-$V$85)^2+(W54-$W$85)^2+(X54-$X$85)^2+(Y54-$Y$85)^2+(Z54-$Z$85)^2+(AA54-$AA$85)^2+(AB54-$AB$85)^2+(AC54-$AC$85)^2+(AD54-$AD$85)^2+(AE54-$AE$85)^2+(AF54-$AF$85)^2+(AG54-$AG$85)^2)</f>
        <v>2.1084918528614494</v>
      </c>
      <c r="EY54" s="36" t="s">
        <v>140</v>
      </c>
      <c r="EZ54" s="37" t="s">
        <v>120</v>
      </c>
      <c r="FB54" s="44"/>
      <c r="FC54" s="36">
        <f>SQRT((A54-$A$86)^2+(B54-$B$86)^2+(C54-$C$86)^2+(D54-$D$86)^2+(E54-$E$86)^2+(F54-$F$86)^2+(G54-$G$86)^2+(H54-$H$86)^2+(I54-$I$86)^2+(J54-$J$86)^2+(K54-$K$86)^2+(L54-$L$86)^2+(M54-$M$86)^2+(N54-$N$86)^2+(O54-$O$86)^2+(P54-$P$86)^2+(Q54-$Q$86)^2+(R54-$R$86)^2+(S54-$S$86)^2+(T54-$T$86)^2+(U54-$U$86)^2+(V54-$V$86)^2+(W54-$W$86)^2+(X54-$X$86)^2+(Y54-$Y$86)^2+(Z54-$Z$86)^2+(AA54-$AA$86)^2+(AB54-$AB$86)^2+(AC54-$AC$86)^2+(AD54-$AD$86)^2+(AE54-$AE$86)^2+(AF54-$AF$86)^2+(AG54-$AG$86)^2)</f>
        <v>2.1084918528614494</v>
      </c>
      <c r="FD54" s="36" t="s">
        <v>140</v>
      </c>
      <c r="FE54" s="37" t="s">
        <v>120</v>
      </c>
      <c r="FG54" s="44"/>
      <c r="FH54" s="36">
        <f>SQRT((A54-$A$87)^2+(B54-$B$87)^2+(C54-$C$87)^2+(D54-$D$87)^2+(E54-$E$87)^2+(F54-$F$87)^2+(G54-$G$87)^2+(H54-$H$87)^2+(I54-$I$87)^2+(J54-$J$87)^2+(K54-$K$87)^2+(L54-$L$87)^2+(M54-$M$87)^2+(N54-$N$87)^2+(O54-$O$87)^2+(P54-$P$87)^2+(Q54-$Q$87)^2+(R54-$R$87)^2+(S54-$S$87)^2+(T54-$T$87)^2+(U54-$U$87)^2+(V54-$V$87)^2+(W54-$W$87)^2+(X54-$X$87)^2+(Y54-$Y$87)^2+(Z54-$Z$87)^2+(AA54-$AA$87)^2+(AB54-$AB$87)^2+(AC54-$AC$87)^2+(AD54-$AD$87)^2+(AE54-$AE$87)^2+(AF54-$AF$87)^2+(AG54-$AG$87)^2)</f>
        <v>2.0636456373740897</v>
      </c>
      <c r="FI54" s="36" t="s">
        <v>136</v>
      </c>
      <c r="FJ54" s="37" t="s">
        <v>120</v>
      </c>
      <c r="FL54" s="44"/>
      <c r="FM54" s="36">
        <f>SQRT((A54-$A$88)^2+(B54-$B$88)^2+(C54-$C$88)^2+(D54-$D$88)^2+(E54-$E$88)^2+(F54-$F$88)^2+(G54-$G$88)^2+(H54-$H$88)^2+(I54-$I$88)^2+(J54-$J$88)^2+(K54-$K$88)^2+(L54-$L$88)^2+(M54-$M$88)^2+(N54-$N$88)^2+(O54-$O$88)^2+(P54-$P$88)^2+(Q54-$Q$88)^2+(R54-$R$88)^2+(S54-$S$88)^2+(T54-$T$88)^2+(U54-$U$88)^2+(V54-$V$88)^2+(W54-$W$88)^2+(X54-$X$88)^2+(Y54-$Y$88)^2+(Z54-$Z$88)^2+(AA54-$AA$88)^2+(AB54-$AB$88)^2+(AC54-$AC$88)^2+(AD54-$AD$88)^2+(AE54-$AE$88)^2+(AF54-$AF$88)^2+(AG54-$AG$88)^2)</f>
        <v>2.5452058163700357</v>
      </c>
      <c r="FN54" s="36" t="s">
        <v>148</v>
      </c>
      <c r="FO54" s="37" t="s">
        <v>120</v>
      </c>
      <c r="FQ54" s="44"/>
      <c r="FR54" s="36">
        <f>SQRT((A54-$A$89)^2+(B54-$B$89)^2+(C54-$C$89)^2+(D54-$D$89)^2+(E54-$E$89)^2+(F54-$F$89)^2+(G54-$G$89)^2+(H54-$H$89)^2+(I54-$I$89)^2+(J54-$J$89)^2+(K54-$K$89)^2+(L54-$L$89)^2+(M54-$M$89)^2+(N54-$N$89)^2+(O54-$O$89)^2+(P54-$P$89)^2+(Q54-$Q$89)^2+(R54-$R$89)^2+(S54-$S$89)^2+(T54-$T$89)^2+(U54-$U$89)^2+(V54-$V$89)^2+(W54-$W$89)^2+(X54-$X$89)^2+(Y54-$Y$89)^2+(Z54-$Z$89)^2+(AA54-$AA$89)^2+(AB54-$AB$89)^2+(AC54-$AC$89)^2+(AD54-$AD$89)^2+(AE54-$AE$89)^2+(AF54-$AF$89)^2+(AG54-$AG$89)^2)</f>
        <v>2.8140066305275671</v>
      </c>
      <c r="FS54" s="36" t="s">
        <v>140</v>
      </c>
      <c r="FT54" s="37" t="s">
        <v>120</v>
      </c>
      <c r="FV54" s="44"/>
      <c r="FW54" s="36">
        <f>SQRT((A54-$A$90)^2+(B54-$B$90)^2+(C54-$C$90)^2+(D54-$D$90)^2+(E54-$E$90)^2+(F54-$F$90)^2+(G54-$G$90)^2+(H54-$H$90)^2+(I54-$I$90)^2+(J54-$J$90)^2+(K54-$K$90)^2+(L54-$L$90)^2+(M54-$M$90)^2+(N54-$N$90)^2+(O54-$O$90)^2+(P54-$P$90)^2+(Q54-$Q$90)^2+(R54-$R$90)^2+(S54-$S$90)^2+(T54-$T$90)^2+(U54-$U$90)^2+(V54-$V$90)^2+(W54-$W$90)^2+(X54-$X$90)^2+(Y54-$Y$90)^2+(Z54-$Z$90)^2+(AA54-$AA$90)^2+(AB54-$AB$90)^2+(AC54-$AC$90)^2+(AD54-$AD$90)^2+(AE54-$AE$90)^2+(AF54-$AF$90)^2+(AG54-$AG$90)^2)</f>
        <v>2.3461494374210163</v>
      </c>
      <c r="FX54" s="36" t="s">
        <v>138</v>
      </c>
      <c r="FY54" s="37" t="s">
        <v>120</v>
      </c>
      <c r="GA54" s="44"/>
      <c r="GB54" s="36">
        <f>SQRT((A54-$A$91)^2+(B54-$B$91)^2+(C54-$C$91)^2+(D54-$D$91)^2+(E54-$E$91)^2+(F54-$F$91)^2+(G54-$G$91)^2+(H54-$H$91)^2+(I54-$I$91)^2+(J54-$J$91)^2+(K54-$K$91)^2+(L54-$L$91)^2+(M54-$M$91)^2+(N54-$N$91)^2+(O54-$O$91)^2+(P54-$P$91)^2+(Q54-$Q$91)^2+(R54-$R$91)^2+(S54-$S$91)^2+(T54-$T$91)^2+(U54-$U$91)^2+(V54-$V$91)^2+(W54-$W$91)^2+(X54-$X$91)^2+(Y54-$Y$91)^2+(Z54-$Z$91)^2+(AA54-$AA$91)^2+(AB54-$AB$91)^2+(AC54-$AC$91)^2+(AD54-$AD$91)^2+(AE54-$AE$91)^2+(AF54-$AF$91)^2+(AG54-$AG$91)^2)</f>
        <v>2.6825609623367579</v>
      </c>
      <c r="GC54" s="36" t="s">
        <v>141</v>
      </c>
      <c r="GD54" s="37" t="s">
        <v>120</v>
      </c>
      <c r="GF54" s="44"/>
      <c r="GG54" s="36">
        <f>SQRT((A54-$A$92)^2+(B54-$B$92)^2+(C54-$C$92)^2+(D54-$D$92)^2+(E54-$E$92)^2+(F54-$F$92)^2+(G54-$G$92)^2+(H54-$H$92)^2+(I54-$I$92)^2+(J54-$J$92)^2+(K54-$K$92)^2+(L54-$L$92)^2+(M54-$M$92)^2+(N54-$N$92)^2+(O54-$O$92)^2+(P54-$P$92)^2+(Q54-$Q$92)^2+(R54-$R$92)^2+(S54-$S$92)^2+(T54-$T$92)^2+(U54-$U$92)^2+(V54-$V$92)^2+(W54-$W$92)^2+(X54-$X$92)^2+(Y54-$Y$92)^2+(Z54-$Z$92)^2+(AA54-$AA$92)^2+(AB54-$AB$92)^2+(AC54-$AC$92)^2+(AD54-$AD$92)^2+(AE54-$AE$92)^2+(AF54-$AF$92)^2+(AG54-$AG$92)^2)</f>
        <v>2.4279084237982547</v>
      </c>
      <c r="GH54" s="36" t="s">
        <v>137</v>
      </c>
      <c r="GI54" s="37" t="s">
        <v>120</v>
      </c>
      <c r="GK54" s="44"/>
      <c r="GL54" s="36">
        <f>SQRT((A54-$A$93)^2+(B54-$B$93)^2+(C54-$C$93)^2+(D54-$D$93)^2+(E54-$E$93)^2+(F54-$F$93)^2+(G54-$G$93)^2+(H54-$H$93)^2+(I54-$I$93)^2+(J54-$J$93)^2+(K54-$K$93)^2+(L54-$L$93)^2+(M54-$M$93)^2+(N54-$N$93)^2+(O54-$O$93)^2+(P54-$P$93)^2+(Q54-$Q$93)^2+(R54-$R$93)^2+(S54-$S$93)^2+(T54-$T$93)^2+(U54-$U$93)^2+(V54-$V$93)^2+(W54-$W$93)^2+(X54-$X$93)^2+(Y54-$Y$93)^2+(Z54-$Z$93)^2+(AA54-$AA$93)^2+(AB54-$AB$93)^2+(AC54-$AC$93)^2+(AD54-$AD$93)^2+(AE54-$AE$93)^2+(AF54-$AF$93)^2+(AG54-$AG$93)^2)</f>
        <v>2.7177861628824651</v>
      </c>
      <c r="GM54" s="36" t="s">
        <v>143</v>
      </c>
      <c r="GN54" s="37" t="s">
        <v>120</v>
      </c>
      <c r="GP54" s="44"/>
      <c r="GQ54" s="36">
        <f>SQRT((A54-$A$94)^2+(B54-$B$94)^2+(C54-$C$94)^2+(D54-$D$94)^2+(E54-$E$94)^2+(F54-$F$94)^2+(G54-$G$94)^2+(H54-$H$94)^2+(I54-$I$94)^2+(J54-$J$94)^2+(K54-$K$94)^2+(L54-$L$94)^2+(M54-$M$94)^2+(N54-$N$94)^2+(O54-$O$94)^2+(P54-$P$94)^2+(Q54-$Q$94)^2+(R54-$R$94)^2+(S54-$S$94)^2+(T54-$T$94)^2+(U54-$U$94)^2+(V54-$V$94)^2+(W54-$W$94)^2+(X54-$X$94)^2+(Y54-$Y$94)^2+(Z54-$Z$94)^2+(AA54-$AA$94)^2+(AB54-$AB$94)^2+(AC54-$AC$94)^2+(AD54-$AD$94)^2+(AE54-$AE$94)^2+(AF54-$AF$94)^2+(AG54-$AG$94)^2)</f>
        <v>2.2243095977018061</v>
      </c>
      <c r="GR54" s="36" t="s">
        <v>123</v>
      </c>
      <c r="GS54" s="37" t="s">
        <v>120</v>
      </c>
      <c r="GU54" s="44"/>
      <c r="GV54" s="36">
        <f>SQRT((A54-$A$95)^2+(B54-$B$95)^2+(C54-$C$95)^2+(D54-$D$95)^2+(E54-$E$95)^2+(F54-$F$95)^2+(G54-$G$95)^2+(H54-$H$95)^2+(I54-$I$95)^2+(J54-$J$95)^2+(K54-$K$95)^2+(L54-$L$95)^2+(M54-$M$95)^2+(N54-$N$95)^2+(O54-$O$95)^2+(P54-$P$95)^2+(Q54-$Q$95)^2+(R54-$R$95)^2+(S54-$S$95)^2+(T54-$T$95)^2+(U54-$U$95)^2+(V54-$V$95)^2+(W54-$W$95)^2+(X54-$X$95)^2+(Y54-$Y$95)^2+(Z54-$Z$95)^2+(AA54-$AA$95)^2+(AB54-$AB$95)^2+(AC54-$AC$95)^2+(AD54-$AD$95)^2+(AE54-$AE$95)^2+(AF54-$AF$95)^2+(AG54-$AG$95)^2)</f>
        <v>3.3042935007162022</v>
      </c>
      <c r="GW54" s="36" t="s">
        <v>326</v>
      </c>
      <c r="GX54" s="37" t="s">
        <v>120</v>
      </c>
      <c r="GZ54" s="44"/>
      <c r="HA54" s="36">
        <f>SQRT((A54-$A$96)^2+(B54-$B$96)^2+(C54-$C$96)^2+(D54-$D$96)^2+(E54-$E$96)^2+(F54-$F$96)^2+(G54-$G$96)^2+(H54-$H$96)^2+(I54-$I$96)^2+(J54-$J$96)^2+(K54-$K$96)^2+(L54-$L$96)^2+(M54-$M$96)^2+(N54-$N$96)^2+(O54-$O$96)^2+(P54-$P$96)^2+(Q54-$Q$96)^2+(R54-$R$96)^2+(S54-$S$96)^2+(T54-$T$96)^2+(U54-$U$96)^2+(V54-$V$96)^2+(W54-$W$96)^2+(X54-$X$96)^2+(Y54-$Y$96)^2+(Z54-$Z$96)^2+(AA54-$AA$96)^2+(AB54-$AB$96)^2+(AC54-$AC$96)^2+(AD54-$AD$96)^2+(AE54-$AE$96)^2+(AF54-$AF$96)^2+(AG54-$AG$96)^2)</f>
        <v>3.1793999196983096</v>
      </c>
      <c r="HB54" s="36" t="s">
        <v>148</v>
      </c>
      <c r="HC54" s="37" t="s">
        <v>120</v>
      </c>
      <c r="HE54" s="44"/>
      <c r="HF54" s="36">
        <f>SQRT((A54-$A$97)^2+(B54-$B$97)^2+(C54-$C$97)^2+(D54-$D$97)^2+(E54-$E$97)^2+(F54-$F$97)^2+(G54-$G$97)^2+(H54-$H$97)^2+(I54-$I$97)^2+(J54-$J$97)^2+(K54-$K$97)^2+(L54-$L$97)^2+(M54-$M$97)^2+(N54-$N$97)^2+(O54-$O$97)^2+(P54-$P$97)^2+(Q54-$Q$97)^2+(R54-$R$97)^2+(S54-$S$97)^2+(T54-$T$97)^2+(U54-$U$97)^2+(V54-$V$97)^2+(W54-$W$97)^2+(X54-$X$97)^2+(Y54-$Y$97)^2+(Z54-$Z$97)^2+(AA54-$AA$97)^2+(AB54-$AB$97)^2+(AC54-$AC$97)^2+(AD54-$AD$97)^2+(AE54-$AE$97)^2+(AF54-$AF$97)^2+(AG54-$AG$97)^2)</f>
        <v>2.1084918528614494</v>
      </c>
      <c r="HG54" s="36" t="s">
        <v>140</v>
      </c>
      <c r="HH54" s="37" t="s">
        <v>120</v>
      </c>
      <c r="HJ54" s="44"/>
      <c r="HK54" s="36">
        <f>SQRT((A54-$A$98)^2+(B54-$B$98)^2+(C54-$C$98)^2+(D54-$D$98)^2+(E54-$E$98)^2+(F54-$F$98)^2+(G54-$G$98)^2+(H54-$H$98)^2+(I54-$I$98)^2+(J54-$J$98)^2+(K54-$K$98)^2+(L54-$L$98)^2+(M54-$M$98)^2+(N54-$N$98)^2+(O54-$O$98)^2+(P54-$P$98)^2+(Q54-$Q$98)^2+(R54-$R$98)^2+(S54-$S$98)^2+(T54-$T$98)^2+(U54-$U$98)^2+(V54-$V$98)^2+(W54-$W$98)^2+(X54-$X$98)^2+(Y54-$Y$98)^2+(Z54-$Z$98)^2+(AA54-$AA$98)^2+(AB54-$AB$98)^2+(AC54-$AC$98)^2+(AD54-$AD$98)^2+(AE54-$AE$98)^2+(AF54-$AF$98)^2+(AG54-$AG$98)^2)</f>
        <v>2.1084918528614494</v>
      </c>
      <c r="HL54" s="36" t="s">
        <v>140</v>
      </c>
      <c r="HM54" s="37" t="s">
        <v>120</v>
      </c>
      <c r="HO54" s="44"/>
      <c r="HP54" s="36">
        <f>SQRT((A54-$A$99)^2+(B54-$B$99)^2+(C54-$C$99)^2+(D54-$D$99)^2+(E54-$E$99)^2+(F54-$F$99)^2+(G54-$G$99)^2+(H54-$H$99)^2+(I54-$I$99)^2+(J54-$J$99)^2+(K54-$K$99)^2+(L54-$L$99)^2+(M54-$M$99)^2+(N54-$N$99)^2+(O54-$O$99)^2+(P54-$P$99)^2+(Q54-$Q$99)^2+(R54-$R$99)^2+(S54-$S$99)^2+(T54-$T$99)^2+(U54-$U$99)^2+(V54-$V$99)^2+(W54-$W$99)^2+(X54-$X$99)^2+(Y54-$Y$99)^2+(Z54-$Z$99)^2+(AA54-$AA$99)^2+(AB54-$AB$99)^2+(AC54-$AC$99)^2+(AD54-$AD$99)^2+(AE54-$AE$99)^2+(AF54-$AF$99)^2+(AG54-$AG$99)^2)</f>
        <v>2.1084918528614494</v>
      </c>
      <c r="HQ54" s="36" t="s">
        <v>140</v>
      </c>
      <c r="HR54" s="37" t="s">
        <v>120</v>
      </c>
      <c r="HT54" s="44"/>
      <c r="HU54" s="36">
        <f>SQRT((A54-$A$100)^2+(B54-$B$100)^2+(C54-$C$100)^2+(D54-$D$100)^2+(E54-$E$100)^2+(F54-$F$100)^2+(G54-$G$100)^2+(H54-$H$100)^2+(I54-$I$100)^2+(J54-$J$100)^2+(K54-$K$100)^2+(L54-$L$100)^2+(M54-$M$100)^2+(N54-$N$100)^2+(O54-$O$100)^2+(P54-$P$100)^2+(Q54-$Q$100)^2+(R54-$R$100)^2+(S54-$S$100)^2+(T54-$T$100)^2+(U54-$U$100)^2+(V54-$V$100)^2+(W54-$W$100)^2+(X54-$X$100)^2+(Y54-$Y$100)^2+(Z54-$Z$100)^2+(AA54-$AA$100)^2+(AB54-$AB$100)^2+(AC54-$AC$100)^2+(AD54-$AD$100)^2+(AE54-$AE$100)^2+(AF54-$AF$100)^2+(AG54-$AG$100)^2)</f>
        <v>2.1084918528614494</v>
      </c>
      <c r="HV54" s="36" t="s">
        <v>140</v>
      </c>
      <c r="HW54" s="37" t="s">
        <v>120</v>
      </c>
      <c r="HY54" s="44"/>
      <c r="HZ54" s="36">
        <f>SQRT((A54-$A$101)^2+(B54-$B$101)^2+(C54-$C$101)^2+(D54-$D$101)^2+(E54-$E$101)^2+(F54-$F$101)^2+(G54-$G$101)^2+(H54-$H$101)^2+(I54-$I$101)^2+(J54-$J$101)^2+(K54-$K$101)^2+(L54-$L$101)^2+(M54-$M$101)^2+(N54-$N$101)^2+(O54-$O$101)^2+(P54-$P$101)^2+(Q54-$Q$101)^2+(R54-$R$101)^2+(S54-$S$101)^2+(T54-$T$101)^2+(U54-$U$101)^2+(V54-$V$101)^2+(W54-$W$101)^2+(X54-$X$101)^2+(Y54-$Y$101)^2+(Z54-$Z$101)^2+(AA54-$AA$101)^2+(AB54-$AB$101)^2+(AC54-$AC$101)^2+(AD54-$AD$101)^2+(AE54-$AE$101)^2+(AF54-$AF$101)^2+(AG54-$AG$101)^2)</f>
        <v>2.9517839171968641</v>
      </c>
      <c r="IA54" s="36" t="s">
        <v>144</v>
      </c>
      <c r="IB54" s="37" t="s">
        <v>120</v>
      </c>
    </row>
    <row r="55" spans="1:236" x14ac:dyDescent="0.3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0.55555555555555503</v>
      </c>
      <c r="H55" s="2">
        <v>1</v>
      </c>
      <c r="I55" s="2">
        <v>0</v>
      </c>
      <c r="J55" s="2">
        <v>0</v>
      </c>
      <c r="K55" s="2">
        <v>0.5</v>
      </c>
      <c r="L55" s="2">
        <v>0.158904109589041</v>
      </c>
      <c r="M55" s="2">
        <v>1</v>
      </c>
      <c r="N55" s="2">
        <v>0</v>
      </c>
      <c r="O55" s="2">
        <v>0</v>
      </c>
      <c r="P55" s="2">
        <v>0.4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0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0.19565217391304299</v>
      </c>
      <c r="AH55" s="2" t="s">
        <v>120</v>
      </c>
      <c r="AI55" s="42"/>
      <c r="AJ55" s="42"/>
      <c r="AL55" s="44"/>
      <c r="AM55" s="36">
        <f>SQRT((A55-$A$62)^2+(B55-$B$62)^2+(C55-$C$62)^2+(D55-$D$62)^2+(E55-$E$62)^2+(F55-$F$62)^2+(G55-$G$62)^2+(H55-$H$62)^2+(I55-$I$62)^2+(J55-$J$62)^2+(K55-$K$62)^2+(L55-$L$62)^2+(M55-$M$62)^2+(N55-$N$62)^2+(O55-$O$62)^2+(P55-$P$62)^2+(Q55-$Q$62)^2+(R55-$R$62)^2+(S55-$S$62)^2+(T55-$T$62)^2+(U55-$U$62)^2+(V55-$V$62)^2+(W55-$W$62)^2+(X55-$X$62)^2+(Y55-$Y$62)^2+(Z55-$Z$62)^2+(AA55-$AA$62)^2+(AB55-$AB$62)^2+(AC55-$AC$62)^2+(AD55-$AD$62)^2+(AE55-$AE$62)^2+(AF55-$AF$62)^2+(AG55-$AG$62)^2)</f>
        <v>2.0306599312727576</v>
      </c>
      <c r="AN55" s="36" t="s">
        <v>124</v>
      </c>
      <c r="AO55" s="37" t="s">
        <v>120</v>
      </c>
      <c r="AQ55" s="44"/>
      <c r="AR55" s="36">
        <f>SQRT((A55-$A$63)^2+(B55-$B$63)^2+(C55-$C$63)^2+(D55-$D$63)^2+(E55-$E$63)^2+(F55-$F$63)^2+(G55-$G$63)^2+(H55-$H$63)^2+(I55-$I$63)^2+(J55-$J$63)^2+(K55-$K$63)^2+(L55-$L$63)^2+(M55-$M$63)^2+(N55-$N$63)^2+(O55-$O$63)^2+(P55-$P$63)^2+(Q55-$Q$63)^2+(R55-$R$63)^2+(S55-$S$63)^2+(T55-$T$63)^2+(U55-$U$63)^2+(V55-$V$63)^2+(W55-$W$63)^2+(X55-$X$63)^2+(Y55-$Y$63)^2+(Z55-$Z$63)^2+(AA55-$AA$63)^2+(AB55-$AB$63)^2+(AC55-$AC$63)^2+(AD55-$AD$63)^2+(AE55-$AE$63)^2+(AF55-$AF$63)^2+(AG55-$AG$63)^2)</f>
        <v>1.1249654790484307</v>
      </c>
      <c r="AS55" s="36" t="s">
        <v>138</v>
      </c>
      <c r="AT55" s="37" t="s">
        <v>120</v>
      </c>
      <c r="AV55" s="44"/>
      <c r="AW55" s="36">
        <f>SQRT((A55-$A$64)^2+(B55-$B$64)^2+(C55-$C$64)^2+(D55-$D$64)^2+(E55-$E$64)^2+(F55-$F$64)^2+(G55-$G$64)^2+(H55-$H$64)^2+(I55-$I$64)^2+(J55-$J$64)^2+(K55-$K$64)^2+(L55-$L$64)^2+(M55-$M$64)^2+(N55-$N$64)^2+(O55-$O$64)^2+(P55-$P$64)^2+(Q55-$Q$64)^2+(R55-$R$64)^2+(S55-$S$64)^2+(T55-$T$64)^2+(U55-$U$64)^2+(V55-$V$64)^2+(W55-$W$64)^2+(X55-$X$64)^2+(Y55-$Y$64)^2+(Z55-$Z$64)^2+(AA55-$AA$64)^2+(AB55-$AB$64)^2+(AC55-$AC$64)^2+(AD55-$AD$64)^2+(AE55-$AE$64)^2+(AF55-$AF$64)^2+(AG55-$AG$64)^2)</f>
        <v>1.1249654790484307</v>
      </c>
      <c r="AX55" s="36" t="s">
        <v>138</v>
      </c>
      <c r="AY55" s="37" t="s">
        <v>120</v>
      </c>
      <c r="BA55" s="44"/>
      <c r="BB55" s="36">
        <f>SQRT((A55-$A$65)^2+(B55-$B$65)^2+(C55-$C$65)^2+(D55-$D$65)^2+(E55-$E$65)^2+(F55-$F$65)^2+(G55-$G$65)^2+(H55-$H$65)^2+(I55-$I$65)^2+(J55-$J$65)^2+(K55-$K$65)^2+(L55-$L$65)^2+(M55-$M$65)^2+(N55-$N$65)^2+(O55-$O$65)^2+(P55-$P$65)^2+(Q55-$Q$65)^2+(R55-$R$65)^2+(S55-$S$65)^2+(T55-$T$65)^2+(U55-$U$65)^2+(V55-$V$65)^2+(W55-$W$65)^2+(X55-$X$65)^2+(Y55-$Y$65)^2+(Z55-$Z$65)^2+(AA55-$AA$65)^2+(AB55-$AB$65)^2+(AC55-$AC$65)^2+(AD55-$AD$65)^2+(AE55-$AE$65)^2+(AF55-$AF$65)^2+(AG55-$AG$65)^2)</f>
        <v>1.1249654790484307</v>
      </c>
      <c r="BC55" s="36" t="s">
        <v>138</v>
      </c>
      <c r="BD55" s="37" t="s">
        <v>120</v>
      </c>
      <c r="BF55" s="44"/>
      <c r="BG55" s="36">
        <f>SQRT((A55-$A$66)^2+(B55-$B$66)^2+(C55-$C$66)^2+(D55-$D$66)^2+(E55-$E$66)^2+(F55-$F$66)^2+(G55-$G$66)^2+(H55-$H$66)^2+(I55-$I$66)^2+(J55-$J$66)^2+(K55-$K$66)^2+(L55-$L$66)^2+(M55-$M$66)^2+(N55-$N$66)^2+(O55-$O$66)^2+(P55-$P$66)^2+(Q55-$Q$66)^2+(R55-$R$66)^2+(S55-$S$66)^2+(T55-$T$66)^2+(U55-$U$66)^2+(V55-$V$66)^2+(W55-$W$66)^2+(X55-$X$66)^2+(Y55-$Y$66)^2+(Z55-$Z$66)^2+(AA55-$AA$66)^2+(AB55-$AB$66)^2+(AC55-$AC$66)^2+(AD55-$AD$66)^2+(AE55-$AE$66)^2+(AF55-$AF$66)^2+(AG55-$AG$66)^2)</f>
        <v>1.1249654790484307</v>
      </c>
      <c r="BH55" s="36" t="s">
        <v>138</v>
      </c>
      <c r="BI55" s="37" t="s">
        <v>120</v>
      </c>
      <c r="BK55" s="44"/>
      <c r="BL55" s="36">
        <f>SQRT((A55-$A$67)^2+(B55-$B$67)^2+(C55-$C$67)^2+(D55-$D$67)^2+(E55-$E$67)^2+(F55-$F$67)^2+(G55-$G$67)^2+(H55-$H$67)^2+(I55-$I$67)^2+(J55-$J$67)^2+(K55-$K$67)^2+(L55-$L$67)^2+(M55-$M$67)^2+(N55-$N$67)^2+(O55-$O$67)^2+(P55-$P$67)^2+(Q55-$Q$67)^2+(R55-$R$67)^2+(S55-$S$67)^2+(T55-$T$67)^2+(U55-$U$67)^2+(V55-$V$67)^2+(W55-$W$67)^2+(X55-$X$67)^2+(Y55-$Y$67)^2+(Z55-$Z$67)^2+(AA55-$AA$67)^2+(AB55-$AB$67)^2+(AC55-$AC$67)^2+(AD55-$AD$67)^2+(AE55-$AE$67)^2+(AF55-$AF$67)^2+(AG55-$AG$67)^2)</f>
        <v>1.1249654790484307</v>
      </c>
      <c r="BM55" s="36" t="s">
        <v>138</v>
      </c>
      <c r="BN55" s="37" t="s">
        <v>120</v>
      </c>
      <c r="BP55" s="44"/>
      <c r="BQ55" s="36">
        <f>SQRT((A55-$A$68)^2+(B55-$B$68)^2+(C55-$C$68)^2+(D55-$D$68)^2+(E55-$E$68)^2+(F55-$F$68)^2+(G55-$G$68)^2+(H55-$H$68)^2+(I55-$I$68)^2+(J55-$J$68)^2+(K55-$K$68)^2+(L55-$L$68)^2+(M55-$M$68)^2+(N55-$N$68)^2+(O55-$O$68)^2+(P55-$P$68)^2+(Q55-$Q$68)^2+(R55-$R$68)^2+(S55-$S$68)^2+(T55-$T$68)^2+(U55-$U$68)^2+(V55-$V$68)^2+(W55-$W$68)^2+(X55-$X$68)^2+(Y55-$Y$68)^2+(Z55-$Z$68)^2+(AA55-$AA$68)^2+(AB55-$AB$68)^2+(AC55-$AC$68)^2+(AD55-$AD$68)^2+(AE55-$AE$68)^2+(AF55-$AF$68)^2+(AG55-$AG$68)^2)</f>
        <v>1.1249654790484307</v>
      </c>
      <c r="BR55" s="36" t="s">
        <v>138</v>
      </c>
      <c r="BS55" s="37" t="s">
        <v>120</v>
      </c>
      <c r="BU55" s="44"/>
      <c r="BV55" s="36">
        <f>SQRT((A55-$A$69)^2+(B55-$B$69)^2+(C55-$C$69)^2+(D55-$D$69)^2+(E55-$E$69)^2+(F55-$F$69)^2+(G55-$G$69)^2+(H55-$H$69)^2+(I55-$I$69)^2+(J55-$J$69)^2+(K55-$K$69)^2+(L55-$L$69)^2+(M55-$M$69)^2+(N55-$N$69)^2+(O55-$O$69)^2+(P55-$P$69)^2+(Q55-$Q$69)^2+(R55-$R$69)^2+(S55-$S$69)^2+(T55-$T$69)^2+(U55-$U$69)^2+(V55-$V$69)^2+(W55-$W$69)^2+(X55-$X$69)^2+(Y55-$Y$69)^2+(Z55-$Z$69)^2+(AA55-$AA$69)^2+(AB55-$AB$69)^2+(AC55-$AC$69)^2+(AD55-$AD$69)^2+(AE55-$AE$69)^2+(AF55-$AF$69)^2+(AG55-$AG$69)^2)</f>
        <v>2.2382955538079607</v>
      </c>
      <c r="BW55" s="36" t="s">
        <v>136</v>
      </c>
      <c r="BX55" s="37" t="s">
        <v>120</v>
      </c>
      <c r="BZ55" s="44"/>
      <c r="CA55" s="36">
        <f>SQRT((A55-$A$70)^2+(B55-$B$70)^2+(C55-$C$70)^2+(D55-$D$70)^2+(E55-$E$70)^2+(F55-$F$70)^2+(G55-$G$70)^2+(H55-$H$70)^2+(I55-$I$70)^2+(J55-$J$70)^2+(K55-$K$70)^2+(L55-$L$70)^2+(M55-$M$70)^2+(N55-$N$70)^2+(O55-$O$70)^2+(P55-$P$70)^2+(Q55-$Q$70)^2+(R55-$R$70)^2+(S55-$S$70)^2+(T55-$T$70)^2+(U55-$U$70)^2+(V55-$V$70)^2+(W55-$W$70)^2+(X55-$X$70)^2+(Y55-$Y$70)^2+(Z55-$Z$70)^2+(AA55-$AA$70)^2+(AB55-$AB$70)^2+(AC55-$AC$70)^2+(AD55-$AD$70)^2+(AE55-$AE$70)^2+(AF55-$AF$70)^2+(AG55-$AG$70)^2)</f>
        <v>1.122584408785283</v>
      </c>
      <c r="CB55" s="36" t="s">
        <v>123</v>
      </c>
      <c r="CC55" s="37" t="s">
        <v>120</v>
      </c>
      <c r="CE55" s="44"/>
      <c r="CF55" s="36">
        <f>SQRT((A55-$A$71)^2+(B55-$B$71)^2+(C55-$C$71)^2+(D55-$D$71)^2+(E55-$E$71)^2+(F55-$F$71)^2+(G55-$G$71)^2+(H55-$H$71)^2+(I55-$I$71)^2+(J55-$J$71)^2+(K55-$K$71)^2+(L55-$L$71)^2+(M55-$M$71)^2+(N55-$N$71)^2+(O55-$O$71)^2+(P55-$P$71)^2+(Q55-$Q$71)^2+(R55-$R$71)^2+(S55-$S$71)^2+(T55-$T$71)^2+(U55-$U$71)^2+(V55-$V$71)^2+(W55-$W$71)^2+(X55-$X$71)^2+(Y55-$Y$71)^2+(Z55-$Z$71)^2+(AA55-$AA$71)^2+(AB55-$AB$71)^2+(AC55-$AC$71)^2+(AD55-$AD$71)^2+(AE55-$AE$71)^2+(AF55-$AF$71)^2+(AG55-$AG$71)^2)</f>
        <v>1.5010833788978413</v>
      </c>
      <c r="CG55" s="36" t="s">
        <v>148</v>
      </c>
      <c r="CH55" s="37" t="s">
        <v>120</v>
      </c>
      <c r="CJ55" s="44"/>
      <c r="CK55" s="36">
        <f>SQRT((A55-$A$72)^2+(B55-$B$72)^2+(C55-$C$72)^2+(D55-$D$72)^2+(E55-$E$72)^2+(F55-$F$72)^2+(G55-$G$72)^2+(H55-$H$72)^2+(I55-$I$72)^2+(J55-$J$72)^2+(K55-$K$72)^2+(L55-$L$72)^2+(M55-$M$72)^2+(N55-$N$72)^2+(O55-$O$72)^2+(P55-$P$72)^2+(Q55-$Q$72)^2+(R55-$R$72)^2+(S55-$S$72)^2+(T55-$T$72)^2+(U55-$U$72)^2+(V55-$V$72)^2+(W55-$W$72)^2+(X55-$X$72)^2+(Y55-$Y$72)^2+(Z55-$Z$72)^2+(AA55-$AA$72)^2+(AB55-$AB$72)^2+(AC55-$AC$72)^2+(AD55-$AD$72)^2+(AE55-$AE$72)^2+(AF55-$AF$72)^2+(AG55-$AG$72)^2)</f>
        <v>1.6816946778222572</v>
      </c>
      <c r="CL55" s="36" t="s">
        <v>139</v>
      </c>
      <c r="CM55" s="37" t="s">
        <v>120</v>
      </c>
      <c r="CO55" s="44"/>
      <c r="CP55" s="36">
        <f>SQRT((A55-$A$73)^2+(B55-$B$73)^2+(C55-$C$73)^2+(D55-$D$73)^2+(E55-$E$73)^2+(F55-$F$73)^2+(G55-$G$73)^2+(H55-$H$73)^2+(I55-$I$73)^2+(J55-$J$73)^2+(K55-$K$73)^2+(L55-$L$73)^2+(M55-$M$73)^2+(N55-$N$73)^2+(O55-$O$73)^2+(P55-$P$73)^2+(Q55-$Q$73)^2+(R55-$R$73)^2+(S55-$S$73)^2+(T55-$T$73)^2+(U55-$U$73)^2+(V55-$V$73)^2+(W55-$W$73)^2+(X55-$X$73)^2+(Y55-$Y$73)^2+(Z55-$Z$73)^2+(AA55-$AA$73)^2+(AB55-$AB$73)^2+(AC55-$AC$73)^2+(AD55-$AD$73)^2+(AE55-$AE$73)^2+(AF55-$AF$73)^2+(AG55-$AG$73)^2)</f>
        <v>1.5063649332191167</v>
      </c>
      <c r="CQ55" s="36" t="s">
        <v>323</v>
      </c>
      <c r="CR55" s="37" t="s">
        <v>120</v>
      </c>
      <c r="CT55" s="44"/>
      <c r="CU55" s="36">
        <f>SQRT((A55-$A$74)^2+(B55-$B$74)^2+(C55-$C$74)^2+(D55-$D$74)^2+(E55-$E$74)^2+(F55-$F$74)^2+(G55-$G$74)^2+(H55-$H$74)^2+(I55-$I$74)^2+(J55-$J$74)^2+(K55-$K$74)^2+(L55-$L$74)^2+(M55-$M$74)^2+(N55-$N$74)^2+(O55-$O$74)^2+(P55-$P$74)^2+(Q55-$Q$74)^2+(R55-$R$74)^2+(S55-$S$74)^2+(T55-$T$74)^2+(U55-$U$74)^2+(V55-$V$74)^2+(W55-$W$74)^2+(X55-$X$74)^2+(Y55-$Y$74)^2+(Z55-$Z$74)^2+(AA55-$AA$74)^2+(AB55-$AB$74)^2+(AC55-$AC$74)^2+(AD55-$AD$74)^2+(AE55-$AE$74)^2+(AF55-$AF$74)^2+(AG55-$AG$74)^2)</f>
        <v>1.8524540061110129</v>
      </c>
      <c r="CV55" s="36" t="s">
        <v>136</v>
      </c>
      <c r="CW55" s="37" t="s">
        <v>120</v>
      </c>
      <c r="CY55" s="44"/>
      <c r="CZ55" s="36">
        <f>SQRT((A55-$A$75)^2+(B55-$B$75)^2+(C55-$C$75)^2+(D55-$D$75)^2+(E55-$E$75)^2+(F55-$F$75)^2+(G55-$G$75)^2+(H55-$H$75)^2+(I55-$I$75)^2+(J55-$J$75)^2+(K55-$K$75)^2+(L55-$L$75)^2+(M55-$M$75)^2+(N55-$N$75)^2+(O55-$O$75)^2+(P55-$P$75)^2+(Q55-$Q$75)^2+(R55-$R$75)^2+(S55-$S$75)^2+(T55-$T$75)^2+(U55-$U$75)^2+(V55-$V$75)^2+(W55-$W$75)^2+(X55-$X$75)^2+(Y55-$Y$75)^2+(Z55-$Z$75)^2+(AA55-$AA$75)^2+(AB55-$AB$75)^2+(AC55-$AC$75)^2+(AD55-$AD$75)^2+(AE55-$AE$75)^2+(AF55-$AF$75)^2+(AG55-$AG$75)^2)</f>
        <v>1.7848815027051239</v>
      </c>
      <c r="DA55" s="36" t="s">
        <v>139</v>
      </c>
      <c r="DB55" s="37" t="s">
        <v>120</v>
      </c>
      <c r="DD55" s="44"/>
      <c r="DE55" s="36">
        <f>SQRT((A55-$A$76)^2+(B55-$B$76)^2+(C55-$C$76)^2+(D55-$D$76)^2+(E55-$E$76)^2+(F55-$F$76)^2+(G55-$G$76)^2+(H55-$H$76)^2+(I55-$I$76)^2+(J55-$J$76)^2+(K55-$K$76)^2+(L55-$L$76)^2+(M55-$M$76)^2+(N55-$N$76)^2+(O55-$O$76)^2+(P55-$P$76)^2+(Q55-$Q$76)^2+(R55-$R$76)^2+(S55-$S$76)^2+(T55-$T$76)^2+(U55-$U$76)^2+(V55-$V$76)^2+(W55-$W$76)^2+(X55-$X$76)^2+(Y55-$Y$76)^2+(Z55-$Z$76)^2+(AA55-$AA$76)^2+(AB55-$AB$76)^2+(AC55-$AC$76)^2+(AD55-$AD$76)^2+(AE55-$AE$76)^2+(AF55-$AF$76)^2+(AG55-$AG$76)^2)</f>
        <v>1.2771566950661044</v>
      </c>
      <c r="DF55" s="36" t="s">
        <v>139</v>
      </c>
      <c r="DG55" s="37" t="s">
        <v>120</v>
      </c>
      <c r="DI55" s="44"/>
      <c r="DJ55" s="36">
        <f>SQRT((A55-$A$77)^2+(B55-$B$77)^2+(C55-$C$77)^2+(D55-$D$77)^2+(E55-$E$77)^2+(F55-$F$77)^2+(G55-$G$77)^2+(H55-$H$77)^2+(I55-$I$77)^2+(J55-$J$77)^2+(K55-$K$77)^2+(L55-$L$77)^2+(M55-$M$77)^2+(N55-$N$77)^2+(O55-$O$77)^2+(P55-$P$77)^2+(Q55-$Q$77)^2+(R55-$R$77)^2+(S55-$S$77)^2+(T55-$T$77)^2+(U55-$U$77)^2+(V55-$V$77)^2+(W55-$W$77)^2+(X55-$X$77)^2+(Y55-$Y$77)^2+(Z55-$Z$77)^2+(AA55-$AA$77)^2+(AB55-$AB$77)^2+(AC55-$AC$77)^2+(AD55-$AD$77)^2+(AE55-$AE$77)^2+(AF55-$AF$77)^2+(AG55-$AG$77)^2)</f>
        <v>2.1949365419399594</v>
      </c>
      <c r="DK55" s="36" t="s">
        <v>323</v>
      </c>
      <c r="DL55" s="37" t="s">
        <v>120</v>
      </c>
      <c r="DN55" s="44"/>
      <c r="DO55" s="36">
        <f>SQRT((A55-$A$78)^2+(B55-$B$78)^2+(C55-$C$78)^2+(D55-$D$78)^2+(E55-$E$78)^2+(F55-$F$78)^2+(G55-$G$78)^2+(H55-$H$78)^2+(I55-$I$78)^2+(J55-$J$78)^2+(K55-$K$78)^2+(L55-$L$78)^2+(M55-$M$78)^2+(N55-$N$78)^2+(O55-$O$78)^2+(P55-$P$78)^2+(Q55-$Q$78)^2+(R55-$R$78)^2+(S55-$S$78)^2+(T55-$T$78)^2+(U55-$U$78)^2+(V55-$V$78)^2+(W55-$W$78)^2+(X55-$X$78)^2+(Y55-$Y$78)^2+(Z55-$Z$78)^2+(AA55-$AA$78)^2+(AB55-$AB$78)^2+(AC55-$AC$78)^2+(AD55-$AD$78)^2+(AE55-$AE$78)^2+(AF55-$AF$78)^2+(AG55-$AG$78)^2)</f>
        <v>0.98686934010075045</v>
      </c>
      <c r="DP55" s="36" t="s">
        <v>130</v>
      </c>
      <c r="DQ55" s="37" t="s">
        <v>120</v>
      </c>
      <c r="DS55" s="44"/>
      <c r="DT55" s="36">
        <f>SQRT((A55-$A$79)^2+(B55-$B$79)^2+(C55-$C$79)^2+(D55-$D$79)^2+(E55-$E$79)^2+(F55-$F$79)^2+(G55-$G$79)^2+(H55-$H$79)^2+(I55-$I$79)^2+(J55-$J$79)^2+(K55-$K$79)^2+(L55-$L$79)^2+(M55-$M$79)^2+(N55-$N$79)^2+(O55-$O$79)^2+(P55-$P$79)^2+(Q55-$Q$79)^2+(R55-$R$79)^2+(S55-$S$79)^2+(T55-$T$79)^2+(U55-$U$79)^2+(V55-$V$79)^2+(W55-$W$79)^2+(X55-$X$79)^2+(Y55-$Y$79)^2+(Z55-$Z$79)^2+(AA55-$AA$79)^2+(AB55-$AB$79)^2+(AC55-$AC$79)^2+(AD55-$AD$79)^2+(AE55-$AE$79)^2+(AF55-$AF$79)^2+(AG55-$AG$79)^2)</f>
        <v>1.5639715095356226</v>
      </c>
      <c r="DU55" s="36" t="s">
        <v>144</v>
      </c>
      <c r="DV55" s="37" t="s">
        <v>120</v>
      </c>
      <c r="DX55" s="44"/>
      <c r="DY55" s="36">
        <f>SQRT((A55-$A$80)^2+(B55-$B$80)^2+(C55-$C$80)^2+(D55-$D$80)^2+(E55-$E$80)^2+(F55-$F$80)^2+(G55-$G$80)^2+(H55-$H$80)^2+(I55-$I$80)^2+(J55-$J$80)^2+(K55-$K$80)^2+(L55-$L$80)^2+(M55-$M$80)^2+(N55-$N$80)^2+(O55-$O$80)^2+(P55-$P$80)^2+(Q55-$Q$80)^2+(R55-$R$80)^2+(S55-$S$80)^2+(T55-$T$80)^2+(U55-$U$80)^2+(V55-$V$80)^2+(W55-$W$80)^2+(X55-$X$80)^2+(Y55-$Y$80)^2+(Z55-$Z$80)^2+(AA55-$AA$80)^2+(AB55-$AB$80)^2+(AC55-$AC$80)^2+(AD55-$AD$80)^2+(AE55-$AE$80)^2+(AF55-$AF$80)^2+(AG55-$AG$80)^2)</f>
        <v>2.0718824667118185</v>
      </c>
      <c r="DZ55" s="36" t="s">
        <v>144</v>
      </c>
      <c r="EA55" s="37" t="s">
        <v>120</v>
      </c>
      <c r="EC55" s="44"/>
      <c r="ED55" s="36">
        <f>SQRT((A55-$A$81)^2+(B55-$B$81)^2+(C55-$C$81)^2+(D55-$D$81)^2+(E55-$E$81)^2+(F55-$F$81)^2+(G55-$G$81)^2+(H55-$H$81)^2+(I55-$I$81)^2+(J55-$J$81)^2+(K55-$K$81)^2+(L55-$L$81)^2+(M55-$M$81)^2+(N55-$N$81)^2+(O55-$O$81)^2+(P55-$P$81)^2+(Q55-$Q$81)^2+(R55-$R$81)^2+(S55-$S$81)^2+(T55-$T$81)^2+(U55-$U$81)^2+(V55-$V$81)^2+(W55-$W$81)^2+(X55-$X$81)^2+(Y55-$Y$81)^2+(Z55-$Z$81)^2+(AA55-$AA$81)^2+(AB55-$AB$81)^2+(AC55-$AC$81)^2+(AD55-$AD$81)^2+(AE55-$AE$81)^2+(AF55-$AF$81)^2+(AG55-$AG$81)^2)</f>
        <v>2.0237401515315949</v>
      </c>
      <c r="EE55" s="36" t="s">
        <v>140</v>
      </c>
      <c r="EF55" s="37" t="s">
        <v>120</v>
      </c>
      <c r="EH55" s="44"/>
      <c r="EI55" s="36">
        <f>SQRT((A55-$A$82)^2+(B55-$B$82)^2+(C55-$C$82)^2+(D55-$D$82)^2+(E55-$E$82)^2+(F55-$F$82)^2+(G55-$G$82)^2+(H55-$H$82)^2+(I55-$I$82)^2+(J55-$J$82)^2+(K55-$K$82)^2+(L55-$L$82)^2+(M55-$M$82)^2+(N55-$N$82)^2+(O55-$O$82)^2+(P55-$P$82)^2+(Q55-$Q$82)^2+(R55-$R$82)^2+(S55-$S$82)^2+(T55-$T$82)^2+(U55-$U$82)^2+(V55-$V$82)^2+(W55-$W$82)^2+(X55-$X$82)^2+(Y55-$Y$82)^2+(Z55-$Z$82)^2+(AA55-$AA$82)^2+(AB55-$AB$82)^2+(AC55-$AC$82)^2+(AD55-$AD$82)^2+(AE55-$AE$82)^2+(AF55-$AF$82)^2+(AG55-$AG$82)^2)</f>
        <v>1.4245935034199917</v>
      </c>
      <c r="EJ55" s="36" t="s">
        <v>130</v>
      </c>
      <c r="EK55" s="37" t="s">
        <v>120</v>
      </c>
      <c r="EM55" s="44"/>
      <c r="EN55" s="36">
        <f>SQRT((A55-$A$83)^2+(B55-$B$83)^2+(C55-$C$83)^2+(D55-$D$83)^2+(E55-$E$83)^2+(F55-$F$83)^2+(G55-$G$83)^2+(H55-$H$83)^2+(I55-$I$83)^2+(J55-$J$83)^2+(K55-$K$83)^2+(L55-$L$83)^2+(M55-$M$83)^2+(N55-$N$83)^2+(O55-$O$83)^2+(P55-$P$83)^2+(Q55-$Q$83)^2+(R55-$R$83)^2+(S55-$S$83)^2+(T55-$T$83)^2+(U55-$U$83)^2+(V55-$V$83)^2+(W55-$W$83)^2+(X55-$X$83)^2+(Y55-$Y$83)^2+(Z55-$Z$83)^2+(AA55-$AA$83)^2+(AB55-$AB$83)^2+(AC55-$AC$83)^2+(AD55-$AD$83)^2+(AE55-$AE$83)^2+(AF55-$AF$83)^2+(AG55-$AG$83)^2)</f>
        <v>1.1043980081875961</v>
      </c>
      <c r="EO55" s="36" t="s">
        <v>140</v>
      </c>
      <c r="EP55" s="37" t="s">
        <v>120</v>
      </c>
      <c r="ER55" s="44"/>
      <c r="ES55" s="36">
        <f>SQRT((A55-$A$84)^2+(B55-$B$84)^2+(C55-$C$84)^2+(D55-$D$84)^2+(E55-$E$84)^2+(F55-$F$84)^2+(G55-$G$84)^2+(H55-$H$84)^2+(I55-$I$84)^2+(J55-$J$84)^2+(K55-$K$84)^2+(L55-$L$84)^2+(M55-$M$84)^2+(N55-$N$84)^2+(O55-$O$84)^2+(P55-$P$84)^2+(Q55-$Q$84)^2+(R55-$R$84)^2+(S55-$S$84)^2+(T55-$T$84)^2+(U55-$U$84)^2+(V55-$V$84)^2+(W55-$W$84)^2+(X55-$X$84)^2+(Y55-$Y$84)^2+(Z55-$Z$84)^2+(AA55-$AA$84)^2+(AB55-$AB$84)^2+(AC55-$AC$84)^2+(AD55-$AD$84)^2+(AE55-$AE$84)^2+(AF55-$AF$84)^2+(AG55-$AG$84)^2)</f>
        <v>1.1249654790484307</v>
      </c>
      <c r="ET55" s="36" t="s">
        <v>138</v>
      </c>
      <c r="EU55" s="37" t="s">
        <v>120</v>
      </c>
      <c r="EW55" s="44"/>
      <c r="EX55" s="36">
        <f>SQRT((A55-$A$85)^2+(B55-$B$85)^2+(C55-$C$85)^2+(D55-$D$85)^2+(E55-$E$85)^2+(F55-$F$85)^2+(G55-$G$85)^2+(H55-$H$85)^2+(I55-$I$85)^2+(J55-$J$85)^2+(K55-$K$85)^2+(L55-$L$85)^2+(M55-$M$85)^2+(N55-$N$85)^2+(O55-$O$85)^2+(P55-$P$85)^2+(Q55-$Q$85)^2+(R55-$R$85)^2+(S55-$S$85)^2+(T55-$T$85)^2+(U55-$U$85)^2+(V55-$V$85)^2+(W55-$W$85)^2+(X55-$X$85)^2+(Y55-$Y$85)^2+(Z55-$Z$85)^2+(AA55-$AA$85)^2+(AB55-$AB$85)^2+(AC55-$AC$85)^2+(AD55-$AD$85)^2+(AE55-$AE$85)^2+(AF55-$AF$85)^2+(AG55-$AG$85)^2)</f>
        <v>1.1249654790484307</v>
      </c>
      <c r="EY55" s="36" t="s">
        <v>138</v>
      </c>
      <c r="EZ55" s="37" t="s">
        <v>120</v>
      </c>
      <c r="FB55" s="44"/>
      <c r="FC55" s="36">
        <f>SQRT((A55-$A$86)^2+(B55-$B$86)^2+(C55-$C$86)^2+(D55-$D$86)^2+(E55-$E$86)^2+(F55-$F$86)^2+(G55-$G$86)^2+(H55-$H$86)^2+(I55-$I$86)^2+(J55-$J$86)^2+(K55-$K$86)^2+(L55-$L$86)^2+(M55-$M$86)^2+(N55-$N$86)^2+(O55-$O$86)^2+(P55-$P$86)^2+(Q55-$Q$86)^2+(R55-$R$86)^2+(S55-$S$86)^2+(T55-$T$86)^2+(U55-$U$86)^2+(V55-$V$86)^2+(W55-$W$86)^2+(X55-$X$86)^2+(Y55-$Y$86)^2+(Z55-$Z$86)^2+(AA55-$AA$86)^2+(AB55-$AB$86)^2+(AC55-$AC$86)^2+(AD55-$AD$86)^2+(AE55-$AE$86)^2+(AF55-$AF$86)^2+(AG55-$AG$86)^2)</f>
        <v>1.1249654790484307</v>
      </c>
      <c r="FD55" s="36" t="s">
        <v>138</v>
      </c>
      <c r="FE55" s="37" t="s">
        <v>120</v>
      </c>
      <c r="FG55" s="44"/>
      <c r="FH55" s="36">
        <f>SQRT((A55-$A$87)^2+(B55-$B$87)^2+(C55-$C$87)^2+(D55-$D$87)^2+(E55-$E$87)^2+(F55-$F$87)^2+(G55-$G$87)^2+(H55-$H$87)^2+(I55-$I$87)^2+(J55-$J$87)^2+(K55-$K$87)^2+(L55-$L$87)^2+(M55-$M$87)^2+(N55-$N$87)^2+(O55-$O$87)^2+(P55-$P$87)^2+(Q55-$Q$87)^2+(R55-$R$87)^2+(S55-$S$87)^2+(T55-$T$87)^2+(U55-$U$87)^2+(V55-$V$87)^2+(W55-$W$87)^2+(X55-$X$87)^2+(Y55-$Y$87)^2+(Z55-$Z$87)^2+(AA55-$AA$87)^2+(AB55-$AB$87)^2+(AC55-$AC$87)^2+(AD55-$AD$87)^2+(AE55-$AE$87)^2+(AF55-$AF$87)^2+(AG55-$AG$87)^2)</f>
        <v>1.0858799712823854</v>
      </c>
      <c r="FI55" s="36" t="s">
        <v>123</v>
      </c>
      <c r="FJ55" s="37" t="s">
        <v>120</v>
      </c>
      <c r="FL55" s="44"/>
      <c r="FM55" s="36">
        <f>SQRT((A55-$A$88)^2+(B55-$B$88)^2+(C55-$C$88)^2+(D55-$D$88)^2+(E55-$E$88)^2+(F55-$F$88)^2+(G55-$G$88)^2+(H55-$H$88)^2+(I55-$I$88)^2+(J55-$J$88)^2+(K55-$K$88)^2+(L55-$L$88)^2+(M55-$M$88)^2+(N55-$N$88)^2+(O55-$O$88)^2+(P55-$P$88)^2+(Q55-$Q$88)^2+(R55-$R$88)^2+(S55-$S$88)^2+(T55-$T$88)^2+(U55-$U$88)^2+(V55-$V$88)^2+(W55-$W$88)^2+(X55-$X$88)^2+(Y55-$Y$88)^2+(Z55-$Z$88)^2+(AA55-$AA$88)^2+(AB55-$AB$88)^2+(AC55-$AC$88)^2+(AD55-$AD$88)^2+(AE55-$AE$88)^2+(AF55-$AF$88)^2+(AG55-$AG$88)^2)</f>
        <v>1.8511786573733153</v>
      </c>
      <c r="FN55" s="36" t="s">
        <v>144</v>
      </c>
      <c r="FO55" s="37" t="s">
        <v>120</v>
      </c>
      <c r="FQ55" s="44"/>
      <c r="FR55" s="36">
        <f>SQRT((A55-$A$89)^2+(B55-$B$89)^2+(C55-$C$89)^2+(D55-$D$89)^2+(E55-$E$89)^2+(F55-$F$89)^2+(G55-$G$89)^2+(H55-$H$89)^2+(I55-$I$89)^2+(J55-$J$89)^2+(K55-$K$89)^2+(L55-$L$89)^2+(M55-$M$89)^2+(N55-$N$89)^2+(O55-$O$89)^2+(P55-$P$89)^2+(Q55-$Q$89)^2+(R55-$R$89)^2+(S55-$S$89)^2+(T55-$T$89)^2+(U55-$U$89)^2+(V55-$V$89)^2+(W55-$W$89)^2+(X55-$X$89)^2+(Y55-$Y$89)^2+(Z55-$Z$89)^2+(AA55-$AA$89)^2+(AB55-$AB$89)^2+(AC55-$AC$89)^2+(AD55-$AD$89)^2+(AE55-$AE$89)^2+(AF55-$AF$89)^2+(AG55-$AG$89)^2)</f>
        <v>2.202831960310538</v>
      </c>
      <c r="FS55" s="36" t="s">
        <v>144</v>
      </c>
      <c r="FT55" s="37" t="s">
        <v>120</v>
      </c>
      <c r="FV55" s="44"/>
      <c r="FW55" s="36">
        <f>SQRT((A55-$A$90)^2+(B55-$B$90)^2+(C55-$C$90)^2+(D55-$D$90)^2+(E55-$E$90)^2+(F55-$F$90)^2+(G55-$G$90)^2+(H55-$H$90)^2+(I55-$I$90)^2+(J55-$J$90)^2+(K55-$K$90)^2+(L55-$L$90)^2+(M55-$M$90)^2+(N55-$N$90)^2+(O55-$O$90)^2+(P55-$P$90)^2+(Q55-$Q$90)^2+(R55-$R$90)^2+(S55-$S$90)^2+(T55-$T$90)^2+(U55-$U$90)^2+(V55-$V$90)^2+(W55-$W$90)^2+(X55-$X$90)^2+(Y55-$Y$90)^2+(Z55-$Z$90)^2+(AA55-$AA$90)^2+(AB55-$AB$90)^2+(AC55-$AC$90)^2+(AD55-$AD$90)^2+(AE55-$AE$90)^2+(AF55-$AF$90)^2+(AG55-$AG$90)^2)</f>
        <v>2.0629680202286726</v>
      </c>
      <c r="FX55" s="36" t="s">
        <v>124</v>
      </c>
      <c r="FY55" s="37" t="s">
        <v>120</v>
      </c>
      <c r="GA55" s="44"/>
      <c r="GB55" s="36">
        <f>SQRT((A55-$A$91)^2+(B55-$B$91)^2+(C55-$C$91)^2+(D55-$D$91)^2+(E55-$E$91)^2+(F55-$F$91)^2+(G55-$G$91)^2+(H55-$H$91)^2+(I55-$I$91)^2+(J55-$J$91)^2+(K55-$K$91)^2+(L55-$L$91)^2+(M55-$M$91)^2+(N55-$N$91)^2+(O55-$O$91)^2+(P55-$P$91)^2+(Q55-$Q$91)^2+(R55-$R$91)^2+(S55-$S$91)^2+(T55-$T$91)^2+(U55-$U$91)^2+(V55-$V$91)^2+(W55-$W$91)^2+(X55-$X$91)^2+(Y55-$Y$91)^2+(Z55-$Z$91)^2+(AA55-$AA$91)^2+(AB55-$AB$91)^2+(AC55-$AC$91)^2+(AD55-$AD$91)^2+(AE55-$AE$91)^2+(AF55-$AF$91)^2+(AG55-$AG$91)^2)</f>
        <v>1.9087182506439797</v>
      </c>
      <c r="GC55" s="36" t="s">
        <v>142</v>
      </c>
      <c r="GD55" s="37" t="s">
        <v>120</v>
      </c>
      <c r="GF55" s="44"/>
      <c r="GG55" s="36">
        <f>SQRT((A55-$A$92)^2+(B55-$B$92)^2+(C55-$C$92)^2+(D55-$D$92)^2+(E55-$E$92)^2+(F55-$F$92)^2+(G55-$G$92)^2+(H55-$H$92)^2+(I55-$I$92)^2+(J55-$J$92)^2+(K55-$K$92)^2+(L55-$L$92)^2+(M55-$M$92)^2+(N55-$N$92)^2+(O55-$O$92)^2+(P55-$P$92)^2+(Q55-$Q$92)^2+(R55-$R$92)^2+(S55-$S$92)^2+(T55-$T$92)^2+(U55-$U$92)^2+(V55-$V$92)^2+(W55-$W$92)^2+(X55-$X$92)^2+(Y55-$Y$92)^2+(Z55-$Z$92)^2+(AA55-$AA$92)^2+(AB55-$AB$92)^2+(AC55-$AC$92)^2+(AD55-$AD$92)^2+(AE55-$AE$92)^2+(AF55-$AF$92)^2+(AG55-$AG$92)^2)</f>
        <v>1.7509286994059352</v>
      </c>
      <c r="GH55" s="36" t="s">
        <v>315</v>
      </c>
      <c r="GI55" s="37" t="s">
        <v>120</v>
      </c>
      <c r="GK55" s="44"/>
      <c r="GL55" s="36">
        <f>SQRT((A55-$A$93)^2+(B55-$B$93)^2+(C55-$C$93)^2+(D55-$D$93)^2+(E55-$E$93)^2+(F55-$F$93)^2+(G55-$G$93)^2+(H55-$H$93)^2+(I55-$I$93)^2+(J55-$J$93)^2+(K55-$K$93)^2+(L55-$L$93)^2+(M55-$M$93)^2+(N55-$N$93)^2+(O55-$O$93)^2+(P55-$P$93)^2+(Q55-$Q$93)^2+(R55-$R$93)^2+(S55-$S$93)^2+(T55-$T$93)^2+(U55-$U$93)^2+(V55-$V$93)^2+(W55-$W$93)^2+(X55-$X$93)^2+(Y55-$Y$93)^2+(Z55-$Z$93)^2+(AA55-$AA$93)^2+(AB55-$AB$93)^2+(AC55-$AC$93)^2+(AD55-$AD$93)^2+(AE55-$AE$93)^2+(AF55-$AF$93)^2+(AG55-$AG$93)^2)</f>
        <v>2.1275973269910695</v>
      </c>
      <c r="GM55" s="36" t="s">
        <v>324</v>
      </c>
      <c r="GN55" s="37" t="s">
        <v>120</v>
      </c>
      <c r="GP55" s="44"/>
      <c r="GQ55" s="36">
        <f>SQRT((A55-$A$94)^2+(B55-$B$94)^2+(C55-$C$94)^2+(D55-$D$94)^2+(E55-$E$94)^2+(F55-$F$94)^2+(G55-$G$94)^2+(H55-$H$94)^2+(I55-$I$94)^2+(J55-$J$94)^2+(K55-$K$94)^2+(L55-$L$94)^2+(M55-$M$94)^2+(N55-$N$94)^2+(O55-$O$94)^2+(P55-$P$94)^2+(Q55-$Q$94)^2+(R55-$R$94)^2+(S55-$S$94)^2+(T55-$T$94)^2+(U55-$U$94)^2+(V55-$V$94)^2+(W55-$W$94)^2+(X55-$X$94)^2+(Y55-$Y$94)^2+(Z55-$Z$94)^2+(AA55-$AA$94)^2+(AB55-$AB$94)^2+(AC55-$AC$94)^2+(AD55-$AD$94)^2+(AE55-$AE$94)^2+(AF55-$AF$94)^2+(AG55-$AG$94)^2)</f>
        <v>1.2589766501178656</v>
      </c>
      <c r="GR55" s="36" t="s">
        <v>332</v>
      </c>
      <c r="GS55" s="37" t="s">
        <v>120</v>
      </c>
      <c r="GU55" s="44"/>
      <c r="GV55" s="36">
        <f>SQRT((A55-$A$95)^2+(B55-$B$95)^2+(C55-$C$95)^2+(D55-$D$95)^2+(E55-$E$95)^2+(F55-$F$95)^2+(G55-$G$95)^2+(H55-$H$95)^2+(I55-$I$95)^2+(J55-$J$95)^2+(K55-$K$95)^2+(L55-$L$95)^2+(M55-$M$95)^2+(N55-$N$95)^2+(O55-$O$95)^2+(P55-$P$95)^2+(Q55-$Q$95)^2+(R55-$R$95)^2+(S55-$S$95)^2+(T55-$T$95)^2+(U55-$U$95)^2+(V55-$V$95)^2+(W55-$W$95)^2+(X55-$X$95)^2+(Y55-$Y$95)^2+(Z55-$Z$95)^2+(AA55-$AA$95)^2+(AB55-$AB$95)^2+(AC55-$AC$95)^2+(AD55-$AD$95)^2+(AE55-$AE$95)^2+(AF55-$AF$95)^2+(AG55-$AG$95)^2)</f>
        <v>2.6257214417774808</v>
      </c>
      <c r="GW55" s="36" t="s">
        <v>147</v>
      </c>
      <c r="GX55" s="37" t="s">
        <v>120</v>
      </c>
      <c r="GZ55" s="44"/>
      <c r="HA55" s="36">
        <f>SQRT((A55-$A$96)^2+(B55-$B$96)^2+(C55-$C$96)^2+(D55-$D$96)^2+(E55-$E$96)^2+(F55-$F$96)^2+(G55-$G$96)^2+(H55-$H$96)^2+(I55-$I$96)^2+(J55-$J$96)^2+(K55-$K$96)^2+(L55-$L$96)^2+(M55-$M$96)^2+(N55-$N$96)^2+(O55-$O$96)^2+(P55-$P$96)^2+(Q55-$Q$96)^2+(R55-$R$96)^2+(S55-$S$96)^2+(T55-$T$96)^2+(U55-$U$96)^2+(V55-$V$96)^2+(W55-$W$96)^2+(X55-$X$96)^2+(Y55-$Y$96)^2+(Z55-$Z$96)^2+(AA55-$AA$96)^2+(AB55-$AB$96)^2+(AC55-$AC$96)^2+(AD55-$AD$96)^2+(AE55-$AE$96)^2+(AF55-$AF$96)^2+(AG55-$AG$96)^2)</f>
        <v>2.4440806633990593</v>
      </c>
      <c r="HB55" s="36" t="s">
        <v>138</v>
      </c>
      <c r="HC55" s="37" t="s">
        <v>120</v>
      </c>
      <c r="HE55" s="44"/>
      <c r="HF55" s="36">
        <f>SQRT((A55-$A$97)^2+(B55-$B$97)^2+(C55-$C$97)^2+(D55-$D$97)^2+(E55-$E$97)^2+(F55-$F$97)^2+(G55-$G$97)^2+(H55-$H$97)^2+(I55-$I$97)^2+(J55-$J$97)^2+(K55-$K$97)^2+(L55-$L$97)^2+(M55-$M$97)^2+(N55-$N$97)^2+(O55-$O$97)^2+(P55-$P$97)^2+(Q55-$Q$97)^2+(R55-$R$97)^2+(S55-$S$97)^2+(T55-$T$97)^2+(U55-$U$97)^2+(V55-$V$97)^2+(W55-$W$97)^2+(X55-$X$97)^2+(Y55-$Y$97)^2+(Z55-$Z$97)^2+(AA55-$AA$97)^2+(AB55-$AB$97)^2+(AC55-$AC$97)^2+(AD55-$AD$97)^2+(AE55-$AE$97)^2+(AF55-$AF$97)^2+(AG55-$AG$97)^2)</f>
        <v>1.1249654790484307</v>
      </c>
      <c r="HG55" s="36" t="s">
        <v>138</v>
      </c>
      <c r="HH55" s="37" t="s">
        <v>120</v>
      </c>
      <c r="HJ55" s="44"/>
      <c r="HK55" s="36">
        <f>SQRT((A55-$A$98)^2+(B55-$B$98)^2+(C55-$C$98)^2+(D55-$D$98)^2+(E55-$E$98)^2+(F55-$F$98)^2+(G55-$G$98)^2+(H55-$H$98)^2+(I55-$I$98)^2+(J55-$J$98)^2+(K55-$K$98)^2+(L55-$L$98)^2+(M55-$M$98)^2+(N55-$N$98)^2+(O55-$O$98)^2+(P55-$P$98)^2+(Q55-$Q$98)^2+(R55-$R$98)^2+(S55-$S$98)^2+(T55-$T$98)^2+(U55-$U$98)^2+(V55-$V$98)^2+(W55-$W$98)^2+(X55-$X$98)^2+(Y55-$Y$98)^2+(Z55-$Z$98)^2+(AA55-$AA$98)^2+(AB55-$AB$98)^2+(AC55-$AC$98)^2+(AD55-$AD$98)^2+(AE55-$AE$98)^2+(AF55-$AF$98)^2+(AG55-$AG$98)^2)</f>
        <v>1.1249654790484307</v>
      </c>
      <c r="HL55" s="36" t="s">
        <v>138</v>
      </c>
      <c r="HM55" s="37" t="s">
        <v>120</v>
      </c>
      <c r="HO55" s="44"/>
      <c r="HP55" s="36">
        <f>SQRT((A55-$A$99)^2+(B55-$B$99)^2+(C55-$C$99)^2+(D55-$D$99)^2+(E55-$E$99)^2+(F55-$F$99)^2+(G55-$G$99)^2+(H55-$H$99)^2+(I55-$I$99)^2+(J55-$J$99)^2+(K55-$K$99)^2+(L55-$L$99)^2+(M55-$M$99)^2+(N55-$N$99)^2+(O55-$O$99)^2+(P55-$P$99)^2+(Q55-$Q$99)^2+(R55-$R$99)^2+(S55-$S$99)^2+(T55-$T$99)^2+(U55-$U$99)^2+(V55-$V$99)^2+(W55-$W$99)^2+(X55-$X$99)^2+(Y55-$Y$99)^2+(Z55-$Z$99)^2+(AA55-$AA$99)^2+(AB55-$AB$99)^2+(AC55-$AC$99)^2+(AD55-$AD$99)^2+(AE55-$AE$99)^2+(AF55-$AF$99)^2+(AG55-$AG$99)^2)</f>
        <v>1.1249654790484307</v>
      </c>
      <c r="HQ55" s="36" t="s">
        <v>138</v>
      </c>
      <c r="HR55" s="37" t="s">
        <v>120</v>
      </c>
      <c r="HT55" s="44"/>
      <c r="HU55" s="36">
        <f>SQRT((A55-$A$100)^2+(B55-$B$100)^2+(C55-$C$100)^2+(D55-$D$100)^2+(E55-$E$100)^2+(F55-$F$100)^2+(G55-$G$100)^2+(H55-$H$100)^2+(I55-$I$100)^2+(J55-$J$100)^2+(K55-$K$100)^2+(L55-$L$100)^2+(M55-$M$100)^2+(N55-$N$100)^2+(O55-$O$100)^2+(P55-$P$100)^2+(Q55-$Q$100)^2+(R55-$R$100)^2+(S55-$S$100)^2+(T55-$T$100)^2+(U55-$U$100)^2+(V55-$V$100)^2+(W55-$W$100)^2+(X55-$X$100)^2+(Y55-$Y$100)^2+(Z55-$Z$100)^2+(AA55-$AA$100)^2+(AB55-$AB$100)^2+(AC55-$AC$100)^2+(AD55-$AD$100)^2+(AE55-$AE$100)^2+(AF55-$AF$100)^2+(AG55-$AG$100)^2)</f>
        <v>1.1249654790484307</v>
      </c>
      <c r="HV55" s="36" t="s">
        <v>138</v>
      </c>
      <c r="HW55" s="37" t="s">
        <v>120</v>
      </c>
      <c r="HY55" s="44"/>
      <c r="HZ55" s="36">
        <f>SQRT((A55-$A$101)^2+(B55-$B$101)^2+(C55-$C$101)^2+(D55-$D$101)^2+(E55-$E$101)^2+(F55-$F$101)^2+(G55-$G$101)^2+(H55-$H$101)^2+(I55-$I$101)^2+(J55-$J$101)^2+(K55-$K$101)^2+(L55-$L$101)^2+(M55-$M$101)^2+(N55-$N$101)^2+(O55-$O$101)^2+(P55-$P$101)^2+(Q55-$Q$101)^2+(R55-$R$101)^2+(S55-$S$101)^2+(T55-$T$101)^2+(U55-$U$101)^2+(V55-$V$101)^2+(W55-$W$101)^2+(X55-$X$101)^2+(Y55-$Y$101)^2+(Z55-$Z$101)^2+(AA55-$AA$101)^2+(AB55-$AB$101)^2+(AC55-$AC$101)^2+(AD55-$AD$101)^2+(AE55-$AE$101)^2+(AF55-$AF$101)^2+(AG55-$AG$101)^2)</f>
        <v>2.0634860633514411</v>
      </c>
      <c r="IA55" s="36" t="s">
        <v>140</v>
      </c>
      <c r="IB55" s="37" t="s">
        <v>120</v>
      </c>
    </row>
    <row r="56" spans="1:236" x14ac:dyDescent="0.35">
      <c r="A56" s="2">
        <v>0.33333333333333298</v>
      </c>
      <c r="B56" s="2">
        <v>0.25</v>
      </c>
      <c r="C56" s="2">
        <v>0.23899371069182301</v>
      </c>
      <c r="D56" s="2">
        <v>0.66666666666666596</v>
      </c>
      <c r="E56" s="2">
        <v>0</v>
      </c>
      <c r="F56" s="2">
        <v>1</v>
      </c>
      <c r="G56" s="2">
        <v>0.55555555555555503</v>
      </c>
      <c r="H56" s="2">
        <v>1</v>
      </c>
      <c r="I56" s="2">
        <v>0.5</v>
      </c>
      <c r="J56" s="2">
        <v>0</v>
      </c>
      <c r="K56" s="2">
        <v>0</v>
      </c>
      <c r="L56" s="2">
        <v>0.2</v>
      </c>
      <c r="M56" s="2">
        <v>1</v>
      </c>
      <c r="N56" s="2">
        <v>0</v>
      </c>
      <c r="O56" s="2">
        <v>0</v>
      </c>
      <c r="P56" s="2">
        <v>0.4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0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0.19565217391304299</v>
      </c>
      <c r="AH56" s="2" t="s">
        <v>120</v>
      </c>
      <c r="AI56" s="42"/>
      <c r="AJ56" s="42"/>
      <c r="AL56" s="44"/>
      <c r="AM56" s="36">
        <f>SQRT((A56-$A$62)^2+(B56-$B$62)^2+(C56-$C$62)^2+(D56-$D$62)^2+(E56-$E$62)^2+(F56-$F$62)^2+(G56-$G$62)^2+(H56-$H$62)^2+(I56-$I$62)^2+(J56-$J$62)^2+(K56-$K$62)^2+(L56-$L$62)^2+(M56-$M$62)^2+(N56-$N$62)^2+(O56-$O$62)^2+(P56-$P$62)^2+(Q56-$Q$62)^2+(R56-$R$62)^2+(S56-$S$62)^2+(T56-$T$62)^2+(U56-$U$62)^2+(V56-$V$62)^2+(W56-$W$62)^2+(X56-$X$62)^2+(Y56-$Y$62)^2+(Z56-$Z$62)^2+(AA56-$AA$62)^2+(AB56-$AB$62)^2+(AC56-$AC$62)^2+(AD56-$AD$62)^2+(AE56-$AE$62)^2+(AF56-$AF$62)^2+(AG56-$AG$62)^2)</f>
        <v>1.9181767279839632</v>
      </c>
      <c r="AN56" s="36" t="s">
        <v>315</v>
      </c>
      <c r="AO56" s="37" t="s">
        <v>120</v>
      </c>
      <c r="AQ56" s="44"/>
      <c r="AR56" s="36">
        <f>SQRT((A56-$A$63)^2+(B56-$B$63)^2+(C56-$C$63)^2+(D56-$D$63)^2+(E56-$E$63)^2+(F56-$F$63)^2+(G56-$G$63)^2+(H56-$H$63)^2+(I56-$I$63)^2+(J56-$J$63)^2+(K56-$K$63)^2+(L56-$L$63)^2+(M56-$M$63)^2+(N56-$N$63)^2+(O56-$O$63)^2+(P56-$P$63)^2+(Q56-$Q$63)^2+(R56-$R$63)^2+(S56-$S$63)^2+(T56-$T$63)^2+(U56-$U$63)^2+(V56-$V$63)^2+(W56-$W$63)^2+(X56-$X$63)^2+(Y56-$Y$63)^2+(Z56-$Z$63)^2+(AA56-$AA$63)^2+(AB56-$AB$63)^2+(AC56-$AC$63)^2+(AD56-$AD$63)^2+(AE56-$AE$63)^2+(AF56-$AF$63)^2+(AG56-$AG$63)^2)</f>
        <v>0.8009028455455226</v>
      </c>
      <c r="AS56" s="36" t="s">
        <v>148</v>
      </c>
      <c r="AT56" s="37" t="s">
        <v>120</v>
      </c>
      <c r="AV56" s="44"/>
      <c r="AW56" s="36">
        <f>SQRT((A56-$A$64)^2+(B56-$B$64)^2+(C56-$C$64)^2+(D56-$D$64)^2+(E56-$E$64)^2+(F56-$F$64)^2+(G56-$G$64)^2+(H56-$H$64)^2+(I56-$I$64)^2+(J56-$J$64)^2+(K56-$K$64)^2+(L56-$L$64)^2+(M56-$M$64)^2+(N56-$N$64)^2+(O56-$O$64)^2+(P56-$P$64)^2+(Q56-$Q$64)^2+(R56-$R$64)^2+(S56-$S$64)^2+(T56-$T$64)^2+(U56-$U$64)^2+(V56-$V$64)^2+(W56-$W$64)^2+(X56-$X$64)^2+(Y56-$Y$64)^2+(Z56-$Z$64)^2+(AA56-$AA$64)^2+(AB56-$AB$64)^2+(AC56-$AC$64)^2+(AD56-$AD$64)^2+(AE56-$AE$64)^2+(AF56-$AF$64)^2+(AG56-$AG$64)^2)</f>
        <v>0.8009028455455226</v>
      </c>
      <c r="AX56" s="36" t="s">
        <v>148</v>
      </c>
      <c r="AY56" s="37" t="s">
        <v>120</v>
      </c>
      <c r="BA56" s="44"/>
      <c r="BB56" s="36">
        <f>SQRT((A56-$A$65)^2+(B56-$B$65)^2+(C56-$C$65)^2+(D56-$D$65)^2+(E56-$E$65)^2+(F56-$F$65)^2+(G56-$G$65)^2+(H56-$H$65)^2+(I56-$I$65)^2+(J56-$J$65)^2+(K56-$K$65)^2+(L56-$L$65)^2+(M56-$M$65)^2+(N56-$N$65)^2+(O56-$O$65)^2+(P56-$P$65)^2+(Q56-$Q$65)^2+(R56-$R$65)^2+(S56-$S$65)^2+(T56-$T$65)^2+(U56-$U$65)^2+(V56-$V$65)^2+(W56-$W$65)^2+(X56-$X$65)^2+(Y56-$Y$65)^2+(Z56-$Z$65)^2+(AA56-$AA$65)^2+(AB56-$AB$65)^2+(AC56-$AC$65)^2+(AD56-$AD$65)^2+(AE56-$AE$65)^2+(AF56-$AF$65)^2+(AG56-$AG$65)^2)</f>
        <v>0.8009028455455226</v>
      </c>
      <c r="BC56" s="36" t="s">
        <v>148</v>
      </c>
      <c r="BD56" s="37" t="s">
        <v>120</v>
      </c>
      <c r="BF56" s="44"/>
      <c r="BG56" s="36">
        <f>SQRT((A56-$A$66)^2+(B56-$B$66)^2+(C56-$C$66)^2+(D56-$D$66)^2+(E56-$E$66)^2+(F56-$F$66)^2+(G56-$G$66)^2+(H56-$H$66)^2+(I56-$I$66)^2+(J56-$J$66)^2+(K56-$K$66)^2+(L56-$L$66)^2+(M56-$M$66)^2+(N56-$N$66)^2+(O56-$O$66)^2+(P56-$P$66)^2+(Q56-$Q$66)^2+(R56-$R$66)^2+(S56-$S$66)^2+(T56-$T$66)^2+(U56-$U$66)^2+(V56-$V$66)^2+(W56-$W$66)^2+(X56-$X$66)^2+(Y56-$Y$66)^2+(Z56-$Z$66)^2+(AA56-$AA$66)^2+(AB56-$AB$66)^2+(AC56-$AC$66)^2+(AD56-$AD$66)^2+(AE56-$AE$66)^2+(AF56-$AF$66)^2+(AG56-$AG$66)^2)</f>
        <v>0.8009028455455226</v>
      </c>
      <c r="BH56" s="36" t="s">
        <v>148</v>
      </c>
      <c r="BI56" s="37" t="s">
        <v>120</v>
      </c>
      <c r="BK56" s="44"/>
      <c r="BL56" s="36">
        <f>SQRT((A56-$A$67)^2+(B56-$B$67)^2+(C56-$C$67)^2+(D56-$D$67)^2+(E56-$E$67)^2+(F56-$F$67)^2+(G56-$G$67)^2+(H56-$H$67)^2+(I56-$I$67)^2+(J56-$J$67)^2+(K56-$K$67)^2+(L56-$L$67)^2+(M56-$M$67)^2+(N56-$N$67)^2+(O56-$O$67)^2+(P56-$P$67)^2+(Q56-$Q$67)^2+(R56-$R$67)^2+(S56-$S$67)^2+(T56-$T$67)^2+(U56-$U$67)^2+(V56-$V$67)^2+(W56-$W$67)^2+(X56-$X$67)^2+(Y56-$Y$67)^2+(Z56-$Z$67)^2+(AA56-$AA$67)^2+(AB56-$AB$67)^2+(AC56-$AC$67)^2+(AD56-$AD$67)^2+(AE56-$AE$67)^2+(AF56-$AF$67)^2+(AG56-$AG$67)^2)</f>
        <v>0.8009028455455226</v>
      </c>
      <c r="BM56" s="36" t="s">
        <v>148</v>
      </c>
      <c r="BN56" s="37" t="s">
        <v>120</v>
      </c>
      <c r="BP56" s="44"/>
      <c r="BQ56" s="36">
        <f>SQRT((A56-$A$68)^2+(B56-$B$68)^2+(C56-$C$68)^2+(D56-$D$68)^2+(E56-$E$68)^2+(F56-$F$68)^2+(G56-$G$68)^2+(H56-$H$68)^2+(I56-$I$68)^2+(J56-$J$68)^2+(K56-$K$68)^2+(L56-$L$68)^2+(M56-$M$68)^2+(N56-$N$68)^2+(O56-$O$68)^2+(P56-$P$68)^2+(Q56-$Q$68)^2+(R56-$R$68)^2+(S56-$S$68)^2+(T56-$T$68)^2+(U56-$U$68)^2+(V56-$V$68)^2+(W56-$W$68)^2+(X56-$X$68)^2+(Y56-$Y$68)^2+(Z56-$Z$68)^2+(AA56-$AA$68)^2+(AB56-$AB$68)^2+(AC56-$AC$68)^2+(AD56-$AD$68)^2+(AE56-$AE$68)^2+(AF56-$AF$68)^2+(AG56-$AG$68)^2)</f>
        <v>0.8009028455455226</v>
      </c>
      <c r="BR56" s="36" t="s">
        <v>148</v>
      </c>
      <c r="BS56" s="37" t="s">
        <v>120</v>
      </c>
      <c r="BU56" s="44"/>
      <c r="BV56" s="36">
        <f>SQRT((A56-$A$69)^2+(B56-$B$69)^2+(C56-$C$69)^2+(D56-$D$69)^2+(E56-$E$69)^2+(F56-$F$69)^2+(G56-$G$69)^2+(H56-$H$69)^2+(I56-$I$69)^2+(J56-$J$69)^2+(K56-$K$69)^2+(L56-$L$69)^2+(M56-$M$69)^2+(N56-$N$69)^2+(O56-$O$69)^2+(P56-$P$69)^2+(Q56-$Q$69)^2+(R56-$R$69)^2+(S56-$S$69)^2+(T56-$T$69)^2+(U56-$U$69)^2+(V56-$V$69)^2+(W56-$W$69)^2+(X56-$X$69)^2+(Y56-$Y$69)^2+(Z56-$Z$69)^2+(AA56-$AA$69)^2+(AB56-$AB$69)^2+(AC56-$AC$69)^2+(AD56-$AD$69)^2+(AE56-$AE$69)^2+(AF56-$AF$69)^2+(AG56-$AG$69)^2)</f>
        <v>2.1351122994637954</v>
      </c>
      <c r="BW56" s="36" t="s">
        <v>144</v>
      </c>
      <c r="BX56" s="37" t="s">
        <v>120</v>
      </c>
      <c r="BZ56" s="44"/>
      <c r="CA56" s="36">
        <f>SQRT((A56-$A$70)^2+(B56-$B$70)^2+(C56-$C$70)^2+(D56-$D$70)^2+(E56-$E$70)^2+(F56-$F$70)^2+(G56-$G$70)^2+(H56-$H$70)^2+(I56-$I$70)^2+(J56-$J$70)^2+(K56-$K$70)^2+(L56-$L$70)^2+(M56-$M$70)^2+(N56-$N$70)^2+(O56-$O$70)^2+(P56-$P$70)^2+(Q56-$Q$70)^2+(R56-$R$70)^2+(S56-$S$70)^2+(T56-$T$70)^2+(U56-$U$70)^2+(V56-$V$70)^2+(W56-$W$70)^2+(X56-$X$70)^2+(Y56-$Y$70)^2+(Z56-$Z$70)^2+(AA56-$AA$70)^2+(AB56-$AB$70)^2+(AC56-$AC$70)^2+(AD56-$AD$70)^2+(AE56-$AE$70)^2+(AF56-$AF$70)^2+(AG56-$AG$70)^2)</f>
        <v>0.60092521257733134</v>
      </c>
      <c r="CB56" s="36" t="s">
        <v>130</v>
      </c>
      <c r="CC56" s="37" t="s">
        <v>120</v>
      </c>
      <c r="CE56" s="44"/>
      <c r="CF56" s="36">
        <f>SQRT((A56-$A$71)^2+(B56-$B$71)^2+(C56-$C$71)^2+(D56-$D$71)^2+(E56-$E$71)^2+(F56-$F$71)^2+(G56-$G$71)^2+(H56-$H$71)^2+(I56-$I$71)^2+(J56-$J$71)^2+(K56-$K$71)^2+(L56-$L$71)^2+(M56-$M$71)^2+(N56-$N$71)^2+(O56-$O$71)^2+(P56-$P$71)^2+(Q56-$Q$71)^2+(R56-$R$71)^2+(S56-$S$71)^2+(T56-$T$71)^2+(U56-$U$71)^2+(V56-$V$71)^2+(W56-$W$71)^2+(X56-$X$71)^2+(Y56-$Y$71)^2+(Z56-$Z$71)^2+(AA56-$AA$71)^2+(AB56-$AB$71)^2+(AC56-$AC$71)^2+(AD56-$AD$71)^2+(AE56-$AE$71)^2+(AF56-$AF$71)^2+(AG56-$AG$71)^2)</f>
        <v>1.1577036657874837</v>
      </c>
      <c r="CG56" s="36" t="s">
        <v>139</v>
      </c>
      <c r="CH56" s="37" t="s">
        <v>120</v>
      </c>
      <c r="CJ56" s="44"/>
      <c r="CK56" s="36">
        <f>SQRT((A56-$A$72)^2+(B56-$B$72)^2+(C56-$C$72)^2+(D56-$D$72)^2+(E56-$E$72)^2+(F56-$F$72)^2+(G56-$G$72)^2+(H56-$H$72)^2+(I56-$I$72)^2+(J56-$J$72)^2+(K56-$K$72)^2+(L56-$L$72)^2+(M56-$M$72)^2+(N56-$N$72)^2+(O56-$O$72)^2+(P56-$P$72)^2+(Q56-$Q$72)^2+(R56-$R$72)^2+(S56-$S$72)^2+(T56-$T$72)^2+(U56-$U$72)^2+(V56-$V$72)^2+(W56-$W$72)^2+(X56-$X$72)^2+(Y56-$Y$72)^2+(Z56-$Z$72)^2+(AA56-$AA$72)^2+(AB56-$AB$72)^2+(AC56-$AC$72)^2+(AD56-$AD$72)^2+(AE56-$AE$72)^2+(AF56-$AF$72)^2+(AG56-$AG$72)^2)</f>
        <v>1.3482956777235104</v>
      </c>
      <c r="CL56" s="36" t="s">
        <v>144</v>
      </c>
      <c r="CM56" s="37" t="s">
        <v>120</v>
      </c>
      <c r="CO56" s="44"/>
      <c r="CP56" s="36">
        <f>SQRT((A56-$A$73)^2+(B56-$B$73)^2+(C56-$C$73)^2+(D56-$D$73)^2+(E56-$E$73)^2+(F56-$F$73)^2+(G56-$G$73)^2+(H56-$H$73)^2+(I56-$I$73)^2+(J56-$J$73)^2+(K56-$K$73)^2+(L56-$L$73)^2+(M56-$M$73)^2+(N56-$N$73)^2+(O56-$O$73)^2+(P56-$P$73)^2+(Q56-$Q$73)^2+(R56-$R$73)^2+(S56-$S$73)^2+(T56-$T$73)^2+(U56-$U$73)^2+(V56-$V$73)^2+(W56-$W$73)^2+(X56-$X$73)^2+(Y56-$Y$73)^2+(Z56-$Z$73)^2+(AA56-$AA$73)^2+(AB56-$AB$73)^2+(AC56-$AC$73)^2+(AD56-$AD$73)^2+(AE56-$AE$73)^2+(AF56-$AF$73)^2+(AG56-$AG$73)^2)</f>
        <v>1.0233180041204406</v>
      </c>
      <c r="CQ56" s="36" t="s">
        <v>139</v>
      </c>
      <c r="CR56" s="37" t="s">
        <v>120</v>
      </c>
      <c r="CT56" s="44"/>
      <c r="CU56" s="36">
        <f>SQRT((A56-$A$74)^2+(B56-$B$74)^2+(C56-$C$74)^2+(D56-$D$74)^2+(E56-$E$74)^2+(F56-$F$74)^2+(G56-$G$74)^2+(H56-$H$74)^2+(I56-$I$74)^2+(J56-$J$74)^2+(K56-$K$74)^2+(L56-$L$74)^2+(M56-$M$74)^2+(N56-$N$74)^2+(O56-$O$74)^2+(P56-$P$74)^2+(Q56-$Q$74)^2+(R56-$R$74)^2+(S56-$S$74)^2+(T56-$T$74)^2+(U56-$U$74)^2+(V56-$V$74)^2+(W56-$W$74)^2+(X56-$X$74)^2+(Y56-$Y$74)^2+(Z56-$Z$74)^2+(AA56-$AA$74)^2+(AB56-$AB$74)^2+(AC56-$AC$74)^2+(AD56-$AD$74)^2+(AE56-$AE$74)^2+(AF56-$AF$74)^2+(AG56-$AG$74)^2)</f>
        <v>1.4542893506227774</v>
      </c>
      <c r="CV56" s="36" t="s">
        <v>124</v>
      </c>
      <c r="CW56" s="37" t="s">
        <v>120</v>
      </c>
      <c r="CY56" s="44"/>
      <c r="CZ56" s="36">
        <f>SQRT((A56-$A$75)^2+(B56-$B$75)^2+(C56-$C$75)^2+(D56-$D$75)^2+(E56-$E$75)^2+(F56-$F$75)^2+(G56-$G$75)^2+(H56-$H$75)^2+(I56-$I$75)^2+(J56-$J$75)^2+(K56-$K$75)^2+(L56-$L$75)^2+(M56-$M$75)^2+(N56-$N$75)^2+(O56-$O$75)^2+(P56-$P$75)^2+(Q56-$Q$75)^2+(R56-$R$75)^2+(S56-$S$75)^2+(T56-$T$75)^2+(U56-$U$75)^2+(V56-$V$75)^2+(W56-$W$75)^2+(X56-$X$75)^2+(Y56-$Y$75)^2+(Z56-$Z$75)^2+(AA56-$AA$75)^2+(AB56-$AB$75)^2+(AC56-$AC$75)^2+(AD56-$AD$75)^2+(AE56-$AE$75)^2+(AF56-$AF$75)^2+(AG56-$AG$75)^2)</f>
        <v>1.4404712823707453</v>
      </c>
      <c r="DA56" s="36" t="s">
        <v>313</v>
      </c>
      <c r="DB56" s="37" t="s">
        <v>120</v>
      </c>
      <c r="DD56" s="44"/>
      <c r="DE56" s="36">
        <f>SQRT((A56-$A$76)^2+(B56-$B$76)^2+(C56-$C$76)^2+(D56-$D$76)^2+(E56-$E$76)^2+(F56-$F$76)^2+(G56-$G$76)^2+(H56-$H$76)^2+(I56-$I$76)^2+(J56-$J$76)^2+(K56-$K$76)^2+(L56-$L$76)^2+(M56-$M$76)^2+(N56-$N$76)^2+(O56-$O$76)^2+(P56-$P$76)^2+(Q56-$Q$76)^2+(R56-$R$76)^2+(S56-$S$76)^2+(T56-$T$76)^2+(U56-$U$76)^2+(V56-$V$76)^2+(W56-$W$76)^2+(X56-$X$76)^2+(Y56-$Y$76)^2+(Z56-$Z$76)^2+(AA56-$AA$76)^2+(AB56-$AB$76)^2+(AC56-$AC$76)^2+(AD56-$AD$76)^2+(AE56-$AE$76)^2+(AF56-$AF$76)^2+(AG56-$AG$76)^2)</f>
        <v>1.3347749555642276</v>
      </c>
      <c r="DF56" s="36" t="s">
        <v>330</v>
      </c>
      <c r="DG56" s="37" t="s">
        <v>120</v>
      </c>
      <c r="DI56" s="44"/>
      <c r="DJ56" s="36">
        <f>SQRT((A56-$A$77)^2+(B56-$B$77)^2+(C56-$C$77)^2+(D56-$D$77)^2+(E56-$E$77)^2+(F56-$F$77)^2+(G56-$G$77)^2+(H56-$H$77)^2+(I56-$I$77)^2+(J56-$J$77)^2+(K56-$K$77)^2+(L56-$L$77)^2+(M56-$M$77)^2+(N56-$N$77)^2+(O56-$O$77)^2+(P56-$P$77)^2+(Q56-$Q$77)^2+(R56-$R$77)^2+(S56-$S$77)^2+(T56-$T$77)^2+(U56-$U$77)^2+(V56-$V$77)^2+(W56-$W$77)^2+(X56-$X$77)^2+(Y56-$Y$77)^2+(Z56-$Z$77)^2+(AA56-$AA$77)^2+(AB56-$AB$77)^2+(AC56-$AC$77)^2+(AD56-$AD$77)^2+(AE56-$AE$77)^2+(AF56-$AF$77)^2+(AG56-$AG$77)^2)</f>
        <v>2.0376782296883191</v>
      </c>
      <c r="DK56" s="36" t="s">
        <v>124</v>
      </c>
      <c r="DL56" s="37" t="s">
        <v>120</v>
      </c>
      <c r="DN56" s="44"/>
      <c r="DO56" s="36">
        <f>SQRT((A56-$A$78)^2+(B56-$B$78)^2+(C56-$C$78)^2+(D56-$D$78)^2+(E56-$E$78)^2+(F56-$F$78)^2+(G56-$G$78)^2+(H56-$H$78)^2+(I56-$I$78)^2+(J56-$J$78)^2+(K56-$K$78)^2+(L56-$L$78)^2+(M56-$M$78)^2+(N56-$N$78)^2+(O56-$O$78)^2+(P56-$P$78)^2+(Q56-$Q$78)^2+(R56-$R$78)^2+(S56-$S$78)^2+(T56-$T$78)^2+(U56-$U$78)^2+(V56-$V$78)^2+(W56-$W$78)^2+(X56-$X$78)^2+(Y56-$Y$78)^2+(Z56-$Z$78)^2+(AA56-$AA$78)^2+(AB56-$AB$78)^2+(AC56-$AC$78)^2+(AD56-$AD$78)^2+(AE56-$AE$78)^2+(AF56-$AF$78)^2+(AG56-$AG$78)^2)</f>
        <v>0.38392156950088735</v>
      </c>
      <c r="DP56" s="36" t="s">
        <v>140</v>
      </c>
      <c r="DQ56" s="37" t="s">
        <v>120</v>
      </c>
      <c r="DS56" s="44"/>
      <c r="DT56" s="36">
        <f>SQRT((A56-$A$79)^2+(B56-$B$79)^2+(C56-$C$79)^2+(D56-$D$79)^2+(E56-$E$79)^2+(F56-$F$79)^2+(G56-$G$79)^2+(H56-$H$79)^2+(I56-$I$79)^2+(J56-$J$79)^2+(K56-$K$79)^2+(L56-$L$79)^2+(M56-$M$79)^2+(N56-$N$79)^2+(O56-$O$79)^2+(P56-$P$79)^2+(Q56-$Q$79)^2+(R56-$R$79)^2+(S56-$S$79)^2+(T56-$T$79)^2+(U56-$U$79)^2+(V56-$V$79)^2+(W56-$W$79)^2+(X56-$X$79)^2+(Y56-$Y$79)^2+(Z56-$Z$79)^2+(AA56-$AA$79)^2+(AB56-$AB$79)^2+(AC56-$AC$79)^2+(AD56-$AD$79)^2+(AE56-$AE$79)^2+(AF56-$AF$79)^2+(AG56-$AG$79)^2)</f>
        <v>1.1938592812051931</v>
      </c>
      <c r="DU56" s="36" t="s">
        <v>330</v>
      </c>
      <c r="DV56" s="37" t="s">
        <v>120</v>
      </c>
      <c r="DX56" s="44"/>
      <c r="DY56" s="36">
        <f>SQRT((A56-$A$80)^2+(B56-$B$80)^2+(C56-$C$80)^2+(D56-$D$80)^2+(E56-$E$80)^2+(F56-$F$80)^2+(G56-$G$80)^2+(H56-$H$80)^2+(I56-$I$80)^2+(J56-$J$80)^2+(K56-$K$80)^2+(L56-$L$80)^2+(M56-$M$80)^2+(N56-$N$80)^2+(O56-$O$80)^2+(P56-$P$80)^2+(Q56-$Q$80)^2+(R56-$R$80)^2+(S56-$S$80)^2+(T56-$T$80)^2+(U56-$U$80)^2+(V56-$V$80)^2+(W56-$W$80)^2+(X56-$X$80)^2+(Y56-$Y$80)^2+(Z56-$Z$80)^2+(AA56-$AA$80)^2+(AB56-$AB$80)^2+(AC56-$AC$80)^2+(AD56-$AD$80)^2+(AE56-$AE$80)^2+(AF56-$AF$80)^2+(AG56-$AG$80)^2)</f>
        <v>1.7570372043747515</v>
      </c>
      <c r="DZ56" s="36" t="s">
        <v>330</v>
      </c>
      <c r="EA56" s="37" t="s">
        <v>120</v>
      </c>
      <c r="EC56" s="44"/>
      <c r="ED56" s="36">
        <f>SQRT((A56-$A$81)^2+(B56-$B$81)^2+(C56-$C$81)^2+(D56-$D$81)^2+(E56-$E$81)^2+(F56-$F$81)^2+(G56-$G$81)^2+(H56-$H$81)^2+(I56-$I$81)^2+(J56-$J$81)^2+(K56-$K$81)^2+(L56-$L$81)^2+(M56-$M$81)^2+(N56-$N$81)^2+(O56-$O$81)^2+(P56-$P$81)^2+(Q56-$Q$81)^2+(R56-$R$81)^2+(S56-$S$81)^2+(T56-$T$81)^2+(U56-$U$81)^2+(V56-$V$81)^2+(W56-$W$81)^2+(X56-$X$81)^2+(Y56-$Y$81)^2+(Z56-$Z$81)^2+(AA56-$AA$81)^2+(AB56-$AB$81)^2+(AC56-$AC$81)^2+(AD56-$AD$81)^2+(AE56-$AE$81)^2+(AF56-$AF$81)^2+(AG56-$AG$81)^2)</f>
        <v>1.7770474858334953</v>
      </c>
      <c r="EE56" s="36" t="s">
        <v>330</v>
      </c>
      <c r="EF56" s="37" t="s">
        <v>120</v>
      </c>
      <c r="EH56" s="44"/>
      <c r="EI56" s="36">
        <f>SQRT((A56-$A$82)^2+(B56-$B$82)^2+(C56-$C$82)^2+(D56-$D$82)^2+(E56-$E$82)^2+(F56-$F$82)^2+(G56-$G$82)^2+(H56-$H$82)^2+(I56-$I$82)^2+(J56-$J$82)^2+(K56-$K$82)^2+(L56-$L$82)^2+(M56-$M$82)^2+(N56-$N$82)^2+(O56-$O$82)^2+(P56-$P$82)^2+(Q56-$Q$82)^2+(R56-$R$82)^2+(S56-$S$82)^2+(T56-$T$82)^2+(U56-$U$82)^2+(V56-$V$82)^2+(W56-$W$82)^2+(X56-$X$82)^2+(Y56-$Y$82)^2+(Z56-$Z$82)^2+(AA56-$AA$82)^2+(AB56-$AB$82)^2+(AC56-$AC$82)^2+(AD56-$AD$82)^2+(AE56-$AE$82)^2+(AF56-$AF$82)^2+(AG56-$AG$82)^2)</f>
        <v>1.1968755472108423</v>
      </c>
      <c r="EJ56" s="36" t="s">
        <v>330</v>
      </c>
      <c r="EK56" s="37" t="s">
        <v>120</v>
      </c>
      <c r="EM56" s="44"/>
      <c r="EN56" s="36">
        <f>SQRT((A56-$A$83)^2+(B56-$B$83)^2+(C56-$C$83)^2+(D56-$D$83)^2+(E56-$E$83)^2+(F56-$F$83)^2+(G56-$G$83)^2+(H56-$H$83)^2+(I56-$I$83)^2+(J56-$J$83)^2+(K56-$K$83)^2+(L56-$L$83)^2+(M56-$M$83)^2+(N56-$N$83)^2+(O56-$O$83)^2+(P56-$P$83)^2+(Q56-$Q$83)^2+(R56-$R$83)^2+(S56-$S$83)^2+(T56-$T$83)^2+(U56-$U$83)^2+(V56-$V$83)^2+(W56-$W$83)^2+(X56-$X$83)^2+(Y56-$Y$83)^2+(Z56-$Z$83)^2+(AA56-$AA$83)^2+(AB56-$AB$83)^2+(AC56-$AC$83)^2+(AD56-$AD$83)^2+(AE56-$AE$83)^2+(AF56-$AF$83)^2+(AG56-$AG$83)^2)</f>
        <v>0.4328923324892977</v>
      </c>
      <c r="EO56" s="36" t="s">
        <v>130</v>
      </c>
      <c r="EP56" s="37" t="s">
        <v>120</v>
      </c>
      <c r="ER56" s="44"/>
      <c r="ES56" s="36">
        <f>SQRT((A56-$A$84)^2+(B56-$B$84)^2+(C56-$C$84)^2+(D56-$D$84)^2+(E56-$E$84)^2+(F56-$F$84)^2+(G56-$G$84)^2+(H56-$H$84)^2+(I56-$I$84)^2+(J56-$J$84)^2+(K56-$K$84)^2+(L56-$L$84)^2+(M56-$M$84)^2+(N56-$N$84)^2+(O56-$O$84)^2+(P56-$P$84)^2+(Q56-$Q$84)^2+(R56-$R$84)^2+(S56-$S$84)^2+(T56-$T$84)^2+(U56-$U$84)^2+(V56-$V$84)^2+(W56-$W$84)^2+(X56-$X$84)^2+(Y56-$Y$84)^2+(Z56-$Z$84)^2+(AA56-$AA$84)^2+(AB56-$AB$84)^2+(AC56-$AC$84)^2+(AD56-$AD$84)^2+(AE56-$AE$84)^2+(AF56-$AF$84)^2+(AG56-$AG$84)^2)</f>
        <v>0.8009028455455226</v>
      </c>
      <c r="ET56" s="36" t="s">
        <v>148</v>
      </c>
      <c r="EU56" s="37" t="s">
        <v>120</v>
      </c>
      <c r="EW56" s="44"/>
      <c r="EX56" s="36">
        <f>SQRT((A56-$A$85)^2+(B56-$B$85)^2+(C56-$C$85)^2+(D56-$D$85)^2+(E56-$E$85)^2+(F56-$F$85)^2+(G56-$G$85)^2+(H56-$H$85)^2+(I56-$I$85)^2+(J56-$J$85)^2+(K56-$K$85)^2+(L56-$L$85)^2+(M56-$M$85)^2+(N56-$N$85)^2+(O56-$O$85)^2+(P56-$P$85)^2+(Q56-$Q$85)^2+(R56-$R$85)^2+(S56-$S$85)^2+(T56-$T$85)^2+(U56-$U$85)^2+(V56-$V$85)^2+(W56-$W$85)^2+(X56-$X$85)^2+(Y56-$Y$85)^2+(Z56-$Z$85)^2+(AA56-$AA$85)^2+(AB56-$AB$85)^2+(AC56-$AC$85)^2+(AD56-$AD$85)^2+(AE56-$AE$85)^2+(AF56-$AF$85)^2+(AG56-$AG$85)^2)</f>
        <v>0.8009028455455226</v>
      </c>
      <c r="EY56" s="36" t="s">
        <v>148</v>
      </c>
      <c r="EZ56" s="37" t="s">
        <v>120</v>
      </c>
      <c r="FB56" s="44"/>
      <c r="FC56" s="36">
        <f>SQRT((A56-$A$86)^2+(B56-$B$86)^2+(C56-$C$86)^2+(D56-$D$86)^2+(E56-$E$86)^2+(F56-$F$86)^2+(G56-$G$86)^2+(H56-$H$86)^2+(I56-$I$86)^2+(J56-$J$86)^2+(K56-$K$86)^2+(L56-$L$86)^2+(M56-$M$86)^2+(N56-$N$86)^2+(O56-$O$86)^2+(P56-$P$86)^2+(Q56-$Q$86)^2+(R56-$R$86)^2+(S56-$S$86)^2+(T56-$T$86)^2+(U56-$U$86)^2+(V56-$V$86)^2+(W56-$W$86)^2+(X56-$X$86)^2+(Y56-$Y$86)^2+(Z56-$Z$86)^2+(AA56-$AA$86)^2+(AB56-$AB$86)^2+(AC56-$AC$86)^2+(AD56-$AD$86)^2+(AE56-$AE$86)^2+(AF56-$AF$86)^2+(AG56-$AG$86)^2)</f>
        <v>0.8009028455455226</v>
      </c>
      <c r="FD56" s="36" t="s">
        <v>148</v>
      </c>
      <c r="FE56" s="37" t="s">
        <v>120</v>
      </c>
      <c r="FG56" s="44"/>
      <c r="FH56" s="36">
        <f>SQRT((A56-$A$87)^2+(B56-$B$87)^2+(C56-$C$87)^2+(D56-$D$87)^2+(E56-$E$87)^2+(F56-$F$87)^2+(G56-$G$87)^2+(H56-$H$87)^2+(I56-$I$87)^2+(J56-$J$87)^2+(K56-$K$87)^2+(L56-$L$87)^2+(M56-$M$87)^2+(N56-$N$87)^2+(O56-$O$87)^2+(P56-$P$87)^2+(Q56-$Q$87)^2+(R56-$R$87)^2+(S56-$S$87)^2+(T56-$T$87)^2+(U56-$U$87)^2+(V56-$V$87)^2+(W56-$W$87)^2+(X56-$X$87)^2+(Y56-$Y$87)^2+(Z56-$Z$87)^2+(AA56-$AA$87)^2+(AB56-$AB$87)^2+(AC56-$AC$87)^2+(AD56-$AD$87)^2+(AE56-$AE$87)^2+(AF56-$AF$87)^2+(AG56-$AG$87)^2)</f>
        <v>0.67615067666685225</v>
      </c>
      <c r="FI56" s="36" t="s">
        <v>140</v>
      </c>
      <c r="FJ56" s="37" t="s">
        <v>120</v>
      </c>
      <c r="FL56" s="44"/>
      <c r="FM56" s="36">
        <f>SQRT((A56-$A$88)^2+(B56-$B$88)^2+(C56-$C$88)^2+(D56-$D$88)^2+(E56-$E$88)^2+(F56-$F$88)^2+(G56-$G$88)^2+(H56-$H$88)^2+(I56-$I$88)^2+(J56-$J$88)^2+(K56-$K$88)^2+(L56-$L$88)^2+(M56-$M$88)^2+(N56-$N$88)^2+(O56-$O$88)^2+(P56-$P$88)^2+(Q56-$Q$88)^2+(R56-$R$88)^2+(S56-$S$88)^2+(T56-$T$88)^2+(U56-$U$88)^2+(V56-$V$88)^2+(W56-$W$88)^2+(X56-$X$88)^2+(Y56-$Y$88)^2+(Z56-$Z$88)^2+(AA56-$AA$88)^2+(AB56-$AB$88)^2+(AC56-$AC$88)^2+(AD56-$AD$88)^2+(AE56-$AE$88)^2+(AF56-$AF$88)^2+(AG56-$AG$88)^2)</f>
        <v>1.2583057392117918</v>
      </c>
      <c r="FN56" s="36" t="s">
        <v>140</v>
      </c>
      <c r="FO56" s="37" t="s">
        <v>120</v>
      </c>
      <c r="FQ56" s="44"/>
      <c r="FR56" s="36">
        <f>SQRT((A56-$A$89)^2+(B56-$B$89)^2+(C56-$C$89)^2+(D56-$D$89)^2+(E56-$E$89)^2+(F56-$F$89)^2+(G56-$G$89)^2+(H56-$H$89)^2+(I56-$I$89)^2+(J56-$J$89)^2+(K56-$K$89)^2+(L56-$L$89)^2+(M56-$M$89)^2+(N56-$N$89)^2+(O56-$O$89)^2+(P56-$P$89)^2+(Q56-$Q$89)^2+(R56-$R$89)^2+(S56-$S$89)^2+(T56-$T$89)^2+(U56-$U$89)^2+(V56-$V$89)^2+(W56-$W$89)^2+(X56-$X$89)^2+(Y56-$Y$89)^2+(Z56-$Z$89)^2+(AA56-$AA$89)^2+(AB56-$AB$89)^2+(AC56-$AC$89)^2+(AD56-$AD$89)^2+(AE56-$AE$89)^2+(AF56-$AF$89)^2+(AG56-$AG$89)^2)</f>
        <v>1.8158137948471043</v>
      </c>
      <c r="FS56" s="36" t="s">
        <v>330</v>
      </c>
      <c r="FT56" s="37" t="s">
        <v>120</v>
      </c>
      <c r="FV56" s="44"/>
      <c r="FW56" s="36">
        <f>SQRT((A56-$A$90)^2+(B56-$B$90)^2+(C56-$C$90)^2+(D56-$D$90)^2+(E56-$E$90)^2+(F56-$F$90)^2+(G56-$G$90)^2+(H56-$H$90)^2+(I56-$I$90)^2+(J56-$J$90)^2+(K56-$K$90)^2+(L56-$L$90)^2+(M56-$M$90)^2+(N56-$N$90)^2+(O56-$O$90)^2+(P56-$P$90)^2+(Q56-$Q$90)^2+(R56-$R$90)^2+(S56-$S$90)^2+(T56-$T$90)^2+(U56-$U$90)^2+(V56-$V$90)^2+(W56-$W$90)^2+(X56-$X$90)^2+(Y56-$Y$90)^2+(Z56-$Z$90)^2+(AA56-$AA$90)^2+(AB56-$AB$90)^2+(AC56-$AC$90)^2+(AD56-$AD$90)^2+(AE56-$AE$90)^2+(AF56-$AF$90)^2+(AG56-$AG$90)^2)</f>
        <v>1.8243074335081733</v>
      </c>
      <c r="FX56" s="36" t="s">
        <v>315</v>
      </c>
      <c r="FY56" s="37" t="s">
        <v>120</v>
      </c>
      <c r="GA56" s="44"/>
      <c r="GB56" s="36">
        <f>SQRT((A56-$A$91)^2+(B56-$B$91)^2+(C56-$C$91)^2+(D56-$D$91)^2+(E56-$E$91)^2+(F56-$F$91)^2+(G56-$G$91)^2+(H56-$H$91)^2+(I56-$I$91)^2+(J56-$J$91)^2+(K56-$K$91)^2+(L56-$L$91)^2+(M56-$M$91)^2+(N56-$N$91)^2+(O56-$O$91)^2+(P56-$P$91)^2+(Q56-$Q$91)^2+(R56-$R$91)^2+(S56-$S$91)^2+(T56-$T$91)^2+(U56-$U$91)^2+(V56-$V$91)^2+(W56-$W$91)^2+(X56-$X$91)^2+(Y56-$Y$91)^2+(Z56-$Z$91)^2+(AA56-$AA$91)^2+(AB56-$AB$91)^2+(AC56-$AC$91)^2+(AD56-$AD$91)^2+(AE56-$AE$91)^2+(AF56-$AF$91)^2+(AG56-$AG$91)^2)</f>
        <v>1.7904130602538164</v>
      </c>
      <c r="GC56" s="36" t="s">
        <v>329</v>
      </c>
      <c r="GD56" s="37" t="s">
        <v>120</v>
      </c>
      <c r="GF56" s="44"/>
      <c r="GG56" s="36">
        <f>SQRT((A56-$A$92)^2+(B56-$B$92)^2+(C56-$C$92)^2+(D56-$D$92)^2+(E56-$E$92)^2+(F56-$F$92)^2+(G56-$G$92)^2+(H56-$H$92)^2+(I56-$I$92)^2+(J56-$J$92)^2+(K56-$K$92)^2+(L56-$L$92)^2+(M56-$M$92)^2+(N56-$N$92)^2+(O56-$O$92)^2+(P56-$P$92)^2+(Q56-$Q$92)^2+(R56-$R$92)^2+(S56-$S$92)^2+(T56-$T$92)^2+(U56-$U$92)^2+(V56-$V$92)^2+(W56-$W$92)^2+(X56-$X$92)^2+(Y56-$Y$92)^2+(Z56-$Z$92)^2+(AA56-$AA$92)^2+(AB56-$AB$92)^2+(AC56-$AC$92)^2+(AD56-$AD$92)^2+(AE56-$AE$92)^2+(AF56-$AF$92)^2+(AG56-$AG$92)^2)</f>
        <v>1.2018504251546633</v>
      </c>
      <c r="GH56" s="36" t="s">
        <v>123</v>
      </c>
      <c r="GI56" s="37" t="s">
        <v>120</v>
      </c>
      <c r="GK56" s="44"/>
      <c r="GL56" s="36">
        <f>SQRT((A56-$A$93)^2+(B56-$B$93)^2+(C56-$C$93)^2+(D56-$D$93)^2+(E56-$E$93)^2+(F56-$F$93)^2+(G56-$G$93)^2+(H56-$H$93)^2+(I56-$I$93)^2+(J56-$J$93)^2+(K56-$K$93)^2+(L56-$L$93)^2+(M56-$M$93)^2+(N56-$N$93)^2+(O56-$O$93)^2+(P56-$P$93)^2+(Q56-$Q$93)^2+(R56-$R$93)^2+(S56-$S$93)^2+(T56-$T$93)^2+(U56-$U$93)^2+(V56-$V$93)^2+(W56-$W$93)^2+(X56-$X$93)^2+(Y56-$Y$93)^2+(Z56-$Z$93)^2+(AA56-$AA$93)^2+(AB56-$AB$93)^2+(AC56-$AC$93)^2+(AD56-$AD$93)^2+(AE56-$AE$93)^2+(AF56-$AF$93)^2+(AG56-$AG$93)^2)</f>
        <v>1.8241996958096915</v>
      </c>
      <c r="GM56" s="36" t="s">
        <v>332</v>
      </c>
      <c r="GN56" s="37" t="s">
        <v>120</v>
      </c>
      <c r="GP56" s="44"/>
      <c r="GQ56" s="36">
        <f>SQRT((A56-$A$94)^2+(B56-$B$94)^2+(C56-$C$94)^2+(D56-$D$94)^2+(E56-$E$94)^2+(F56-$F$94)^2+(G56-$G$94)^2+(H56-$H$94)^2+(I56-$I$94)^2+(J56-$J$94)^2+(K56-$K$94)^2+(L56-$L$94)^2+(M56-$M$94)^2+(N56-$N$94)^2+(O56-$O$94)^2+(P56-$P$94)^2+(Q56-$Q$94)^2+(R56-$R$94)^2+(S56-$S$94)^2+(T56-$T$94)^2+(U56-$U$94)^2+(V56-$V$94)^2+(W56-$W$94)^2+(X56-$X$94)^2+(Y56-$Y$94)^2+(Z56-$Z$94)^2+(AA56-$AA$94)^2+(AB56-$AB$94)^2+(AC56-$AC$94)^2+(AD56-$AD$94)^2+(AE56-$AE$94)^2+(AF56-$AF$94)^2+(AG56-$AG$94)^2)</f>
        <v>0.87512536750147218</v>
      </c>
      <c r="GR56" s="36" t="s">
        <v>148</v>
      </c>
      <c r="GS56" s="37" t="s">
        <v>120</v>
      </c>
      <c r="GU56" s="44"/>
      <c r="GV56" s="36">
        <f>SQRT((A56-$A$95)^2+(B56-$B$95)^2+(C56-$C$95)^2+(D56-$D$95)^2+(E56-$E$95)^2+(F56-$F$95)^2+(G56-$G$95)^2+(H56-$H$95)^2+(I56-$I$95)^2+(J56-$J$95)^2+(K56-$K$95)^2+(L56-$L$95)^2+(M56-$M$95)^2+(N56-$N$95)^2+(O56-$O$95)^2+(P56-$P$95)^2+(Q56-$Q$95)^2+(R56-$R$95)^2+(S56-$S$95)^2+(T56-$T$95)^2+(U56-$U$95)^2+(V56-$V$95)^2+(W56-$W$95)^2+(X56-$X$95)^2+(Y56-$Y$95)^2+(Z56-$Z$95)^2+(AA56-$AA$95)^2+(AB56-$AB$95)^2+(AC56-$AC$95)^2+(AD56-$AD$95)^2+(AE56-$AE$95)^2+(AF56-$AF$95)^2+(AG56-$AG$95)^2)</f>
        <v>2.4745612383739268</v>
      </c>
      <c r="GW56" s="36" t="s">
        <v>123</v>
      </c>
      <c r="GX56" s="37" t="s">
        <v>120</v>
      </c>
      <c r="GZ56" s="44"/>
      <c r="HA56" s="36">
        <f>SQRT((A56-$A$96)^2+(B56-$B$96)^2+(C56-$C$96)^2+(D56-$D$96)^2+(E56-$E$96)^2+(F56-$F$96)^2+(G56-$G$96)^2+(H56-$H$96)^2+(I56-$I$96)^2+(J56-$J$96)^2+(K56-$K$96)^2+(L56-$L$96)^2+(M56-$M$96)^2+(N56-$N$96)^2+(O56-$O$96)^2+(P56-$P$96)^2+(Q56-$Q$96)^2+(R56-$R$96)^2+(S56-$S$96)^2+(T56-$T$96)^2+(U56-$U$96)^2+(V56-$V$96)^2+(W56-$W$96)^2+(X56-$X$96)^2+(Y56-$Y$96)^2+(Z56-$Z$96)^2+(AA56-$AA$96)^2+(AB56-$AB$96)^2+(AC56-$AC$96)^2+(AD56-$AD$96)^2+(AE56-$AE$96)^2+(AF56-$AF$96)^2+(AG56-$AG$96)^2)</f>
        <v>2.4145641406120006</v>
      </c>
      <c r="HB56" s="36" t="s">
        <v>315</v>
      </c>
      <c r="HC56" s="37" t="s">
        <v>120</v>
      </c>
      <c r="HE56" s="44"/>
      <c r="HF56" s="36">
        <f>SQRT((A56-$A$97)^2+(B56-$B$97)^2+(C56-$C$97)^2+(D56-$D$97)^2+(E56-$E$97)^2+(F56-$F$97)^2+(G56-$G$97)^2+(H56-$H$97)^2+(I56-$I$97)^2+(J56-$J$97)^2+(K56-$K$97)^2+(L56-$L$97)^2+(M56-$M$97)^2+(N56-$N$97)^2+(O56-$O$97)^2+(P56-$P$97)^2+(Q56-$Q$97)^2+(R56-$R$97)^2+(S56-$S$97)^2+(T56-$T$97)^2+(U56-$U$97)^2+(V56-$V$97)^2+(W56-$W$97)^2+(X56-$X$97)^2+(Y56-$Y$97)^2+(Z56-$Z$97)^2+(AA56-$AA$97)^2+(AB56-$AB$97)^2+(AC56-$AC$97)^2+(AD56-$AD$97)^2+(AE56-$AE$97)^2+(AF56-$AF$97)^2+(AG56-$AG$97)^2)</f>
        <v>0.8009028455455226</v>
      </c>
      <c r="HG56" s="36" t="s">
        <v>148</v>
      </c>
      <c r="HH56" s="37" t="s">
        <v>120</v>
      </c>
      <c r="HJ56" s="44"/>
      <c r="HK56" s="36">
        <f>SQRT((A56-$A$98)^2+(B56-$B$98)^2+(C56-$C$98)^2+(D56-$D$98)^2+(E56-$E$98)^2+(F56-$F$98)^2+(G56-$G$98)^2+(H56-$H$98)^2+(I56-$I$98)^2+(J56-$J$98)^2+(K56-$K$98)^2+(L56-$L$98)^2+(M56-$M$98)^2+(N56-$N$98)^2+(O56-$O$98)^2+(P56-$P$98)^2+(Q56-$Q$98)^2+(R56-$R$98)^2+(S56-$S$98)^2+(T56-$T$98)^2+(U56-$U$98)^2+(V56-$V$98)^2+(W56-$W$98)^2+(X56-$X$98)^2+(Y56-$Y$98)^2+(Z56-$Z$98)^2+(AA56-$AA$98)^2+(AB56-$AB$98)^2+(AC56-$AC$98)^2+(AD56-$AD$98)^2+(AE56-$AE$98)^2+(AF56-$AF$98)^2+(AG56-$AG$98)^2)</f>
        <v>0.8009028455455226</v>
      </c>
      <c r="HL56" s="36" t="s">
        <v>148</v>
      </c>
      <c r="HM56" s="37" t="s">
        <v>120</v>
      </c>
      <c r="HO56" s="44"/>
      <c r="HP56" s="36">
        <f>SQRT((A56-$A$99)^2+(B56-$B$99)^2+(C56-$C$99)^2+(D56-$D$99)^2+(E56-$E$99)^2+(F56-$F$99)^2+(G56-$G$99)^2+(H56-$H$99)^2+(I56-$I$99)^2+(J56-$J$99)^2+(K56-$K$99)^2+(L56-$L$99)^2+(M56-$M$99)^2+(N56-$N$99)^2+(O56-$O$99)^2+(P56-$P$99)^2+(Q56-$Q$99)^2+(R56-$R$99)^2+(S56-$S$99)^2+(T56-$T$99)^2+(U56-$U$99)^2+(V56-$V$99)^2+(W56-$W$99)^2+(X56-$X$99)^2+(Y56-$Y$99)^2+(Z56-$Z$99)^2+(AA56-$AA$99)^2+(AB56-$AB$99)^2+(AC56-$AC$99)^2+(AD56-$AD$99)^2+(AE56-$AE$99)^2+(AF56-$AF$99)^2+(AG56-$AG$99)^2)</f>
        <v>0.8009028455455226</v>
      </c>
      <c r="HQ56" s="36" t="s">
        <v>148</v>
      </c>
      <c r="HR56" s="37" t="s">
        <v>120</v>
      </c>
      <c r="HT56" s="44"/>
      <c r="HU56" s="36">
        <f>SQRT((A56-$A$100)^2+(B56-$B$100)^2+(C56-$C$100)^2+(D56-$D$100)^2+(E56-$E$100)^2+(F56-$F$100)^2+(G56-$G$100)^2+(H56-$H$100)^2+(I56-$I$100)^2+(J56-$J$100)^2+(K56-$K$100)^2+(L56-$L$100)^2+(M56-$M$100)^2+(N56-$N$100)^2+(O56-$O$100)^2+(P56-$P$100)^2+(Q56-$Q$100)^2+(R56-$R$100)^2+(S56-$S$100)^2+(T56-$T$100)^2+(U56-$U$100)^2+(V56-$V$100)^2+(W56-$W$100)^2+(X56-$X$100)^2+(Y56-$Y$100)^2+(Z56-$Z$100)^2+(AA56-$AA$100)^2+(AB56-$AB$100)^2+(AC56-$AC$100)^2+(AD56-$AD$100)^2+(AE56-$AE$100)^2+(AF56-$AF$100)^2+(AG56-$AG$100)^2)</f>
        <v>0.8009028455455226</v>
      </c>
      <c r="HV56" s="36" t="s">
        <v>148</v>
      </c>
      <c r="HW56" s="37" t="s">
        <v>120</v>
      </c>
      <c r="HY56" s="44"/>
      <c r="HZ56" s="36">
        <f>SQRT((A56-$A$101)^2+(B56-$B$101)^2+(C56-$C$101)^2+(D56-$D$101)^2+(E56-$E$101)^2+(F56-$F$101)^2+(G56-$G$101)^2+(H56-$H$101)^2+(I56-$I$101)^2+(J56-$J$101)^2+(K56-$K$101)^2+(L56-$L$101)^2+(M56-$M$101)^2+(N56-$N$101)^2+(O56-$O$101)^2+(P56-$P$101)^2+(Q56-$Q$101)^2+(R56-$R$101)^2+(S56-$S$101)^2+(T56-$T$101)^2+(U56-$U$101)^2+(V56-$V$101)^2+(W56-$W$101)^2+(X56-$X$101)^2+(Y56-$Y$101)^2+(Z56-$Z$101)^2+(AA56-$AA$101)^2+(AB56-$AB$101)^2+(AC56-$AC$101)^2+(AD56-$AD$101)^2+(AE56-$AE$101)^2+(AF56-$AF$101)^2+(AG56-$AG$101)^2)</f>
        <v>1.796016576951595</v>
      </c>
      <c r="IA56" s="36" t="s">
        <v>330</v>
      </c>
      <c r="IB56" s="37" t="s">
        <v>120</v>
      </c>
    </row>
    <row r="57" spans="1:236" x14ac:dyDescent="0.35">
      <c r="A57" s="2">
        <v>0.16666666666666599</v>
      </c>
      <c r="B57" s="2">
        <v>0.25</v>
      </c>
      <c r="C57" s="2">
        <v>0.23899371069182301</v>
      </c>
      <c r="D57" s="2">
        <v>0</v>
      </c>
      <c r="E57" s="2">
        <v>0</v>
      </c>
      <c r="F57" s="2">
        <v>1</v>
      </c>
      <c r="G57" s="2">
        <v>0.55555555555555503</v>
      </c>
      <c r="H57" s="2">
        <v>1</v>
      </c>
      <c r="I57" s="2">
        <v>0</v>
      </c>
      <c r="J57" s="2">
        <v>0</v>
      </c>
      <c r="K57" s="2">
        <v>0</v>
      </c>
      <c r="L57" s="2">
        <v>0.2</v>
      </c>
      <c r="M57" s="2">
        <v>1</v>
      </c>
      <c r="N57" s="2">
        <v>0</v>
      </c>
      <c r="O57" s="2">
        <v>0</v>
      </c>
      <c r="P57" s="2">
        <v>0.4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0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0.19565217391304299</v>
      </c>
      <c r="AH57" s="2" t="s">
        <v>120</v>
      </c>
      <c r="AI57" s="42"/>
      <c r="AJ57" s="42"/>
      <c r="AL57" s="44"/>
      <c r="AM57" s="36">
        <f>SQRT((A57-$A$62)^2+(B57-$B$62)^2+(C57-$C$62)^2+(D57-$D$62)^2+(E57-$E$62)^2+(F57-$F$62)^2+(G57-$G$62)^2+(H57-$H$62)^2+(I57-$I$62)^2+(J57-$J$62)^2+(K57-$K$62)^2+(L57-$L$62)^2+(M57-$M$62)^2+(N57-$N$62)^2+(O57-$O$62)^2+(P57-$P$62)^2+(Q57-$Q$62)^2+(R57-$R$62)^2+(S57-$S$62)^2+(T57-$T$62)^2+(U57-$U$62)^2+(V57-$V$62)^2+(W57-$W$62)^2+(X57-$X$62)^2+(Y57-$Y$62)^2+(Z57-$Z$62)^2+(AA57-$AA$62)^2+(AB57-$AB$62)^2+(AC57-$AC$62)^2+(AD57-$AD$62)^2+(AE57-$AE$62)^2+(AF57-$AF$62)^2+(AG57-$AG$62)^2)</f>
        <v>1.8889920192176974</v>
      </c>
      <c r="AN57" s="36" t="s">
        <v>123</v>
      </c>
      <c r="AO57" s="37" t="s">
        <v>120</v>
      </c>
      <c r="AQ57" s="44"/>
      <c r="AR57" s="36">
        <f>SQRT((A57-$A$63)^2+(B57-$B$63)^2+(C57-$C$63)^2+(D57-$D$63)^2+(E57-$E$63)^2+(F57-$F$63)^2+(G57-$G$63)^2+(H57-$H$63)^2+(I57-$I$63)^2+(J57-$J$63)^2+(K57-$K$63)^2+(L57-$L$63)^2+(M57-$M$63)^2+(N57-$N$63)^2+(O57-$O$63)^2+(P57-$P$63)^2+(Q57-$Q$63)^2+(R57-$R$63)^2+(S57-$S$63)^2+(T57-$T$63)^2+(U57-$U$63)^2+(V57-$V$63)^2+(W57-$W$63)^2+(X57-$X$63)^2+(Y57-$Y$63)^2+(Z57-$Z$63)^2+(AA57-$AA$63)^2+(AB57-$AB$63)^2+(AC57-$AC$63)^2+(AD57-$AD$63)^2+(AE57-$AE$63)^2+(AF57-$AF$63)^2+(AG57-$AG$63)^2)</f>
        <v>0.99354133298448832</v>
      </c>
      <c r="AS57" s="36" t="s">
        <v>330</v>
      </c>
      <c r="AT57" s="37" t="s">
        <v>120</v>
      </c>
      <c r="AV57" s="44"/>
      <c r="AW57" s="36">
        <f>SQRT((A57-$A$64)^2+(B57-$B$64)^2+(C57-$C$64)^2+(D57-$D$64)^2+(E57-$E$64)^2+(F57-$F$64)^2+(G57-$G$64)^2+(H57-$H$64)^2+(I57-$I$64)^2+(J57-$J$64)^2+(K57-$K$64)^2+(L57-$L$64)^2+(M57-$M$64)^2+(N57-$N$64)^2+(O57-$O$64)^2+(P57-$P$64)^2+(Q57-$Q$64)^2+(R57-$R$64)^2+(S57-$S$64)^2+(T57-$T$64)^2+(U57-$U$64)^2+(V57-$V$64)^2+(W57-$W$64)^2+(X57-$X$64)^2+(Y57-$Y$64)^2+(Z57-$Z$64)^2+(AA57-$AA$64)^2+(AB57-$AB$64)^2+(AC57-$AC$64)^2+(AD57-$AD$64)^2+(AE57-$AE$64)^2+(AF57-$AF$64)^2+(AG57-$AG$64)^2)</f>
        <v>0.99354133298448832</v>
      </c>
      <c r="AX57" s="36" t="s">
        <v>330</v>
      </c>
      <c r="AY57" s="37" t="s">
        <v>120</v>
      </c>
      <c r="BA57" s="44"/>
      <c r="BB57" s="36">
        <f>SQRT((A57-$A$65)^2+(B57-$B$65)^2+(C57-$C$65)^2+(D57-$D$65)^2+(E57-$E$65)^2+(F57-$F$65)^2+(G57-$G$65)^2+(H57-$H$65)^2+(I57-$I$65)^2+(J57-$J$65)^2+(K57-$K$65)^2+(L57-$L$65)^2+(M57-$M$65)^2+(N57-$N$65)^2+(O57-$O$65)^2+(P57-$P$65)^2+(Q57-$Q$65)^2+(R57-$R$65)^2+(S57-$S$65)^2+(T57-$T$65)^2+(U57-$U$65)^2+(V57-$V$65)^2+(W57-$W$65)^2+(X57-$X$65)^2+(Y57-$Y$65)^2+(Z57-$Z$65)^2+(AA57-$AA$65)^2+(AB57-$AB$65)^2+(AC57-$AC$65)^2+(AD57-$AD$65)^2+(AE57-$AE$65)^2+(AF57-$AF$65)^2+(AG57-$AG$65)^2)</f>
        <v>0.99354133298448832</v>
      </c>
      <c r="BC57" s="36" t="s">
        <v>330</v>
      </c>
      <c r="BD57" s="37" t="s">
        <v>120</v>
      </c>
      <c r="BF57" s="44"/>
      <c r="BG57" s="36">
        <f>SQRT((A57-$A$66)^2+(B57-$B$66)^2+(C57-$C$66)^2+(D57-$D$66)^2+(E57-$E$66)^2+(F57-$F$66)^2+(G57-$G$66)^2+(H57-$H$66)^2+(I57-$I$66)^2+(J57-$J$66)^2+(K57-$K$66)^2+(L57-$L$66)^2+(M57-$M$66)^2+(N57-$N$66)^2+(O57-$O$66)^2+(P57-$P$66)^2+(Q57-$Q$66)^2+(R57-$R$66)^2+(S57-$S$66)^2+(T57-$T$66)^2+(U57-$U$66)^2+(V57-$V$66)^2+(W57-$W$66)^2+(X57-$X$66)^2+(Y57-$Y$66)^2+(Z57-$Z$66)^2+(AA57-$AA$66)^2+(AB57-$AB$66)^2+(AC57-$AC$66)^2+(AD57-$AD$66)^2+(AE57-$AE$66)^2+(AF57-$AF$66)^2+(AG57-$AG$66)^2)</f>
        <v>0.99354133298448832</v>
      </c>
      <c r="BH57" s="36" t="s">
        <v>330</v>
      </c>
      <c r="BI57" s="37" t="s">
        <v>120</v>
      </c>
      <c r="BK57" s="44"/>
      <c r="BL57" s="36">
        <f>SQRT((A57-$A$67)^2+(B57-$B$67)^2+(C57-$C$67)^2+(D57-$D$67)^2+(E57-$E$67)^2+(F57-$F$67)^2+(G57-$G$67)^2+(H57-$H$67)^2+(I57-$I$67)^2+(J57-$J$67)^2+(K57-$K$67)^2+(L57-$L$67)^2+(M57-$M$67)^2+(N57-$N$67)^2+(O57-$O$67)^2+(P57-$P$67)^2+(Q57-$Q$67)^2+(R57-$R$67)^2+(S57-$S$67)^2+(T57-$T$67)^2+(U57-$U$67)^2+(V57-$V$67)^2+(W57-$W$67)^2+(X57-$X$67)^2+(Y57-$Y$67)^2+(Z57-$Z$67)^2+(AA57-$AA$67)^2+(AB57-$AB$67)^2+(AC57-$AC$67)^2+(AD57-$AD$67)^2+(AE57-$AE$67)^2+(AF57-$AF$67)^2+(AG57-$AG$67)^2)</f>
        <v>0.99354133298448832</v>
      </c>
      <c r="BM57" s="36" t="s">
        <v>330</v>
      </c>
      <c r="BN57" s="37" t="s">
        <v>120</v>
      </c>
      <c r="BP57" s="44"/>
      <c r="BQ57" s="36">
        <f>SQRT((A57-$A$68)^2+(B57-$B$68)^2+(C57-$C$68)^2+(D57-$D$68)^2+(E57-$E$68)^2+(F57-$F$68)^2+(G57-$G$68)^2+(H57-$H$68)^2+(I57-$I$68)^2+(J57-$J$68)^2+(K57-$K$68)^2+(L57-$L$68)^2+(M57-$M$68)^2+(N57-$N$68)^2+(O57-$O$68)^2+(P57-$P$68)^2+(Q57-$Q$68)^2+(R57-$R$68)^2+(S57-$S$68)^2+(T57-$T$68)^2+(U57-$U$68)^2+(V57-$V$68)^2+(W57-$W$68)^2+(X57-$X$68)^2+(Y57-$Y$68)^2+(Z57-$Z$68)^2+(AA57-$AA$68)^2+(AB57-$AB$68)^2+(AC57-$AC$68)^2+(AD57-$AD$68)^2+(AE57-$AE$68)^2+(AF57-$AF$68)^2+(AG57-$AG$68)^2)</f>
        <v>0.99354133298448832</v>
      </c>
      <c r="BR57" s="36" t="s">
        <v>330</v>
      </c>
      <c r="BS57" s="37" t="s">
        <v>120</v>
      </c>
      <c r="BU57" s="44"/>
      <c r="BV57" s="36">
        <f>SQRT((A57-$A$69)^2+(B57-$B$69)^2+(C57-$C$69)^2+(D57-$D$69)^2+(E57-$E$69)^2+(F57-$F$69)^2+(G57-$G$69)^2+(H57-$H$69)^2+(I57-$I$69)^2+(J57-$J$69)^2+(K57-$K$69)^2+(L57-$L$69)^2+(M57-$M$69)^2+(N57-$N$69)^2+(O57-$O$69)^2+(P57-$P$69)^2+(Q57-$Q$69)^2+(R57-$R$69)^2+(S57-$S$69)^2+(T57-$T$69)^2+(U57-$U$69)^2+(V57-$V$69)^2+(W57-$W$69)^2+(X57-$X$69)^2+(Y57-$Y$69)^2+(Z57-$Z$69)^2+(AA57-$AA$69)^2+(AB57-$AB$69)^2+(AC57-$AC$69)^2+(AD57-$AD$69)^2+(AE57-$AE$69)^2+(AF57-$AF$69)^2+(AG57-$AG$69)^2)</f>
        <v>2.2737228596363028</v>
      </c>
      <c r="BW57" s="36" t="s">
        <v>329</v>
      </c>
      <c r="BX57" s="37" t="s">
        <v>120</v>
      </c>
      <c r="BZ57" s="44"/>
      <c r="CA57" s="36">
        <f>SQRT((A57-$A$70)^2+(B57-$B$70)^2+(C57-$C$70)^2+(D57-$D$70)^2+(E57-$E$70)^2+(F57-$F$70)^2+(G57-$G$70)^2+(H57-$H$70)^2+(I57-$I$70)^2+(J57-$J$70)^2+(K57-$K$70)^2+(L57-$L$70)^2+(M57-$M$70)^2+(N57-$N$70)^2+(O57-$O$70)^2+(P57-$P$70)^2+(Q57-$Q$70)^2+(R57-$R$70)^2+(S57-$S$70)^2+(T57-$T$70)^2+(U57-$U$70)^2+(V57-$V$70)^2+(W57-$W$70)^2+(X57-$X$70)^2+(Y57-$Y$70)^2+(Z57-$Z$70)^2+(AA57-$AA$70)^2+(AB57-$AB$70)^2+(AC57-$AC$70)^2+(AD57-$AD$70)^2+(AE57-$AE$70)^2+(AF57-$AF$70)^2+(AG57-$AG$70)^2)</f>
        <v>0.83333333333333282</v>
      </c>
      <c r="CB57" s="36" t="s">
        <v>140</v>
      </c>
      <c r="CC57" s="37" t="s">
        <v>120</v>
      </c>
      <c r="CE57" s="44"/>
      <c r="CF57" s="36">
        <f>SQRT((A57-$A$71)^2+(B57-$B$71)^2+(C57-$C$71)^2+(D57-$D$71)^2+(E57-$E$71)^2+(F57-$F$71)^2+(G57-$G$71)^2+(H57-$H$71)^2+(I57-$I$71)^2+(J57-$J$71)^2+(K57-$K$71)^2+(L57-$L$71)^2+(M57-$M$71)^2+(N57-$N$71)^2+(O57-$O$71)^2+(P57-$P$71)^2+(Q57-$Q$71)^2+(R57-$R$71)^2+(S57-$S$71)^2+(T57-$T$71)^2+(U57-$U$71)^2+(V57-$V$71)^2+(W57-$W$71)^2+(X57-$X$71)^2+(Y57-$Y$71)^2+(Z57-$Z$71)^2+(AA57-$AA$71)^2+(AB57-$AB$71)^2+(AC57-$AC$71)^2+(AD57-$AD$71)^2+(AE57-$AE$71)^2+(AF57-$AF$71)^2+(AG57-$AG$71)^2)</f>
        <v>1.2720281268728122</v>
      </c>
      <c r="CG57" s="36" t="s">
        <v>144</v>
      </c>
      <c r="CH57" s="37" t="s">
        <v>120</v>
      </c>
      <c r="CJ57" s="44"/>
      <c r="CK57" s="36">
        <f>SQRT((A57-$A$72)^2+(B57-$B$72)^2+(C57-$C$72)^2+(D57-$D$72)^2+(E57-$E$72)^2+(F57-$F$72)^2+(G57-$G$72)^2+(H57-$H$72)^2+(I57-$I$72)^2+(J57-$J$72)^2+(K57-$K$72)^2+(L57-$L$72)^2+(M57-$M$72)^2+(N57-$N$72)^2+(O57-$O$72)^2+(P57-$P$72)^2+(Q57-$Q$72)^2+(R57-$R$72)^2+(S57-$S$72)^2+(T57-$T$72)^2+(U57-$U$72)^2+(V57-$V$72)^2+(W57-$W$72)^2+(X57-$X$72)^2+(Y57-$Y$72)^2+(Z57-$Z$72)^2+(AA57-$AA$72)^2+(AB57-$AB$72)^2+(AC57-$AC$72)^2+(AD57-$AD$72)^2+(AE57-$AE$72)^2+(AF57-$AF$72)^2+(AG57-$AG$72)^2)</f>
        <v>1.5041095967423204</v>
      </c>
      <c r="CL57" s="36" t="s">
        <v>317</v>
      </c>
      <c r="CM57" s="37" t="s">
        <v>120</v>
      </c>
      <c r="CO57" s="44"/>
      <c r="CP57" s="36">
        <f>SQRT((A57-$A$73)^2+(B57-$B$73)^2+(C57-$C$73)^2+(D57-$D$73)^2+(E57-$E$73)^2+(F57-$F$73)^2+(G57-$G$73)^2+(H57-$H$73)^2+(I57-$I$73)^2+(J57-$J$73)^2+(K57-$K$73)^2+(L57-$L$73)^2+(M57-$M$73)^2+(N57-$N$73)^2+(O57-$O$73)^2+(P57-$P$73)^2+(Q57-$Q$73)^2+(R57-$R$73)^2+(S57-$S$73)^2+(T57-$T$73)^2+(U57-$U$73)^2+(V57-$V$73)^2+(W57-$W$73)^2+(X57-$X$73)^2+(Y57-$Y$73)^2+(Z57-$Z$73)^2+(AA57-$AA$73)^2+(AB57-$AB$73)^2+(AC57-$AC$73)^2+(AD57-$AD$73)^2+(AE57-$AE$73)^2+(AF57-$AF$73)^2+(AG57-$AG$73)^2)</f>
        <v>1.3301886932985347</v>
      </c>
      <c r="CQ57" s="36" t="s">
        <v>136</v>
      </c>
      <c r="CR57" s="37" t="s">
        <v>120</v>
      </c>
      <c r="CT57" s="44"/>
      <c r="CU57" s="36">
        <f>SQRT((A57-$A$74)^2+(B57-$B$74)^2+(C57-$C$74)^2+(D57-$D$74)^2+(E57-$E$74)^2+(F57-$F$74)^2+(G57-$G$74)^2+(H57-$H$74)^2+(I57-$I$74)^2+(J57-$J$74)^2+(K57-$K$74)^2+(L57-$L$74)^2+(M57-$M$74)^2+(N57-$N$74)^2+(O57-$O$74)^2+(P57-$P$74)^2+(Q57-$Q$74)^2+(R57-$R$74)^2+(S57-$S$74)^2+(T57-$T$74)^2+(U57-$U$74)^2+(V57-$V$74)^2+(W57-$W$74)^2+(X57-$X$74)^2+(Y57-$Y$74)^2+(Z57-$Z$74)^2+(AA57-$AA$74)^2+(AB57-$AB$74)^2+(AC57-$AC$74)^2+(AD57-$AD$74)^2+(AE57-$AE$74)^2+(AF57-$AF$74)^2+(AG57-$AG$74)^2)</f>
        <v>1.7008043077063855</v>
      </c>
      <c r="CV57" s="36" t="s">
        <v>317</v>
      </c>
      <c r="CW57" s="37" t="s">
        <v>120</v>
      </c>
      <c r="CY57" s="44"/>
      <c r="CZ57" s="36">
        <f>SQRT((A57-$A$75)^2+(B57-$B$75)^2+(C57-$C$75)^2+(D57-$D$75)^2+(E57-$E$75)^2+(F57-$F$75)^2+(G57-$G$75)^2+(H57-$H$75)^2+(I57-$I$75)^2+(J57-$J$75)^2+(K57-$K$75)^2+(L57-$L$75)^2+(M57-$M$75)^2+(N57-$N$75)^2+(O57-$O$75)^2+(P57-$P$75)^2+(Q57-$Q$75)^2+(R57-$R$75)^2+(S57-$S$75)^2+(T57-$T$75)^2+(U57-$U$75)^2+(V57-$V$75)^2+(W57-$W$75)^2+(X57-$X$75)^2+(Y57-$Y$75)^2+(Z57-$Z$75)^2+(AA57-$AA$75)^2+(AB57-$AB$75)^2+(AC57-$AC$75)^2+(AD57-$AD$75)^2+(AE57-$AE$75)^2+(AF57-$AF$75)^2+(AG57-$AG$75)^2)</f>
        <v>1.6557850651583634</v>
      </c>
      <c r="DA57" s="36" t="s">
        <v>123</v>
      </c>
      <c r="DB57" s="37" t="s">
        <v>120</v>
      </c>
      <c r="DD57" s="44"/>
      <c r="DE57" s="36">
        <f>SQRT((A57-$A$76)^2+(B57-$B$76)^2+(C57-$C$76)^2+(D57-$D$76)^2+(E57-$E$76)^2+(F57-$F$76)^2+(G57-$G$76)^2+(H57-$H$76)^2+(I57-$I$76)^2+(J57-$J$76)^2+(K57-$K$76)^2+(L57-$L$76)^2+(M57-$M$76)^2+(N57-$N$76)^2+(O57-$O$76)^2+(P57-$P$76)^2+(Q57-$Q$76)^2+(R57-$R$76)^2+(S57-$S$76)^2+(T57-$T$76)^2+(U57-$U$76)^2+(V57-$V$76)^2+(W57-$W$76)^2+(X57-$X$76)^2+(Y57-$Y$76)^2+(Z57-$Z$76)^2+(AA57-$AA$76)^2+(AB57-$AB$76)^2+(AC57-$AC$76)^2+(AD57-$AD$76)^2+(AE57-$AE$76)^2+(AF57-$AF$76)^2+(AG57-$AG$76)^2)</f>
        <v>1.0559154868334966</v>
      </c>
      <c r="DF57" s="36" t="s">
        <v>332</v>
      </c>
      <c r="DG57" s="37" t="s">
        <v>120</v>
      </c>
      <c r="DI57" s="44"/>
      <c r="DJ57" s="36">
        <f>SQRT((A57-$A$77)^2+(B57-$B$77)^2+(C57-$C$77)^2+(D57-$D$77)^2+(E57-$E$77)^2+(F57-$F$77)^2+(G57-$G$77)^2+(H57-$H$77)^2+(I57-$I$77)^2+(J57-$J$77)^2+(K57-$K$77)^2+(L57-$L$77)^2+(M57-$M$77)^2+(N57-$N$77)^2+(O57-$O$77)^2+(P57-$P$77)^2+(Q57-$Q$77)^2+(R57-$R$77)^2+(S57-$S$77)^2+(T57-$T$77)^2+(U57-$U$77)^2+(V57-$V$77)^2+(W57-$W$77)^2+(X57-$X$77)^2+(Y57-$Y$77)^2+(Z57-$Z$77)^2+(AA57-$AA$77)^2+(AB57-$AB$77)^2+(AC57-$AC$77)^2+(AD57-$AD$77)^2+(AE57-$AE$77)^2+(AF57-$AF$77)^2+(AG57-$AG$77)^2)</f>
        <v>1.9824001476804578</v>
      </c>
      <c r="DK57" s="36" t="s">
        <v>329</v>
      </c>
      <c r="DL57" s="37" t="s">
        <v>120</v>
      </c>
      <c r="DN57" s="44"/>
      <c r="DO57" s="36">
        <f>SQRT((A57-$A$78)^2+(B57-$B$78)^2+(C57-$C$78)^2+(D57-$D$78)^2+(E57-$E$78)^2+(F57-$F$78)^2+(G57-$G$78)^2+(H57-$H$78)^2+(I57-$I$78)^2+(J57-$J$78)^2+(K57-$K$78)^2+(L57-$L$78)^2+(M57-$M$78)^2+(N57-$N$78)^2+(O57-$O$78)^2+(P57-$P$78)^2+(Q57-$Q$78)^2+(R57-$R$78)^2+(S57-$S$78)^2+(T57-$T$78)^2+(U57-$U$78)^2+(V57-$V$78)^2+(W57-$W$78)^2+(X57-$X$78)^2+(Y57-$Y$78)^2+(Z57-$Z$78)^2+(AA57-$AA$78)^2+(AB57-$AB$78)^2+(AC57-$AC$78)^2+(AD57-$AD$78)^2+(AE57-$AE$78)^2+(AF57-$AF$78)^2+(AG57-$AG$78)^2)</f>
        <v>0.90225408738042878</v>
      </c>
      <c r="DP57" s="36" t="s">
        <v>148</v>
      </c>
      <c r="DQ57" s="37" t="s">
        <v>120</v>
      </c>
      <c r="DS57" s="44"/>
      <c r="DT57" s="36">
        <f>SQRT((A57-$A$79)^2+(B57-$B$79)^2+(C57-$C$79)^2+(D57-$D$79)^2+(E57-$E$79)^2+(F57-$F$79)^2+(G57-$G$79)^2+(H57-$H$79)^2+(I57-$I$79)^2+(J57-$J$79)^2+(K57-$K$79)^2+(L57-$L$79)^2+(M57-$M$79)^2+(N57-$N$79)^2+(O57-$O$79)^2+(P57-$P$79)^2+(Q57-$Q$79)^2+(R57-$R$79)^2+(S57-$S$79)^2+(T57-$T$79)^2+(U57-$U$79)^2+(V57-$V$79)^2+(W57-$W$79)^2+(X57-$X$79)^2+(Y57-$Y$79)^2+(Z57-$Z$79)^2+(AA57-$AA$79)^2+(AB57-$AB$79)^2+(AC57-$AC$79)^2+(AD57-$AD$79)^2+(AE57-$AE$79)^2+(AF57-$AF$79)^2+(AG57-$AG$79)^2)</f>
        <v>1.5028750169768321</v>
      </c>
      <c r="DU57" s="36" t="s">
        <v>139</v>
      </c>
      <c r="DV57" s="37" t="s">
        <v>120</v>
      </c>
      <c r="DX57" s="44"/>
      <c r="DY57" s="36">
        <f>SQRT((A57-$A$80)^2+(B57-$B$80)^2+(C57-$C$80)^2+(D57-$D$80)^2+(E57-$E$80)^2+(F57-$F$80)^2+(G57-$G$80)^2+(H57-$H$80)^2+(I57-$I$80)^2+(J57-$J$80)^2+(K57-$K$80)^2+(L57-$L$80)^2+(M57-$M$80)^2+(N57-$N$80)^2+(O57-$O$80)^2+(P57-$P$80)^2+(Q57-$Q$80)^2+(R57-$R$80)^2+(S57-$S$80)^2+(T57-$T$80)^2+(U57-$U$80)^2+(V57-$V$80)^2+(W57-$W$80)^2+(X57-$X$80)^2+(Y57-$Y$80)^2+(Z57-$Z$80)^2+(AA57-$AA$80)^2+(AB57-$AB$80)^2+(AC57-$AC$80)^2+(AD57-$AD$80)^2+(AE57-$AE$80)^2+(AF57-$AF$80)^2+(AG57-$AG$80)^2)</f>
        <v>1.9517689309391273</v>
      </c>
      <c r="DZ57" s="36" t="s">
        <v>148</v>
      </c>
      <c r="EA57" s="37" t="s">
        <v>120</v>
      </c>
      <c r="EC57" s="44"/>
      <c r="ED57" s="36">
        <f>SQRT((A57-$A$81)^2+(B57-$B$81)^2+(C57-$C$81)^2+(D57-$D$81)^2+(E57-$E$81)^2+(F57-$F$81)^2+(G57-$G$81)^2+(H57-$H$81)^2+(I57-$I$81)^2+(J57-$J$81)^2+(K57-$K$81)^2+(L57-$L$81)^2+(M57-$M$81)^2+(N57-$N$81)^2+(O57-$O$81)^2+(P57-$P$81)^2+(Q57-$Q$81)^2+(R57-$R$81)^2+(S57-$S$81)^2+(T57-$T$81)^2+(U57-$U$81)^2+(V57-$V$81)^2+(W57-$W$81)^2+(X57-$X$81)^2+(Y57-$Y$81)^2+(Z57-$Z$81)^2+(AA57-$AA$81)^2+(AB57-$AB$81)^2+(AC57-$AC$81)^2+(AD57-$AD$81)^2+(AE57-$AE$81)^2+(AF57-$AF$81)^2+(AG57-$AG$81)^2)</f>
        <v>1.9698020177493392</v>
      </c>
      <c r="EE57" s="36" t="s">
        <v>148</v>
      </c>
      <c r="EF57" s="37" t="s">
        <v>120</v>
      </c>
      <c r="EH57" s="44"/>
      <c r="EI57" s="36">
        <f>SQRT((A57-$A$82)^2+(B57-$B$82)^2+(C57-$C$82)^2+(D57-$D$82)^2+(E57-$E$82)^2+(F57-$F$82)^2+(G57-$G$82)^2+(H57-$H$82)^2+(I57-$I$82)^2+(J57-$J$82)^2+(K57-$K$82)^2+(L57-$L$82)^2+(M57-$M$82)^2+(N57-$N$82)^2+(O57-$O$82)^2+(P57-$P$82)^2+(Q57-$Q$82)^2+(R57-$R$82)^2+(S57-$S$82)^2+(T57-$T$82)^2+(U57-$U$82)^2+(V57-$V$82)^2+(W57-$W$82)^2+(X57-$X$82)^2+(Y57-$Y$82)^2+(Z57-$Z$82)^2+(AA57-$AA$82)^2+(AB57-$AB$82)^2+(AC57-$AC$82)^2+(AD57-$AD$82)^2+(AE57-$AE$82)^2+(AF57-$AF$82)^2+(AG57-$AG$82)^2)</f>
        <v>1.2863643720709443</v>
      </c>
      <c r="EJ57" s="36" t="s">
        <v>136</v>
      </c>
      <c r="EK57" s="37" t="s">
        <v>120</v>
      </c>
      <c r="EM57" s="44"/>
      <c r="EN57" s="36">
        <f>SQRT((A57-$A$83)^2+(B57-$B$83)^2+(C57-$C$83)^2+(D57-$D$83)^2+(E57-$E$83)^2+(F57-$F$83)^2+(G57-$G$83)^2+(H57-$H$83)^2+(I57-$I$83)^2+(J57-$J$83)^2+(K57-$K$83)^2+(L57-$L$83)^2+(M57-$M$83)^2+(N57-$N$83)^2+(O57-$O$83)^2+(P57-$P$83)^2+(Q57-$Q$83)^2+(R57-$R$83)^2+(S57-$S$83)^2+(T57-$T$83)^2+(U57-$U$83)^2+(V57-$V$83)^2+(W57-$W$83)^2+(X57-$X$83)^2+(Y57-$Y$83)^2+(Z57-$Z$83)^2+(AA57-$AA$83)^2+(AB57-$AB$83)^2+(AC57-$AC$83)^2+(AD57-$AD$83)^2+(AE57-$AE$83)^2+(AF57-$AF$83)^2+(AG57-$AG$83)^2)</f>
        <v>0.98243246551903096</v>
      </c>
      <c r="EO57" s="36" t="s">
        <v>330</v>
      </c>
      <c r="EP57" s="37" t="s">
        <v>120</v>
      </c>
      <c r="ER57" s="44"/>
      <c r="ES57" s="36">
        <f>SQRT((A57-$A$84)^2+(B57-$B$84)^2+(C57-$C$84)^2+(D57-$D$84)^2+(E57-$E$84)^2+(F57-$F$84)^2+(G57-$G$84)^2+(H57-$H$84)^2+(I57-$I$84)^2+(J57-$J$84)^2+(K57-$K$84)^2+(L57-$L$84)^2+(M57-$M$84)^2+(N57-$N$84)^2+(O57-$O$84)^2+(P57-$P$84)^2+(Q57-$Q$84)^2+(R57-$R$84)^2+(S57-$S$84)^2+(T57-$T$84)^2+(U57-$U$84)^2+(V57-$V$84)^2+(W57-$W$84)^2+(X57-$X$84)^2+(Y57-$Y$84)^2+(Z57-$Z$84)^2+(AA57-$AA$84)^2+(AB57-$AB$84)^2+(AC57-$AC$84)^2+(AD57-$AD$84)^2+(AE57-$AE$84)^2+(AF57-$AF$84)^2+(AG57-$AG$84)^2)</f>
        <v>0.99354133298448832</v>
      </c>
      <c r="ET57" s="36" t="s">
        <v>330</v>
      </c>
      <c r="EU57" s="37" t="s">
        <v>120</v>
      </c>
      <c r="EW57" s="44"/>
      <c r="EX57" s="36">
        <f>SQRT((A57-$A$85)^2+(B57-$B$85)^2+(C57-$C$85)^2+(D57-$D$85)^2+(E57-$E$85)^2+(F57-$F$85)^2+(G57-$G$85)^2+(H57-$H$85)^2+(I57-$I$85)^2+(J57-$J$85)^2+(K57-$K$85)^2+(L57-$L$85)^2+(M57-$M$85)^2+(N57-$N$85)^2+(O57-$O$85)^2+(P57-$P$85)^2+(Q57-$Q$85)^2+(R57-$R$85)^2+(S57-$S$85)^2+(T57-$T$85)^2+(U57-$U$85)^2+(V57-$V$85)^2+(W57-$W$85)^2+(X57-$X$85)^2+(Y57-$Y$85)^2+(Z57-$Z$85)^2+(AA57-$AA$85)^2+(AB57-$AB$85)^2+(AC57-$AC$85)^2+(AD57-$AD$85)^2+(AE57-$AE$85)^2+(AF57-$AF$85)^2+(AG57-$AG$85)^2)</f>
        <v>0.99354133298448832</v>
      </c>
      <c r="EY57" s="36" t="s">
        <v>330</v>
      </c>
      <c r="EZ57" s="37" t="s">
        <v>120</v>
      </c>
      <c r="FB57" s="44"/>
      <c r="FC57" s="36">
        <f>SQRT((A57-$A$86)^2+(B57-$B$86)^2+(C57-$C$86)^2+(D57-$D$86)^2+(E57-$E$86)^2+(F57-$F$86)^2+(G57-$G$86)^2+(H57-$H$86)^2+(I57-$I$86)^2+(J57-$J$86)^2+(K57-$K$86)^2+(L57-$L$86)^2+(M57-$M$86)^2+(N57-$N$86)^2+(O57-$O$86)^2+(P57-$P$86)^2+(Q57-$Q$86)^2+(R57-$R$86)^2+(S57-$S$86)^2+(T57-$T$86)^2+(U57-$U$86)^2+(V57-$V$86)^2+(W57-$W$86)^2+(X57-$X$86)^2+(Y57-$Y$86)^2+(Z57-$Z$86)^2+(AA57-$AA$86)^2+(AB57-$AB$86)^2+(AC57-$AC$86)^2+(AD57-$AD$86)^2+(AE57-$AE$86)^2+(AF57-$AF$86)^2+(AG57-$AG$86)^2)</f>
        <v>0.99354133298448832</v>
      </c>
      <c r="FD57" s="36" t="s">
        <v>330</v>
      </c>
      <c r="FE57" s="37" t="s">
        <v>120</v>
      </c>
      <c r="FG57" s="44"/>
      <c r="FH57" s="36">
        <f>SQRT((A57-$A$87)^2+(B57-$B$87)^2+(C57-$C$87)^2+(D57-$D$87)^2+(E57-$E$87)^2+(F57-$F$87)^2+(G57-$G$87)^2+(H57-$H$87)^2+(I57-$I$87)^2+(J57-$J$87)^2+(K57-$K$87)^2+(L57-$L$87)^2+(M57-$M$87)^2+(N57-$N$87)^2+(O57-$O$87)^2+(P57-$P$87)^2+(Q57-$Q$87)^2+(R57-$R$87)^2+(S57-$S$87)^2+(T57-$T$87)^2+(U57-$U$87)^2+(V57-$V$87)^2+(W57-$W$87)^2+(X57-$X$87)^2+(Y57-$Y$87)^2+(Z57-$Z$87)^2+(AA57-$AA$87)^2+(AB57-$AB$87)^2+(AC57-$AC$87)^2+(AD57-$AD$87)^2+(AE57-$AE$87)^2+(AF57-$AF$87)^2+(AG57-$AG$87)^2)</f>
        <v>0.82425843021425238</v>
      </c>
      <c r="FI57" s="36" t="s">
        <v>130</v>
      </c>
      <c r="FJ57" s="37" t="s">
        <v>120</v>
      </c>
      <c r="FL57" s="44"/>
      <c r="FM57" s="36">
        <f>SQRT((A57-$A$88)^2+(B57-$B$88)^2+(C57-$C$88)^2+(D57-$D$88)^2+(E57-$E$88)^2+(F57-$F$88)^2+(G57-$G$88)^2+(H57-$H$88)^2+(I57-$I$88)^2+(J57-$J$88)^2+(K57-$K$88)^2+(L57-$L$88)^2+(M57-$M$88)^2+(N57-$N$88)^2+(O57-$O$88)^2+(P57-$P$88)^2+(Q57-$Q$88)^2+(R57-$R$88)^2+(S57-$S$88)^2+(T57-$T$88)^2+(U57-$U$88)^2+(V57-$V$88)^2+(W57-$W$88)^2+(X57-$X$88)^2+(Y57-$Y$88)^2+(Z57-$Z$88)^2+(AA57-$AA$88)^2+(AB57-$AB$88)^2+(AC57-$AC$88)^2+(AD57-$AD$88)^2+(AE57-$AE$88)^2+(AF57-$AF$88)^2+(AG57-$AG$88)^2)</f>
        <v>1.6914819275153699</v>
      </c>
      <c r="FN57" s="36" t="s">
        <v>330</v>
      </c>
      <c r="FO57" s="37" t="s">
        <v>120</v>
      </c>
      <c r="FQ57" s="44"/>
      <c r="FR57" s="36">
        <f>SQRT((A57-$A$89)^2+(B57-$B$89)^2+(C57-$C$89)^2+(D57-$D$89)^2+(E57-$E$89)^2+(F57-$F$89)^2+(G57-$G$89)^2+(H57-$H$89)^2+(I57-$I$89)^2+(J57-$J$89)^2+(K57-$K$89)^2+(L57-$L$89)^2+(M57-$M$89)^2+(N57-$N$89)^2+(O57-$O$89)^2+(P57-$P$89)^2+(Q57-$Q$89)^2+(R57-$R$89)^2+(S57-$S$89)^2+(T57-$T$89)^2+(U57-$U$89)^2+(V57-$V$89)^2+(W57-$W$89)^2+(X57-$X$89)^2+(Y57-$Y$89)^2+(Z57-$Z$89)^2+(AA57-$AA$89)^2+(AB57-$AB$89)^2+(AC57-$AC$89)^2+(AD57-$AD$89)^2+(AE57-$AE$89)^2+(AF57-$AF$89)^2+(AG57-$AG$89)^2)</f>
        <v>2.0459884228523704</v>
      </c>
      <c r="FS57" s="36" t="s">
        <v>139</v>
      </c>
      <c r="FT57" s="37" t="s">
        <v>120</v>
      </c>
      <c r="FV57" s="44"/>
      <c r="FW57" s="36">
        <f>SQRT((A57-$A$90)^2+(B57-$B$90)^2+(C57-$C$90)^2+(D57-$D$90)^2+(E57-$E$90)^2+(F57-$F$90)^2+(G57-$G$90)^2+(H57-$H$90)^2+(I57-$I$90)^2+(J57-$J$90)^2+(K57-$K$90)^2+(L57-$L$90)^2+(M57-$M$90)^2+(N57-$N$90)^2+(O57-$O$90)^2+(P57-$P$90)^2+(Q57-$Q$90)^2+(R57-$R$90)^2+(S57-$S$90)^2+(T57-$T$90)^2+(U57-$U$90)^2+(V57-$V$90)^2+(W57-$W$90)^2+(X57-$X$90)^2+(Y57-$Y$90)^2+(Z57-$Z$90)^2+(AA57-$AA$90)^2+(AB57-$AB$90)^2+(AC57-$AC$90)^2+(AD57-$AD$90)^2+(AE57-$AE$90)^2+(AF57-$AF$90)^2+(AG57-$AG$90)^2)</f>
        <v>1.9134865939657144</v>
      </c>
      <c r="FX57" s="36" t="s">
        <v>136</v>
      </c>
      <c r="FY57" s="37" t="s">
        <v>120</v>
      </c>
      <c r="GA57" s="44"/>
      <c r="GB57" s="36">
        <f>SQRT((A57-$A$91)^2+(B57-$B$91)^2+(C57-$C$91)^2+(D57-$D$91)^2+(E57-$E$91)^2+(F57-$F$91)^2+(G57-$G$91)^2+(H57-$H$91)^2+(I57-$I$91)^2+(J57-$J$91)^2+(K57-$K$91)^2+(L57-$L$91)^2+(M57-$M$91)^2+(N57-$N$91)^2+(O57-$O$91)^2+(P57-$P$91)^2+(Q57-$Q$91)^2+(R57-$R$91)^2+(S57-$S$91)^2+(T57-$T$91)^2+(U57-$U$91)^2+(V57-$V$91)^2+(W57-$W$91)^2+(X57-$X$91)^2+(Y57-$Y$91)^2+(Z57-$Z$91)^2+(AA57-$AA$91)^2+(AB57-$AB$91)^2+(AC57-$AC$91)^2+(AD57-$AD$91)^2+(AE57-$AE$91)^2+(AF57-$AF$91)^2+(AG57-$AG$91)^2)</f>
        <v>1.8663752849052664</v>
      </c>
      <c r="GC57" s="36" t="s">
        <v>123</v>
      </c>
      <c r="GD57" s="37" t="s">
        <v>120</v>
      </c>
      <c r="GF57" s="44"/>
      <c r="GG57" s="36">
        <f>SQRT((A57-$A$92)^2+(B57-$B$92)^2+(C57-$C$92)^2+(D57-$D$92)^2+(E57-$E$92)^2+(F57-$F$92)^2+(G57-$G$92)^2+(H57-$H$92)^2+(I57-$I$92)^2+(J57-$J$92)^2+(K57-$K$92)^2+(L57-$L$92)^2+(M57-$M$92)^2+(N57-$N$92)^2+(O57-$O$92)^2+(P57-$P$92)^2+(Q57-$Q$92)^2+(R57-$R$92)^2+(S57-$S$92)^2+(T57-$T$92)^2+(U57-$U$92)^2+(V57-$V$92)^2+(W57-$W$92)^2+(X57-$X$92)^2+(Y57-$Y$92)^2+(Z57-$Z$92)^2+(AA57-$AA$92)^2+(AB57-$AB$92)^2+(AC57-$AC$92)^2+(AD57-$AD$92)^2+(AE57-$AE$92)^2+(AF57-$AF$92)^2+(AG57-$AG$92)^2)</f>
        <v>1.5456030825826175</v>
      </c>
      <c r="GH57" s="36" t="s">
        <v>332</v>
      </c>
      <c r="GI57" s="37" t="s">
        <v>120</v>
      </c>
      <c r="GK57" s="44"/>
      <c r="GL57" s="36">
        <f>SQRT((A57-$A$93)^2+(B57-$B$93)^2+(C57-$C$93)^2+(D57-$D$93)^2+(E57-$E$93)^2+(F57-$F$93)^2+(G57-$G$93)^2+(H57-$H$93)^2+(I57-$I$93)^2+(J57-$J$93)^2+(K57-$K$93)^2+(L57-$L$93)^2+(M57-$M$93)^2+(N57-$N$93)^2+(O57-$O$93)^2+(P57-$P$93)^2+(Q57-$Q$93)^2+(R57-$R$93)^2+(S57-$S$93)^2+(T57-$T$93)^2+(U57-$U$93)^2+(V57-$V$93)^2+(W57-$W$93)^2+(X57-$X$93)^2+(Y57-$Y$93)^2+(Z57-$Z$93)^2+(AA57-$AA$93)^2+(AB57-$AB$93)^2+(AC57-$AC$93)^2+(AD57-$AD$93)^2+(AE57-$AE$93)^2+(AF57-$AF$93)^2+(AG57-$AG$93)^2)</f>
        <v>2.106849695944939</v>
      </c>
      <c r="GM57" s="36" t="s">
        <v>327</v>
      </c>
      <c r="GN57" s="37" t="s">
        <v>120</v>
      </c>
      <c r="GP57" s="44"/>
      <c r="GQ57" s="36">
        <f>SQRT((A57-$A$94)^2+(B57-$B$94)^2+(C57-$C$94)^2+(D57-$D$94)^2+(E57-$E$94)^2+(F57-$F$94)^2+(G57-$G$94)^2+(H57-$H$94)^2+(I57-$I$94)^2+(J57-$J$94)^2+(K57-$K$94)^2+(L57-$L$94)^2+(M57-$M$94)^2+(N57-$N$94)^2+(O57-$O$94)^2+(P57-$P$94)^2+(Q57-$Q$94)^2+(R57-$R$94)^2+(S57-$S$94)^2+(T57-$T$94)^2+(U57-$U$94)^2+(V57-$V$94)^2+(W57-$W$94)^2+(X57-$X$94)^2+(Y57-$Y$94)^2+(Z57-$Z$94)^2+(AA57-$AA$94)^2+(AB57-$AB$94)^2+(AC57-$AC$94)^2+(AD57-$AD$94)^2+(AE57-$AE$94)^2+(AF57-$AF$94)^2+(AG57-$AG$94)^2)</f>
        <v>1.1495216241550839</v>
      </c>
      <c r="GR57" s="36" t="s">
        <v>136</v>
      </c>
      <c r="GS57" s="37" t="s">
        <v>120</v>
      </c>
      <c r="GU57" s="44"/>
      <c r="GV57" s="36">
        <f>SQRT((A57-$A$95)^2+(B57-$B$95)^2+(C57-$C$95)^2+(D57-$D$95)^2+(E57-$E$95)^2+(F57-$F$95)^2+(G57-$G$95)^2+(H57-$H$95)^2+(I57-$I$95)^2+(J57-$J$95)^2+(K57-$K$95)^2+(L57-$L$95)^2+(M57-$M$95)^2+(N57-$N$95)^2+(O57-$O$95)^2+(P57-$P$95)^2+(Q57-$Q$95)^2+(R57-$R$95)^2+(S57-$S$95)^2+(T57-$T$95)^2+(U57-$U$95)^2+(V57-$V$95)^2+(W57-$W$95)^2+(X57-$X$95)^2+(Y57-$Y$95)^2+(Z57-$Z$95)^2+(AA57-$AA$95)^2+(AB57-$AB$95)^2+(AC57-$AC$95)^2+(AD57-$AD$95)^2+(AE57-$AE$95)^2+(AF57-$AF$95)^2+(AG57-$AG$95)^2)</f>
        <v>2.5627910111648093</v>
      </c>
      <c r="GW57" s="36" t="s">
        <v>315</v>
      </c>
      <c r="GX57" s="37" t="s">
        <v>120</v>
      </c>
      <c r="GZ57" s="44"/>
      <c r="HA57" s="36">
        <f>SQRT((A57-$A$96)^2+(B57-$B$96)^2+(C57-$C$96)^2+(D57-$D$96)^2+(E57-$E$96)^2+(F57-$F$96)^2+(G57-$G$96)^2+(H57-$H$96)^2+(I57-$I$96)^2+(J57-$J$96)^2+(K57-$K$96)^2+(L57-$L$96)^2+(M57-$M$96)^2+(N57-$N$96)^2+(O57-$O$96)^2+(P57-$P$96)^2+(Q57-$Q$96)^2+(R57-$R$96)^2+(S57-$S$96)^2+(T57-$T$96)^2+(U57-$U$96)^2+(V57-$V$96)^2+(W57-$W$96)^2+(X57-$X$96)^2+(Y57-$Y$96)^2+(Z57-$Z$96)^2+(AA57-$AA$96)^2+(AB57-$AB$96)^2+(AC57-$AC$96)^2+(AD57-$AD$96)^2+(AE57-$AE$96)^2+(AF57-$AF$96)^2+(AG57-$AG$96)^2)</f>
        <v>2.3914449351842197</v>
      </c>
      <c r="HB57" s="36" t="s">
        <v>123</v>
      </c>
      <c r="HC57" s="37" t="s">
        <v>120</v>
      </c>
      <c r="HE57" s="44"/>
      <c r="HF57" s="36">
        <f>SQRT((A57-$A$97)^2+(B57-$B$97)^2+(C57-$C$97)^2+(D57-$D$97)^2+(E57-$E$97)^2+(F57-$F$97)^2+(G57-$G$97)^2+(H57-$H$97)^2+(I57-$I$97)^2+(J57-$J$97)^2+(K57-$K$97)^2+(L57-$L$97)^2+(M57-$M$97)^2+(N57-$N$97)^2+(O57-$O$97)^2+(P57-$P$97)^2+(Q57-$Q$97)^2+(R57-$R$97)^2+(S57-$S$97)^2+(T57-$T$97)^2+(U57-$U$97)^2+(V57-$V$97)^2+(W57-$W$97)^2+(X57-$X$97)^2+(Y57-$Y$97)^2+(Z57-$Z$97)^2+(AA57-$AA$97)^2+(AB57-$AB$97)^2+(AC57-$AC$97)^2+(AD57-$AD$97)^2+(AE57-$AE$97)^2+(AF57-$AF$97)^2+(AG57-$AG$97)^2)</f>
        <v>0.99354133298448832</v>
      </c>
      <c r="HG57" s="36" t="s">
        <v>330</v>
      </c>
      <c r="HH57" s="37" t="s">
        <v>120</v>
      </c>
      <c r="HJ57" s="44"/>
      <c r="HK57" s="36">
        <f>SQRT((A57-$A$98)^2+(B57-$B$98)^2+(C57-$C$98)^2+(D57-$D$98)^2+(E57-$E$98)^2+(F57-$F$98)^2+(G57-$G$98)^2+(H57-$H$98)^2+(I57-$I$98)^2+(J57-$J$98)^2+(K57-$K$98)^2+(L57-$L$98)^2+(M57-$M$98)^2+(N57-$N$98)^2+(O57-$O$98)^2+(P57-$P$98)^2+(Q57-$Q$98)^2+(R57-$R$98)^2+(S57-$S$98)^2+(T57-$T$98)^2+(U57-$U$98)^2+(V57-$V$98)^2+(W57-$W$98)^2+(X57-$X$98)^2+(Y57-$Y$98)^2+(Z57-$Z$98)^2+(AA57-$AA$98)^2+(AB57-$AB$98)^2+(AC57-$AC$98)^2+(AD57-$AD$98)^2+(AE57-$AE$98)^2+(AF57-$AF$98)^2+(AG57-$AG$98)^2)</f>
        <v>0.99354133298448832</v>
      </c>
      <c r="HL57" s="36" t="s">
        <v>330</v>
      </c>
      <c r="HM57" s="37" t="s">
        <v>120</v>
      </c>
      <c r="HO57" s="44"/>
      <c r="HP57" s="36">
        <f>SQRT((A57-$A$99)^2+(B57-$B$99)^2+(C57-$C$99)^2+(D57-$D$99)^2+(E57-$E$99)^2+(F57-$F$99)^2+(G57-$G$99)^2+(H57-$H$99)^2+(I57-$I$99)^2+(J57-$J$99)^2+(K57-$K$99)^2+(L57-$L$99)^2+(M57-$M$99)^2+(N57-$N$99)^2+(O57-$O$99)^2+(P57-$P$99)^2+(Q57-$Q$99)^2+(R57-$R$99)^2+(S57-$S$99)^2+(T57-$T$99)^2+(U57-$U$99)^2+(V57-$V$99)^2+(W57-$W$99)^2+(X57-$X$99)^2+(Y57-$Y$99)^2+(Z57-$Z$99)^2+(AA57-$AA$99)^2+(AB57-$AB$99)^2+(AC57-$AC$99)^2+(AD57-$AD$99)^2+(AE57-$AE$99)^2+(AF57-$AF$99)^2+(AG57-$AG$99)^2)</f>
        <v>0.99354133298448832</v>
      </c>
      <c r="HQ57" s="36" t="s">
        <v>330</v>
      </c>
      <c r="HR57" s="37" t="s">
        <v>120</v>
      </c>
      <c r="HT57" s="44"/>
      <c r="HU57" s="36">
        <f>SQRT((A57-$A$100)^2+(B57-$B$100)^2+(C57-$C$100)^2+(D57-$D$100)^2+(E57-$E$100)^2+(F57-$F$100)^2+(G57-$G$100)^2+(H57-$H$100)^2+(I57-$I$100)^2+(J57-$J$100)^2+(K57-$K$100)^2+(L57-$L$100)^2+(M57-$M$100)^2+(N57-$N$100)^2+(O57-$O$100)^2+(P57-$P$100)^2+(Q57-$Q$100)^2+(R57-$R$100)^2+(S57-$S$100)^2+(T57-$T$100)^2+(U57-$U$100)^2+(V57-$V$100)^2+(W57-$W$100)^2+(X57-$X$100)^2+(Y57-$Y$100)^2+(Z57-$Z$100)^2+(AA57-$AA$100)^2+(AB57-$AB$100)^2+(AC57-$AC$100)^2+(AD57-$AD$100)^2+(AE57-$AE$100)^2+(AF57-$AF$100)^2+(AG57-$AG$100)^2)</f>
        <v>0.99354133298448832</v>
      </c>
      <c r="HV57" s="36" t="s">
        <v>330</v>
      </c>
      <c r="HW57" s="37" t="s">
        <v>120</v>
      </c>
      <c r="HY57" s="44"/>
      <c r="HZ57" s="36">
        <f>SQRT((A57-$A$101)^2+(B57-$B$101)^2+(C57-$C$101)^2+(D57-$D$101)^2+(E57-$E$101)^2+(F57-$F$101)^2+(G57-$G$101)^2+(H57-$H$101)^2+(I57-$I$101)^2+(J57-$J$101)^2+(K57-$K$101)^2+(L57-$L$101)^2+(M57-$M$101)^2+(N57-$N$101)^2+(O57-$O$101)^2+(P57-$P$101)^2+(Q57-$Q$101)^2+(R57-$R$101)^2+(S57-$S$101)^2+(T57-$T$101)^2+(U57-$U$101)^2+(V57-$V$101)^2+(W57-$W$101)^2+(X57-$X$101)^2+(Y57-$Y$101)^2+(Z57-$Z$101)^2+(AA57-$AA$101)^2+(AB57-$AB$101)^2+(AC57-$AC$101)^2+(AD57-$AD$101)^2+(AE57-$AE$101)^2+(AF57-$AF$101)^2+(AG57-$AG$101)^2)</f>
        <v>2.0008631443611282</v>
      </c>
      <c r="IA57" s="36" t="s">
        <v>148</v>
      </c>
      <c r="IB57" s="37" t="s">
        <v>120</v>
      </c>
    </row>
    <row r="58" spans="1:236" x14ac:dyDescent="0.35">
      <c r="A58" s="2">
        <v>0.66666666666666596</v>
      </c>
      <c r="B58" s="2">
        <v>0.5</v>
      </c>
      <c r="C58" s="2">
        <v>0.23899371069182301</v>
      </c>
      <c r="D58" s="2">
        <v>0</v>
      </c>
      <c r="E58" s="2">
        <v>0.33333333333333298</v>
      </c>
      <c r="F58" s="2">
        <v>1</v>
      </c>
      <c r="G58" s="2">
        <v>0.55555555555555503</v>
      </c>
      <c r="H58" s="2">
        <v>1</v>
      </c>
      <c r="I58" s="2">
        <v>0</v>
      </c>
      <c r="J58" s="2">
        <v>0</v>
      </c>
      <c r="K58" s="2">
        <v>0</v>
      </c>
      <c r="L58" s="2">
        <v>0.2</v>
      </c>
      <c r="M58" s="2">
        <v>1</v>
      </c>
      <c r="N58" s="2">
        <v>0</v>
      </c>
      <c r="O58" s="2">
        <v>0</v>
      </c>
      <c r="P58" s="2">
        <v>0.4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1</v>
      </c>
      <c r="X58" s="2">
        <v>1</v>
      </c>
      <c r="Y58" s="2">
        <v>1</v>
      </c>
      <c r="Z58" s="2">
        <v>0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0.19565217391304299</v>
      </c>
      <c r="AH58" s="2" t="s">
        <v>120</v>
      </c>
      <c r="AI58" s="42"/>
      <c r="AJ58" s="42"/>
      <c r="AL58" s="44"/>
      <c r="AM58" s="36">
        <f>SQRT((A58-$A$62)^2+(B58-$B$62)^2+(C58-$C$62)^2+(D58-$D$62)^2+(E58-$E$62)^2+(F58-$F$62)^2+(G58-$G$62)^2+(H58-$H$62)^2+(I58-$I$62)^2+(J58-$J$62)^2+(K58-$K$62)^2+(L58-$L$62)^2+(M58-$M$62)^2+(N58-$N$62)^2+(O58-$O$62)^2+(P58-$P$62)^2+(Q58-$Q$62)^2+(R58-$R$62)^2+(S58-$S$62)^2+(T58-$T$62)^2+(U58-$U$62)^2+(V58-$V$62)^2+(W58-$W$62)^2+(X58-$X$62)^2+(Y58-$Y$62)^2+(Z58-$Z$62)^2+(AA58-$AA$62)^2+(AB58-$AB$62)^2+(AC58-$AC$62)^2+(AD58-$AD$62)^2+(AE58-$AE$62)^2+(AF58-$AF$62)^2+(AG58-$AG$62)^2)</f>
        <v>1.6305117682635506</v>
      </c>
      <c r="AN58" s="36" t="s">
        <v>339</v>
      </c>
      <c r="AO58" s="37" t="s">
        <v>120</v>
      </c>
      <c r="AQ58" s="44"/>
      <c r="AR58" s="36">
        <f>SQRT((A58-$A$63)^2+(B58-$B$63)^2+(C58-$C$63)^2+(D58-$D$63)^2+(E58-$E$63)^2+(F58-$F$63)^2+(G58-$G$63)^2+(H58-$H$63)^2+(I58-$I$63)^2+(J58-$J$63)^2+(K58-$K$63)^2+(L58-$L$63)^2+(M58-$M$63)^2+(N58-$N$63)^2+(O58-$O$63)^2+(P58-$P$63)^2+(Q58-$Q$63)^2+(R58-$R$63)^2+(S58-$S$63)^2+(T58-$T$63)^2+(U58-$U$63)^2+(V58-$V$63)^2+(W58-$W$63)^2+(X58-$X$63)^2+(Y58-$Y$63)^2+(Z58-$Z$63)^2+(AA58-$AA$63)^2+(AB58-$AB$63)^2+(AC58-$AC$63)^2+(AD58-$AD$63)^2+(AE58-$AE$63)^2+(AF58-$AF$63)^2+(AG58-$AG$63)^2)</f>
        <v>1.1778861895563149</v>
      </c>
      <c r="AS58" s="36" t="s">
        <v>139</v>
      </c>
      <c r="AT58" s="37" t="s">
        <v>120</v>
      </c>
      <c r="AV58" s="44"/>
      <c r="AW58" s="36">
        <f>SQRT((A58-$A$64)^2+(B58-$B$64)^2+(C58-$C$64)^2+(D58-$D$64)^2+(E58-$E$64)^2+(F58-$F$64)^2+(G58-$G$64)^2+(H58-$H$64)^2+(I58-$I$64)^2+(J58-$J$64)^2+(K58-$K$64)^2+(L58-$L$64)^2+(M58-$M$64)^2+(N58-$N$64)^2+(O58-$O$64)^2+(P58-$P$64)^2+(Q58-$Q$64)^2+(R58-$R$64)^2+(S58-$S$64)^2+(T58-$T$64)^2+(U58-$U$64)^2+(V58-$V$64)^2+(W58-$W$64)^2+(X58-$X$64)^2+(Y58-$Y$64)^2+(Z58-$Z$64)^2+(AA58-$AA$64)^2+(AB58-$AB$64)^2+(AC58-$AC$64)^2+(AD58-$AD$64)^2+(AE58-$AE$64)^2+(AF58-$AF$64)^2+(AG58-$AG$64)^2)</f>
        <v>1.1778861895563149</v>
      </c>
      <c r="AX58" s="36" t="s">
        <v>139</v>
      </c>
      <c r="AY58" s="37" t="s">
        <v>120</v>
      </c>
      <c r="BA58" s="44"/>
      <c r="BB58" s="36">
        <f>SQRT((A58-$A$65)^2+(B58-$B$65)^2+(C58-$C$65)^2+(D58-$D$65)^2+(E58-$E$65)^2+(F58-$F$65)^2+(G58-$G$65)^2+(H58-$H$65)^2+(I58-$I$65)^2+(J58-$J$65)^2+(K58-$K$65)^2+(L58-$L$65)^2+(M58-$M$65)^2+(N58-$N$65)^2+(O58-$O$65)^2+(P58-$P$65)^2+(Q58-$Q$65)^2+(R58-$R$65)^2+(S58-$S$65)^2+(T58-$T$65)^2+(U58-$U$65)^2+(V58-$V$65)^2+(W58-$W$65)^2+(X58-$X$65)^2+(Y58-$Y$65)^2+(Z58-$Z$65)^2+(AA58-$AA$65)^2+(AB58-$AB$65)^2+(AC58-$AC$65)^2+(AD58-$AD$65)^2+(AE58-$AE$65)^2+(AF58-$AF$65)^2+(AG58-$AG$65)^2)</f>
        <v>1.1778861895563149</v>
      </c>
      <c r="BC58" s="36" t="s">
        <v>139</v>
      </c>
      <c r="BD58" s="37" t="s">
        <v>120</v>
      </c>
      <c r="BF58" s="44"/>
      <c r="BG58" s="36">
        <f>SQRT((A58-$A$66)^2+(B58-$B$66)^2+(C58-$C$66)^2+(D58-$D$66)^2+(E58-$E$66)^2+(F58-$F$66)^2+(G58-$G$66)^2+(H58-$H$66)^2+(I58-$I$66)^2+(J58-$J$66)^2+(K58-$K$66)^2+(L58-$L$66)^2+(M58-$M$66)^2+(N58-$N$66)^2+(O58-$O$66)^2+(P58-$P$66)^2+(Q58-$Q$66)^2+(R58-$R$66)^2+(S58-$S$66)^2+(T58-$T$66)^2+(U58-$U$66)^2+(V58-$V$66)^2+(W58-$W$66)^2+(X58-$X$66)^2+(Y58-$Y$66)^2+(Z58-$Z$66)^2+(AA58-$AA$66)^2+(AB58-$AB$66)^2+(AC58-$AC$66)^2+(AD58-$AD$66)^2+(AE58-$AE$66)^2+(AF58-$AF$66)^2+(AG58-$AG$66)^2)</f>
        <v>1.1778861895563149</v>
      </c>
      <c r="BH58" s="36" t="s">
        <v>139</v>
      </c>
      <c r="BI58" s="37" t="s">
        <v>120</v>
      </c>
      <c r="BK58" s="44"/>
      <c r="BL58" s="36">
        <f>SQRT((A58-$A$67)^2+(B58-$B$67)^2+(C58-$C$67)^2+(D58-$D$67)^2+(E58-$E$67)^2+(F58-$F$67)^2+(G58-$G$67)^2+(H58-$H$67)^2+(I58-$I$67)^2+(J58-$J$67)^2+(K58-$K$67)^2+(L58-$L$67)^2+(M58-$M$67)^2+(N58-$N$67)^2+(O58-$O$67)^2+(P58-$P$67)^2+(Q58-$Q$67)^2+(R58-$R$67)^2+(S58-$S$67)^2+(T58-$T$67)^2+(U58-$U$67)^2+(V58-$V$67)^2+(W58-$W$67)^2+(X58-$X$67)^2+(Y58-$Y$67)^2+(Z58-$Z$67)^2+(AA58-$AA$67)^2+(AB58-$AB$67)^2+(AC58-$AC$67)^2+(AD58-$AD$67)^2+(AE58-$AE$67)^2+(AF58-$AF$67)^2+(AG58-$AG$67)^2)</f>
        <v>1.1778861895563149</v>
      </c>
      <c r="BM58" s="36" t="s">
        <v>139</v>
      </c>
      <c r="BN58" s="37" t="s">
        <v>120</v>
      </c>
      <c r="BP58" s="44"/>
      <c r="BQ58" s="36">
        <f>SQRT((A58-$A$68)^2+(B58-$B$68)^2+(C58-$C$68)^2+(D58-$D$68)^2+(E58-$E$68)^2+(F58-$F$68)^2+(G58-$G$68)^2+(H58-$H$68)^2+(I58-$I$68)^2+(J58-$J$68)^2+(K58-$K$68)^2+(L58-$L$68)^2+(M58-$M$68)^2+(N58-$N$68)^2+(O58-$O$68)^2+(P58-$P$68)^2+(Q58-$Q$68)^2+(R58-$R$68)^2+(S58-$S$68)^2+(T58-$T$68)^2+(U58-$U$68)^2+(V58-$V$68)^2+(W58-$W$68)^2+(X58-$X$68)^2+(Y58-$Y$68)^2+(Z58-$Z$68)^2+(AA58-$AA$68)^2+(AB58-$AB$68)^2+(AC58-$AC$68)^2+(AD58-$AD$68)^2+(AE58-$AE$68)^2+(AF58-$AF$68)^2+(AG58-$AG$68)^2)</f>
        <v>1.1778861895563149</v>
      </c>
      <c r="BR58" s="36" t="s">
        <v>139</v>
      </c>
      <c r="BS58" s="37" t="s">
        <v>120</v>
      </c>
      <c r="BU58" s="44"/>
      <c r="BV58" s="36">
        <f>SQRT((A58-$A$69)^2+(B58-$B$69)^2+(C58-$C$69)^2+(D58-$D$69)^2+(E58-$E$69)^2+(F58-$F$69)^2+(G58-$G$69)^2+(H58-$H$69)^2+(I58-$I$69)^2+(J58-$J$69)^2+(K58-$K$69)^2+(L58-$L$69)^2+(M58-$M$69)^2+(N58-$N$69)^2+(O58-$O$69)^2+(P58-$P$69)^2+(Q58-$Q$69)^2+(R58-$R$69)^2+(S58-$S$69)^2+(T58-$T$69)^2+(U58-$U$69)^2+(V58-$V$69)^2+(W58-$W$69)^2+(X58-$X$69)^2+(Y58-$Y$69)^2+(Z58-$Z$69)^2+(AA58-$AA$69)^2+(AB58-$AB$69)^2+(AC58-$AC$69)^2+(AD58-$AD$69)^2+(AE58-$AE$69)^2+(AF58-$AF$69)^2+(AG58-$AG$69)^2)</f>
        <v>2.4684867335158591</v>
      </c>
      <c r="BW58" s="36" t="s">
        <v>146</v>
      </c>
      <c r="BX58" s="37" t="s">
        <v>120</v>
      </c>
      <c r="BZ58" s="44"/>
      <c r="CA58" s="36">
        <f>SQRT((A58-$A$70)^2+(B58-$B$70)^2+(C58-$C$70)^2+(D58-$D$70)^2+(E58-$E$70)^2+(F58-$F$70)^2+(G58-$G$70)^2+(H58-$H$70)^2+(I58-$I$70)^2+(J58-$J$70)^2+(K58-$K$70)^2+(L58-$L$70)^2+(M58-$M$70)^2+(N58-$N$70)^2+(O58-$O$70)^2+(P58-$P$70)^2+(Q58-$Q$70)^2+(R58-$R$70)^2+(S58-$S$70)^2+(T58-$T$70)^2+(U58-$U$70)^2+(V58-$V$70)^2+(W58-$W$70)^2+(X58-$X$70)^2+(Y58-$Y$70)^2+(Z58-$Z$70)^2+(AA58-$AA$70)^2+(AB58-$AB$70)^2+(AC58-$AC$70)^2+(AD58-$AD$70)^2+(AE58-$AE$70)^2+(AF58-$AF$70)^2+(AG58-$AG$70)^2)</f>
        <v>1.272028126872812</v>
      </c>
      <c r="CB58" s="36" t="s">
        <v>139</v>
      </c>
      <c r="CC58" s="37" t="s">
        <v>120</v>
      </c>
      <c r="CE58" s="44"/>
      <c r="CF58" s="36">
        <f>SQRT((A58-$A$71)^2+(B58-$B$71)^2+(C58-$C$71)^2+(D58-$D$71)^2+(E58-$E$71)^2+(F58-$F$71)^2+(G58-$G$71)^2+(H58-$H$71)^2+(I58-$I$71)^2+(J58-$J$71)^2+(K58-$K$71)^2+(L58-$L$71)^2+(M58-$M$71)^2+(N58-$N$71)^2+(O58-$O$71)^2+(P58-$P$71)^2+(Q58-$Q$71)^2+(R58-$R$71)^2+(S58-$S$71)^2+(T58-$T$71)^2+(U58-$U$71)^2+(V58-$V$71)^2+(W58-$W$71)^2+(X58-$X$71)^2+(Y58-$Y$71)^2+(Z58-$Z$71)^2+(AA58-$AA$71)^2+(AB58-$AB$71)^2+(AC58-$AC$71)^2+(AD58-$AD$71)^2+(AE58-$AE$71)^2+(AF58-$AF$71)^2+(AG58-$AG$71)^2)</f>
        <v>0.76376261582597238</v>
      </c>
      <c r="CG58" s="36" t="s">
        <v>332</v>
      </c>
      <c r="CH58" s="37" t="s">
        <v>120</v>
      </c>
      <c r="CJ58" s="44"/>
      <c r="CK58" s="36">
        <f>SQRT((A58-$A$72)^2+(B58-$B$72)^2+(C58-$C$72)^2+(D58-$D$72)^2+(E58-$E$72)^2+(F58-$F$72)^2+(G58-$G$72)^2+(H58-$H$72)^2+(I58-$I$72)^2+(J58-$J$72)^2+(K58-$K$72)^2+(L58-$L$72)^2+(M58-$M$72)^2+(N58-$N$72)^2+(O58-$O$72)^2+(P58-$P$72)^2+(Q58-$Q$72)^2+(R58-$R$72)^2+(S58-$S$72)^2+(T58-$T$72)^2+(U58-$U$72)^2+(V58-$V$72)^2+(W58-$W$72)^2+(X58-$X$72)^2+(Y58-$Y$72)^2+(Z58-$Z$72)^2+(AA58-$AA$72)^2+(AB58-$AB$72)^2+(AC58-$AC$72)^2+(AD58-$AD$72)^2+(AE58-$AE$72)^2+(AF58-$AF$72)^2+(AG58-$AG$72)^2)</f>
        <v>1.0890164324395919</v>
      </c>
      <c r="CL58" s="36" t="s">
        <v>147</v>
      </c>
      <c r="CM58" s="37" t="s">
        <v>120</v>
      </c>
      <c r="CO58" s="44"/>
      <c r="CP58" s="36">
        <f>SQRT((A58-$A$73)^2+(B58-$B$73)^2+(C58-$C$73)^2+(D58-$D$73)^2+(E58-$E$73)^2+(F58-$F$73)^2+(G58-$G$73)^2+(H58-$H$73)^2+(I58-$I$73)^2+(J58-$J$73)^2+(K58-$K$73)^2+(L58-$L$73)^2+(M58-$M$73)^2+(N58-$N$73)^2+(O58-$O$73)^2+(P58-$P$73)^2+(Q58-$Q$73)^2+(R58-$R$73)^2+(S58-$S$73)^2+(T58-$T$73)^2+(U58-$U$73)^2+(V58-$V$73)^2+(W58-$W$73)^2+(X58-$X$73)^2+(Y58-$Y$73)^2+(Z58-$Z$73)^2+(AA58-$AA$73)^2+(AB58-$AB$73)^2+(AC58-$AC$73)^2+(AD58-$AD$73)^2+(AE58-$AE$73)^2+(AF58-$AF$73)^2+(AG58-$AG$73)^2)</f>
        <v>1.739639734032224</v>
      </c>
      <c r="CQ58" s="36" t="s">
        <v>123</v>
      </c>
      <c r="CR58" s="37" t="s">
        <v>120</v>
      </c>
      <c r="CT58" s="44"/>
      <c r="CU58" s="36">
        <f>SQRT((A58-$A$74)^2+(B58-$B$74)^2+(C58-$C$74)^2+(D58-$D$74)^2+(E58-$E$74)^2+(F58-$F$74)^2+(G58-$G$74)^2+(H58-$H$74)^2+(I58-$I$74)^2+(J58-$J$74)^2+(K58-$K$74)^2+(L58-$L$74)^2+(M58-$M$74)^2+(N58-$N$74)^2+(O58-$O$74)^2+(P58-$P$74)^2+(Q58-$Q$74)^2+(R58-$R$74)^2+(S58-$S$74)^2+(T58-$T$74)^2+(U58-$U$74)^2+(V58-$V$74)^2+(W58-$W$74)^2+(X58-$X$74)^2+(Y58-$Y$74)^2+(Z58-$Z$74)^2+(AA58-$AA$74)^2+(AB58-$AB$74)^2+(AC58-$AC$74)^2+(AD58-$AD$74)^2+(AE58-$AE$74)^2+(AF58-$AF$74)^2+(AG58-$AG$74)^2)</f>
        <v>1.4081949690615907</v>
      </c>
      <c r="CV58" s="36" t="s">
        <v>123</v>
      </c>
      <c r="CW58" s="37" t="s">
        <v>120</v>
      </c>
      <c r="CY58" s="44"/>
      <c r="CZ58" s="36">
        <f>SQRT((A58-$A$75)^2+(B58-$B$75)^2+(C58-$C$75)^2+(D58-$D$75)^2+(E58-$E$75)^2+(F58-$F$75)^2+(G58-$G$75)^2+(H58-$H$75)^2+(I58-$I$75)^2+(J58-$J$75)^2+(K58-$K$75)^2+(L58-$L$75)^2+(M58-$M$75)^2+(N58-$N$75)^2+(O58-$O$75)^2+(P58-$P$75)^2+(Q58-$Q$75)^2+(R58-$R$75)^2+(S58-$S$75)^2+(T58-$T$75)^2+(U58-$U$75)^2+(V58-$V$75)^2+(W58-$W$75)^2+(X58-$X$75)^2+(Y58-$Y$75)^2+(Z58-$Z$75)^2+(AA58-$AA$75)^2+(AB58-$AB$75)^2+(AC58-$AC$75)^2+(AD58-$AD$75)^2+(AE58-$AE$75)^2+(AF58-$AF$75)^2+(AG58-$AG$75)^2)</f>
        <v>1.4714738506383986</v>
      </c>
      <c r="DA58" s="36" t="s">
        <v>136</v>
      </c>
      <c r="DB58" s="37" t="s">
        <v>120</v>
      </c>
      <c r="DD58" s="44"/>
      <c r="DE58" s="36">
        <f>SQRT((A58-$A$76)^2+(B58-$B$76)^2+(C58-$C$76)^2+(D58-$D$76)^2+(E58-$E$76)^2+(F58-$F$76)^2+(G58-$G$76)^2+(H58-$H$76)^2+(I58-$I$76)^2+(J58-$J$76)^2+(K58-$K$76)^2+(L58-$L$76)^2+(M58-$M$76)^2+(N58-$N$76)^2+(O58-$O$76)^2+(P58-$P$76)^2+(Q58-$Q$76)^2+(R58-$R$76)^2+(S58-$S$76)^2+(T58-$T$76)^2+(U58-$U$76)^2+(V58-$V$76)^2+(W58-$W$76)^2+(X58-$X$76)^2+(Y58-$Y$76)^2+(Z58-$Z$76)^2+(AA58-$AA$76)^2+(AB58-$AB$76)^2+(AC58-$AC$76)^2+(AD58-$AD$76)^2+(AE58-$AE$76)^2+(AF58-$AF$76)^2+(AG58-$AG$76)^2)</f>
        <v>0.60983765034578175</v>
      </c>
      <c r="DF58" s="36" t="s">
        <v>144</v>
      </c>
      <c r="DG58" s="37" t="s">
        <v>120</v>
      </c>
      <c r="DI58" s="44"/>
      <c r="DJ58" s="36">
        <f>SQRT((A58-$A$77)^2+(B58-$B$77)^2+(C58-$C$77)^2+(D58-$D$77)^2+(E58-$E$77)^2+(F58-$F$77)^2+(G58-$G$77)^2+(H58-$H$77)^2+(I58-$I$77)^2+(J58-$J$77)^2+(K58-$K$77)^2+(L58-$L$77)^2+(M58-$M$77)^2+(N58-$N$77)^2+(O58-$O$77)^2+(P58-$P$77)^2+(Q58-$Q$77)^2+(R58-$R$77)^2+(S58-$S$77)^2+(T58-$T$77)^2+(U58-$U$77)^2+(V58-$V$77)^2+(W58-$W$77)^2+(X58-$X$77)^2+(Y58-$Y$77)^2+(Z58-$Z$77)^2+(AA58-$AA$77)^2+(AB58-$AB$77)^2+(AC58-$AC$77)^2+(AD58-$AD$77)^2+(AE58-$AE$77)^2+(AF58-$AF$77)^2+(AG58-$AG$77)^2)</f>
        <v>1.7968086867094704</v>
      </c>
      <c r="DK58" s="36" t="s">
        <v>317</v>
      </c>
      <c r="DL58" s="37" t="s">
        <v>120</v>
      </c>
      <c r="DN58" s="44"/>
      <c r="DO58" s="36">
        <f>SQRT((A58-$A$78)^2+(B58-$B$78)^2+(C58-$C$78)^2+(D58-$D$78)^2+(E58-$E$78)^2+(F58-$F$78)^2+(G58-$G$78)^2+(H58-$H$78)^2+(I58-$I$78)^2+(J58-$J$78)^2+(K58-$K$78)^2+(L58-$L$78)^2+(M58-$M$78)^2+(N58-$N$78)^2+(O58-$O$78)^2+(P58-$P$78)^2+(Q58-$Q$78)^2+(R58-$R$78)^2+(S58-$S$78)^2+(T58-$T$78)^2+(U58-$U$78)^2+(V58-$V$78)^2+(W58-$W$78)^2+(X58-$X$78)^2+(Y58-$Y$78)^2+(Z58-$Z$78)^2+(AA58-$AA$78)^2+(AB58-$AB$78)^2+(AC58-$AC$78)^2+(AD58-$AD$78)^2+(AE58-$AE$78)^2+(AF58-$AF$78)^2+(AG58-$AG$78)^2)</f>
        <v>1.5370990694505677</v>
      </c>
      <c r="DP58" s="36" t="s">
        <v>330</v>
      </c>
      <c r="DQ58" s="37" t="s">
        <v>120</v>
      </c>
      <c r="DS58" s="44"/>
      <c r="DT58" s="36">
        <f>SQRT((A58-$A$79)^2+(B58-$B$79)^2+(C58-$C$79)^2+(D58-$D$79)^2+(E58-$E$79)^2+(F58-$F$79)^2+(G58-$G$79)^2+(H58-$H$79)^2+(I58-$I$79)^2+(J58-$J$79)^2+(K58-$K$79)^2+(L58-$L$79)^2+(M58-$M$79)^2+(N58-$N$79)^2+(O58-$O$79)^2+(P58-$P$79)^2+(Q58-$Q$79)^2+(R58-$R$79)^2+(S58-$S$79)^2+(T58-$T$79)^2+(U58-$U$79)^2+(V58-$V$79)^2+(W58-$W$79)^2+(X58-$X$79)^2+(Y58-$Y$79)^2+(Z58-$Z$79)^2+(AA58-$AA$79)^2+(AB58-$AB$79)^2+(AC58-$AC$79)^2+(AD58-$AD$79)^2+(AE58-$AE$79)^2+(AF58-$AF$79)^2+(AG58-$AG$79)^2)</f>
        <v>1.02822391907805</v>
      </c>
      <c r="DU58" s="36" t="s">
        <v>148</v>
      </c>
      <c r="DV58" s="37" t="s">
        <v>120</v>
      </c>
      <c r="DX58" s="44"/>
      <c r="DY58" s="36">
        <f>SQRT((A58-$A$80)^2+(B58-$B$80)^2+(C58-$C$80)^2+(D58-$D$80)^2+(E58-$E$80)^2+(F58-$F$80)^2+(G58-$G$80)^2+(H58-$H$80)^2+(I58-$I$80)^2+(J58-$J$80)^2+(K58-$K$80)^2+(L58-$L$80)^2+(M58-$M$80)^2+(N58-$N$80)^2+(O58-$O$80)^2+(P58-$P$80)^2+(Q58-$Q$80)^2+(R58-$R$80)^2+(S58-$S$80)^2+(T58-$T$80)^2+(U58-$U$80)^2+(V58-$V$80)^2+(W58-$W$80)^2+(X58-$X$80)^2+(Y58-$Y$80)^2+(Z58-$Z$80)^2+(AA58-$AA$80)^2+(AB58-$AB$80)^2+(AC58-$AC$80)^2+(AD58-$AD$80)^2+(AE58-$AE$80)^2+(AF58-$AF$80)^2+(AG58-$AG$80)^2)</f>
        <v>1.7510986277830576</v>
      </c>
      <c r="DZ58" s="36" t="s">
        <v>130</v>
      </c>
      <c r="EA58" s="37" t="s">
        <v>120</v>
      </c>
      <c r="EC58" s="44"/>
      <c r="ED58" s="36">
        <f>SQRT((A58-$A$81)^2+(B58-$B$81)^2+(C58-$C$81)^2+(D58-$D$81)^2+(E58-$E$81)^2+(F58-$F$81)^2+(G58-$G$81)^2+(H58-$H$81)^2+(I58-$I$81)^2+(J58-$J$81)^2+(K58-$K$81)^2+(L58-$L$81)^2+(M58-$M$81)^2+(N58-$N$81)^2+(O58-$O$81)^2+(P58-$P$81)^2+(Q58-$Q$81)^2+(R58-$R$81)^2+(S58-$S$81)^2+(T58-$T$81)^2+(U58-$U$81)^2+(V58-$V$81)^2+(W58-$W$81)^2+(X58-$X$81)^2+(Y58-$Y$81)^2+(Z58-$Z$81)^2+(AA58-$AA$81)^2+(AB58-$AB$81)^2+(AC58-$AC$81)^2+(AD58-$AD$81)^2+(AE58-$AE$81)^2+(AF58-$AF$81)^2+(AG58-$AG$81)^2)</f>
        <v>1.8061186100513476</v>
      </c>
      <c r="EE58" s="36" t="s">
        <v>130</v>
      </c>
      <c r="EF58" s="37" t="s">
        <v>120</v>
      </c>
      <c r="EH58" s="44"/>
      <c r="EI58" s="36">
        <f>SQRT((A58-$A$82)^2+(B58-$B$82)^2+(C58-$C$82)^2+(D58-$D$82)^2+(E58-$E$82)^2+(F58-$F$82)^2+(G58-$G$82)^2+(H58-$H$82)^2+(I58-$I$82)^2+(J58-$J$82)^2+(K58-$K$82)^2+(L58-$L$82)^2+(M58-$M$82)^2+(N58-$N$82)^2+(O58-$O$82)^2+(P58-$P$82)^2+(Q58-$Q$82)^2+(R58-$R$82)^2+(S58-$S$82)^2+(T58-$T$82)^2+(U58-$U$82)^2+(V58-$V$82)^2+(W58-$W$82)^2+(X58-$X$82)^2+(Y58-$Y$82)^2+(Z58-$Z$82)^2+(AA58-$AA$82)^2+(AB58-$AB$82)^2+(AC58-$AC$82)^2+(AD58-$AD$82)^2+(AE58-$AE$82)^2+(AF58-$AF$82)^2+(AG58-$AG$82)^2)</f>
        <v>1.6776339052235731</v>
      </c>
      <c r="EJ58" s="36" t="s">
        <v>123</v>
      </c>
      <c r="EK58" s="37" t="s">
        <v>120</v>
      </c>
      <c r="EM58" s="44"/>
      <c r="EN58" s="36">
        <f>SQRT((A58-$A$83)^2+(B58-$B$83)^2+(C58-$C$83)^2+(D58-$D$83)^2+(E58-$E$83)^2+(F58-$F$83)^2+(G58-$G$83)^2+(H58-$H$83)^2+(I58-$I$83)^2+(J58-$J$83)^2+(K58-$K$83)^2+(L58-$L$83)^2+(M58-$M$83)^2+(N58-$N$83)^2+(O58-$O$83)^2+(P58-$P$83)^2+(Q58-$Q$83)^2+(R58-$R$83)^2+(S58-$S$83)^2+(T58-$T$83)^2+(U58-$U$83)^2+(V58-$V$83)^2+(W58-$W$83)^2+(X58-$X$83)^2+(Y58-$Y$83)^2+(Z58-$Z$83)^2+(AA58-$AA$83)^2+(AB58-$AB$83)^2+(AC58-$AC$83)^2+(AD58-$AD$83)^2+(AE58-$AE$83)^2+(AF58-$AF$83)^2+(AG58-$AG$83)^2)</f>
        <v>1.4766351367496233</v>
      </c>
      <c r="EO58" s="36" t="s">
        <v>148</v>
      </c>
      <c r="EP58" s="37" t="s">
        <v>120</v>
      </c>
      <c r="ER58" s="44"/>
      <c r="ES58" s="36">
        <f>SQRT((A58-$A$84)^2+(B58-$B$84)^2+(C58-$C$84)^2+(D58-$D$84)^2+(E58-$E$84)^2+(F58-$F$84)^2+(G58-$G$84)^2+(H58-$H$84)^2+(I58-$I$84)^2+(J58-$J$84)^2+(K58-$K$84)^2+(L58-$L$84)^2+(M58-$M$84)^2+(N58-$N$84)^2+(O58-$O$84)^2+(P58-$P$84)^2+(Q58-$Q$84)^2+(R58-$R$84)^2+(S58-$S$84)^2+(T58-$T$84)^2+(U58-$U$84)^2+(V58-$V$84)^2+(W58-$W$84)^2+(X58-$X$84)^2+(Y58-$Y$84)^2+(Z58-$Z$84)^2+(AA58-$AA$84)^2+(AB58-$AB$84)^2+(AC58-$AC$84)^2+(AD58-$AD$84)^2+(AE58-$AE$84)^2+(AF58-$AF$84)^2+(AG58-$AG$84)^2)</f>
        <v>1.1778861895563149</v>
      </c>
      <c r="ET58" s="36" t="s">
        <v>139</v>
      </c>
      <c r="EU58" s="37" t="s">
        <v>120</v>
      </c>
      <c r="EW58" s="44"/>
      <c r="EX58" s="36">
        <f>SQRT((A58-$A$85)^2+(B58-$B$85)^2+(C58-$C$85)^2+(D58-$D$85)^2+(E58-$E$85)^2+(F58-$F$85)^2+(G58-$G$85)^2+(H58-$H$85)^2+(I58-$I$85)^2+(J58-$J$85)^2+(K58-$K$85)^2+(L58-$L$85)^2+(M58-$M$85)^2+(N58-$N$85)^2+(O58-$O$85)^2+(P58-$P$85)^2+(Q58-$Q$85)^2+(R58-$R$85)^2+(S58-$S$85)^2+(T58-$T$85)^2+(U58-$U$85)^2+(V58-$V$85)^2+(W58-$W$85)^2+(X58-$X$85)^2+(Y58-$Y$85)^2+(Z58-$Z$85)^2+(AA58-$AA$85)^2+(AB58-$AB$85)^2+(AC58-$AC$85)^2+(AD58-$AD$85)^2+(AE58-$AE$85)^2+(AF58-$AF$85)^2+(AG58-$AG$85)^2)</f>
        <v>1.1778861895563149</v>
      </c>
      <c r="EY58" s="36" t="s">
        <v>139</v>
      </c>
      <c r="EZ58" s="37" t="s">
        <v>120</v>
      </c>
      <c r="FB58" s="44"/>
      <c r="FC58" s="36">
        <f>SQRT((A58-$A$86)^2+(B58-$B$86)^2+(C58-$C$86)^2+(D58-$D$86)^2+(E58-$E$86)^2+(F58-$F$86)^2+(G58-$G$86)^2+(H58-$H$86)^2+(I58-$I$86)^2+(J58-$J$86)^2+(K58-$K$86)^2+(L58-$L$86)^2+(M58-$M$86)^2+(N58-$N$86)^2+(O58-$O$86)^2+(P58-$P$86)^2+(Q58-$Q$86)^2+(R58-$R$86)^2+(S58-$S$86)^2+(T58-$T$86)^2+(U58-$U$86)^2+(V58-$V$86)^2+(W58-$W$86)^2+(X58-$X$86)^2+(Y58-$Y$86)^2+(Z58-$Z$86)^2+(AA58-$AA$86)^2+(AB58-$AB$86)^2+(AC58-$AC$86)^2+(AD58-$AD$86)^2+(AE58-$AE$86)^2+(AF58-$AF$86)^2+(AG58-$AG$86)^2)</f>
        <v>1.1778861895563149</v>
      </c>
      <c r="FD58" s="36" t="s">
        <v>139</v>
      </c>
      <c r="FE58" s="37" t="s">
        <v>120</v>
      </c>
      <c r="FG58" s="44"/>
      <c r="FH58" s="36">
        <f>SQRT((A58-$A$87)^2+(B58-$B$87)^2+(C58-$C$87)^2+(D58-$D$87)^2+(E58-$E$87)^2+(F58-$F$87)^2+(G58-$G$87)^2+(H58-$H$87)^2+(I58-$I$87)^2+(J58-$J$87)^2+(K58-$K$87)^2+(L58-$L$87)^2+(M58-$M$87)^2+(N58-$N$87)^2+(O58-$O$87)^2+(P58-$P$87)^2+(Q58-$Q$87)^2+(R58-$R$87)^2+(S58-$S$87)^2+(T58-$T$87)^2+(U58-$U$87)^2+(V58-$V$87)^2+(W58-$W$87)^2+(X58-$X$87)^2+(Y58-$Y$87)^2+(Z58-$Z$87)^2+(AA58-$AA$87)^2+(AB58-$AB$87)^2+(AC58-$AC$87)^2+(AD58-$AD$87)^2+(AE58-$AE$87)^2+(AF58-$AF$87)^2+(AG58-$AG$87)^2)</f>
        <v>1.3915266451720238</v>
      </c>
      <c r="FI58" s="36" t="s">
        <v>139</v>
      </c>
      <c r="FJ58" s="37" t="s">
        <v>120</v>
      </c>
      <c r="FL58" s="44"/>
      <c r="FM58" s="36">
        <f>SQRT((A58-$A$88)^2+(B58-$B$88)^2+(C58-$C$88)^2+(D58-$D$88)^2+(E58-$E$88)^2+(F58-$F$88)^2+(G58-$G$88)^2+(H58-$H$88)^2+(I58-$I$88)^2+(J58-$J$88)^2+(K58-$K$88)^2+(L58-$L$88)^2+(M58-$M$88)^2+(N58-$N$88)^2+(O58-$O$88)^2+(P58-$P$88)^2+(Q58-$Q$88)^2+(R58-$R$88)^2+(S58-$S$88)^2+(T58-$T$88)^2+(U58-$U$88)^2+(V58-$V$88)^2+(W58-$W$88)^2+(X58-$X$88)^2+(Y58-$Y$88)^2+(Z58-$Z$88)^2+(AA58-$AA$88)^2+(AB58-$AB$88)^2+(AC58-$AC$88)^2+(AD58-$AD$88)^2+(AE58-$AE$88)^2+(AF58-$AF$88)^2+(AG58-$AG$88)^2)</f>
        <v>1.25</v>
      </c>
      <c r="FN58" s="36" t="s">
        <v>139</v>
      </c>
      <c r="FO58" s="37" t="s">
        <v>120</v>
      </c>
      <c r="FQ58" s="44"/>
      <c r="FR58" s="36">
        <f>SQRT((A58-$A$89)^2+(B58-$B$89)^2+(C58-$C$89)^2+(D58-$D$89)^2+(E58-$E$89)^2+(F58-$F$89)^2+(G58-$G$89)^2+(H58-$H$89)^2+(I58-$I$89)^2+(J58-$J$89)^2+(K58-$K$89)^2+(L58-$L$89)^2+(M58-$M$89)^2+(N58-$N$89)^2+(O58-$O$89)^2+(P58-$P$89)^2+(Q58-$Q$89)^2+(R58-$R$89)^2+(S58-$S$89)^2+(T58-$T$89)^2+(U58-$U$89)^2+(V58-$V$89)^2+(W58-$W$89)^2+(X58-$X$89)^2+(Y58-$Y$89)^2+(Z58-$Z$89)^2+(AA58-$AA$89)^2+(AB58-$AB$89)^2+(AC58-$AC$89)^2+(AD58-$AD$89)^2+(AE58-$AE$89)^2+(AF58-$AF$89)^2+(AG58-$AG$89)^2)</f>
        <v>1.7155212242611206</v>
      </c>
      <c r="FS58" s="36" t="s">
        <v>148</v>
      </c>
      <c r="FT58" s="37" t="s">
        <v>120</v>
      </c>
      <c r="FV58" s="44"/>
      <c r="FW58" s="36">
        <f>SQRT((A58-$A$90)^2+(B58-$B$90)^2+(C58-$C$90)^2+(D58-$D$90)^2+(E58-$E$90)^2+(F58-$F$90)^2+(G58-$G$90)^2+(H58-$H$90)^2+(I58-$I$90)^2+(J58-$J$90)^2+(K58-$K$90)^2+(L58-$L$90)^2+(M58-$M$90)^2+(N58-$N$90)^2+(O58-$O$90)^2+(P58-$P$90)^2+(Q58-$Q$90)^2+(R58-$R$90)^2+(S58-$S$90)^2+(T58-$T$90)^2+(U58-$U$90)^2+(V58-$V$90)^2+(W58-$W$90)^2+(X58-$X$90)^2+(Y58-$Y$90)^2+(Z58-$Z$90)^2+(AA58-$AA$90)^2+(AB58-$AB$90)^2+(AC58-$AC$90)^2+(AD58-$AD$90)^2+(AE58-$AE$90)^2+(AF58-$AF$90)^2+(AG58-$AG$90)^2)</f>
        <v>1.537146653437921</v>
      </c>
      <c r="FX58" s="36" t="s">
        <v>332</v>
      </c>
      <c r="FY58" s="37" t="s">
        <v>120</v>
      </c>
      <c r="GA58" s="44"/>
      <c r="GB58" s="36">
        <f>SQRT((A58-$A$91)^2+(B58-$B$91)^2+(C58-$C$91)^2+(D58-$D$91)^2+(E58-$E$91)^2+(F58-$F$91)^2+(G58-$G$91)^2+(H58-$H$91)^2+(I58-$I$91)^2+(J58-$J$91)^2+(K58-$K$91)^2+(L58-$L$91)^2+(M58-$M$91)^2+(N58-$N$91)^2+(O58-$O$91)^2+(P58-$P$91)^2+(Q58-$Q$91)^2+(R58-$R$91)^2+(S58-$S$91)^2+(T58-$T$91)^2+(U58-$U$91)^2+(V58-$V$91)^2+(W58-$W$91)^2+(X58-$X$91)^2+(Y58-$Y$91)^2+(Z58-$Z$91)^2+(AA58-$AA$91)^2+(AB58-$AB$91)^2+(AC58-$AC$91)^2+(AD58-$AD$91)^2+(AE58-$AE$91)^2+(AF58-$AF$91)^2+(AG58-$AG$91)^2)</f>
        <v>2.2432048090213086</v>
      </c>
      <c r="GC58" s="36" t="s">
        <v>323</v>
      </c>
      <c r="GD58" s="37" t="s">
        <v>120</v>
      </c>
      <c r="GF58" s="44"/>
      <c r="GG58" s="36">
        <f>SQRT((A58-$A$92)^2+(B58-$B$92)^2+(C58-$C$92)^2+(D58-$D$92)^2+(E58-$E$92)^2+(F58-$F$92)^2+(G58-$G$92)^2+(H58-$H$92)^2+(I58-$I$92)^2+(J58-$J$92)^2+(K58-$K$92)^2+(L58-$L$92)^2+(M58-$M$92)^2+(N58-$N$92)^2+(O58-$O$92)^2+(P58-$P$92)^2+(Q58-$Q$92)^2+(R58-$R$92)^2+(S58-$S$92)^2+(T58-$T$92)^2+(U58-$U$92)^2+(V58-$V$92)^2+(W58-$W$92)^2+(X58-$X$92)^2+(Y58-$Y$92)^2+(Z58-$Z$92)^2+(AA58-$AA$92)^2+(AB58-$AB$92)^2+(AC58-$AC$92)^2+(AD58-$AD$92)^2+(AE58-$AE$92)^2+(AF58-$AF$92)^2+(AG58-$AG$92)^2)</f>
        <v>1.7260262647673315</v>
      </c>
      <c r="GH58" s="36" t="s">
        <v>330</v>
      </c>
      <c r="GI58" s="37" t="s">
        <v>120</v>
      </c>
      <c r="GK58" s="44"/>
      <c r="GL58" s="36">
        <f>SQRT((A58-$A$93)^2+(B58-$B$93)^2+(C58-$C$93)^2+(D58-$D$93)^2+(E58-$E$93)^2+(F58-$F$93)^2+(G58-$G$93)^2+(H58-$H$93)^2+(I58-$I$93)^2+(J58-$J$93)^2+(K58-$K$93)^2+(L58-$L$93)^2+(M58-$M$93)^2+(N58-$N$93)^2+(O58-$O$93)^2+(P58-$P$93)^2+(Q58-$Q$93)^2+(R58-$R$93)^2+(S58-$S$93)^2+(T58-$T$93)^2+(U58-$U$93)^2+(V58-$V$93)^2+(W58-$W$93)^2+(X58-$X$93)^2+(Y58-$Y$93)^2+(Z58-$Z$93)^2+(AA58-$AA$93)^2+(AB58-$AB$93)^2+(AC58-$AC$93)^2+(AD58-$AD$93)^2+(AE58-$AE$93)^2+(AF58-$AF$93)^2+(AG58-$AG$93)^2)</f>
        <v>2.4807445291849497</v>
      </c>
      <c r="GM58" s="36" t="s">
        <v>323</v>
      </c>
      <c r="GN58" s="37" t="s">
        <v>120</v>
      </c>
      <c r="GP58" s="44"/>
      <c r="GQ58" s="36">
        <f>SQRT((A58-$A$94)^2+(B58-$B$94)^2+(C58-$C$94)^2+(D58-$D$94)^2+(E58-$E$94)^2+(F58-$F$94)^2+(G58-$G$94)^2+(H58-$H$94)^2+(I58-$I$94)^2+(J58-$J$94)^2+(K58-$K$94)^2+(L58-$L$94)^2+(M58-$M$94)^2+(N58-$N$94)^2+(O58-$O$94)^2+(P58-$P$94)^2+(Q58-$Q$94)^2+(R58-$R$94)^2+(S58-$S$94)^2+(T58-$T$94)^2+(U58-$U$94)^2+(V58-$V$94)^2+(W58-$W$94)^2+(X58-$X$94)^2+(Y58-$Y$94)^2+(Z58-$Z$94)^2+(AA58-$AA$94)^2+(AB58-$AB$94)^2+(AC58-$AC$94)^2+(AD58-$AD$94)^2+(AE58-$AE$94)^2+(AF58-$AF$94)^2+(AG58-$AG$94)^2)</f>
        <v>1.6776339052235731</v>
      </c>
      <c r="GR58" s="36" t="s">
        <v>140</v>
      </c>
      <c r="GS58" s="37" t="s">
        <v>120</v>
      </c>
      <c r="GU58" s="44"/>
      <c r="GV58" s="36">
        <f>SQRT((A58-$A$95)^2+(B58-$B$95)^2+(C58-$C$95)^2+(D58-$D$95)^2+(E58-$E$95)^2+(F58-$F$95)^2+(G58-$G$95)^2+(H58-$H$95)^2+(I58-$I$95)^2+(J58-$J$95)^2+(K58-$K$95)^2+(L58-$L$95)^2+(M58-$M$95)^2+(N58-$N$95)^2+(O58-$O$95)^2+(P58-$P$95)^2+(Q58-$Q$95)^2+(R58-$R$95)^2+(S58-$S$95)^2+(T58-$T$95)^2+(U58-$U$95)^2+(V58-$V$95)^2+(W58-$W$95)^2+(X58-$X$95)^2+(Y58-$Y$95)^2+(Z58-$Z$95)^2+(AA58-$AA$95)^2+(AB58-$AB$95)^2+(AC58-$AC$95)^2+(AD58-$AD$95)^2+(AE58-$AE$95)^2+(AF58-$AF$95)^2+(AG58-$AG$95)^2)</f>
        <v>2.3699174833774816</v>
      </c>
      <c r="GW58" s="36" t="s">
        <v>134</v>
      </c>
      <c r="GX58" s="37" t="s">
        <v>120</v>
      </c>
      <c r="GZ58" s="44"/>
      <c r="HA58" s="36">
        <f>SQRT((A58-$A$96)^2+(B58-$B$96)^2+(C58-$C$96)^2+(D58-$D$96)^2+(E58-$E$96)^2+(F58-$F$96)^2+(G58-$G$96)^2+(H58-$H$96)^2+(I58-$I$96)^2+(J58-$J$96)^2+(K58-$K$96)^2+(L58-$L$96)^2+(M58-$M$96)^2+(N58-$N$96)^2+(O58-$O$96)^2+(P58-$P$96)^2+(Q58-$Q$96)^2+(R58-$R$96)^2+(S58-$S$96)^2+(T58-$T$96)^2+(U58-$U$96)^2+(V58-$V$96)^2+(W58-$W$96)^2+(X58-$X$96)^2+(Y58-$Y$96)^2+(Z58-$Z$96)^2+(AA58-$AA$96)^2+(AB58-$AB$96)^2+(AC58-$AC$96)^2+(AD58-$AD$96)^2+(AE58-$AE$96)^2+(AF58-$AF$96)^2+(AG58-$AG$96)^2)</f>
        <v>2.2213254277111298</v>
      </c>
      <c r="HB58" s="36" t="s">
        <v>317</v>
      </c>
      <c r="HC58" s="37" t="s">
        <v>120</v>
      </c>
      <c r="HE58" s="44"/>
      <c r="HF58" s="36">
        <f>SQRT((A58-$A$97)^2+(B58-$B$97)^2+(C58-$C$97)^2+(D58-$D$97)^2+(E58-$E$97)^2+(F58-$F$97)^2+(G58-$G$97)^2+(H58-$H$97)^2+(I58-$I$97)^2+(J58-$J$97)^2+(K58-$K$97)^2+(L58-$L$97)^2+(M58-$M$97)^2+(N58-$N$97)^2+(O58-$O$97)^2+(P58-$P$97)^2+(Q58-$Q$97)^2+(R58-$R$97)^2+(S58-$S$97)^2+(T58-$T$97)^2+(U58-$U$97)^2+(V58-$V$97)^2+(W58-$W$97)^2+(X58-$X$97)^2+(Y58-$Y$97)^2+(Z58-$Z$97)^2+(AA58-$AA$97)^2+(AB58-$AB$97)^2+(AC58-$AC$97)^2+(AD58-$AD$97)^2+(AE58-$AE$97)^2+(AF58-$AF$97)^2+(AG58-$AG$97)^2)</f>
        <v>1.1778861895563149</v>
      </c>
      <c r="HG58" s="36" t="s">
        <v>139</v>
      </c>
      <c r="HH58" s="37" t="s">
        <v>120</v>
      </c>
      <c r="HJ58" s="44"/>
      <c r="HK58" s="36">
        <f>SQRT((A58-$A$98)^2+(B58-$B$98)^2+(C58-$C$98)^2+(D58-$D$98)^2+(E58-$E$98)^2+(F58-$F$98)^2+(G58-$G$98)^2+(H58-$H$98)^2+(I58-$I$98)^2+(J58-$J$98)^2+(K58-$K$98)^2+(L58-$L$98)^2+(M58-$M$98)^2+(N58-$N$98)^2+(O58-$O$98)^2+(P58-$P$98)^2+(Q58-$Q$98)^2+(R58-$R$98)^2+(S58-$S$98)^2+(T58-$T$98)^2+(U58-$U$98)^2+(V58-$V$98)^2+(W58-$W$98)^2+(X58-$X$98)^2+(Y58-$Y$98)^2+(Z58-$Z$98)^2+(AA58-$AA$98)^2+(AB58-$AB$98)^2+(AC58-$AC$98)^2+(AD58-$AD$98)^2+(AE58-$AE$98)^2+(AF58-$AF$98)^2+(AG58-$AG$98)^2)</f>
        <v>1.1778861895563149</v>
      </c>
      <c r="HL58" s="36" t="s">
        <v>139</v>
      </c>
      <c r="HM58" s="37" t="s">
        <v>120</v>
      </c>
      <c r="HO58" s="44"/>
      <c r="HP58" s="36">
        <f>SQRT((A58-$A$99)^2+(B58-$B$99)^2+(C58-$C$99)^2+(D58-$D$99)^2+(E58-$E$99)^2+(F58-$F$99)^2+(G58-$G$99)^2+(H58-$H$99)^2+(I58-$I$99)^2+(J58-$J$99)^2+(K58-$K$99)^2+(L58-$L$99)^2+(M58-$M$99)^2+(N58-$N$99)^2+(O58-$O$99)^2+(P58-$P$99)^2+(Q58-$Q$99)^2+(R58-$R$99)^2+(S58-$S$99)^2+(T58-$T$99)^2+(U58-$U$99)^2+(V58-$V$99)^2+(W58-$W$99)^2+(X58-$X$99)^2+(Y58-$Y$99)^2+(Z58-$Z$99)^2+(AA58-$AA$99)^2+(AB58-$AB$99)^2+(AC58-$AC$99)^2+(AD58-$AD$99)^2+(AE58-$AE$99)^2+(AF58-$AF$99)^2+(AG58-$AG$99)^2)</f>
        <v>1.1778861895563149</v>
      </c>
      <c r="HQ58" s="36" t="s">
        <v>139</v>
      </c>
      <c r="HR58" s="37" t="s">
        <v>120</v>
      </c>
      <c r="HT58" s="44"/>
      <c r="HU58" s="36">
        <f>SQRT((A58-$A$100)^2+(B58-$B$100)^2+(C58-$C$100)^2+(D58-$D$100)^2+(E58-$E$100)^2+(F58-$F$100)^2+(G58-$G$100)^2+(H58-$H$100)^2+(I58-$I$100)^2+(J58-$J$100)^2+(K58-$K$100)^2+(L58-$L$100)^2+(M58-$M$100)^2+(N58-$N$100)^2+(O58-$O$100)^2+(P58-$P$100)^2+(Q58-$Q$100)^2+(R58-$R$100)^2+(S58-$S$100)^2+(T58-$T$100)^2+(U58-$U$100)^2+(V58-$V$100)^2+(W58-$W$100)^2+(X58-$X$100)^2+(Y58-$Y$100)^2+(Z58-$Z$100)^2+(AA58-$AA$100)^2+(AB58-$AB$100)^2+(AC58-$AC$100)^2+(AD58-$AD$100)^2+(AE58-$AE$100)^2+(AF58-$AF$100)^2+(AG58-$AG$100)^2)</f>
        <v>1.1778861895563149</v>
      </c>
      <c r="HV58" s="36" t="s">
        <v>139</v>
      </c>
      <c r="HW58" s="37" t="s">
        <v>120</v>
      </c>
      <c r="HY58" s="44"/>
      <c r="HZ58" s="36">
        <f>SQRT((A58-$A$101)^2+(B58-$B$101)^2+(C58-$C$101)^2+(D58-$D$101)^2+(E58-$E$101)^2+(F58-$F$101)^2+(G58-$G$101)^2+(H58-$H$101)^2+(I58-$I$101)^2+(J58-$J$101)^2+(K58-$K$101)^2+(L58-$L$101)^2+(M58-$M$101)^2+(N58-$N$101)^2+(O58-$O$101)^2+(P58-$P$101)^2+(Q58-$Q$101)^2+(R58-$R$101)^2+(S58-$S$101)^2+(T58-$T$101)^2+(U58-$U$101)^2+(V58-$V$101)^2+(W58-$W$101)^2+(X58-$X$101)^2+(Y58-$Y$101)^2+(Z58-$Z$101)^2+(AA58-$AA$101)^2+(AB58-$AB$101)^2+(AC58-$AC$101)^2+(AD58-$AD$101)^2+(AE58-$AE$101)^2+(AF58-$AF$101)^2+(AG58-$AG$101)^2)</f>
        <v>1.7940822445586151</v>
      </c>
      <c r="IA58" s="36" t="s">
        <v>130</v>
      </c>
      <c r="IB58" s="37" t="s">
        <v>120</v>
      </c>
    </row>
    <row r="59" spans="1:236" x14ac:dyDescent="0.35">
      <c r="A59" s="2">
        <v>0.66666666666666596</v>
      </c>
      <c r="B59" s="2">
        <v>0.5</v>
      </c>
      <c r="C59" s="2">
        <v>0.23899371069182301</v>
      </c>
      <c r="D59" s="2">
        <v>0.66666666666666596</v>
      </c>
      <c r="E59" s="2">
        <v>0</v>
      </c>
      <c r="F59" s="2">
        <v>1</v>
      </c>
      <c r="G59" s="2">
        <v>0.55555555555555503</v>
      </c>
      <c r="H59" s="2">
        <v>1</v>
      </c>
      <c r="I59" s="2">
        <v>0</v>
      </c>
      <c r="J59" s="2">
        <v>0</v>
      </c>
      <c r="K59" s="2">
        <v>0.5</v>
      </c>
      <c r="L59" s="2">
        <v>0.158904109589041</v>
      </c>
      <c r="M59" s="2">
        <v>1</v>
      </c>
      <c r="N59" s="2">
        <v>0.33333333333333298</v>
      </c>
      <c r="O59" s="2">
        <v>0</v>
      </c>
      <c r="P59" s="2">
        <v>0.4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0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0.19565217391304299</v>
      </c>
      <c r="AH59" s="2" t="s">
        <v>120</v>
      </c>
      <c r="AI59" s="42"/>
      <c r="AJ59" s="42"/>
      <c r="AL59" s="44"/>
      <c r="AM59" s="36">
        <f>SQRT((A59-$A$62)^2+(B59-$B$62)^2+(C59-$C$62)^2+(D59-$D$62)^2+(E59-$E$62)^2+(F59-$F$62)^2+(G59-$G$62)^2+(H59-$H$62)^2+(I59-$I$62)^2+(J59-$J$62)^2+(K59-$K$62)^2+(L59-$L$62)^2+(M59-$M$62)^2+(N59-$N$62)^2+(O59-$O$62)^2+(P59-$P$62)^2+(Q59-$Q$62)^2+(R59-$R$62)^2+(S59-$S$62)^2+(T59-$T$62)^2+(U59-$U$62)^2+(V59-$V$62)^2+(W59-$W$62)^2+(X59-$X$62)^2+(Y59-$Y$62)^2+(Z59-$Z$62)^2+(AA59-$AA$62)^2+(AB59-$AB$62)^2+(AC59-$AC$62)^2+(AD59-$AD$62)^2+(AE59-$AE$62)^2+(AF59-$AF$62)^2+(AG59-$AG$62)^2)</f>
        <v>2.0867922616060861</v>
      </c>
      <c r="AN59" s="36" t="s">
        <v>148</v>
      </c>
      <c r="AO59" s="37" t="s">
        <v>120</v>
      </c>
      <c r="AQ59" s="44"/>
      <c r="AR59" s="36">
        <f>SQRT((A59-$A$63)^2+(B59-$B$63)^2+(C59-$C$63)^2+(D59-$D$63)^2+(E59-$E$63)^2+(F59-$F$63)^2+(G59-$G$63)^2+(H59-$H$63)^2+(I59-$I$63)^2+(J59-$J$63)^2+(K59-$K$63)^2+(L59-$L$63)^2+(M59-$M$63)^2+(N59-$N$63)^2+(O59-$O$63)^2+(P59-$P$63)^2+(Q59-$Q$63)^2+(R59-$R$63)^2+(S59-$S$63)^2+(T59-$T$63)^2+(U59-$U$63)^2+(V59-$V$63)^2+(W59-$W$63)^2+(X59-$X$63)^2+(Y59-$Y$63)^2+(Z59-$Z$63)^2+(AA59-$AA$63)^2+(AB59-$AB$63)^2+(AC59-$AC$63)^2+(AD59-$AD$63)^2+(AE59-$AE$63)^2+(AF59-$AF$63)^2+(AG59-$AG$63)^2)</f>
        <v>1.2097823639904113</v>
      </c>
      <c r="AS59" s="36" t="s">
        <v>130</v>
      </c>
      <c r="AT59" s="37" t="s">
        <v>120</v>
      </c>
      <c r="AV59" s="44"/>
      <c r="AW59" s="36">
        <f>SQRT((A59-$A$64)^2+(B59-$B$64)^2+(C59-$C$64)^2+(D59-$D$64)^2+(E59-$E$64)^2+(F59-$F$64)^2+(G59-$G$64)^2+(H59-$H$64)^2+(I59-$I$64)^2+(J59-$J$64)^2+(K59-$K$64)^2+(L59-$L$64)^2+(M59-$M$64)^2+(N59-$N$64)^2+(O59-$O$64)^2+(P59-$P$64)^2+(Q59-$Q$64)^2+(R59-$R$64)^2+(S59-$S$64)^2+(T59-$T$64)^2+(U59-$U$64)^2+(V59-$V$64)^2+(W59-$W$64)^2+(X59-$X$64)^2+(Y59-$Y$64)^2+(Z59-$Z$64)^2+(AA59-$AA$64)^2+(AB59-$AB$64)^2+(AC59-$AC$64)^2+(AD59-$AD$64)^2+(AE59-$AE$64)^2+(AF59-$AF$64)^2+(AG59-$AG$64)^2)</f>
        <v>1.2097823639904113</v>
      </c>
      <c r="AX59" s="36" t="s">
        <v>130</v>
      </c>
      <c r="AY59" s="37" t="s">
        <v>120</v>
      </c>
      <c r="BA59" s="44"/>
      <c r="BB59" s="36">
        <f>SQRT((A59-$A$65)^2+(B59-$B$65)^2+(C59-$C$65)^2+(D59-$D$65)^2+(E59-$E$65)^2+(F59-$F$65)^2+(G59-$G$65)^2+(H59-$H$65)^2+(I59-$I$65)^2+(J59-$J$65)^2+(K59-$K$65)^2+(L59-$L$65)^2+(M59-$M$65)^2+(N59-$N$65)^2+(O59-$O$65)^2+(P59-$P$65)^2+(Q59-$Q$65)^2+(R59-$R$65)^2+(S59-$S$65)^2+(T59-$T$65)^2+(U59-$U$65)^2+(V59-$V$65)^2+(W59-$W$65)^2+(X59-$X$65)^2+(Y59-$Y$65)^2+(Z59-$Z$65)^2+(AA59-$AA$65)^2+(AB59-$AB$65)^2+(AC59-$AC$65)^2+(AD59-$AD$65)^2+(AE59-$AE$65)^2+(AF59-$AF$65)^2+(AG59-$AG$65)^2)</f>
        <v>1.2097823639904113</v>
      </c>
      <c r="BC59" s="36" t="s">
        <v>130</v>
      </c>
      <c r="BD59" s="37" t="s">
        <v>120</v>
      </c>
      <c r="BF59" s="44"/>
      <c r="BG59" s="36">
        <f>SQRT((A59-$A$66)^2+(B59-$B$66)^2+(C59-$C$66)^2+(D59-$D$66)^2+(E59-$E$66)^2+(F59-$F$66)^2+(G59-$G$66)^2+(H59-$H$66)^2+(I59-$I$66)^2+(J59-$J$66)^2+(K59-$K$66)^2+(L59-$L$66)^2+(M59-$M$66)^2+(N59-$N$66)^2+(O59-$O$66)^2+(P59-$P$66)^2+(Q59-$Q$66)^2+(R59-$R$66)^2+(S59-$S$66)^2+(T59-$T$66)^2+(U59-$U$66)^2+(V59-$V$66)^2+(W59-$W$66)^2+(X59-$X$66)^2+(Y59-$Y$66)^2+(Z59-$Z$66)^2+(AA59-$AA$66)^2+(AB59-$AB$66)^2+(AC59-$AC$66)^2+(AD59-$AD$66)^2+(AE59-$AE$66)^2+(AF59-$AF$66)^2+(AG59-$AG$66)^2)</f>
        <v>1.2097823639904113</v>
      </c>
      <c r="BH59" s="36" t="s">
        <v>130</v>
      </c>
      <c r="BI59" s="37" t="s">
        <v>120</v>
      </c>
      <c r="BK59" s="44"/>
      <c r="BL59" s="36">
        <f>SQRT((A59-$A$67)^2+(B59-$B$67)^2+(C59-$C$67)^2+(D59-$D$67)^2+(E59-$E$67)^2+(F59-$F$67)^2+(G59-$G$67)^2+(H59-$H$67)^2+(I59-$I$67)^2+(J59-$J$67)^2+(K59-$K$67)^2+(L59-$L$67)^2+(M59-$M$67)^2+(N59-$N$67)^2+(O59-$O$67)^2+(P59-$P$67)^2+(Q59-$Q$67)^2+(R59-$R$67)^2+(S59-$S$67)^2+(T59-$T$67)^2+(U59-$U$67)^2+(V59-$V$67)^2+(W59-$W$67)^2+(X59-$X$67)^2+(Y59-$Y$67)^2+(Z59-$Z$67)^2+(AA59-$AA$67)^2+(AB59-$AB$67)^2+(AC59-$AC$67)^2+(AD59-$AD$67)^2+(AE59-$AE$67)^2+(AF59-$AF$67)^2+(AG59-$AG$67)^2)</f>
        <v>1.2097823639904113</v>
      </c>
      <c r="BM59" s="36" t="s">
        <v>130</v>
      </c>
      <c r="BN59" s="37" t="s">
        <v>120</v>
      </c>
      <c r="BP59" s="44"/>
      <c r="BQ59" s="36">
        <f>SQRT((A59-$A$68)^2+(B59-$B$68)^2+(C59-$C$68)^2+(D59-$D$68)^2+(E59-$E$68)^2+(F59-$F$68)^2+(G59-$G$68)^2+(H59-$H$68)^2+(I59-$I$68)^2+(J59-$J$68)^2+(K59-$K$68)^2+(L59-$L$68)^2+(M59-$M$68)^2+(N59-$N$68)^2+(O59-$O$68)^2+(P59-$P$68)^2+(Q59-$Q$68)^2+(R59-$R$68)^2+(S59-$S$68)^2+(T59-$T$68)^2+(U59-$U$68)^2+(V59-$V$68)^2+(W59-$W$68)^2+(X59-$X$68)^2+(Y59-$Y$68)^2+(Z59-$Z$68)^2+(AA59-$AA$68)^2+(AB59-$AB$68)^2+(AC59-$AC$68)^2+(AD59-$AD$68)^2+(AE59-$AE$68)^2+(AF59-$AF$68)^2+(AG59-$AG$68)^2)</f>
        <v>1.2097823639904113</v>
      </c>
      <c r="BR59" s="36" t="s">
        <v>130</v>
      </c>
      <c r="BS59" s="37" t="s">
        <v>120</v>
      </c>
      <c r="BU59" s="44"/>
      <c r="BV59" s="36">
        <f>SQRT((A59-$A$69)^2+(B59-$B$69)^2+(C59-$C$69)^2+(D59-$D$69)^2+(E59-$E$69)^2+(F59-$F$69)^2+(G59-$G$69)^2+(H59-$H$69)^2+(I59-$I$69)^2+(J59-$J$69)^2+(K59-$K$69)^2+(L59-$L$69)^2+(M59-$M$69)^2+(N59-$N$69)^2+(O59-$O$69)^2+(P59-$P$69)^2+(Q59-$Q$69)^2+(R59-$R$69)^2+(S59-$S$69)^2+(T59-$T$69)^2+(U59-$U$69)^2+(V59-$V$69)^2+(W59-$W$69)^2+(X59-$X$69)^2+(Y59-$Y$69)^2+(Z59-$Z$69)^2+(AA59-$AA$69)^2+(AB59-$AB$69)^2+(AC59-$AC$69)^2+(AD59-$AD$69)^2+(AE59-$AE$69)^2+(AF59-$AF$69)^2+(AG59-$AG$69)^2)</f>
        <v>2.0969724454295253</v>
      </c>
      <c r="BW59" s="36" t="s">
        <v>139</v>
      </c>
      <c r="BX59" s="37" t="s">
        <v>120</v>
      </c>
      <c r="BZ59" s="44"/>
      <c r="CA59" s="36">
        <f>SQRT((A59-$A$70)^2+(B59-$B$70)^2+(C59-$C$70)^2+(D59-$D$70)^2+(E59-$E$70)^2+(F59-$F$70)^2+(G59-$G$70)^2+(H59-$H$70)^2+(I59-$I$70)^2+(J59-$J$70)^2+(K59-$K$70)^2+(L59-$L$70)^2+(M59-$M$70)^2+(N59-$N$70)^2+(O59-$O$70)^2+(P59-$P$70)^2+(Q59-$Q$70)^2+(R59-$R$70)^2+(S59-$S$70)^2+(T59-$T$70)^2+(U59-$U$70)^2+(V59-$V$70)^2+(W59-$W$70)^2+(X59-$X$70)^2+(Y59-$Y$70)^2+(Z59-$Z$70)^2+(AA59-$AA$70)^2+(AB59-$AB$70)^2+(AC59-$AC$70)^2+(AD59-$AD$70)^2+(AE59-$AE$70)^2+(AF59-$AF$70)^2+(AG59-$AG$70)^2)</f>
        <v>0.65215027663858305</v>
      </c>
      <c r="CB59" s="36" t="s">
        <v>148</v>
      </c>
      <c r="CC59" s="37" t="s">
        <v>120</v>
      </c>
      <c r="CE59" s="44"/>
      <c r="CF59" s="36">
        <f>SQRT((A59-$A$71)^2+(B59-$B$71)^2+(C59-$C$71)^2+(D59-$D$71)^2+(E59-$E$71)^2+(F59-$F$71)^2+(G59-$G$71)^2+(H59-$H$71)^2+(I59-$I$71)^2+(J59-$J$71)^2+(K59-$K$71)^2+(L59-$L$71)^2+(M59-$M$71)^2+(N59-$N$71)^2+(O59-$O$71)^2+(P59-$P$71)^2+(Q59-$Q$71)^2+(R59-$R$71)^2+(S59-$S$71)^2+(T59-$T$71)^2+(U59-$U$71)^2+(V59-$V$71)^2+(W59-$W$71)^2+(X59-$X$71)^2+(Y59-$Y$71)^2+(Z59-$Z$71)^2+(AA59-$AA$71)^2+(AB59-$AB$71)^2+(AC59-$AC$71)^2+(AD59-$AD$71)^2+(AE59-$AE$71)^2+(AF59-$AF$71)^2+(AG59-$AG$71)^2)</f>
        <v>1.1792276120823995</v>
      </c>
      <c r="CG59" s="36" t="s">
        <v>330</v>
      </c>
      <c r="CH59" s="37" t="s">
        <v>120</v>
      </c>
      <c r="CJ59" s="44"/>
      <c r="CK59" s="36">
        <f>SQRT((A59-$A$72)^2+(B59-$B$72)^2+(C59-$C$72)^2+(D59-$D$72)^2+(E59-$E$72)^2+(F59-$F$72)^2+(G59-$G$72)^2+(H59-$H$72)^2+(I59-$I$72)^2+(J59-$J$72)^2+(K59-$K$72)^2+(L59-$L$72)^2+(M59-$M$72)^2+(N59-$N$72)^2+(O59-$O$72)^2+(P59-$P$72)^2+(Q59-$Q$72)^2+(R59-$R$72)^2+(S59-$S$72)^2+(T59-$T$72)^2+(U59-$U$72)^2+(V59-$V$72)^2+(W59-$W$72)^2+(X59-$X$72)^2+(Y59-$Y$72)^2+(Z59-$Z$72)^2+(AA59-$AA$72)^2+(AB59-$AB$72)^2+(AC59-$AC$72)^2+(AD59-$AD$72)^2+(AE59-$AE$72)^2+(AF59-$AF$72)^2+(AG59-$AG$72)^2)</f>
        <v>1.6976719667758462</v>
      </c>
      <c r="CL59" s="36" t="s">
        <v>148</v>
      </c>
      <c r="CM59" s="37" t="s">
        <v>120</v>
      </c>
      <c r="CO59" s="44"/>
      <c r="CP59" s="36">
        <f>SQRT((A59-$A$73)^2+(B59-$B$73)^2+(C59-$C$73)^2+(D59-$D$73)^2+(E59-$E$73)^2+(F59-$F$73)^2+(G59-$G$73)^2+(H59-$H$73)^2+(I59-$I$73)^2+(J59-$J$73)^2+(K59-$K$73)^2+(L59-$L$73)^2+(M59-$M$73)^2+(N59-$N$73)^2+(O59-$O$73)^2+(P59-$P$73)^2+(Q59-$Q$73)^2+(R59-$R$73)^2+(S59-$S$73)^2+(T59-$T$73)^2+(U59-$U$73)^2+(V59-$V$73)^2+(W59-$W$73)^2+(X59-$X$73)^2+(Y59-$Y$73)^2+(Z59-$Z$73)^2+(AA59-$AA$73)^2+(AB59-$AB$73)^2+(AC59-$AC$73)^2+(AD59-$AD$73)^2+(AE59-$AE$73)^2+(AF59-$AF$73)^2+(AG59-$AG$73)^2)</f>
        <v>1.3541014851139974</v>
      </c>
      <c r="CQ59" s="36" t="s">
        <v>332</v>
      </c>
      <c r="CR59" s="37" t="s">
        <v>120</v>
      </c>
      <c r="CT59" s="44"/>
      <c r="CU59" s="36">
        <f>SQRT((A59-$A$74)^2+(B59-$B$74)^2+(C59-$C$74)^2+(D59-$D$74)^2+(E59-$E$74)^2+(F59-$F$74)^2+(G59-$G$74)^2+(H59-$H$74)^2+(I59-$I$74)^2+(J59-$J$74)^2+(K59-$K$74)^2+(L59-$L$74)^2+(M59-$M$74)^2+(N59-$N$74)^2+(O59-$O$74)^2+(P59-$P$74)^2+(Q59-$Q$74)^2+(R59-$R$74)^2+(S59-$S$74)^2+(T59-$T$74)^2+(U59-$U$74)^2+(V59-$V$74)^2+(W59-$W$74)^2+(X59-$X$74)^2+(Y59-$Y$74)^2+(Z59-$Z$74)^2+(AA59-$AA$74)^2+(AB59-$AB$74)^2+(AC59-$AC$74)^2+(AD59-$AD$74)^2+(AE59-$AE$74)^2+(AF59-$AF$74)^2+(AG59-$AG$74)^2)</f>
        <v>1.6654786526672194</v>
      </c>
      <c r="CV59" s="36" t="s">
        <v>332</v>
      </c>
      <c r="CW59" s="37" t="s">
        <v>120</v>
      </c>
      <c r="CY59" s="44"/>
      <c r="CZ59" s="36">
        <f>SQRT((A59-$A$75)^2+(B59-$B$75)^2+(C59-$C$75)^2+(D59-$D$75)^2+(E59-$E$75)^2+(F59-$F$75)^2+(G59-$G$75)^2+(H59-$H$75)^2+(I59-$I$75)^2+(J59-$J$75)^2+(K59-$K$75)^2+(L59-$L$75)^2+(M59-$M$75)^2+(N59-$N$75)^2+(O59-$O$75)^2+(P59-$P$75)^2+(Q59-$Q$75)^2+(R59-$R$75)^2+(S59-$S$75)^2+(T59-$T$75)^2+(U59-$U$75)^2+(V59-$V$75)^2+(W59-$W$75)^2+(X59-$X$75)^2+(Y59-$Y$75)^2+(Z59-$Z$75)^2+(AA59-$AA$75)^2+(AB59-$AB$75)^2+(AC59-$AC$75)^2+(AD59-$AD$75)^2+(AE59-$AE$75)^2+(AF59-$AF$75)^2+(AG59-$AG$75)^2)</f>
        <v>1.7240880838509449</v>
      </c>
      <c r="DA59" s="36" t="s">
        <v>332</v>
      </c>
      <c r="DB59" s="37" t="s">
        <v>120</v>
      </c>
      <c r="DD59" s="44"/>
      <c r="DE59" s="36">
        <f>SQRT((A59-$A$76)^2+(B59-$B$76)^2+(C59-$C$76)^2+(D59-$D$76)^2+(E59-$E$76)^2+(F59-$F$76)^2+(G59-$G$76)^2+(H59-$H$76)^2+(I59-$I$76)^2+(J59-$J$76)^2+(K59-$K$76)^2+(L59-$L$76)^2+(M59-$M$76)^2+(N59-$N$76)^2+(O59-$O$76)^2+(P59-$P$76)^2+(Q59-$Q$76)^2+(R59-$R$76)^2+(S59-$S$76)^2+(T59-$T$76)^2+(U59-$U$76)^2+(V59-$V$76)^2+(W59-$W$76)^2+(X59-$X$76)^2+(Y59-$Y$76)^2+(Z59-$Z$76)^2+(AA59-$AA$76)^2+(AB59-$AB$76)^2+(AC59-$AC$76)^2+(AD59-$AD$76)^2+(AE59-$AE$76)^2+(AF59-$AF$76)^2+(AG59-$AG$76)^2)</f>
        <v>1.4437706301891449</v>
      </c>
      <c r="DF59" s="36" t="s">
        <v>148</v>
      </c>
      <c r="DG59" s="37" t="s">
        <v>120</v>
      </c>
      <c r="DI59" s="44"/>
      <c r="DJ59" s="36">
        <f>SQRT((A59-$A$77)^2+(B59-$B$77)^2+(C59-$C$77)^2+(D59-$D$77)^2+(E59-$E$77)^2+(F59-$F$77)^2+(G59-$G$77)^2+(H59-$H$77)^2+(I59-$I$77)^2+(J59-$J$77)^2+(K59-$K$77)^2+(L59-$L$77)^2+(M59-$M$77)^2+(N59-$N$77)^2+(O59-$O$77)^2+(P59-$P$77)^2+(Q59-$Q$77)^2+(R59-$R$77)^2+(S59-$S$77)^2+(T59-$T$77)^2+(U59-$U$77)^2+(V59-$V$77)^2+(W59-$W$77)^2+(X59-$X$77)^2+(Y59-$Y$77)^2+(Z59-$Z$77)^2+(AA59-$AA$77)^2+(AB59-$AB$77)^2+(AC59-$AC$77)^2+(AD59-$AD$77)^2+(AE59-$AE$77)^2+(AF59-$AF$77)^2+(AG59-$AG$77)^2)</f>
        <v>2.2191563201558657</v>
      </c>
      <c r="DK59" s="36" t="s">
        <v>148</v>
      </c>
      <c r="DL59" s="37" t="s">
        <v>120</v>
      </c>
      <c r="DN59" s="44"/>
      <c r="DO59" s="36">
        <f>SQRT((A59-$A$78)^2+(B59-$B$78)^2+(C59-$C$78)^2+(D59-$D$78)^2+(E59-$E$78)^2+(F59-$F$78)^2+(G59-$G$78)^2+(H59-$H$78)^2+(I59-$I$78)^2+(J59-$J$78)^2+(K59-$K$78)^2+(L59-$L$78)^2+(M59-$M$78)^2+(N59-$N$78)^2+(O59-$O$78)^2+(P59-$P$78)^2+(Q59-$Q$78)^2+(R59-$R$78)^2+(S59-$S$78)^2+(T59-$T$78)^2+(U59-$U$78)^2+(V59-$V$78)^2+(W59-$W$78)^2+(X59-$X$78)^2+(Y59-$Y$78)^2+(Z59-$Z$78)^2+(AA59-$AA$78)^2+(AB59-$AB$78)^2+(AC59-$AC$78)^2+(AD59-$AD$78)^2+(AE59-$AE$78)^2+(AF59-$AF$78)^2+(AG59-$AG$78)^2)</f>
        <v>1.0816274668618708</v>
      </c>
      <c r="DP59" s="36" t="s">
        <v>332</v>
      </c>
      <c r="DQ59" s="37" t="s">
        <v>120</v>
      </c>
      <c r="DS59" s="44"/>
      <c r="DT59" s="36">
        <f>SQRT((A59-$A$79)^2+(B59-$B$79)^2+(C59-$C$79)^2+(D59-$D$79)^2+(E59-$E$79)^2+(F59-$F$79)^2+(G59-$G$79)^2+(H59-$H$79)^2+(I59-$I$79)^2+(J59-$J$79)^2+(K59-$K$79)^2+(L59-$L$79)^2+(M59-$M$79)^2+(N59-$N$79)^2+(O59-$O$79)^2+(P59-$P$79)^2+(Q59-$Q$79)^2+(R59-$R$79)^2+(S59-$S$79)^2+(T59-$T$79)^2+(U59-$U$79)^2+(V59-$V$79)^2+(W59-$W$79)^2+(X59-$X$79)^2+(Y59-$Y$79)^2+(Z59-$Z$79)^2+(AA59-$AA$79)^2+(AB59-$AB$79)^2+(AC59-$AC$79)^2+(AD59-$AD$79)^2+(AE59-$AE$79)^2+(AF59-$AF$79)^2+(AG59-$AG$79)^2)</f>
        <v>1.1666666666666665</v>
      </c>
      <c r="DU59" s="36" t="s">
        <v>332</v>
      </c>
      <c r="DV59" s="37" t="s">
        <v>120</v>
      </c>
      <c r="DX59" s="44"/>
      <c r="DY59" s="36">
        <f>SQRT((A59-$A$80)^2+(B59-$B$80)^2+(C59-$C$80)^2+(D59-$D$80)^2+(E59-$E$80)^2+(F59-$F$80)^2+(G59-$G$80)^2+(H59-$H$80)^2+(I59-$I$80)^2+(J59-$J$80)^2+(K59-$K$80)^2+(L59-$L$80)^2+(M59-$M$80)^2+(N59-$N$80)^2+(O59-$O$80)^2+(P59-$P$80)^2+(Q59-$Q$80)^2+(R59-$R$80)^2+(S59-$S$80)^2+(T59-$T$80)^2+(U59-$U$80)^2+(V59-$V$80)^2+(W59-$W$80)^2+(X59-$X$80)^2+(Y59-$Y$80)^2+(Z59-$Z$80)^2+(AA59-$AA$80)^2+(AB59-$AB$80)^2+(AC59-$AC$80)^2+(AD59-$AD$80)^2+(AE59-$AE$80)^2+(AF59-$AF$80)^2+(AG59-$AG$80)^2)</f>
        <v>1.9639634609186469</v>
      </c>
      <c r="DZ59" s="36" t="s">
        <v>139</v>
      </c>
      <c r="EA59" s="37" t="s">
        <v>120</v>
      </c>
      <c r="EC59" s="44"/>
      <c r="ED59" s="36">
        <f>SQRT((A59-$A$81)^2+(B59-$B$81)^2+(C59-$C$81)^2+(D59-$D$81)^2+(E59-$E$81)^2+(F59-$F$81)^2+(G59-$G$81)^2+(H59-$H$81)^2+(I59-$I$81)^2+(J59-$J$81)^2+(K59-$K$81)^2+(L59-$L$81)^2+(M59-$M$81)^2+(N59-$N$81)^2+(O59-$O$81)^2+(P59-$P$81)^2+(Q59-$Q$81)^2+(R59-$R$81)^2+(S59-$S$81)^2+(T59-$T$81)^2+(U59-$U$81)^2+(V59-$V$81)^2+(W59-$W$81)^2+(X59-$X$81)^2+(Y59-$Y$81)^2+(Z59-$Z$81)^2+(AA59-$AA$81)^2+(AB59-$AB$81)^2+(AC59-$AC$81)^2+(AD59-$AD$81)^2+(AE59-$AE$81)^2+(AF59-$AF$81)^2+(AG59-$AG$81)^2)</f>
        <v>2.017252800552781</v>
      </c>
      <c r="EE59" s="36" t="s">
        <v>139</v>
      </c>
      <c r="EF59" s="37" t="s">
        <v>120</v>
      </c>
      <c r="EH59" s="44"/>
      <c r="EI59" s="36">
        <f>SQRT((A59-$A$82)^2+(B59-$B$82)^2+(C59-$C$82)^2+(D59-$D$82)^2+(E59-$E$82)^2+(F59-$F$82)^2+(G59-$G$82)^2+(H59-$H$82)^2+(I59-$I$82)^2+(J59-$J$82)^2+(K59-$K$82)^2+(L59-$L$82)^2+(M59-$M$82)^2+(N59-$N$82)^2+(O59-$O$82)^2+(P59-$P$82)^2+(Q59-$Q$82)^2+(R59-$R$82)^2+(S59-$S$82)^2+(T59-$T$82)^2+(U59-$U$82)^2+(V59-$V$82)^2+(W59-$W$82)^2+(X59-$X$82)^2+(Y59-$Y$82)^2+(Z59-$Z$82)^2+(AA59-$AA$82)^2+(AB59-$AB$82)^2+(AC59-$AC$82)^2+(AD59-$AD$82)^2+(AE59-$AE$82)^2+(AF59-$AF$82)^2+(AG59-$AG$82)^2)</f>
        <v>1.3579109580315436</v>
      </c>
      <c r="EJ59" s="36" t="s">
        <v>148</v>
      </c>
      <c r="EK59" s="37" t="s">
        <v>120</v>
      </c>
      <c r="EM59" s="44"/>
      <c r="EN59" s="36">
        <f>SQRT((A59-$A$83)^2+(B59-$B$83)^2+(C59-$C$83)^2+(D59-$D$83)^2+(E59-$E$83)^2+(F59-$F$83)^2+(G59-$G$83)^2+(H59-$H$83)^2+(I59-$I$83)^2+(J59-$J$83)^2+(K59-$K$83)^2+(L59-$L$83)^2+(M59-$M$83)^2+(N59-$N$83)^2+(O59-$O$83)^2+(P59-$P$83)^2+(Q59-$Q$83)^2+(R59-$R$83)^2+(S59-$S$83)^2+(T59-$T$83)^2+(U59-$U$83)^2+(V59-$V$83)^2+(W59-$W$83)^2+(X59-$X$83)^2+(Y59-$Y$83)^2+(Z59-$Z$83)^2+(AA59-$AA$83)^2+(AB59-$AB$83)^2+(AC59-$AC$83)^2+(AD59-$AD$83)^2+(AE59-$AE$83)^2+(AF59-$AF$83)^2+(AG59-$AG$83)^2)</f>
        <v>0.98552392090878305</v>
      </c>
      <c r="EO59" s="36" t="s">
        <v>332</v>
      </c>
      <c r="EP59" s="37" t="s">
        <v>120</v>
      </c>
      <c r="ER59" s="44"/>
      <c r="ES59" s="36">
        <f>SQRT((A59-$A$84)^2+(B59-$B$84)^2+(C59-$C$84)^2+(D59-$D$84)^2+(E59-$E$84)^2+(F59-$F$84)^2+(G59-$G$84)^2+(H59-$H$84)^2+(I59-$I$84)^2+(J59-$J$84)^2+(K59-$K$84)^2+(L59-$L$84)^2+(M59-$M$84)^2+(N59-$N$84)^2+(O59-$O$84)^2+(P59-$P$84)^2+(Q59-$Q$84)^2+(R59-$R$84)^2+(S59-$S$84)^2+(T59-$T$84)^2+(U59-$U$84)^2+(V59-$V$84)^2+(W59-$W$84)^2+(X59-$X$84)^2+(Y59-$Y$84)^2+(Z59-$Z$84)^2+(AA59-$AA$84)^2+(AB59-$AB$84)^2+(AC59-$AC$84)^2+(AD59-$AD$84)^2+(AE59-$AE$84)^2+(AF59-$AF$84)^2+(AG59-$AG$84)^2)</f>
        <v>1.2097823639904113</v>
      </c>
      <c r="ET59" s="36" t="s">
        <v>130</v>
      </c>
      <c r="EU59" s="37" t="s">
        <v>120</v>
      </c>
      <c r="EW59" s="44"/>
      <c r="EX59" s="36">
        <f>SQRT((A59-$A$85)^2+(B59-$B$85)^2+(C59-$C$85)^2+(D59-$D$85)^2+(E59-$E$85)^2+(F59-$F$85)^2+(G59-$G$85)^2+(H59-$H$85)^2+(I59-$I$85)^2+(J59-$J$85)^2+(K59-$K$85)^2+(L59-$L$85)^2+(M59-$M$85)^2+(N59-$N$85)^2+(O59-$O$85)^2+(P59-$P$85)^2+(Q59-$Q$85)^2+(R59-$R$85)^2+(S59-$S$85)^2+(T59-$T$85)^2+(U59-$U$85)^2+(V59-$V$85)^2+(W59-$W$85)^2+(X59-$X$85)^2+(Y59-$Y$85)^2+(Z59-$Z$85)^2+(AA59-$AA$85)^2+(AB59-$AB$85)^2+(AC59-$AC$85)^2+(AD59-$AD$85)^2+(AE59-$AE$85)^2+(AF59-$AF$85)^2+(AG59-$AG$85)^2)</f>
        <v>1.2097823639904113</v>
      </c>
      <c r="EY59" s="36" t="s">
        <v>130</v>
      </c>
      <c r="EZ59" s="37" t="s">
        <v>120</v>
      </c>
      <c r="FB59" s="44"/>
      <c r="FC59" s="36">
        <f>SQRT((A59-$A$86)^2+(B59-$B$86)^2+(C59-$C$86)^2+(D59-$D$86)^2+(E59-$E$86)^2+(F59-$F$86)^2+(G59-$G$86)^2+(H59-$H$86)^2+(I59-$I$86)^2+(J59-$J$86)^2+(K59-$K$86)^2+(L59-$L$86)^2+(M59-$M$86)^2+(N59-$N$86)^2+(O59-$O$86)^2+(P59-$P$86)^2+(Q59-$Q$86)^2+(R59-$R$86)^2+(S59-$S$86)^2+(T59-$T$86)^2+(U59-$U$86)^2+(V59-$V$86)^2+(W59-$W$86)^2+(X59-$X$86)^2+(Y59-$Y$86)^2+(Z59-$Z$86)^2+(AA59-$AA$86)^2+(AB59-$AB$86)^2+(AC59-$AC$86)^2+(AD59-$AD$86)^2+(AE59-$AE$86)^2+(AF59-$AF$86)^2+(AG59-$AG$86)^2)</f>
        <v>1.2097823639904113</v>
      </c>
      <c r="FD59" s="36" t="s">
        <v>130</v>
      </c>
      <c r="FE59" s="37" t="s">
        <v>120</v>
      </c>
      <c r="FG59" s="44"/>
      <c r="FH59" s="36">
        <f>SQRT((A59-$A$87)^2+(B59-$B$87)^2+(C59-$C$87)^2+(D59-$D$87)^2+(E59-$E$87)^2+(F59-$F$87)^2+(G59-$G$87)^2+(H59-$H$87)^2+(I59-$I$87)^2+(J59-$J$87)^2+(K59-$K$87)^2+(L59-$L$87)^2+(M59-$M$87)^2+(N59-$N$87)^2+(O59-$O$87)^2+(P59-$P$87)^2+(Q59-$Q$87)^2+(R59-$R$87)^2+(S59-$S$87)^2+(T59-$T$87)^2+(U59-$U$87)^2+(V59-$V$87)^2+(W59-$W$87)^2+(X59-$X$87)^2+(Y59-$Y$87)^2+(Z59-$Z$87)^2+(AA59-$AA$87)^2+(AB59-$AB$87)^2+(AC59-$AC$87)^2+(AD59-$AD$87)^2+(AE59-$AE$87)^2+(AF59-$AF$87)^2+(AG59-$AG$87)^2)</f>
        <v>0.8623171295920854</v>
      </c>
      <c r="FI59" s="36" t="s">
        <v>330</v>
      </c>
      <c r="FJ59" s="37" t="s">
        <v>120</v>
      </c>
      <c r="FL59" s="44"/>
      <c r="FM59" s="36">
        <f>SQRT((A59-$A$88)^2+(B59-$B$88)^2+(C59-$C$88)^2+(D59-$D$88)^2+(E59-$E$88)^2+(F59-$F$88)^2+(G59-$G$88)^2+(H59-$H$88)^2+(I59-$I$88)^2+(J59-$J$88)^2+(K59-$K$88)^2+(L59-$L$88)^2+(M59-$M$88)^2+(N59-$N$88)^2+(O59-$O$88)^2+(P59-$P$88)^2+(Q59-$Q$88)^2+(R59-$R$88)^2+(S59-$S$88)^2+(T59-$T$88)^2+(U59-$U$88)^2+(V59-$V$88)^2+(W59-$W$88)^2+(X59-$X$88)^2+(Y59-$Y$88)^2+(Z59-$Z$88)^2+(AA59-$AA$88)^2+(AB59-$AB$88)^2+(AC59-$AC$88)^2+(AD59-$AD$88)^2+(AE59-$AE$88)^2+(AF59-$AF$88)^2+(AG59-$AG$88)^2)</f>
        <v>1.4654426653888588</v>
      </c>
      <c r="FN59" s="36" t="s">
        <v>130</v>
      </c>
      <c r="FO59" s="37" t="s">
        <v>120</v>
      </c>
      <c r="FQ59" s="44"/>
      <c r="FR59" s="36">
        <f>SQRT((A59-$A$89)^2+(B59-$B$89)^2+(C59-$C$89)^2+(D59-$D$89)^2+(E59-$E$89)^2+(F59-$F$89)^2+(G59-$G$89)^2+(H59-$H$89)^2+(I59-$I$89)^2+(J59-$J$89)^2+(K59-$K$89)^2+(L59-$L$89)^2+(M59-$M$89)^2+(N59-$N$89)^2+(O59-$O$89)^2+(P59-$P$89)^2+(Q59-$Q$89)^2+(R59-$R$89)^2+(S59-$S$89)^2+(T59-$T$89)^2+(U59-$U$89)^2+(V59-$V$89)^2+(W59-$W$89)^2+(X59-$X$89)^2+(Y59-$Y$89)^2+(Z59-$Z$89)^2+(AA59-$AA$89)^2+(AB59-$AB$89)^2+(AC59-$AC$89)^2+(AD59-$AD$89)^2+(AE59-$AE$89)^2+(AF59-$AF$89)^2+(AG59-$AG$89)^2)</f>
        <v>1.9365581578291422</v>
      </c>
      <c r="FS59" s="36" t="s">
        <v>130</v>
      </c>
      <c r="FT59" s="37" t="s">
        <v>120</v>
      </c>
      <c r="FV59" s="44"/>
      <c r="FW59" s="36">
        <f>SQRT((A59-$A$90)^2+(B59-$B$90)^2+(C59-$C$90)^2+(D59-$D$90)^2+(E59-$E$90)^2+(F59-$F$90)^2+(G59-$G$90)^2+(H59-$H$90)^2+(I59-$I$90)^2+(J59-$J$90)^2+(K59-$K$90)^2+(L59-$L$90)^2+(M59-$M$90)^2+(N59-$N$90)^2+(O59-$O$90)^2+(P59-$P$90)^2+(Q59-$Q$90)^2+(R59-$R$90)^2+(S59-$S$90)^2+(T59-$T$90)^2+(U59-$U$90)^2+(V59-$V$90)^2+(W59-$W$90)^2+(X59-$X$90)^2+(Y59-$Y$90)^2+(Z59-$Z$90)^2+(AA59-$AA$90)^2+(AB59-$AB$90)^2+(AC59-$AC$90)^2+(AD59-$AD$90)^2+(AE59-$AE$90)^2+(AF59-$AF$90)^2+(AG59-$AG$90)^2)</f>
        <v>1.8373481237907703</v>
      </c>
      <c r="FX59" s="36" t="s">
        <v>123</v>
      </c>
      <c r="FY59" s="37" t="s">
        <v>120</v>
      </c>
      <c r="GA59" s="44"/>
      <c r="GB59" s="36">
        <f>SQRT((A59-$A$91)^2+(B59-$B$91)^2+(C59-$C$91)^2+(D59-$D$91)^2+(E59-$E$91)^2+(F59-$F$91)^2+(G59-$G$91)^2+(H59-$H$91)^2+(I59-$I$91)^2+(J59-$J$91)^2+(K59-$K$91)^2+(L59-$L$91)^2+(M59-$M$91)^2+(N59-$N$91)^2+(O59-$O$91)^2+(P59-$P$91)^2+(Q59-$Q$91)^2+(R59-$R$91)^2+(S59-$S$91)^2+(T59-$T$91)^2+(U59-$U$91)^2+(V59-$V$91)^2+(W59-$W$91)^2+(X59-$X$91)^2+(Y59-$Y$91)^2+(Z59-$Z$91)^2+(AA59-$AA$91)^2+(AB59-$AB$91)^2+(AC59-$AC$91)^2+(AD59-$AD$91)^2+(AE59-$AE$91)^2+(AF59-$AF$91)^2+(AG59-$AG$91)^2)</f>
        <v>2.1744197230225444</v>
      </c>
      <c r="GC59" s="36" t="s">
        <v>332</v>
      </c>
      <c r="GD59" s="37" t="s">
        <v>120</v>
      </c>
      <c r="GF59" s="44"/>
      <c r="GG59" s="36">
        <f>SQRT((A59-$A$92)^2+(B59-$B$92)^2+(C59-$C$92)^2+(D59-$D$92)^2+(E59-$E$92)^2+(F59-$F$92)^2+(G59-$G$92)^2+(H59-$H$92)^2+(I59-$I$92)^2+(J59-$J$92)^2+(K59-$K$92)^2+(L59-$L$92)^2+(M59-$M$92)^2+(N59-$N$92)^2+(O59-$O$92)^2+(P59-$P$92)^2+(Q59-$Q$92)^2+(R59-$R$92)^2+(S59-$S$92)^2+(T59-$T$92)^2+(U59-$U$92)^2+(V59-$V$92)^2+(W59-$W$92)^2+(X59-$X$92)^2+(Y59-$Y$92)^2+(Z59-$Z$92)^2+(AA59-$AA$92)^2+(AB59-$AB$92)^2+(AC59-$AC$92)^2+(AD59-$AD$92)^2+(AE59-$AE$92)^2+(AF59-$AF$92)^2+(AG59-$AG$92)^2)</f>
        <v>1.3365669060809833</v>
      </c>
      <c r="GH59" s="36" t="s">
        <v>139</v>
      </c>
      <c r="GI59" s="37" t="s">
        <v>120</v>
      </c>
      <c r="GK59" s="44"/>
      <c r="GL59" s="36">
        <f>SQRT((A59-$A$93)^2+(B59-$B$93)^2+(C59-$C$93)^2+(D59-$D$93)^2+(E59-$E$93)^2+(F59-$F$93)^2+(G59-$G$93)^2+(H59-$H$93)^2+(I59-$I$93)^2+(J59-$J$93)^2+(K59-$K$93)^2+(L59-$L$93)^2+(M59-$M$93)^2+(N59-$N$93)^2+(O59-$O$93)^2+(P59-$P$93)^2+(Q59-$Q$93)^2+(R59-$R$93)^2+(S59-$S$93)^2+(T59-$T$93)^2+(U59-$U$93)^2+(V59-$V$93)^2+(W59-$W$93)^2+(X59-$X$93)^2+(Y59-$Y$93)^2+(Z59-$Z$93)^2+(AA59-$AA$93)^2+(AB59-$AB$93)^2+(AC59-$AC$93)^2+(AD59-$AD$93)^2+(AE59-$AE$93)^2+(AF59-$AF$93)^2+(AG59-$AG$93)^2)</f>
        <v>2.2237129964725439</v>
      </c>
      <c r="GM59" s="36" t="s">
        <v>136</v>
      </c>
      <c r="GN59" s="37" t="s">
        <v>120</v>
      </c>
      <c r="GP59" s="44"/>
      <c r="GQ59" s="36">
        <f>SQRT((A59-$A$94)^2+(B59-$B$94)^2+(C59-$C$94)^2+(D59-$D$94)^2+(E59-$E$94)^2+(F59-$F$94)^2+(G59-$G$94)^2+(H59-$H$94)^2+(I59-$I$94)^2+(J59-$J$94)^2+(K59-$K$94)^2+(L59-$L$94)^2+(M59-$M$94)^2+(N59-$N$94)^2+(O59-$O$94)^2+(P59-$P$94)^2+(Q59-$Q$94)^2+(R59-$R$94)^2+(S59-$S$94)^2+(T59-$T$94)^2+(U59-$U$94)^2+(V59-$V$94)^2+(W59-$W$94)^2+(X59-$X$94)^2+(Y59-$Y$94)^2+(Z59-$Z$94)^2+(AA59-$AA$94)^2+(AB59-$AB$94)^2+(AC59-$AC$94)^2+(AD59-$AD$94)^2+(AE59-$AE$94)^2+(AF59-$AF$94)^2+(AG59-$AG$94)^2)</f>
        <v>1.0850140567179203</v>
      </c>
      <c r="GR59" s="36" t="s">
        <v>139</v>
      </c>
      <c r="GS59" s="37" t="s">
        <v>120</v>
      </c>
      <c r="GU59" s="44"/>
      <c r="GV59" s="36">
        <f>SQRT((A59-$A$95)^2+(B59-$B$95)^2+(C59-$C$95)^2+(D59-$D$95)^2+(E59-$E$95)^2+(F59-$F$95)^2+(G59-$G$95)^2+(H59-$H$95)^2+(I59-$I$95)^2+(J59-$J$95)^2+(K59-$K$95)^2+(L59-$L$95)^2+(M59-$M$95)^2+(N59-$N$95)^2+(O59-$O$95)^2+(P59-$P$95)^2+(Q59-$Q$95)^2+(R59-$R$95)^2+(S59-$S$95)^2+(T59-$T$95)^2+(U59-$U$95)^2+(V59-$V$95)^2+(W59-$W$95)^2+(X59-$X$95)^2+(Y59-$Y$95)^2+(Z59-$Z$95)^2+(AA59-$AA$95)^2+(AB59-$AB$95)^2+(AC59-$AC$95)^2+(AD59-$AD$95)^2+(AE59-$AE$95)^2+(AF59-$AF$95)^2+(AG59-$AG$95)^2)</f>
        <v>2.7041897482742163</v>
      </c>
      <c r="GW59" s="36" t="s">
        <v>317</v>
      </c>
      <c r="GX59" s="37" t="s">
        <v>120</v>
      </c>
      <c r="GZ59" s="44"/>
      <c r="HA59" s="36">
        <f>SQRT((A59-$A$96)^2+(B59-$B$96)^2+(C59-$C$96)^2+(D59-$D$96)^2+(E59-$E$96)^2+(F59-$F$96)^2+(G59-$G$96)^2+(H59-$H$96)^2+(I59-$I$96)^2+(J59-$J$96)^2+(K59-$K$96)^2+(L59-$L$96)^2+(M59-$M$96)^2+(N59-$N$96)^2+(O59-$O$96)^2+(P59-$P$96)^2+(Q59-$Q$96)^2+(R59-$R$96)^2+(S59-$S$96)^2+(T59-$T$96)^2+(U59-$U$96)^2+(V59-$V$96)^2+(W59-$W$96)^2+(X59-$X$96)^2+(Y59-$Y$96)^2+(Z59-$Z$96)^2+(AA59-$AA$96)^2+(AB59-$AB$96)^2+(AC59-$AC$96)^2+(AD59-$AD$96)^2+(AE59-$AE$96)^2+(AF59-$AF$96)^2+(AG59-$AG$96)^2)</f>
        <v>2.5717662444873883</v>
      </c>
      <c r="HB59" s="36" t="s">
        <v>147</v>
      </c>
      <c r="HC59" s="37" t="s">
        <v>120</v>
      </c>
      <c r="HE59" s="44"/>
      <c r="HF59" s="36">
        <f>SQRT((A59-$A$97)^2+(B59-$B$97)^2+(C59-$C$97)^2+(D59-$D$97)^2+(E59-$E$97)^2+(F59-$F$97)^2+(G59-$G$97)^2+(H59-$H$97)^2+(I59-$I$97)^2+(J59-$J$97)^2+(K59-$K$97)^2+(L59-$L$97)^2+(M59-$M$97)^2+(N59-$N$97)^2+(O59-$O$97)^2+(P59-$P$97)^2+(Q59-$Q$97)^2+(R59-$R$97)^2+(S59-$S$97)^2+(T59-$T$97)^2+(U59-$U$97)^2+(V59-$V$97)^2+(W59-$W$97)^2+(X59-$X$97)^2+(Y59-$Y$97)^2+(Z59-$Z$97)^2+(AA59-$AA$97)^2+(AB59-$AB$97)^2+(AC59-$AC$97)^2+(AD59-$AD$97)^2+(AE59-$AE$97)^2+(AF59-$AF$97)^2+(AG59-$AG$97)^2)</f>
        <v>1.2097823639904113</v>
      </c>
      <c r="HG59" s="36" t="s">
        <v>130</v>
      </c>
      <c r="HH59" s="37" t="s">
        <v>120</v>
      </c>
      <c r="HJ59" s="44"/>
      <c r="HK59" s="36">
        <f>SQRT((A59-$A$98)^2+(B59-$B$98)^2+(C59-$C$98)^2+(D59-$D$98)^2+(E59-$E$98)^2+(F59-$F$98)^2+(G59-$G$98)^2+(H59-$H$98)^2+(I59-$I$98)^2+(J59-$J$98)^2+(K59-$K$98)^2+(L59-$L$98)^2+(M59-$M$98)^2+(N59-$N$98)^2+(O59-$O$98)^2+(P59-$P$98)^2+(Q59-$Q$98)^2+(R59-$R$98)^2+(S59-$S$98)^2+(T59-$T$98)^2+(U59-$U$98)^2+(V59-$V$98)^2+(W59-$W$98)^2+(X59-$X$98)^2+(Y59-$Y$98)^2+(Z59-$Z$98)^2+(AA59-$AA$98)^2+(AB59-$AB$98)^2+(AC59-$AC$98)^2+(AD59-$AD$98)^2+(AE59-$AE$98)^2+(AF59-$AF$98)^2+(AG59-$AG$98)^2)</f>
        <v>1.2097823639904113</v>
      </c>
      <c r="HL59" s="36" t="s">
        <v>130</v>
      </c>
      <c r="HM59" s="37" t="s">
        <v>120</v>
      </c>
      <c r="HO59" s="44"/>
      <c r="HP59" s="36">
        <f>SQRT((A59-$A$99)^2+(B59-$B$99)^2+(C59-$C$99)^2+(D59-$D$99)^2+(E59-$E$99)^2+(F59-$F$99)^2+(G59-$G$99)^2+(H59-$H$99)^2+(I59-$I$99)^2+(J59-$J$99)^2+(K59-$K$99)^2+(L59-$L$99)^2+(M59-$M$99)^2+(N59-$N$99)^2+(O59-$O$99)^2+(P59-$P$99)^2+(Q59-$Q$99)^2+(R59-$R$99)^2+(S59-$S$99)^2+(T59-$T$99)^2+(U59-$U$99)^2+(V59-$V$99)^2+(W59-$W$99)^2+(X59-$X$99)^2+(Y59-$Y$99)^2+(Z59-$Z$99)^2+(AA59-$AA$99)^2+(AB59-$AB$99)^2+(AC59-$AC$99)^2+(AD59-$AD$99)^2+(AE59-$AE$99)^2+(AF59-$AF$99)^2+(AG59-$AG$99)^2)</f>
        <v>1.2097823639904113</v>
      </c>
      <c r="HQ59" s="36" t="s">
        <v>130</v>
      </c>
      <c r="HR59" s="37" t="s">
        <v>120</v>
      </c>
      <c r="HT59" s="44"/>
      <c r="HU59" s="36">
        <f>SQRT((A59-$A$100)^2+(B59-$B$100)^2+(C59-$C$100)^2+(D59-$D$100)^2+(E59-$E$100)^2+(F59-$F$100)^2+(G59-$G$100)^2+(H59-$H$100)^2+(I59-$I$100)^2+(J59-$J$100)^2+(K59-$K$100)^2+(L59-$L$100)^2+(M59-$M$100)^2+(N59-$N$100)^2+(O59-$O$100)^2+(P59-$P$100)^2+(Q59-$Q$100)^2+(R59-$R$100)^2+(S59-$S$100)^2+(T59-$T$100)^2+(U59-$U$100)^2+(V59-$V$100)^2+(W59-$W$100)^2+(X59-$X$100)^2+(Y59-$Y$100)^2+(Z59-$Z$100)^2+(AA59-$AA$100)^2+(AB59-$AB$100)^2+(AC59-$AC$100)^2+(AD59-$AD$100)^2+(AE59-$AE$100)^2+(AF59-$AF$100)^2+(AG59-$AG$100)^2)</f>
        <v>1.2097823639904113</v>
      </c>
      <c r="HV59" s="36" t="s">
        <v>130</v>
      </c>
      <c r="HW59" s="37" t="s">
        <v>120</v>
      </c>
      <c r="HY59" s="44"/>
      <c r="HZ59" s="36">
        <f>SQRT((A59-$A$101)^2+(B59-$B$101)^2+(C59-$C$101)^2+(D59-$D$101)^2+(E59-$E$101)^2+(F59-$F$101)^2+(G59-$G$101)^2+(H59-$H$101)^2+(I59-$I$101)^2+(J59-$J$101)^2+(K59-$K$101)^2+(L59-$L$101)^2+(M59-$M$101)^2+(N59-$N$101)^2+(O59-$O$101)^2+(P59-$P$101)^2+(Q59-$Q$101)^2+(R59-$R$101)^2+(S59-$S$101)^2+(T59-$T$101)^2+(U59-$U$101)^2+(V59-$V$101)^2+(W59-$W$101)^2+(X59-$X$101)^2+(Y59-$Y$101)^2+(Z59-$Z$101)^2+(AA59-$AA$101)^2+(AB59-$AB$101)^2+(AC59-$AC$101)^2+(AD59-$AD$101)^2+(AE59-$AE$101)^2+(AF59-$AF$101)^2+(AG59-$AG$101)^2)</f>
        <v>2.002382873438624</v>
      </c>
      <c r="IA59" s="36" t="s">
        <v>139</v>
      </c>
      <c r="IB59" s="37" t="s">
        <v>120</v>
      </c>
    </row>
    <row r="60" spans="1:236" x14ac:dyDescent="0.35">
      <c r="A60" s="2">
        <v>0.16666666666666599</v>
      </c>
      <c r="B60" s="2">
        <v>0</v>
      </c>
      <c r="C60" s="2">
        <v>0</v>
      </c>
      <c r="D60" s="2">
        <v>0.66666666666666596</v>
      </c>
      <c r="E60" s="2">
        <v>0</v>
      </c>
      <c r="F60" s="2">
        <v>1</v>
      </c>
      <c r="G60" s="2">
        <v>0.55555555555555503</v>
      </c>
      <c r="H60" s="2">
        <v>1</v>
      </c>
      <c r="I60" s="2">
        <v>1</v>
      </c>
      <c r="J60" s="2">
        <v>0</v>
      </c>
      <c r="K60" s="2">
        <v>0</v>
      </c>
      <c r="L60" s="2">
        <v>0.2</v>
      </c>
      <c r="M60" s="2">
        <v>1</v>
      </c>
      <c r="N60" s="2">
        <v>0</v>
      </c>
      <c r="O60" s="2">
        <v>0</v>
      </c>
      <c r="P60" s="2">
        <v>0.4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0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0.19565217391304299</v>
      </c>
      <c r="AH60" s="2" t="s">
        <v>120</v>
      </c>
      <c r="AI60" s="42"/>
      <c r="AJ60" s="42"/>
      <c r="AL60" s="44"/>
      <c r="AM60" s="36">
        <f>SQRT((A60-$A$62)^2+(B60-$B$62)^2+(C60-$C$62)^2+(D60-$D$62)^2+(E60-$E$62)^2+(F60-$F$62)^2+(G60-$G$62)^2+(H60-$H$62)^2+(I60-$I$62)^2+(J60-$J$62)^2+(K60-$K$62)^2+(L60-$L$62)^2+(M60-$M$62)^2+(N60-$N$62)^2+(O60-$O$62)^2+(P60-$P$62)^2+(Q60-$Q$62)^2+(R60-$R$62)^2+(S60-$S$62)^2+(T60-$T$62)^2+(U60-$U$62)^2+(V60-$V$62)^2+(W60-$W$62)^2+(X60-$X$62)^2+(Y60-$Y$62)^2+(Z60-$Z$62)^2+(AA60-$AA$62)^2+(AB60-$AB$62)^2+(AC60-$AC$62)^2+(AD60-$AD$62)^2+(AE60-$AE$62)^2+(AF60-$AF$62)^2+(AG60-$AG$62)^2)</f>
        <v>2.0438802410668697</v>
      </c>
      <c r="AN60" s="36" t="s">
        <v>317</v>
      </c>
      <c r="AO60" s="37" t="s">
        <v>120</v>
      </c>
      <c r="AQ60" s="44"/>
      <c r="AR60" s="36">
        <f>SQRT((A60-$A$63)^2+(B60-$B$63)^2+(C60-$C$63)^2+(D60-$D$63)^2+(E60-$E$63)^2+(F60-$F$63)^2+(G60-$G$63)^2+(H60-$H$63)^2+(I60-$I$63)^2+(J60-$J$63)^2+(K60-$K$63)^2+(L60-$L$63)^2+(M60-$M$63)^2+(N60-$N$63)^2+(O60-$O$63)^2+(P60-$P$63)^2+(Q60-$Q$63)^2+(R60-$R$63)^2+(S60-$S$63)^2+(T60-$T$63)^2+(U60-$U$63)^2+(V60-$V$63)^2+(W60-$W$63)^2+(X60-$X$63)^2+(Y60-$Y$63)^2+(Z60-$Z$63)^2+(AA60-$AA$63)^2+(AB60-$AB$63)^2+(AC60-$AC$63)^2+(AD60-$AD$63)^2+(AE60-$AE$63)^2+(AF60-$AF$63)^2+(AG60-$AG$63)^2)</f>
        <v>1.0070500392265762</v>
      </c>
      <c r="AS60" s="36" t="s">
        <v>332</v>
      </c>
      <c r="AT60" s="37" t="s">
        <v>120</v>
      </c>
      <c r="AV60" s="44"/>
      <c r="AW60" s="36">
        <f>SQRT((A60-$A$64)^2+(B60-$B$64)^2+(C60-$C$64)^2+(D60-$D$64)^2+(E60-$E$64)^2+(F60-$F$64)^2+(G60-$G$64)^2+(H60-$H$64)^2+(I60-$I$64)^2+(J60-$J$64)^2+(K60-$K$64)^2+(L60-$L$64)^2+(M60-$M$64)^2+(N60-$N$64)^2+(O60-$O$64)^2+(P60-$P$64)^2+(Q60-$Q$64)^2+(R60-$R$64)^2+(S60-$S$64)^2+(T60-$T$64)^2+(U60-$U$64)^2+(V60-$V$64)^2+(W60-$W$64)^2+(X60-$X$64)^2+(Y60-$Y$64)^2+(Z60-$Z$64)^2+(AA60-$AA$64)^2+(AB60-$AB$64)^2+(AC60-$AC$64)^2+(AD60-$AD$64)^2+(AE60-$AE$64)^2+(AF60-$AF$64)^2+(AG60-$AG$64)^2)</f>
        <v>1.0070500392265762</v>
      </c>
      <c r="AX60" s="36" t="s">
        <v>332</v>
      </c>
      <c r="AY60" s="37" t="s">
        <v>120</v>
      </c>
      <c r="BA60" s="44"/>
      <c r="BB60" s="36">
        <f>SQRT((A60-$A$65)^2+(B60-$B$65)^2+(C60-$C$65)^2+(D60-$D$65)^2+(E60-$E$65)^2+(F60-$F$65)^2+(G60-$G$65)^2+(H60-$H$65)^2+(I60-$I$65)^2+(J60-$J$65)^2+(K60-$K$65)^2+(L60-$L$65)^2+(M60-$M$65)^2+(N60-$N$65)^2+(O60-$O$65)^2+(P60-$P$65)^2+(Q60-$Q$65)^2+(R60-$R$65)^2+(S60-$S$65)^2+(T60-$T$65)^2+(U60-$U$65)^2+(V60-$V$65)^2+(W60-$W$65)^2+(X60-$X$65)^2+(Y60-$Y$65)^2+(Z60-$Z$65)^2+(AA60-$AA$65)^2+(AB60-$AB$65)^2+(AC60-$AC$65)^2+(AD60-$AD$65)^2+(AE60-$AE$65)^2+(AF60-$AF$65)^2+(AG60-$AG$65)^2)</f>
        <v>1.0070500392265762</v>
      </c>
      <c r="BC60" s="36" t="s">
        <v>332</v>
      </c>
      <c r="BD60" s="37" t="s">
        <v>120</v>
      </c>
      <c r="BF60" s="44"/>
      <c r="BG60" s="36">
        <f>SQRT((A60-$A$66)^2+(B60-$B$66)^2+(C60-$C$66)^2+(D60-$D$66)^2+(E60-$E$66)^2+(F60-$F$66)^2+(G60-$G$66)^2+(H60-$H$66)^2+(I60-$I$66)^2+(J60-$J$66)^2+(K60-$K$66)^2+(L60-$L$66)^2+(M60-$M$66)^2+(N60-$N$66)^2+(O60-$O$66)^2+(P60-$P$66)^2+(Q60-$Q$66)^2+(R60-$R$66)^2+(S60-$S$66)^2+(T60-$T$66)^2+(U60-$U$66)^2+(V60-$V$66)^2+(W60-$W$66)^2+(X60-$X$66)^2+(Y60-$Y$66)^2+(Z60-$Z$66)^2+(AA60-$AA$66)^2+(AB60-$AB$66)^2+(AC60-$AC$66)^2+(AD60-$AD$66)^2+(AE60-$AE$66)^2+(AF60-$AF$66)^2+(AG60-$AG$66)^2)</f>
        <v>1.0070500392265762</v>
      </c>
      <c r="BH60" s="36" t="s">
        <v>332</v>
      </c>
      <c r="BI60" s="37" t="s">
        <v>120</v>
      </c>
      <c r="BK60" s="44"/>
      <c r="BL60" s="36">
        <f>SQRT((A60-$A$67)^2+(B60-$B$67)^2+(C60-$C$67)^2+(D60-$D$67)^2+(E60-$E$67)^2+(F60-$F$67)^2+(G60-$G$67)^2+(H60-$H$67)^2+(I60-$I$67)^2+(J60-$J$67)^2+(K60-$K$67)^2+(L60-$L$67)^2+(M60-$M$67)^2+(N60-$N$67)^2+(O60-$O$67)^2+(P60-$P$67)^2+(Q60-$Q$67)^2+(R60-$R$67)^2+(S60-$S$67)^2+(T60-$T$67)^2+(U60-$U$67)^2+(V60-$V$67)^2+(W60-$W$67)^2+(X60-$X$67)^2+(Y60-$Y$67)^2+(Z60-$Z$67)^2+(AA60-$AA$67)^2+(AB60-$AB$67)^2+(AC60-$AC$67)^2+(AD60-$AD$67)^2+(AE60-$AE$67)^2+(AF60-$AF$67)^2+(AG60-$AG$67)^2)</f>
        <v>1.0070500392265762</v>
      </c>
      <c r="BM60" s="36" t="s">
        <v>332</v>
      </c>
      <c r="BN60" s="37" t="s">
        <v>120</v>
      </c>
      <c r="BP60" s="44"/>
      <c r="BQ60" s="36">
        <f>SQRT((A60-$A$68)^2+(B60-$B$68)^2+(C60-$C$68)^2+(D60-$D$68)^2+(E60-$E$68)^2+(F60-$F$68)^2+(G60-$G$68)^2+(H60-$H$68)^2+(I60-$I$68)^2+(J60-$J$68)^2+(K60-$K$68)^2+(L60-$L$68)^2+(M60-$M$68)^2+(N60-$N$68)^2+(O60-$O$68)^2+(P60-$P$68)^2+(Q60-$Q$68)^2+(R60-$R$68)^2+(S60-$S$68)^2+(T60-$T$68)^2+(U60-$U$68)^2+(V60-$V$68)^2+(W60-$W$68)^2+(X60-$X$68)^2+(Y60-$Y$68)^2+(Z60-$Z$68)^2+(AA60-$AA$68)^2+(AB60-$AB$68)^2+(AC60-$AC$68)^2+(AD60-$AD$68)^2+(AE60-$AE$68)^2+(AF60-$AF$68)^2+(AG60-$AG$68)^2)</f>
        <v>1.0070500392265762</v>
      </c>
      <c r="BR60" s="36" t="s">
        <v>332</v>
      </c>
      <c r="BS60" s="37" t="s">
        <v>120</v>
      </c>
      <c r="BU60" s="44"/>
      <c r="BV60" s="36">
        <f>SQRT((A60-$A$69)^2+(B60-$B$69)^2+(C60-$C$69)^2+(D60-$D$69)^2+(E60-$E$69)^2+(F60-$F$69)^2+(G60-$G$69)^2+(H60-$H$69)^2+(I60-$I$69)^2+(J60-$J$69)^2+(K60-$K$69)^2+(L60-$L$69)^2+(M60-$M$69)^2+(N60-$N$69)^2+(O60-$O$69)^2+(P60-$P$69)^2+(Q60-$Q$69)^2+(R60-$R$69)^2+(S60-$S$69)^2+(T60-$T$69)^2+(U60-$U$69)^2+(V60-$V$69)^2+(W60-$W$69)^2+(X60-$X$69)^2+(Y60-$Y$69)^2+(Z60-$Z$69)^2+(AA60-$AA$69)^2+(AB60-$AB$69)^2+(AC60-$AC$69)^2+(AD60-$AD$69)^2+(AE60-$AE$69)^2+(AF60-$AF$69)^2+(AG60-$AG$69)^2)</f>
        <v>2.2011336151489052</v>
      </c>
      <c r="BW60" s="36" t="s">
        <v>330</v>
      </c>
      <c r="BX60" s="37" t="s">
        <v>120</v>
      </c>
      <c r="BZ60" s="44"/>
      <c r="CA60" s="36">
        <f>SQRT((A60-$A$70)^2+(B60-$B$70)^2+(C60-$C$70)^2+(D60-$D$70)^2+(E60-$E$70)^2+(F60-$F$70)^2+(G60-$G$70)^2+(H60-$H$70)^2+(I60-$I$70)^2+(J60-$J$70)^2+(K60-$K$70)^2+(L60-$L$70)^2+(M60-$M$70)^2+(N60-$N$70)^2+(O60-$O$70)^2+(P60-$P$70)^2+(Q60-$Q$70)^2+(R60-$R$70)^2+(S60-$S$70)^2+(T60-$T$70)^2+(U60-$U$70)^2+(V60-$V$70)^2+(W60-$W$70)^2+(X60-$X$70)^2+(Y60-$Y$70)^2+(Z60-$Z$70)^2+(AA60-$AA$70)^2+(AB60-$AB$70)^2+(AC60-$AC$70)^2+(AD60-$AD$70)^2+(AE60-$AE$70)^2+(AF60-$AF$70)^2+(AG60-$AG$70)^2)</f>
        <v>1.1703067947125005</v>
      </c>
      <c r="CB60" s="36" t="s">
        <v>330</v>
      </c>
      <c r="CC60" s="37" t="s">
        <v>120</v>
      </c>
      <c r="CE60" s="44"/>
      <c r="CF60" s="36">
        <f>SQRT((A60-$A$71)^2+(B60-$B$71)^2+(C60-$C$71)^2+(D60-$D$71)^2+(E60-$E$71)^2+(F60-$F$71)^2+(G60-$G$71)^2+(H60-$H$71)^2+(I60-$I$71)^2+(J60-$J$71)^2+(K60-$K$71)^2+(L60-$L$71)^2+(M60-$M$71)^2+(N60-$N$71)^2+(O60-$O$71)^2+(P60-$P$71)^2+(Q60-$Q$71)^2+(R60-$R$71)^2+(S60-$S$71)^2+(T60-$T$71)^2+(U60-$U$71)^2+(V60-$V$71)^2+(W60-$W$71)^2+(X60-$X$71)^2+(Y60-$Y$71)^2+(Z60-$Z$71)^2+(AA60-$AA$71)^2+(AB60-$AB$71)^2+(AC60-$AC$71)^2+(AD60-$AD$71)^2+(AE60-$AE$71)^2+(AF60-$AF$71)^2+(AG60-$AG$71)^2)</f>
        <v>1.5550656271879197</v>
      </c>
      <c r="CG60" s="36" t="s">
        <v>130</v>
      </c>
      <c r="CH60" s="37" t="s">
        <v>120</v>
      </c>
      <c r="CJ60" s="44"/>
      <c r="CK60" s="36">
        <f>SQRT((A60-$A$72)^2+(B60-$B$72)^2+(C60-$C$72)^2+(D60-$D$72)^2+(E60-$E$72)^2+(F60-$F$72)^2+(G60-$G$72)^2+(H60-$H$72)^2+(I60-$I$72)^2+(J60-$J$72)^2+(K60-$K$72)^2+(L60-$L$72)^2+(M60-$M$72)^2+(N60-$N$72)^2+(O60-$O$72)^2+(P60-$P$72)^2+(Q60-$Q$72)^2+(R60-$R$72)^2+(S60-$S$72)^2+(T60-$T$72)^2+(U60-$U$72)^2+(V60-$V$72)^2+(W60-$W$72)^2+(X60-$X$72)^2+(Y60-$Y$72)^2+(Z60-$Z$72)^2+(AA60-$AA$72)^2+(AB60-$AB$72)^2+(AC60-$AC$72)^2+(AD60-$AD$72)^2+(AE60-$AE$72)^2+(AF60-$AF$72)^2+(AG60-$AG$72)^2)</f>
        <v>1.3514466756801897</v>
      </c>
      <c r="CL60" s="36" t="s">
        <v>332</v>
      </c>
      <c r="CM60" s="37" t="s">
        <v>120</v>
      </c>
      <c r="CO60" s="44"/>
      <c r="CP60" s="36">
        <f>SQRT((A60-$A$73)^2+(B60-$B$73)^2+(C60-$C$73)^2+(D60-$D$73)^2+(E60-$E$73)^2+(F60-$F$73)^2+(G60-$G$73)^2+(H60-$H$73)^2+(I60-$I$73)^2+(J60-$J$73)^2+(K60-$K$73)^2+(L60-$L$73)^2+(M60-$M$73)^2+(N60-$N$73)^2+(O60-$O$73)^2+(P60-$P$73)^2+(Q60-$Q$73)^2+(R60-$R$73)^2+(S60-$S$73)^2+(T60-$T$73)^2+(U60-$U$73)^2+(V60-$V$73)^2+(W60-$W$73)^2+(X60-$X$73)^2+(Y60-$Y$73)^2+(Z60-$Z$73)^2+(AA60-$AA$73)^2+(AB60-$AB$73)^2+(AC60-$AC$73)^2+(AD60-$AD$73)^2+(AE60-$AE$73)^2+(AF60-$AF$73)^2+(AG60-$AG$73)^2)</f>
        <v>1.2205198327130078</v>
      </c>
      <c r="CQ60" s="36" t="s">
        <v>130</v>
      </c>
      <c r="CR60" s="37" t="s">
        <v>120</v>
      </c>
      <c r="CT60" s="44"/>
      <c r="CU60" s="36">
        <f>SQRT((A60-$A$74)^2+(B60-$B$74)^2+(C60-$C$74)^2+(D60-$D$74)^2+(E60-$E$74)^2+(F60-$F$74)^2+(G60-$G$74)^2+(H60-$H$74)^2+(I60-$I$74)^2+(J60-$J$74)^2+(K60-$K$74)^2+(L60-$L$74)^2+(M60-$M$74)^2+(N60-$N$74)^2+(O60-$O$74)^2+(P60-$P$74)^2+(Q60-$Q$74)^2+(R60-$R$74)^2+(S60-$S$74)^2+(T60-$T$74)^2+(U60-$U$74)^2+(V60-$V$74)^2+(W60-$W$74)^2+(X60-$X$74)^2+(Y60-$Y$74)^2+(Z60-$Z$74)^2+(AA60-$AA$74)^2+(AB60-$AB$74)^2+(AC60-$AC$74)^2+(AD60-$AD$74)^2+(AE60-$AE$74)^2+(AF60-$AF$74)^2+(AG60-$AG$74)^2)</f>
        <v>1.6164782693804214</v>
      </c>
      <c r="CV60" s="36" t="s">
        <v>147</v>
      </c>
      <c r="CW60" s="37" t="s">
        <v>120</v>
      </c>
      <c r="CY60" s="44"/>
      <c r="CZ60" s="36">
        <f>SQRT((A60-$A$75)^2+(B60-$B$75)^2+(C60-$C$75)^2+(D60-$D$75)^2+(E60-$E$75)^2+(F60-$F$75)^2+(G60-$G$75)^2+(H60-$H$75)^2+(I60-$I$75)^2+(J60-$J$75)^2+(K60-$K$75)^2+(L60-$L$75)^2+(M60-$M$75)^2+(N60-$N$75)^2+(O60-$O$75)^2+(P60-$P$75)^2+(Q60-$Q$75)^2+(R60-$R$75)^2+(S60-$S$75)^2+(T60-$T$75)^2+(U60-$U$75)^2+(V60-$V$75)^2+(W60-$W$75)^2+(X60-$X$75)^2+(Y60-$Y$75)^2+(Z60-$Z$75)^2+(AA60-$AA$75)^2+(AB60-$AB$75)^2+(AC60-$AC$75)^2+(AD60-$AD$75)^2+(AE60-$AE$75)^2+(AF60-$AF$75)^2+(AG60-$AG$75)^2)</f>
        <v>1.5690413902341807</v>
      </c>
      <c r="DA60" s="36" t="s">
        <v>147</v>
      </c>
      <c r="DB60" s="37" t="s">
        <v>120</v>
      </c>
      <c r="DD60" s="44"/>
      <c r="DE60" s="36">
        <f>SQRT((A60-$A$76)^2+(B60-$B$76)^2+(C60-$C$76)^2+(D60-$D$76)^2+(E60-$E$76)^2+(F60-$F$76)^2+(G60-$G$76)^2+(H60-$H$76)^2+(I60-$I$76)^2+(J60-$J$76)^2+(K60-$K$76)^2+(L60-$L$76)^2+(M60-$M$76)^2+(N60-$N$76)^2+(O60-$O$76)^2+(P60-$P$76)^2+(Q60-$Q$76)^2+(R60-$R$76)^2+(S60-$S$76)^2+(T60-$T$76)^2+(U60-$U$76)^2+(V60-$V$76)^2+(W60-$W$76)^2+(X60-$X$76)^2+(Y60-$Y$76)^2+(Z60-$Z$76)^2+(AA60-$AA$76)^2+(AB60-$AB$76)^2+(AC60-$AC$76)^2+(AD60-$AD$76)^2+(AE60-$AE$76)^2+(AF60-$AF$76)^2+(AG60-$AG$76)^2)</f>
        <v>1.6504887477623809</v>
      </c>
      <c r="DF60" s="36" t="s">
        <v>147</v>
      </c>
      <c r="DG60" s="37" t="s">
        <v>120</v>
      </c>
      <c r="DI60" s="44"/>
      <c r="DJ60" s="36">
        <f>SQRT((A60-$A$77)^2+(B60-$B$77)^2+(C60-$C$77)^2+(D60-$D$77)^2+(E60-$E$77)^2+(F60-$F$77)^2+(G60-$G$77)^2+(H60-$H$77)^2+(I60-$I$77)^2+(J60-$J$77)^2+(K60-$K$77)^2+(L60-$L$77)^2+(M60-$M$77)^2+(N60-$N$77)^2+(O60-$O$77)^2+(P60-$P$77)^2+(Q60-$Q$77)^2+(R60-$R$77)^2+(S60-$S$77)^2+(T60-$T$77)^2+(U60-$U$77)^2+(V60-$V$77)^2+(W60-$W$77)^2+(X60-$X$77)^2+(Y60-$Y$77)^2+(Z60-$Z$77)^2+(AA60-$AA$77)^2+(AB60-$AB$77)^2+(AC60-$AC$77)^2+(AD60-$AD$77)^2+(AE60-$AE$77)^2+(AF60-$AF$77)^2+(AG60-$AG$77)^2)</f>
        <v>2.2322016525397843</v>
      </c>
      <c r="DK60" s="36" t="s">
        <v>339</v>
      </c>
      <c r="DL60" s="37" t="s">
        <v>120</v>
      </c>
      <c r="DN60" s="44"/>
      <c r="DO60" s="36">
        <f>SQRT((A60-$A$78)^2+(B60-$B$78)^2+(C60-$C$78)^2+(D60-$D$78)^2+(E60-$E$78)^2+(F60-$F$78)^2+(G60-$G$78)^2+(H60-$H$78)^2+(I60-$I$78)^2+(J60-$J$78)^2+(K60-$K$78)^2+(L60-$L$78)^2+(M60-$M$78)^2+(N60-$N$78)^2+(O60-$O$78)^2+(P60-$P$78)^2+(Q60-$Q$78)^2+(R60-$R$78)^2+(S60-$S$78)^2+(T60-$T$78)^2+(U60-$U$78)^2+(V60-$V$78)^2+(W60-$W$78)^2+(X60-$X$78)^2+(Y60-$Y$78)^2+(Z60-$Z$78)^2+(AA60-$AA$78)^2+(AB60-$AB$78)^2+(AC60-$AC$78)^2+(AD60-$AD$78)^2+(AE60-$AE$78)^2+(AF60-$AF$78)^2+(AG60-$AG$78)^2)</f>
        <v>0.5</v>
      </c>
      <c r="DP60" s="36" t="s">
        <v>139</v>
      </c>
      <c r="DQ60" s="37" t="s">
        <v>120</v>
      </c>
      <c r="DS60" s="44"/>
      <c r="DT60" s="36">
        <f>SQRT((A60-$A$79)^2+(B60-$B$79)^2+(C60-$C$79)^2+(D60-$D$79)^2+(E60-$E$79)^2+(F60-$F$79)^2+(G60-$G$79)^2+(H60-$H$79)^2+(I60-$I$79)^2+(J60-$J$79)^2+(K60-$K$79)^2+(L60-$L$79)^2+(M60-$M$79)^2+(N60-$N$79)^2+(O60-$O$79)^2+(P60-$P$79)^2+(Q60-$Q$79)^2+(R60-$R$79)^2+(S60-$S$79)^2+(T60-$T$79)^2+(U60-$U$79)^2+(V60-$V$79)^2+(W60-$W$79)^2+(X60-$X$79)^2+(Y60-$Y$79)^2+(Z60-$Z$79)^2+(AA60-$AA$79)^2+(AB60-$AB$79)^2+(AC60-$AC$79)^2+(AD60-$AD$79)^2+(AE60-$AE$79)^2+(AF60-$AF$79)^2+(AG60-$AG$79)^2)</f>
        <v>1.4348543012999322</v>
      </c>
      <c r="DU60" s="36" t="s">
        <v>147</v>
      </c>
      <c r="DV60" s="37" t="s">
        <v>120</v>
      </c>
      <c r="DX60" s="44"/>
      <c r="DY60" s="36">
        <f>SQRT((A60-$A$80)^2+(B60-$B$80)^2+(C60-$C$80)^2+(D60-$D$80)^2+(E60-$E$80)^2+(F60-$F$80)^2+(G60-$G$80)^2+(H60-$H$80)^2+(I60-$I$80)^2+(J60-$J$80)^2+(K60-$K$80)^2+(L60-$L$80)^2+(M60-$M$80)^2+(N60-$N$80)^2+(O60-$O$80)^2+(P60-$P$80)^2+(Q60-$Q$80)^2+(R60-$R$80)^2+(S60-$S$80)^2+(T60-$T$80)^2+(U60-$U$80)^2+(V60-$V$80)^2+(W60-$W$80)^2+(X60-$X$80)^2+(Y60-$Y$80)^2+(Z60-$Z$80)^2+(AA60-$AA$80)^2+(AB60-$AB$80)^2+(AC60-$AC$80)^2+(AD60-$AD$80)^2+(AE60-$AE$80)^2+(AF60-$AF$80)^2+(AG60-$AG$80)^2)</f>
        <v>1.878741244037025</v>
      </c>
      <c r="DZ60" s="36" t="s">
        <v>332</v>
      </c>
      <c r="EA60" s="37" t="s">
        <v>120</v>
      </c>
      <c r="EC60" s="44"/>
      <c r="ED60" s="36">
        <f>SQRT((A60-$A$81)^2+(B60-$B$81)^2+(C60-$C$81)^2+(D60-$D$81)^2+(E60-$E$81)^2+(F60-$F$81)^2+(G60-$G$81)^2+(H60-$H$81)^2+(I60-$I$81)^2+(J60-$J$81)^2+(K60-$K$81)^2+(L60-$L$81)^2+(M60-$M$81)^2+(N60-$N$81)^2+(O60-$O$81)^2+(P60-$P$81)^2+(Q60-$Q$81)^2+(R60-$R$81)^2+(S60-$S$81)^2+(T60-$T$81)^2+(U60-$U$81)^2+(V60-$V$81)^2+(W60-$W$81)^2+(X60-$X$81)^2+(Y60-$Y$81)^2+(Z60-$Z$81)^2+(AA60-$AA$81)^2+(AB60-$AB$81)^2+(AC60-$AC$81)^2+(AD60-$AD$81)^2+(AE60-$AE$81)^2+(AF60-$AF$81)^2+(AG60-$AG$81)^2)</f>
        <v>1.8210045444574479</v>
      </c>
      <c r="EE60" s="36" t="s">
        <v>332</v>
      </c>
      <c r="EF60" s="37" t="s">
        <v>120</v>
      </c>
      <c r="EH60" s="44"/>
      <c r="EI60" s="36">
        <f>SQRT((A60-$A$82)^2+(B60-$B$82)^2+(C60-$C$82)^2+(D60-$D$82)^2+(E60-$E$82)^2+(F60-$F$82)^2+(G60-$G$82)^2+(H60-$H$82)^2+(I60-$I$82)^2+(J60-$J$82)^2+(K60-$K$82)^2+(L60-$L$82)^2+(M60-$M$82)^2+(N60-$N$82)^2+(O60-$O$82)^2+(P60-$P$82)^2+(Q60-$Q$82)^2+(R60-$R$82)^2+(S60-$S$82)^2+(T60-$T$82)^2+(U60-$U$82)^2+(V60-$V$82)^2+(W60-$W$82)^2+(X60-$X$82)^2+(Y60-$Y$82)^2+(Z60-$Z$82)^2+(AA60-$AA$82)^2+(AB60-$AB$82)^2+(AC60-$AC$82)^2+(AD60-$AD$82)^2+(AE60-$AE$82)^2+(AF60-$AF$82)^2+(AG60-$AG$82)^2)</f>
        <v>1.4999999999999998</v>
      </c>
      <c r="EJ60" s="36" t="s">
        <v>139</v>
      </c>
      <c r="EK60" s="37" t="s">
        <v>120</v>
      </c>
      <c r="EM60" s="44"/>
      <c r="EN60" s="36">
        <f>SQRT((A60-$A$83)^2+(B60-$B$83)^2+(C60-$C$83)^2+(D60-$D$83)^2+(E60-$E$83)^2+(F60-$F$83)^2+(G60-$G$83)^2+(H60-$H$83)^2+(I60-$I$83)^2+(J60-$J$83)^2+(K60-$K$83)^2+(L60-$L$83)^2+(M60-$M$83)^2+(N60-$N$83)^2+(O60-$O$83)^2+(P60-$P$83)^2+(Q60-$Q$83)^2+(R60-$R$83)^2+(S60-$S$83)^2+(T60-$T$83)^2+(U60-$U$83)^2+(V60-$V$83)^2+(W60-$W$83)^2+(X60-$X$83)^2+(Y60-$Y$83)^2+(Z60-$Z$83)^2+(AA60-$AA$83)^2+(AB60-$AB$83)^2+(AC60-$AC$83)^2+(AD60-$AD$83)^2+(AE60-$AE$83)^2+(AF60-$AF$83)^2+(AG60-$AG$83)^2)</f>
        <v>0.63333333333333375</v>
      </c>
      <c r="EO60" s="36" t="s">
        <v>139</v>
      </c>
      <c r="EP60" s="37" t="s">
        <v>120</v>
      </c>
      <c r="ER60" s="44"/>
      <c r="ES60" s="36">
        <f>SQRT((A60-$A$84)^2+(B60-$B$84)^2+(C60-$C$84)^2+(D60-$D$84)^2+(E60-$E$84)^2+(F60-$F$84)^2+(G60-$G$84)^2+(H60-$H$84)^2+(I60-$I$84)^2+(J60-$J$84)^2+(K60-$K$84)^2+(L60-$L$84)^2+(M60-$M$84)^2+(N60-$N$84)^2+(O60-$O$84)^2+(P60-$P$84)^2+(Q60-$Q$84)^2+(R60-$R$84)^2+(S60-$S$84)^2+(T60-$T$84)^2+(U60-$U$84)^2+(V60-$V$84)^2+(W60-$W$84)^2+(X60-$X$84)^2+(Y60-$Y$84)^2+(Z60-$Z$84)^2+(AA60-$AA$84)^2+(AB60-$AB$84)^2+(AC60-$AC$84)^2+(AD60-$AD$84)^2+(AE60-$AE$84)^2+(AF60-$AF$84)^2+(AG60-$AG$84)^2)</f>
        <v>1.0070500392265762</v>
      </c>
      <c r="ET60" s="36" t="s">
        <v>332</v>
      </c>
      <c r="EU60" s="37" t="s">
        <v>120</v>
      </c>
      <c r="EW60" s="44"/>
      <c r="EX60" s="36">
        <f>SQRT((A60-$A$85)^2+(B60-$B$85)^2+(C60-$C$85)^2+(D60-$D$85)^2+(E60-$E$85)^2+(F60-$F$85)^2+(G60-$G$85)^2+(H60-$H$85)^2+(I60-$I$85)^2+(J60-$J$85)^2+(K60-$K$85)^2+(L60-$L$85)^2+(M60-$M$85)^2+(N60-$N$85)^2+(O60-$O$85)^2+(P60-$P$85)^2+(Q60-$Q$85)^2+(R60-$R$85)^2+(S60-$S$85)^2+(T60-$T$85)^2+(U60-$U$85)^2+(V60-$V$85)^2+(W60-$W$85)^2+(X60-$X$85)^2+(Y60-$Y$85)^2+(Z60-$Z$85)^2+(AA60-$AA$85)^2+(AB60-$AB$85)^2+(AC60-$AC$85)^2+(AD60-$AD$85)^2+(AE60-$AE$85)^2+(AF60-$AF$85)^2+(AG60-$AG$85)^2)</f>
        <v>1.0070500392265762</v>
      </c>
      <c r="EY60" s="36" t="s">
        <v>332</v>
      </c>
      <c r="EZ60" s="37" t="s">
        <v>120</v>
      </c>
      <c r="FB60" s="44"/>
      <c r="FC60" s="36">
        <f>SQRT((A60-$A$86)^2+(B60-$B$86)^2+(C60-$C$86)^2+(D60-$D$86)^2+(E60-$E$86)^2+(F60-$F$86)^2+(G60-$G$86)^2+(H60-$H$86)^2+(I60-$I$86)^2+(J60-$J$86)^2+(K60-$K$86)^2+(L60-$L$86)^2+(M60-$M$86)^2+(N60-$N$86)^2+(O60-$O$86)^2+(P60-$P$86)^2+(Q60-$Q$86)^2+(R60-$R$86)^2+(S60-$S$86)^2+(T60-$T$86)^2+(U60-$U$86)^2+(V60-$V$86)^2+(W60-$W$86)^2+(X60-$X$86)^2+(Y60-$Y$86)^2+(Z60-$Z$86)^2+(AA60-$AA$86)^2+(AB60-$AB$86)^2+(AC60-$AC$86)^2+(AD60-$AD$86)^2+(AE60-$AE$86)^2+(AF60-$AF$86)^2+(AG60-$AG$86)^2)</f>
        <v>1.0070500392265762</v>
      </c>
      <c r="FD60" s="36" t="s">
        <v>332</v>
      </c>
      <c r="FE60" s="37" t="s">
        <v>120</v>
      </c>
      <c r="FG60" s="44"/>
      <c r="FH60" s="36">
        <f>SQRT((A60-$A$87)^2+(B60-$B$87)^2+(C60-$C$87)^2+(D60-$D$87)^2+(E60-$E$87)^2+(F60-$F$87)^2+(G60-$G$87)^2+(H60-$H$87)^2+(I60-$I$87)^2+(J60-$J$87)^2+(K60-$K$87)^2+(L60-$L$87)^2+(M60-$M$87)^2+(N60-$N$87)^2+(O60-$O$87)^2+(P60-$P$87)^2+(Q60-$Q$87)^2+(R60-$R$87)^2+(S60-$S$87)^2+(T60-$T$87)^2+(U60-$U$87)^2+(V60-$V$87)^2+(W60-$W$87)^2+(X60-$X$87)^2+(Y60-$Y$87)^2+(Z60-$Z$87)^2+(AA60-$AA$87)^2+(AB60-$AB$87)^2+(AC60-$AC$87)^2+(AD60-$AD$87)^2+(AE60-$AE$87)^2+(AF60-$AF$87)^2+(AG60-$AG$87)^2)</f>
        <v>1.1830759324936793</v>
      </c>
      <c r="FI60" s="36" t="s">
        <v>148</v>
      </c>
      <c r="FJ60" s="37" t="s">
        <v>120</v>
      </c>
      <c r="FL60" s="44"/>
      <c r="FM60" s="36">
        <f>SQRT((A60-$A$88)^2+(B60-$B$88)^2+(C60-$C$88)^2+(D60-$D$88)^2+(E60-$E$88)^2+(F60-$F$88)^2+(G60-$G$88)^2+(H60-$H$88)^2+(I60-$I$88)^2+(J60-$J$88)^2+(K60-$K$88)^2+(L60-$L$88)^2+(M60-$M$88)^2+(N60-$N$88)^2+(O60-$O$88)^2+(P60-$P$88)^2+(Q60-$Q$88)^2+(R60-$R$88)^2+(S60-$S$88)^2+(T60-$T$88)^2+(U60-$U$88)^2+(V60-$V$88)^2+(W60-$W$88)^2+(X60-$X$88)^2+(Y60-$Y$88)^2+(Z60-$Z$88)^2+(AA60-$AA$88)^2+(AB60-$AB$88)^2+(AC60-$AC$88)^2+(AD60-$AD$88)^2+(AE60-$AE$88)^2+(AF60-$AF$88)^2+(AG60-$AG$88)^2)</f>
        <v>1.4463195414473486</v>
      </c>
      <c r="FN60" s="36" t="s">
        <v>332</v>
      </c>
      <c r="FO60" s="37" t="s">
        <v>120</v>
      </c>
      <c r="FQ60" s="44"/>
      <c r="FR60" s="36">
        <f>SQRT((A60-$A$89)^2+(B60-$B$89)^2+(C60-$C$89)^2+(D60-$D$89)^2+(E60-$E$89)^2+(F60-$F$89)^2+(G60-$G$89)^2+(H60-$H$89)^2+(I60-$I$89)^2+(J60-$J$89)^2+(K60-$K$89)^2+(L60-$L$89)^2+(M60-$M$89)^2+(N60-$N$89)^2+(O60-$O$89)^2+(P60-$P$89)^2+(Q60-$Q$89)^2+(R60-$R$89)^2+(S60-$S$89)^2+(T60-$T$89)^2+(U60-$U$89)^2+(V60-$V$89)^2+(W60-$W$89)^2+(X60-$X$89)^2+(Y60-$Y$89)^2+(Z60-$Z$89)^2+(AA60-$AA$89)^2+(AB60-$AB$89)^2+(AC60-$AC$89)^2+(AD60-$AD$89)^2+(AE60-$AE$89)^2+(AF60-$AF$89)^2+(AG60-$AG$89)^2)</f>
        <v>1.9764451241338463</v>
      </c>
      <c r="FS60" s="36" t="s">
        <v>332</v>
      </c>
      <c r="FT60" s="37" t="s">
        <v>120</v>
      </c>
      <c r="FV60" s="44"/>
      <c r="FW60" s="36">
        <f>SQRT((A60-$A$90)^2+(B60-$B$90)^2+(C60-$C$90)^2+(D60-$D$90)^2+(E60-$E$90)^2+(F60-$F$90)^2+(G60-$G$90)^2+(H60-$H$90)^2+(I60-$I$90)^2+(J60-$J$90)^2+(K60-$K$90)^2+(L60-$L$90)^2+(M60-$M$90)^2+(N60-$N$90)^2+(O60-$O$90)^2+(P60-$P$90)^2+(Q60-$Q$90)^2+(R60-$R$90)^2+(S60-$S$90)^2+(T60-$T$90)^2+(U60-$U$90)^2+(V60-$V$90)^2+(W60-$W$90)^2+(X60-$X$90)^2+(Y60-$Y$90)^2+(Z60-$Z$90)^2+(AA60-$AA$90)^2+(AB60-$AB$90)^2+(AC60-$AC$90)^2+(AD60-$AD$90)^2+(AE60-$AE$90)^2+(AF60-$AF$90)^2+(AG60-$AG$90)^2)</f>
        <v>2.0932504980419893</v>
      </c>
      <c r="FX60" s="36" t="s">
        <v>130</v>
      </c>
      <c r="FY60" s="37" t="s">
        <v>120</v>
      </c>
      <c r="GA60" s="44"/>
      <c r="GB60" s="36">
        <f>SQRT((A60-$A$91)^2+(B60-$B$91)^2+(C60-$C$91)^2+(D60-$D$91)^2+(E60-$E$91)^2+(F60-$F$91)^2+(G60-$G$91)^2+(H60-$H$91)^2+(I60-$I$91)^2+(J60-$J$91)^2+(K60-$K$91)^2+(L60-$L$91)^2+(M60-$M$91)^2+(N60-$N$91)^2+(O60-$O$91)^2+(P60-$P$91)^2+(Q60-$Q$91)^2+(R60-$R$91)^2+(S60-$S$91)^2+(T60-$T$91)^2+(U60-$U$91)^2+(V60-$V$91)^2+(W60-$W$91)^2+(X60-$X$91)^2+(Y60-$Y$91)^2+(Z60-$Z$91)^2+(AA60-$AA$91)^2+(AB60-$AB$91)^2+(AC60-$AC$91)^2+(AD60-$AD$91)^2+(AE60-$AE$91)^2+(AF60-$AF$91)^2+(AG60-$AG$91)^2)</f>
        <v>1.6757634543095308</v>
      </c>
      <c r="GC60" s="36" t="s">
        <v>130</v>
      </c>
      <c r="GD60" s="37" t="s">
        <v>120</v>
      </c>
      <c r="GF60" s="44"/>
      <c r="GG60" s="36">
        <f>SQRT((A60-$A$92)^2+(B60-$B$92)^2+(C60-$C$92)^2+(D60-$D$92)^2+(E60-$E$92)^2+(F60-$F$92)^2+(G60-$G$92)^2+(H60-$H$92)^2+(I60-$I$92)^2+(J60-$J$92)^2+(K60-$K$92)^2+(L60-$L$92)^2+(M60-$M$92)^2+(N60-$N$92)^2+(O60-$O$92)^2+(P60-$P$92)^2+(Q60-$Q$92)^2+(R60-$R$92)^2+(S60-$S$92)^2+(T60-$T$92)^2+(U60-$U$92)^2+(V60-$V$92)^2+(W60-$W$92)^2+(X60-$X$92)^2+(Y60-$Y$92)^2+(Z60-$Z$92)^2+(AA60-$AA$92)^2+(AB60-$AB$92)^2+(AC60-$AC$92)^2+(AD60-$AD$92)^2+(AE60-$AE$92)^2+(AF60-$AF$92)^2+(AG60-$AG$92)^2)</f>
        <v>1.4366845298097604</v>
      </c>
      <c r="GH60" s="36" t="s">
        <v>148</v>
      </c>
      <c r="GI60" s="37" t="s">
        <v>120</v>
      </c>
      <c r="GK60" s="44"/>
      <c r="GL60" s="36">
        <f>SQRT((A60-$A$93)^2+(B60-$B$93)^2+(C60-$C$93)^2+(D60-$D$93)^2+(E60-$E$93)^2+(F60-$F$93)^2+(G60-$G$93)^2+(H60-$H$93)^2+(I60-$I$93)^2+(J60-$J$93)^2+(K60-$K$93)^2+(L60-$L$93)^2+(M60-$M$93)^2+(N60-$N$93)^2+(O60-$O$93)^2+(P60-$P$93)^2+(Q60-$Q$93)^2+(R60-$R$93)^2+(S60-$S$93)^2+(T60-$T$93)^2+(U60-$U$93)^2+(V60-$V$93)^2+(W60-$W$93)^2+(X60-$X$93)^2+(Y60-$Y$93)^2+(Z60-$Z$93)^2+(AA60-$AA$93)^2+(AB60-$AB$93)^2+(AC60-$AC$93)^2+(AD60-$AD$93)^2+(AE60-$AE$93)^2+(AF60-$AF$93)^2+(AG60-$AG$93)^2)</f>
        <v>1.6955097177865397</v>
      </c>
      <c r="GM60" s="36" t="s">
        <v>123</v>
      </c>
      <c r="GN60" s="37" t="s">
        <v>120</v>
      </c>
      <c r="GP60" s="44"/>
      <c r="GQ60" s="36">
        <f>SQRT((A60-$A$94)^2+(B60-$B$94)^2+(C60-$C$94)^2+(D60-$D$94)^2+(E60-$E$94)^2+(F60-$F$94)^2+(G60-$G$94)^2+(H60-$H$94)^2+(I60-$I$94)^2+(J60-$J$94)^2+(K60-$K$94)^2+(L60-$L$94)^2+(M60-$M$94)^2+(N60-$N$94)^2+(O60-$O$94)^2+(P60-$P$94)^2+(Q60-$Q$94)^2+(R60-$R$94)^2+(S60-$S$94)^2+(T60-$T$94)^2+(U60-$U$94)^2+(V60-$V$94)^2+(W60-$W$94)^2+(X60-$X$94)^2+(Y60-$Y$94)^2+(Z60-$Z$94)^2+(AA60-$AA$94)^2+(AB60-$AB$94)^2+(AC60-$AC$94)^2+(AD60-$AD$94)^2+(AE60-$AE$94)^2+(AF60-$AF$94)^2+(AG60-$AG$94)^2)</f>
        <v>1.2133516482134197</v>
      </c>
      <c r="GR60" s="36" t="s">
        <v>330</v>
      </c>
      <c r="GS60" s="37" t="s">
        <v>120</v>
      </c>
      <c r="GU60" s="44"/>
      <c r="GV60" s="36">
        <f>SQRT((A60-$A$95)^2+(B60-$B$95)^2+(C60-$C$95)^2+(D60-$D$95)^2+(E60-$E$95)^2+(F60-$F$95)^2+(G60-$G$95)^2+(H60-$H$95)^2+(I60-$I$95)^2+(J60-$J$95)^2+(K60-$K$95)^2+(L60-$L$95)^2+(M60-$M$95)^2+(N60-$N$95)^2+(O60-$O$95)^2+(P60-$P$95)^2+(Q60-$Q$95)^2+(R60-$R$95)^2+(S60-$S$95)^2+(T60-$T$95)^2+(U60-$U$95)^2+(V60-$V$95)^2+(W60-$W$95)^2+(X60-$X$95)^2+(Y60-$Y$95)^2+(Z60-$Z$95)^2+(AA60-$AA$95)^2+(AB60-$AB$95)^2+(AC60-$AC$95)^2+(AD60-$AD$95)^2+(AE60-$AE$95)^2+(AF60-$AF$95)^2+(AG60-$AG$95)^2)</f>
        <v>2.4274934021746266</v>
      </c>
      <c r="GW60" s="36" t="s">
        <v>332</v>
      </c>
      <c r="GX60" s="37" t="s">
        <v>120</v>
      </c>
      <c r="GZ60" s="44"/>
      <c r="HA60" s="36">
        <f>SQRT((A60-$A$96)^2+(B60-$B$96)^2+(C60-$C$96)^2+(D60-$D$96)^2+(E60-$E$96)^2+(F60-$F$96)^2+(G60-$G$96)^2+(H60-$H$96)^2+(I60-$I$96)^2+(J60-$J$96)^2+(K60-$K$96)^2+(L60-$L$96)^2+(M60-$M$96)^2+(N60-$N$96)^2+(O60-$O$96)^2+(P60-$P$96)^2+(Q60-$Q$96)^2+(R60-$R$96)^2+(S60-$S$96)^2+(T60-$T$96)^2+(U60-$U$96)^2+(V60-$V$96)^2+(W60-$W$96)^2+(X60-$X$96)^2+(Y60-$Y$96)^2+(Z60-$Z$96)^2+(AA60-$AA$96)^2+(AB60-$AB$96)^2+(AC60-$AC$96)^2+(AD60-$AD$96)^2+(AE60-$AE$96)^2+(AF60-$AF$96)^2+(AG60-$AG$96)^2)</f>
        <v>2.4584213082204718</v>
      </c>
      <c r="HB60" s="36" t="s">
        <v>332</v>
      </c>
      <c r="HC60" s="37" t="s">
        <v>120</v>
      </c>
      <c r="HE60" s="44"/>
      <c r="HF60" s="36">
        <f>SQRT((A60-$A$97)^2+(B60-$B$97)^2+(C60-$C$97)^2+(D60-$D$97)^2+(E60-$E$97)^2+(F60-$F$97)^2+(G60-$G$97)^2+(H60-$H$97)^2+(I60-$I$97)^2+(J60-$J$97)^2+(K60-$K$97)^2+(L60-$L$97)^2+(M60-$M$97)^2+(N60-$N$97)^2+(O60-$O$97)^2+(P60-$P$97)^2+(Q60-$Q$97)^2+(R60-$R$97)^2+(S60-$S$97)^2+(T60-$T$97)^2+(U60-$U$97)^2+(V60-$V$97)^2+(W60-$W$97)^2+(X60-$X$97)^2+(Y60-$Y$97)^2+(Z60-$Z$97)^2+(AA60-$AA$97)^2+(AB60-$AB$97)^2+(AC60-$AC$97)^2+(AD60-$AD$97)^2+(AE60-$AE$97)^2+(AF60-$AF$97)^2+(AG60-$AG$97)^2)</f>
        <v>1.0070500392265762</v>
      </c>
      <c r="HG60" s="36" t="s">
        <v>332</v>
      </c>
      <c r="HH60" s="37" t="s">
        <v>120</v>
      </c>
      <c r="HJ60" s="44"/>
      <c r="HK60" s="36">
        <f>SQRT((A60-$A$98)^2+(B60-$B$98)^2+(C60-$C$98)^2+(D60-$D$98)^2+(E60-$E$98)^2+(F60-$F$98)^2+(G60-$G$98)^2+(H60-$H$98)^2+(I60-$I$98)^2+(J60-$J$98)^2+(K60-$K$98)^2+(L60-$L$98)^2+(M60-$M$98)^2+(N60-$N$98)^2+(O60-$O$98)^2+(P60-$P$98)^2+(Q60-$Q$98)^2+(R60-$R$98)^2+(S60-$S$98)^2+(T60-$T$98)^2+(U60-$U$98)^2+(V60-$V$98)^2+(W60-$W$98)^2+(X60-$X$98)^2+(Y60-$Y$98)^2+(Z60-$Z$98)^2+(AA60-$AA$98)^2+(AB60-$AB$98)^2+(AC60-$AC$98)^2+(AD60-$AD$98)^2+(AE60-$AE$98)^2+(AF60-$AF$98)^2+(AG60-$AG$98)^2)</f>
        <v>1.0070500392265762</v>
      </c>
      <c r="HL60" s="36" t="s">
        <v>332</v>
      </c>
      <c r="HM60" s="37" t="s">
        <v>120</v>
      </c>
      <c r="HO60" s="44"/>
      <c r="HP60" s="36">
        <f>SQRT((A60-$A$99)^2+(B60-$B$99)^2+(C60-$C$99)^2+(D60-$D$99)^2+(E60-$E$99)^2+(F60-$F$99)^2+(G60-$G$99)^2+(H60-$H$99)^2+(I60-$I$99)^2+(J60-$J$99)^2+(K60-$K$99)^2+(L60-$L$99)^2+(M60-$M$99)^2+(N60-$N$99)^2+(O60-$O$99)^2+(P60-$P$99)^2+(Q60-$Q$99)^2+(R60-$R$99)^2+(S60-$S$99)^2+(T60-$T$99)^2+(U60-$U$99)^2+(V60-$V$99)^2+(W60-$W$99)^2+(X60-$X$99)^2+(Y60-$Y$99)^2+(Z60-$Z$99)^2+(AA60-$AA$99)^2+(AB60-$AB$99)^2+(AC60-$AC$99)^2+(AD60-$AD$99)^2+(AE60-$AE$99)^2+(AF60-$AF$99)^2+(AG60-$AG$99)^2)</f>
        <v>1.0070500392265762</v>
      </c>
      <c r="HQ60" s="36" t="s">
        <v>332</v>
      </c>
      <c r="HR60" s="37" t="s">
        <v>120</v>
      </c>
      <c r="HT60" s="44"/>
      <c r="HU60" s="36">
        <f>SQRT((A60-$A$100)^2+(B60-$B$100)^2+(C60-$C$100)^2+(D60-$D$100)^2+(E60-$E$100)^2+(F60-$F$100)^2+(G60-$G$100)^2+(H60-$H$100)^2+(I60-$I$100)^2+(J60-$J$100)^2+(K60-$K$100)^2+(L60-$L$100)^2+(M60-$M$100)^2+(N60-$N$100)^2+(O60-$O$100)^2+(P60-$P$100)^2+(Q60-$Q$100)^2+(R60-$R$100)^2+(S60-$S$100)^2+(T60-$T$100)^2+(U60-$U$100)^2+(V60-$V$100)^2+(W60-$W$100)^2+(X60-$X$100)^2+(Y60-$Y$100)^2+(Z60-$Z$100)^2+(AA60-$AA$100)^2+(AB60-$AB$100)^2+(AC60-$AC$100)^2+(AD60-$AD$100)^2+(AE60-$AE$100)^2+(AF60-$AF$100)^2+(AG60-$AG$100)^2)</f>
        <v>1.0070500392265762</v>
      </c>
      <c r="HV60" s="36" t="s">
        <v>332</v>
      </c>
      <c r="HW60" s="37" t="s">
        <v>120</v>
      </c>
      <c r="HY60" s="44"/>
      <c r="HZ60" s="36">
        <f>SQRT((A60-$A$101)^2+(B60-$B$101)^2+(C60-$C$101)^2+(D60-$D$101)^2+(E60-$E$101)^2+(F60-$F$101)^2+(G60-$G$101)^2+(H60-$H$101)^2+(I60-$I$101)^2+(J60-$J$101)^2+(K60-$K$101)^2+(L60-$L$101)^2+(M60-$M$101)^2+(N60-$N$101)^2+(O60-$O$101)^2+(P60-$P$101)^2+(Q60-$Q$101)^2+(R60-$R$101)^2+(S60-$S$101)^2+(T60-$T$101)^2+(U60-$U$101)^2+(V60-$V$101)^2+(W60-$W$101)^2+(X60-$X$101)^2+(Y60-$Y$101)^2+(Z60-$Z$101)^2+(AA60-$AA$101)^2+(AB60-$AB$101)^2+(AC60-$AC$101)^2+(AD60-$AD$101)^2+(AE60-$AE$101)^2+(AF60-$AF$101)^2+(AG60-$AG$101)^2)</f>
        <v>1.8545594852330867</v>
      </c>
      <c r="IA60" s="36" t="s">
        <v>332</v>
      </c>
      <c r="IB60" s="37" t="s">
        <v>120</v>
      </c>
    </row>
    <row r="61" spans="1:236" x14ac:dyDescent="0.35">
      <c r="A61" s="2">
        <v>0.5</v>
      </c>
      <c r="B61" s="2">
        <v>0</v>
      </c>
      <c r="C61" s="2">
        <v>0</v>
      </c>
      <c r="D61" s="2">
        <v>1</v>
      </c>
      <c r="E61" s="2">
        <v>0.33333333333333298</v>
      </c>
      <c r="F61" s="2">
        <v>1</v>
      </c>
      <c r="G61" s="2">
        <v>0.55555555555555503</v>
      </c>
      <c r="H61" s="2">
        <v>1</v>
      </c>
      <c r="I61" s="2">
        <v>0.5</v>
      </c>
      <c r="J61" s="2">
        <v>0</v>
      </c>
      <c r="K61" s="2">
        <v>0</v>
      </c>
      <c r="L61" s="2">
        <v>0.2</v>
      </c>
      <c r="M61" s="2">
        <v>0.5</v>
      </c>
      <c r="N61" s="2">
        <v>0</v>
      </c>
      <c r="O61" s="2">
        <v>0</v>
      </c>
      <c r="P61" s="2">
        <v>0.4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0.19565217391304299</v>
      </c>
      <c r="AH61" s="2" t="s">
        <v>120</v>
      </c>
      <c r="AI61" s="42"/>
      <c r="AJ61" s="42"/>
      <c r="AL61" s="44"/>
      <c r="AM61" s="36">
        <f>SQRT((A61-$A$62)^2+(B61-$B$62)^2+(C61-$C$62)^2+(D61-$D$62)^2+(E61-$E$62)^2+(F61-$F$62)^2+(G61-$G$62)^2+(H61-$H$62)^2+(I61-$I$62)^2+(J61-$J$62)^2+(K61-$K$62)^2+(L61-$L$62)^2+(M61-$M$62)^2+(N61-$N$62)^2+(O61-$O$62)^2+(P61-$P$62)^2+(Q61-$Q$62)^2+(R61-$R$62)^2+(S61-$S$62)^2+(T61-$T$62)^2+(U61-$U$62)^2+(V61-$V$62)^2+(W61-$W$62)^2+(X61-$X$62)^2+(Y61-$Y$62)^2+(Z61-$Z$62)^2+(AA61-$AA$62)^2+(AB61-$AB$62)^2+(AC61-$AC$62)^2+(AD61-$AD$62)^2+(AE61-$AE$62)^2+(AF61-$AF$62)^2+(AG61-$AG$62)^2)</f>
        <v>2.3943688093898818</v>
      </c>
      <c r="AN61" s="36" t="s">
        <v>130</v>
      </c>
      <c r="AO61" s="37" t="s">
        <v>120</v>
      </c>
      <c r="AQ61" s="44"/>
      <c r="AR61" s="36">
        <f>SQRT((A61-$A$63)^2+(B61-$B$63)^2+(C61-$C$63)^2+(D61-$D$63)^2+(E61-$E$63)^2+(F61-$F$63)^2+(G61-$G$63)^2+(H61-$H$63)^2+(I61-$I$63)^2+(J61-$J$63)^2+(K61-$K$63)^2+(L61-$L$63)^2+(M61-$M$63)^2+(N61-$N$63)^2+(O61-$O$63)^2+(P61-$P$63)^2+(Q61-$Q$63)^2+(R61-$R$63)^2+(S61-$S$63)^2+(T61-$T$63)^2+(U61-$U$63)^2+(V61-$V$63)^2+(W61-$W$63)^2+(X61-$X$63)^2+(Y61-$Y$63)^2+(Z61-$Z$63)^2+(AA61-$AA$63)^2+(AB61-$AB$63)^2+(AC61-$AC$63)^2+(AD61-$AD$63)^2+(AE61-$AE$63)^2+(AF61-$AF$63)^2+(AG61-$AG$63)^2)</f>
        <v>1.4476769105014347</v>
      </c>
      <c r="AS61" s="36" t="s">
        <v>147</v>
      </c>
      <c r="AT61" s="37" t="s">
        <v>120</v>
      </c>
      <c r="AV61" s="44"/>
      <c r="AW61" s="36">
        <f>SQRT((A61-$A$64)^2+(B61-$B$64)^2+(C61-$C$64)^2+(D61-$D$64)^2+(E61-$E$64)^2+(F61-$F$64)^2+(G61-$G$64)^2+(H61-$H$64)^2+(I61-$I$64)^2+(J61-$J$64)^2+(K61-$K$64)^2+(L61-$L$64)^2+(M61-$M$64)^2+(N61-$N$64)^2+(O61-$O$64)^2+(P61-$P$64)^2+(Q61-$Q$64)^2+(R61-$R$64)^2+(S61-$S$64)^2+(T61-$T$64)^2+(U61-$U$64)^2+(V61-$V$64)^2+(W61-$W$64)^2+(X61-$X$64)^2+(Y61-$Y$64)^2+(Z61-$Z$64)^2+(AA61-$AA$64)^2+(AB61-$AB$64)^2+(AC61-$AC$64)^2+(AD61-$AD$64)^2+(AE61-$AE$64)^2+(AF61-$AF$64)^2+(AG61-$AG$64)^2)</f>
        <v>1.4476769105014347</v>
      </c>
      <c r="AX61" s="36" t="s">
        <v>147</v>
      </c>
      <c r="AY61" s="37" t="s">
        <v>120</v>
      </c>
      <c r="BA61" s="44"/>
      <c r="BB61" s="36">
        <f>SQRT((A61-$A$65)^2+(B61-$B$65)^2+(C61-$C$65)^2+(D61-$D$65)^2+(E61-$E$65)^2+(F61-$F$65)^2+(G61-$G$65)^2+(H61-$H$65)^2+(I61-$I$65)^2+(J61-$J$65)^2+(K61-$K$65)^2+(L61-$L$65)^2+(M61-$M$65)^2+(N61-$N$65)^2+(O61-$O$65)^2+(P61-$P$65)^2+(Q61-$Q$65)^2+(R61-$R$65)^2+(S61-$S$65)^2+(T61-$T$65)^2+(U61-$U$65)^2+(V61-$V$65)^2+(W61-$W$65)^2+(X61-$X$65)^2+(Y61-$Y$65)^2+(Z61-$Z$65)^2+(AA61-$AA$65)^2+(AB61-$AB$65)^2+(AC61-$AC$65)^2+(AD61-$AD$65)^2+(AE61-$AE$65)^2+(AF61-$AF$65)^2+(AG61-$AG$65)^2)</f>
        <v>1.4476769105014347</v>
      </c>
      <c r="BC61" s="36" t="s">
        <v>147</v>
      </c>
      <c r="BD61" s="37" t="s">
        <v>120</v>
      </c>
      <c r="BF61" s="44"/>
      <c r="BG61" s="36">
        <f>SQRT((A61-$A$66)^2+(B61-$B$66)^2+(C61-$C$66)^2+(D61-$D$66)^2+(E61-$E$66)^2+(F61-$F$66)^2+(G61-$G$66)^2+(H61-$H$66)^2+(I61-$I$66)^2+(J61-$J$66)^2+(K61-$K$66)^2+(L61-$L$66)^2+(M61-$M$66)^2+(N61-$N$66)^2+(O61-$O$66)^2+(P61-$P$66)^2+(Q61-$Q$66)^2+(R61-$R$66)^2+(S61-$S$66)^2+(T61-$T$66)^2+(U61-$U$66)^2+(V61-$V$66)^2+(W61-$W$66)^2+(X61-$X$66)^2+(Y61-$Y$66)^2+(Z61-$Z$66)^2+(AA61-$AA$66)^2+(AB61-$AB$66)^2+(AC61-$AC$66)^2+(AD61-$AD$66)^2+(AE61-$AE$66)^2+(AF61-$AF$66)^2+(AG61-$AG$66)^2)</f>
        <v>1.4476769105014347</v>
      </c>
      <c r="BH61" s="36" t="s">
        <v>147</v>
      </c>
      <c r="BI61" s="37" t="s">
        <v>120</v>
      </c>
      <c r="BK61" s="44"/>
      <c r="BL61" s="36">
        <f>SQRT((A61-$A$67)^2+(B61-$B$67)^2+(C61-$C$67)^2+(D61-$D$67)^2+(E61-$E$67)^2+(F61-$F$67)^2+(G61-$G$67)^2+(H61-$H$67)^2+(I61-$I$67)^2+(J61-$J$67)^2+(K61-$K$67)^2+(L61-$L$67)^2+(M61-$M$67)^2+(N61-$N$67)^2+(O61-$O$67)^2+(P61-$P$67)^2+(Q61-$Q$67)^2+(R61-$R$67)^2+(S61-$S$67)^2+(T61-$T$67)^2+(U61-$U$67)^2+(V61-$V$67)^2+(W61-$W$67)^2+(X61-$X$67)^2+(Y61-$Y$67)^2+(Z61-$Z$67)^2+(AA61-$AA$67)^2+(AB61-$AB$67)^2+(AC61-$AC$67)^2+(AD61-$AD$67)^2+(AE61-$AE$67)^2+(AF61-$AF$67)^2+(AG61-$AG$67)^2)</f>
        <v>1.4476769105014347</v>
      </c>
      <c r="BM61" s="36" t="s">
        <v>147</v>
      </c>
      <c r="BN61" s="37" t="s">
        <v>120</v>
      </c>
      <c r="BP61" s="44"/>
      <c r="BQ61" s="36">
        <f>SQRT((A61-$A$68)^2+(B61-$B$68)^2+(C61-$C$68)^2+(D61-$D$68)^2+(E61-$E$68)^2+(F61-$F$68)^2+(G61-$G$68)^2+(H61-$H$68)^2+(I61-$I$68)^2+(J61-$J$68)^2+(K61-$K$68)^2+(L61-$L$68)^2+(M61-$M$68)^2+(N61-$N$68)^2+(O61-$O$68)^2+(P61-$P$68)^2+(Q61-$Q$68)^2+(R61-$R$68)^2+(S61-$S$68)^2+(T61-$T$68)^2+(U61-$U$68)^2+(V61-$V$68)^2+(W61-$W$68)^2+(X61-$X$68)^2+(Y61-$Y$68)^2+(Z61-$Z$68)^2+(AA61-$AA$68)^2+(AB61-$AB$68)^2+(AC61-$AC$68)^2+(AD61-$AD$68)^2+(AE61-$AE$68)^2+(AF61-$AF$68)^2+(AG61-$AG$68)^2)</f>
        <v>1.4476769105014347</v>
      </c>
      <c r="BR61" s="36" t="s">
        <v>147</v>
      </c>
      <c r="BS61" s="37" t="s">
        <v>120</v>
      </c>
      <c r="BU61" s="44"/>
      <c r="BV61" s="36">
        <f>SQRT((A61-$A$69)^2+(B61-$B$69)^2+(C61-$C$69)^2+(D61-$D$69)^2+(E61-$E$69)^2+(F61-$F$69)^2+(G61-$G$69)^2+(H61-$H$69)^2+(I61-$I$69)^2+(J61-$J$69)^2+(K61-$K$69)^2+(L61-$L$69)^2+(M61-$M$69)^2+(N61-$N$69)^2+(O61-$O$69)^2+(P61-$P$69)^2+(Q61-$Q$69)^2+(R61-$R$69)^2+(S61-$S$69)^2+(T61-$T$69)^2+(U61-$U$69)^2+(V61-$V$69)^2+(W61-$W$69)^2+(X61-$X$69)^2+(Y61-$Y$69)^2+(Z61-$Z$69)^2+(AA61-$AA$69)^2+(AB61-$AB$69)^2+(AC61-$AC$69)^2+(AD61-$AD$69)^2+(AE61-$AE$69)^2+(AF61-$AF$69)^2+(AG61-$AG$69)^2)</f>
        <v>1.9033567635932755</v>
      </c>
      <c r="BW61" s="36" t="s">
        <v>147</v>
      </c>
      <c r="BX61" s="37" t="s">
        <v>120</v>
      </c>
      <c r="BZ61" s="44"/>
      <c r="CA61" s="36">
        <f>SQRT((A61-$A$70)^2+(B61-$B$70)^2+(C61-$C$70)^2+(D61-$D$70)^2+(E61-$E$70)^2+(F61-$F$70)^2+(G61-$G$70)^2+(H61-$H$70)^2+(I61-$I$70)^2+(J61-$J$70)^2+(K61-$K$70)^2+(L61-$L$70)^2+(M61-$M$70)^2+(N61-$N$70)^2+(O61-$O$70)^2+(P61-$P$70)^2+(Q61-$Q$70)^2+(R61-$R$70)^2+(S61-$S$70)^2+(T61-$T$70)^2+(U61-$U$70)^2+(V61-$V$70)^2+(W61-$W$70)^2+(X61-$X$70)^2+(Y61-$Y$70)^2+(Z61-$Z$70)^2+(AA61-$AA$70)^2+(AB61-$AB$70)^2+(AC61-$AC$70)^2+(AD61-$AD$70)^2+(AE61-$AE$70)^2+(AF61-$AF$70)^2+(AG61-$AG$70)^2)</f>
        <v>1.3673397506655933</v>
      </c>
      <c r="CB61" s="36" t="s">
        <v>147</v>
      </c>
      <c r="CC61" s="37" t="s">
        <v>120</v>
      </c>
      <c r="CE61" s="44"/>
      <c r="CF61" s="36">
        <f>SQRT((A61-$A$71)^2+(B61-$B$71)^2+(C61-$C$71)^2+(D61-$D$71)^2+(E61-$E$71)^2+(F61-$F$71)^2+(G61-$G$71)^2+(H61-$H$71)^2+(I61-$I$71)^2+(J61-$J$71)^2+(K61-$K$71)^2+(L61-$L$71)^2+(M61-$M$71)^2+(N61-$N$71)^2+(O61-$O$71)^2+(P61-$P$71)^2+(Q61-$Q$71)^2+(R61-$R$71)^2+(S61-$S$71)^2+(T61-$T$71)^2+(U61-$U$71)^2+(V61-$V$71)^2+(W61-$W$71)^2+(X61-$X$71)^2+(Y61-$Y$71)^2+(Z61-$Z$71)^2+(AA61-$AA$71)^2+(AB61-$AB$71)^2+(AC61-$AC$71)^2+(AD61-$AD$71)^2+(AE61-$AE$71)^2+(AF61-$AF$71)^2+(AG61-$AG$71)^2)</f>
        <v>1.7404999902247829</v>
      </c>
      <c r="CG61" s="36" t="s">
        <v>147</v>
      </c>
      <c r="CH61" s="37" t="s">
        <v>120</v>
      </c>
      <c r="CJ61" s="44"/>
      <c r="CK61" s="36">
        <f>SQRT((A61-$A$72)^2+(B61-$B$72)^2+(C61-$C$72)^2+(D61-$D$72)^2+(E61-$E$72)^2+(F61-$F$72)^2+(G61-$G$72)^2+(H61-$H$72)^2+(I61-$I$72)^2+(J61-$J$72)^2+(K61-$K$72)^2+(L61-$L$72)^2+(M61-$M$72)^2+(N61-$N$72)^2+(O61-$O$72)^2+(P61-$P$72)^2+(Q61-$Q$72)^2+(R61-$R$72)^2+(S61-$S$72)^2+(T61-$T$72)^2+(U61-$U$72)^2+(V61-$V$72)^2+(W61-$W$72)^2+(X61-$X$72)^2+(Y61-$Y$72)^2+(Z61-$Z$72)^2+(AA61-$AA$72)^2+(AB61-$AB$72)^2+(AC61-$AC$72)^2+(AD61-$AD$72)^2+(AE61-$AE$72)^2+(AF61-$AF$72)^2+(AG61-$AG$72)^2)</f>
        <v>1.9418683172788729</v>
      </c>
      <c r="CL61" s="36" t="s">
        <v>130</v>
      </c>
      <c r="CM61" s="37" t="s">
        <v>120</v>
      </c>
      <c r="CO61" s="44"/>
      <c r="CP61" s="36">
        <f>SQRT((A61-$A$73)^2+(B61-$B$73)^2+(C61-$C$73)^2+(D61-$D$73)^2+(E61-$E$73)^2+(F61-$F$73)^2+(G61-$G$73)^2+(H61-$H$73)^2+(I61-$I$73)^2+(J61-$J$73)^2+(K61-$K$73)^2+(L61-$L$73)^2+(M61-$M$73)^2+(N61-$N$73)^2+(O61-$O$73)^2+(P61-$P$73)^2+(Q61-$Q$73)^2+(R61-$R$73)^2+(S61-$S$73)^2+(T61-$T$73)^2+(U61-$U$73)^2+(V61-$V$73)^2+(W61-$W$73)^2+(X61-$X$73)^2+(Y61-$Y$73)^2+(Z61-$Z$73)^2+(AA61-$AA$73)^2+(AB61-$AB$73)^2+(AC61-$AC$73)^2+(AD61-$AD$73)^2+(AE61-$AE$73)^2+(AF61-$AF$73)^2+(AG61-$AG$73)^2)</f>
        <v>1.6467819783650812</v>
      </c>
      <c r="CQ61" s="36" t="s">
        <v>147</v>
      </c>
      <c r="CR61" s="37" t="s">
        <v>120</v>
      </c>
      <c r="CT61" s="44"/>
      <c r="CU61" s="36">
        <f>SQRT((A61-$A$74)^2+(B61-$B$74)^2+(C61-$C$74)^2+(D61-$D$74)^2+(E61-$E$74)^2+(F61-$F$74)^2+(G61-$G$74)^2+(H61-$H$74)^2+(I61-$I$74)^2+(J61-$J$74)^2+(K61-$K$74)^2+(L61-$L$74)^2+(M61-$M$74)^2+(N61-$N$74)^2+(O61-$O$74)^2+(P61-$P$74)^2+(Q61-$Q$74)^2+(R61-$R$74)^2+(S61-$S$74)^2+(T61-$T$74)^2+(U61-$U$74)^2+(V61-$V$74)^2+(W61-$W$74)^2+(X61-$X$74)^2+(Y61-$Y$74)^2+(Z61-$Z$74)^2+(AA61-$AA$74)^2+(AB61-$AB$74)^2+(AC61-$AC$74)^2+(AD61-$AD$74)^2+(AE61-$AE$74)^2+(AF61-$AF$74)^2+(AG61-$AG$74)^2)</f>
        <v>1.9297961308102554</v>
      </c>
      <c r="CV61" s="36" t="s">
        <v>130</v>
      </c>
      <c r="CW61" s="37" t="s">
        <v>120</v>
      </c>
      <c r="CY61" s="44"/>
      <c r="CZ61" s="36">
        <f>SQRT((A61-$A$75)^2+(B61-$B$75)^2+(C61-$C$75)^2+(D61-$D$75)^2+(E61-$E$75)^2+(F61-$F$75)^2+(G61-$G$75)^2+(H61-$H$75)^2+(I61-$I$75)^2+(J61-$J$75)^2+(K61-$K$75)^2+(L61-$L$75)^2+(M61-$M$75)^2+(N61-$N$75)^2+(O61-$O$75)^2+(P61-$P$75)^2+(Q61-$Q$75)^2+(R61-$R$75)^2+(S61-$S$75)^2+(T61-$T$75)^2+(U61-$U$75)^2+(V61-$V$75)^2+(W61-$W$75)^2+(X61-$X$75)^2+(Y61-$Y$75)^2+(Z61-$Z$75)^2+(AA61-$AA$75)^2+(AB61-$AB$75)^2+(AC61-$AC$75)^2+(AD61-$AD$75)^2+(AE61-$AE$75)^2+(AF61-$AF$75)^2+(AG61-$AG$75)^2)</f>
        <v>1.9481335215024005</v>
      </c>
      <c r="DA61" s="36" t="s">
        <v>130</v>
      </c>
      <c r="DB61" s="37" t="s">
        <v>120</v>
      </c>
      <c r="DD61" s="44"/>
      <c r="DE61" s="36">
        <f>SQRT((A61-$A$76)^2+(B61-$B$76)^2+(C61-$C$76)^2+(D61-$D$76)^2+(E61-$E$76)^2+(F61-$F$76)^2+(G61-$G$76)^2+(H61-$H$76)^2+(I61-$I$76)^2+(J61-$J$76)^2+(K61-$K$76)^2+(L61-$L$76)^2+(M61-$M$76)^2+(N61-$N$76)^2+(O61-$O$76)^2+(P61-$P$76)^2+(Q61-$Q$76)^2+(R61-$R$76)^2+(S61-$S$76)^2+(T61-$T$76)^2+(U61-$U$76)^2+(V61-$V$76)^2+(W61-$W$76)^2+(X61-$X$76)^2+(Y61-$Y$76)^2+(Z61-$Z$76)^2+(AA61-$AA$76)^2+(AB61-$AB$76)^2+(AC61-$AC$76)^2+(AD61-$AD$76)^2+(AE61-$AE$76)^2+(AF61-$AF$76)^2+(AG61-$AG$76)^2)</f>
        <v>1.9725059627684018</v>
      </c>
      <c r="DF61" s="36" t="s">
        <v>130</v>
      </c>
      <c r="DG61" s="37" t="s">
        <v>120</v>
      </c>
      <c r="DI61" s="44"/>
      <c r="DJ61" s="36">
        <f>SQRT((A61-$A$77)^2+(B61-$B$77)^2+(C61-$C$77)^2+(D61-$D$77)^2+(E61-$E$77)^2+(F61-$F$77)^2+(G61-$G$77)^2+(H61-$H$77)^2+(I61-$I$77)^2+(J61-$J$77)^2+(K61-$K$77)^2+(L61-$L$77)^2+(M61-$M$77)^2+(N61-$N$77)^2+(O61-$O$77)^2+(P61-$P$77)^2+(Q61-$Q$77)^2+(R61-$R$77)^2+(S61-$S$77)^2+(T61-$T$77)^2+(U61-$U$77)^2+(V61-$V$77)^2+(W61-$W$77)^2+(X61-$X$77)^2+(Y61-$Y$77)^2+(Z61-$Z$77)^2+(AA61-$AA$77)^2+(AB61-$AB$77)^2+(AC61-$AC$77)^2+(AD61-$AD$77)^2+(AE61-$AE$77)^2+(AF61-$AF$77)^2+(AG61-$AG$77)^2)</f>
        <v>2.6000965357807626</v>
      </c>
      <c r="DK61" s="36" t="s">
        <v>130</v>
      </c>
      <c r="DL61" s="37" t="s">
        <v>120</v>
      </c>
      <c r="DN61" s="44"/>
      <c r="DO61" s="36">
        <f>SQRT((A61-$A$78)^2+(B61-$B$78)^2+(C61-$C$78)^2+(D61-$D$78)^2+(E61-$E$78)^2+(F61-$F$78)^2+(G61-$G$78)^2+(H61-$H$78)^2+(I61-$I$78)^2+(J61-$J$78)^2+(K61-$K$78)^2+(L61-$L$78)^2+(M61-$M$78)^2+(N61-$N$78)^2+(O61-$O$78)^2+(P61-$P$78)^2+(Q61-$Q$78)^2+(R61-$R$78)^2+(S61-$S$78)^2+(T61-$T$78)^2+(U61-$U$78)^2+(V61-$V$78)^2+(W61-$W$78)^2+(X61-$X$78)^2+(Y61-$Y$78)^2+(Z61-$Z$78)^2+(AA61-$AA$78)^2+(AB61-$AB$78)^2+(AC61-$AC$78)^2+(AD61-$AD$78)^2+(AE61-$AE$78)^2+(AF61-$AF$78)^2+(AG61-$AG$78)^2)</f>
        <v>1.2583057392117918</v>
      </c>
      <c r="DP61" s="36" t="s">
        <v>147</v>
      </c>
      <c r="DQ61" s="37" t="s">
        <v>120</v>
      </c>
      <c r="DS61" s="44"/>
      <c r="DT61" s="36">
        <f>SQRT((A61-$A$79)^2+(B61-$B$79)^2+(C61-$C$79)^2+(D61-$D$79)^2+(E61-$E$79)^2+(F61-$F$79)^2+(G61-$G$79)^2+(H61-$H$79)^2+(I61-$I$79)^2+(J61-$J$79)^2+(K61-$K$79)^2+(L61-$L$79)^2+(M61-$M$79)^2+(N61-$N$79)^2+(O61-$O$79)^2+(P61-$P$79)^2+(Q61-$Q$79)^2+(R61-$R$79)^2+(S61-$S$79)^2+(T61-$T$79)^2+(U61-$U$79)^2+(V61-$V$79)^2+(W61-$W$79)^2+(X61-$X$79)^2+(Y61-$Y$79)^2+(Z61-$Z$79)^2+(AA61-$AA$79)^2+(AB61-$AB$79)^2+(AC61-$AC$79)^2+(AD61-$AD$79)^2+(AE61-$AE$79)^2+(AF61-$AF$79)^2+(AG61-$AG$79)^2)</f>
        <v>1.7489445005370858</v>
      </c>
      <c r="DU61" s="36" t="s">
        <v>130</v>
      </c>
      <c r="DV61" s="37" t="s">
        <v>120</v>
      </c>
      <c r="DX61" s="44"/>
      <c r="DY61" s="36">
        <f>SQRT((A61-$A$80)^2+(B61-$B$80)^2+(C61-$C$80)^2+(D61-$D$80)^2+(E61-$E$80)^2+(F61-$F$80)^2+(G61-$G$80)^2+(H61-$H$80)^2+(I61-$I$80)^2+(J61-$J$80)^2+(K61-$K$80)^2+(L61-$L$80)^2+(M61-$M$80)^2+(N61-$N$80)^2+(O61-$O$80)^2+(P61-$P$80)^2+(Q61-$Q$80)^2+(R61-$R$80)^2+(S61-$S$80)^2+(T61-$T$80)^2+(U61-$U$80)^2+(V61-$V$80)^2+(W61-$W$80)^2+(X61-$X$80)^2+(Y61-$Y$80)^2+(Z61-$Z$80)^2+(AA61-$AA$80)^2+(AB61-$AB$80)^2+(AC61-$AC$80)^2+(AD61-$AD$80)^2+(AE61-$AE$80)^2+(AF61-$AF$80)^2+(AG61-$AG$80)^2)</f>
        <v>2.1798832272092032</v>
      </c>
      <c r="DZ61" s="36" t="s">
        <v>147</v>
      </c>
      <c r="EA61" s="37" t="s">
        <v>120</v>
      </c>
      <c r="EC61" s="44"/>
      <c r="ED61" s="36">
        <f>SQRT((A61-$A$81)^2+(B61-$B$81)^2+(C61-$C$81)^2+(D61-$D$81)^2+(E61-$E$81)^2+(F61-$F$81)^2+(G61-$G$81)^2+(H61-$H$81)^2+(I61-$I$81)^2+(J61-$J$81)^2+(K61-$K$81)^2+(L61-$L$81)^2+(M61-$M$81)^2+(N61-$N$81)^2+(O61-$O$81)^2+(P61-$P$81)^2+(Q61-$Q$81)^2+(R61-$R$81)^2+(S61-$S$81)^2+(T61-$T$81)^2+(U61-$U$81)^2+(V61-$V$81)^2+(W61-$W$81)^2+(X61-$X$81)^2+(Y61-$Y$81)^2+(Z61-$Z$81)^2+(AA61-$AA$81)^2+(AB61-$AB$81)^2+(AC61-$AC$81)^2+(AD61-$AD$81)^2+(AE61-$AE$81)^2+(AF61-$AF$81)^2+(AG61-$AG$81)^2)</f>
        <v>2.130323865790575</v>
      </c>
      <c r="EE61" s="36" t="s">
        <v>147</v>
      </c>
      <c r="EF61" s="37" t="s">
        <v>120</v>
      </c>
      <c r="EH61" s="44"/>
      <c r="EI61" s="36">
        <f>SQRT((A61-$A$82)^2+(B61-$B$82)^2+(C61-$C$82)^2+(D61-$D$82)^2+(E61-$E$82)^2+(F61-$F$82)^2+(G61-$G$82)^2+(H61-$H$82)^2+(I61-$I$82)^2+(J61-$J$82)^2+(K61-$K$82)^2+(L61-$L$82)^2+(M61-$M$82)^2+(N61-$N$82)^2+(O61-$O$82)^2+(P61-$P$82)^2+(Q61-$Q$82)^2+(R61-$R$82)^2+(S61-$S$82)^2+(T61-$T$82)^2+(U61-$U$82)^2+(V61-$V$82)^2+(W61-$W$82)^2+(X61-$X$82)^2+(Y61-$Y$82)^2+(Z61-$Z$82)^2+(AA61-$AA$82)^2+(AB61-$AB$82)^2+(AC61-$AC$82)^2+(AD61-$AD$82)^2+(AE61-$AE$82)^2+(AF61-$AF$82)^2+(AG61-$AG$82)^2)</f>
        <v>1.6583123951777001</v>
      </c>
      <c r="EJ61" s="36" t="s">
        <v>147</v>
      </c>
      <c r="EK61" s="37" t="s">
        <v>120</v>
      </c>
      <c r="EM61" s="44"/>
      <c r="EN61" s="36">
        <f>SQRT((A61-$A$83)^2+(B61-$B$83)^2+(C61-$C$83)^2+(D61-$D$83)^2+(E61-$E$83)^2+(F61-$F$83)^2+(G61-$G$83)^2+(H61-$H$83)^2+(I61-$I$83)^2+(J61-$J$83)^2+(K61-$K$83)^2+(L61-$L$83)^2+(M61-$M$83)^2+(N61-$N$83)^2+(O61-$O$83)^2+(P61-$P$83)^2+(Q61-$Q$83)^2+(R61-$R$83)^2+(S61-$S$83)^2+(T61-$T$83)^2+(U61-$U$83)^2+(V61-$V$83)^2+(W61-$W$83)^2+(X61-$X$83)^2+(Y61-$Y$83)^2+(Z61-$Z$83)^2+(AA61-$AA$83)^2+(AB61-$AB$83)^2+(AC61-$AC$83)^2+(AD61-$AD$83)^2+(AE61-$AE$83)^2+(AF61-$AF$83)^2+(AG61-$AG$83)^2)</f>
        <v>1.2297244497131146</v>
      </c>
      <c r="EO61" s="36" t="s">
        <v>147</v>
      </c>
      <c r="EP61" s="37" t="s">
        <v>120</v>
      </c>
      <c r="ER61" s="44"/>
      <c r="ES61" s="36">
        <f>SQRT((A61-$A$84)^2+(B61-$B$84)^2+(C61-$C$84)^2+(D61-$D$84)^2+(E61-$E$84)^2+(F61-$F$84)^2+(G61-$G$84)^2+(H61-$H$84)^2+(I61-$I$84)^2+(J61-$J$84)^2+(K61-$K$84)^2+(L61-$L$84)^2+(M61-$M$84)^2+(N61-$N$84)^2+(O61-$O$84)^2+(P61-$P$84)^2+(Q61-$Q$84)^2+(R61-$R$84)^2+(S61-$S$84)^2+(T61-$T$84)^2+(U61-$U$84)^2+(V61-$V$84)^2+(W61-$W$84)^2+(X61-$X$84)^2+(Y61-$Y$84)^2+(Z61-$Z$84)^2+(AA61-$AA$84)^2+(AB61-$AB$84)^2+(AC61-$AC$84)^2+(AD61-$AD$84)^2+(AE61-$AE$84)^2+(AF61-$AF$84)^2+(AG61-$AG$84)^2)</f>
        <v>1.4476769105014347</v>
      </c>
      <c r="ET61" s="36" t="s">
        <v>147</v>
      </c>
      <c r="EU61" s="37" t="s">
        <v>120</v>
      </c>
      <c r="EW61" s="44"/>
      <c r="EX61" s="36">
        <f>SQRT((A61-$A$85)^2+(B61-$B$85)^2+(C61-$C$85)^2+(D61-$D$85)^2+(E61-$E$85)^2+(F61-$F$85)^2+(G61-$G$85)^2+(H61-$H$85)^2+(I61-$I$85)^2+(J61-$J$85)^2+(K61-$K$85)^2+(L61-$L$85)^2+(M61-$M$85)^2+(N61-$N$85)^2+(O61-$O$85)^2+(P61-$P$85)^2+(Q61-$Q$85)^2+(R61-$R$85)^2+(S61-$S$85)^2+(T61-$T$85)^2+(U61-$U$85)^2+(V61-$V$85)^2+(W61-$W$85)^2+(X61-$X$85)^2+(Y61-$Y$85)^2+(Z61-$Z$85)^2+(AA61-$AA$85)^2+(AB61-$AB$85)^2+(AC61-$AC$85)^2+(AD61-$AD$85)^2+(AE61-$AE$85)^2+(AF61-$AF$85)^2+(AG61-$AG$85)^2)</f>
        <v>1.4476769105014347</v>
      </c>
      <c r="EY61" s="36" t="s">
        <v>147</v>
      </c>
      <c r="EZ61" s="37" t="s">
        <v>120</v>
      </c>
      <c r="FB61" s="44"/>
      <c r="FC61" s="36">
        <f>SQRT((A61-$A$86)^2+(B61-$B$86)^2+(C61-$C$86)^2+(D61-$D$86)^2+(E61-$E$86)^2+(F61-$F$86)^2+(G61-$G$86)^2+(H61-$H$86)^2+(I61-$I$86)^2+(J61-$J$86)^2+(K61-$K$86)^2+(L61-$L$86)^2+(M61-$M$86)^2+(N61-$N$86)^2+(O61-$O$86)^2+(P61-$P$86)^2+(Q61-$Q$86)^2+(R61-$R$86)^2+(S61-$S$86)^2+(T61-$T$86)^2+(U61-$U$86)^2+(V61-$V$86)^2+(W61-$W$86)^2+(X61-$X$86)^2+(Y61-$Y$86)^2+(Z61-$Z$86)^2+(AA61-$AA$86)^2+(AB61-$AB$86)^2+(AC61-$AC$86)^2+(AD61-$AD$86)^2+(AE61-$AE$86)^2+(AF61-$AF$86)^2+(AG61-$AG$86)^2)</f>
        <v>1.4476769105014347</v>
      </c>
      <c r="FD61" s="36" t="s">
        <v>147</v>
      </c>
      <c r="FE61" s="37" t="s">
        <v>120</v>
      </c>
      <c r="FG61" s="44"/>
      <c r="FH61" s="36">
        <f>SQRT((A61-$A$87)^2+(B61-$B$87)^2+(C61-$C$87)^2+(D61-$D$87)^2+(E61-$E$87)^2+(F61-$F$87)^2+(G61-$G$87)^2+(H61-$H$87)^2+(I61-$I$87)^2+(J61-$J$87)^2+(K61-$K$87)^2+(L61-$L$87)^2+(M61-$M$87)^2+(N61-$N$87)^2+(O61-$O$87)^2+(P61-$P$87)^2+(Q61-$Q$87)^2+(R61-$R$87)^2+(S61-$S$87)^2+(T61-$T$87)^2+(U61-$U$87)^2+(V61-$V$87)^2+(W61-$W$87)^2+(X61-$X$87)^2+(Y61-$Y$87)^2+(Z61-$Z$87)^2+(AA61-$AA$87)^2+(AB61-$AB$87)^2+(AC61-$AC$87)^2+(AD61-$AD$87)^2+(AE61-$AE$87)^2+(AF61-$AF$87)^2+(AG61-$AG$87)^2)</f>
        <v>1.4566711654549942</v>
      </c>
      <c r="FI61" s="36" t="s">
        <v>147</v>
      </c>
      <c r="FJ61" s="37" t="s">
        <v>120</v>
      </c>
      <c r="FL61" s="44"/>
      <c r="FM61" s="36">
        <f>SQRT((A61-$A$88)^2+(B61-$B$88)^2+(C61-$C$88)^2+(D61-$D$88)^2+(E61-$E$88)^2+(F61-$F$88)^2+(G61-$G$88)^2+(H61-$H$88)^2+(I61-$I$88)^2+(J61-$J$88)^2+(K61-$K$88)^2+(L61-$L$88)^2+(M61-$M$88)^2+(N61-$N$88)^2+(O61-$O$88)^2+(P61-$P$88)^2+(Q61-$Q$88)^2+(R61-$R$88)^2+(S61-$S$88)^2+(T61-$T$88)^2+(U61-$U$88)^2+(V61-$V$88)^2+(W61-$W$88)^2+(X61-$X$88)^2+(Y61-$Y$88)^2+(Z61-$Z$88)^2+(AA61-$AA$88)^2+(AB61-$AB$88)^2+(AC61-$AC$88)^2+(AD61-$AD$88)^2+(AE61-$AE$88)^2+(AF61-$AF$88)^2+(AG61-$AG$88)^2)</f>
        <v>1.465399526248055</v>
      </c>
      <c r="FN61" s="36" t="s">
        <v>147</v>
      </c>
      <c r="FO61" s="37" t="s">
        <v>120</v>
      </c>
      <c r="FQ61" s="44"/>
      <c r="FR61" s="36">
        <f>SQRT((A61-$A$89)^2+(B61-$B$89)^2+(C61-$C$89)^2+(D61-$D$89)^2+(E61-$E$89)^2+(F61-$F$89)^2+(G61-$G$89)^2+(H61-$H$89)^2+(I61-$I$89)^2+(J61-$J$89)^2+(K61-$K$89)^2+(L61-$L$89)^2+(M61-$M$89)^2+(N61-$N$89)^2+(O61-$O$89)^2+(P61-$P$89)^2+(Q61-$Q$89)^2+(R61-$R$89)^2+(S61-$S$89)^2+(T61-$T$89)^2+(U61-$U$89)^2+(V61-$V$89)^2+(W61-$W$89)^2+(X61-$X$89)^2+(Y61-$Y$89)^2+(Z61-$Z$89)^2+(AA61-$AA$89)^2+(AB61-$AB$89)^2+(AC61-$AC$89)^2+(AD61-$AD$89)^2+(AE61-$AE$89)^2+(AF61-$AF$89)^2+(AG61-$AG$89)^2)</f>
        <v>2.1898000405519551</v>
      </c>
      <c r="FS61" s="36" t="s">
        <v>147</v>
      </c>
      <c r="FT61" s="37" t="s">
        <v>120</v>
      </c>
      <c r="FV61" s="44"/>
      <c r="FW61" s="36">
        <f>SQRT((A61-$A$90)^2+(B61-$B$90)^2+(C61-$C$90)^2+(D61-$D$90)^2+(E61-$E$90)^2+(F61-$F$90)^2+(G61-$G$90)^2+(H61-$H$90)^2+(I61-$I$90)^2+(J61-$J$90)^2+(K61-$K$90)^2+(L61-$L$90)^2+(M61-$M$90)^2+(N61-$N$90)^2+(O61-$O$90)^2+(P61-$P$90)^2+(Q61-$Q$90)^2+(R61-$R$90)^2+(S61-$S$90)^2+(T61-$T$90)^2+(U61-$U$90)^2+(V61-$V$90)^2+(W61-$W$90)^2+(X61-$X$90)^2+(Y61-$Y$90)^2+(Z61-$Z$90)^2+(AA61-$AA$90)^2+(AB61-$AB$90)^2+(AC61-$AC$90)^2+(AD61-$AD$90)^2+(AE61-$AE$90)^2+(AF61-$AF$90)^2+(AG61-$AG$90)^2)</f>
        <v>2.1585818088112423</v>
      </c>
      <c r="FX61" s="36" t="s">
        <v>147</v>
      </c>
      <c r="FY61" s="37" t="s">
        <v>120</v>
      </c>
      <c r="GA61" s="44"/>
      <c r="GB61" s="36">
        <f>SQRT((A61-$A$91)^2+(B61-$B$91)^2+(C61-$C$91)^2+(D61-$D$91)^2+(E61-$E$91)^2+(F61-$F$91)^2+(G61-$G$91)^2+(H61-$H$91)^2+(I61-$I$91)^2+(J61-$J$91)^2+(K61-$K$91)^2+(L61-$L$91)^2+(M61-$M$91)^2+(N61-$N$91)^2+(O61-$O$91)^2+(P61-$P$91)^2+(Q61-$Q$91)^2+(R61-$R$91)^2+(S61-$S$91)^2+(T61-$T$91)^2+(U61-$U$91)^2+(V61-$V$91)^2+(W61-$W$91)^2+(X61-$X$91)^2+(Y61-$Y$91)^2+(Z61-$Z$91)^2+(AA61-$AA$91)^2+(AB61-$AB$91)^2+(AC61-$AC$91)^2+(AD61-$AD$91)^2+(AE61-$AE$91)^2+(AF61-$AF$91)^2+(AG61-$AG$91)^2)</f>
        <v>2.2552075143048791</v>
      </c>
      <c r="GC61" s="36" t="s">
        <v>138</v>
      </c>
      <c r="GD61" s="37" t="s">
        <v>120</v>
      </c>
      <c r="GF61" s="44"/>
      <c r="GG61" s="36">
        <f>SQRT((A61-$A$92)^2+(B61-$B$92)^2+(C61-$C$92)^2+(D61-$D$92)^2+(E61-$E$92)^2+(F61-$F$92)^2+(G61-$G$92)^2+(H61-$H$92)^2+(I61-$I$92)^2+(J61-$J$92)^2+(K61-$K$92)^2+(L61-$L$92)^2+(M61-$M$92)^2+(N61-$N$92)^2+(O61-$O$92)^2+(P61-$P$92)^2+(Q61-$Q$92)^2+(R61-$R$92)^2+(S61-$S$92)^2+(T61-$T$92)^2+(U61-$U$92)^2+(V61-$V$92)^2+(W61-$W$92)^2+(X61-$X$92)^2+(Y61-$Y$92)^2+(Z61-$Z$92)^2+(AA61-$AA$92)^2+(AB61-$AB$92)^2+(AC61-$AC$92)^2+(AD61-$AD$92)^2+(AE61-$AE$92)^2+(AF61-$AF$92)^2+(AG61-$AG$92)^2)</f>
        <v>0.91751850988002914</v>
      </c>
      <c r="GH61" s="36" t="s">
        <v>147</v>
      </c>
      <c r="GI61" s="37" t="s">
        <v>120</v>
      </c>
      <c r="GK61" s="44"/>
      <c r="GL61" s="36">
        <f>SQRT((A61-$A$93)^2+(B61-$B$93)^2+(C61-$C$93)^2+(D61-$D$93)^2+(E61-$E$93)^2+(F61-$F$93)^2+(G61-$G$93)^2+(H61-$H$93)^2+(I61-$I$93)^2+(J61-$J$93)^2+(K61-$K$93)^2+(L61-$L$93)^2+(M61-$M$93)^2+(N61-$N$93)^2+(O61-$O$93)^2+(P61-$P$93)^2+(Q61-$Q$93)^2+(R61-$R$93)^2+(S61-$S$93)^2+(T61-$T$93)^2+(U61-$U$93)^2+(V61-$V$93)^2+(W61-$W$93)^2+(X61-$X$93)^2+(Y61-$Y$93)^2+(Z61-$Z$93)^2+(AA61-$AA$93)^2+(AB61-$AB$93)^2+(AC61-$AC$93)^2+(AD61-$AD$93)^2+(AE61-$AE$93)^2+(AF61-$AF$93)^2+(AG61-$AG$93)^2)</f>
        <v>2.1952671016423118</v>
      </c>
      <c r="GM61" s="36" t="s">
        <v>138</v>
      </c>
      <c r="GN61" s="37" t="s">
        <v>120</v>
      </c>
      <c r="GP61" s="44"/>
      <c r="GQ61" s="36">
        <f>SQRT((A61-$A$94)^2+(B61-$B$94)^2+(C61-$C$94)^2+(D61-$D$94)^2+(E61-$E$94)^2+(F61-$F$94)^2+(G61-$G$94)^2+(H61-$H$94)^2+(I61-$I$94)^2+(J61-$J$94)^2+(K61-$K$94)^2+(L61-$L$94)^2+(M61-$M$94)^2+(N61-$N$94)^2+(O61-$O$94)^2+(P61-$P$94)^2+(Q61-$Q$94)^2+(R61-$R$94)^2+(S61-$S$94)^2+(T61-$T$94)^2+(U61-$U$94)^2+(V61-$V$94)^2+(W61-$W$94)^2+(X61-$X$94)^2+(Y61-$Y$94)^2+(Z61-$Z$94)^2+(AA61-$AA$94)^2+(AB61-$AB$94)^2+(AC61-$AC$94)^2+(AD61-$AD$94)^2+(AE61-$AE$94)^2+(AF61-$AF$94)^2+(AG61-$AG$94)^2)</f>
        <v>1.404358295529393</v>
      </c>
      <c r="GR61" s="36" t="s">
        <v>147</v>
      </c>
      <c r="GS61" s="37" t="s">
        <v>120</v>
      </c>
      <c r="GU61" s="44"/>
      <c r="GV61" s="36">
        <f>SQRT((A61-$A$95)^2+(B61-$B$95)^2+(C61-$C$95)^2+(D61-$D$95)^2+(E61-$E$95)^2+(F61-$F$95)^2+(G61-$G$95)^2+(H61-$H$95)^2+(I61-$I$95)^2+(J61-$J$95)^2+(K61-$K$95)^2+(L61-$L$95)^2+(M61-$M$95)^2+(N61-$N$95)^2+(O61-$O$95)^2+(P61-$P$95)^2+(Q61-$Q$95)^2+(R61-$R$95)^2+(S61-$S$95)^2+(T61-$T$95)^2+(U61-$U$95)^2+(V61-$V$95)^2+(W61-$W$95)^2+(X61-$X$95)^2+(Y61-$Y$95)^2+(Z61-$Z$95)^2+(AA61-$AA$95)^2+(AB61-$AB$95)^2+(AC61-$AC$95)^2+(AD61-$AD$95)^2+(AE61-$AE$95)^2+(AF61-$AF$95)^2+(AG61-$AG$95)^2)</f>
        <v>2.7994943582807572</v>
      </c>
      <c r="GW61" s="36" t="s">
        <v>130</v>
      </c>
      <c r="GX61" s="37" t="s">
        <v>120</v>
      </c>
      <c r="GZ61" s="44"/>
      <c r="HA61" s="36">
        <f>SQRT((A61-$A$96)^2+(B61-$B$96)^2+(C61-$C$96)^2+(D61-$D$96)^2+(E61-$E$96)^2+(F61-$F$96)^2+(G61-$G$96)^2+(H61-$H$96)^2+(I61-$I$96)^2+(J61-$J$96)^2+(K61-$K$96)^2+(L61-$L$96)^2+(M61-$M$96)^2+(N61-$N$96)^2+(O61-$O$96)^2+(P61-$P$96)^2+(Q61-$Q$96)^2+(R61-$R$96)^2+(S61-$S$96)^2+(T61-$T$96)^2+(U61-$U$96)^2+(V61-$V$96)^2+(W61-$W$96)^2+(X61-$X$96)^2+(Y61-$Y$96)^2+(Z61-$Z$96)^2+(AA61-$AA$96)^2+(AB61-$AB$96)^2+(AC61-$AC$96)^2+(AD61-$AD$96)^2+(AE61-$AE$96)^2+(AF61-$AF$96)^2+(AG61-$AG$96)^2)</f>
        <v>2.7566992734551246</v>
      </c>
      <c r="HB61" s="36" t="s">
        <v>130</v>
      </c>
      <c r="HC61" s="37" t="s">
        <v>120</v>
      </c>
      <c r="HE61" s="44"/>
      <c r="HF61" s="36">
        <f>SQRT((A61-$A$97)^2+(B61-$B$97)^2+(C61-$C$97)^2+(D61-$D$97)^2+(E61-$E$97)^2+(F61-$F$97)^2+(G61-$G$97)^2+(H61-$H$97)^2+(I61-$I$97)^2+(J61-$J$97)^2+(K61-$K$97)^2+(L61-$L$97)^2+(M61-$M$97)^2+(N61-$N$97)^2+(O61-$O$97)^2+(P61-$P$97)^2+(Q61-$Q$97)^2+(R61-$R$97)^2+(S61-$S$97)^2+(T61-$T$97)^2+(U61-$U$97)^2+(V61-$V$97)^2+(W61-$W$97)^2+(X61-$X$97)^2+(Y61-$Y$97)^2+(Z61-$Z$97)^2+(AA61-$AA$97)^2+(AB61-$AB$97)^2+(AC61-$AC$97)^2+(AD61-$AD$97)^2+(AE61-$AE$97)^2+(AF61-$AF$97)^2+(AG61-$AG$97)^2)</f>
        <v>1.4476769105014347</v>
      </c>
      <c r="HG61" s="36" t="s">
        <v>147</v>
      </c>
      <c r="HH61" s="37" t="s">
        <v>120</v>
      </c>
      <c r="HJ61" s="44"/>
      <c r="HK61" s="36">
        <f>SQRT((A61-$A$98)^2+(B61-$B$98)^2+(C61-$C$98)^2+(D61-$D$98)^2+(E61-$E$98)^2+(F61-$F$98)^2+(G61-$G$98)^2+(H61-$H$98)^2+(I61-$I$98)^2+(J61-$J$98)^2+(K61-$K$98)^2+(L61-$L$98)^2+(M61-$M$98)^2+(N61-$N$98)^2+(O61-$O$98)^2+(P61-$P$98)^2+(Q61-$Q$98)^2+(R61-$R$98)^2+(S61-$S$98)^2+(T61-$T$98)^2+(U61-$U$98)^2+(V61-$V$98)^2+(W61-$W$98)^2+(X61-$X$98)^2+(Y61-$Y$98)^2+(Z61-$Z$98)^2+(AA61-$AA$98)^2+(AB61-$AB$98)^2+(AC61-$AC$98)^2+(AD61-$AD$98)^2+(AE61-$AE$98)^2+(AF61-$AF$98)^2+(AG61-$AG$98)^2)</f>
        <v>1.4476769105014347</v>
      </c>
      <c r="HL61" s="36" t="s">
        <v>147</v>
      </c>
      <c r="HM61" s="37" t="s">
        <v>120</v>
      </c>
      <c r="HO61" s="44"/>
      <c r="HP61" s="36">
        <f>SQRT((A61-$A$99)^2+(B61-$B$99)^2+(C61-$C$99)^2+(D61-$D$99)^2+(E61-$E$99)^2+(F61-$F$99)^2+(G61-$G$99)^2+(H61-$H$99)^2+(I61-$I$99)^2+(J61-$J$99)^2+(K61-$K$99)^2+(L61-$L$99)^2+(M61-$M$99)^2+(N61-$N$99)^2+(O61-$O$99)^2+(P61-$P$99)^2+(Q61-$Q$99)^2+(R61-$R$99)^2+(S61-$S$99)^2+(T61-$T$99)^2+(U61-$U$99)^2+(V61-$V$99)^2+(W61-$W$99)^2+(X61-$X$99)^2+(Y61-$Y$99)^2+(Z61-$Z$99)^2+(AA61-$AA$99)^2+(AB61-$AB$99)^2+(AC61-$AC$99)^2+(AD61-$AD$99)^2+(AE61-$AE$99)^2+(AF61-$AF$99)^2+(AG61-$AG$99)^2)</f>
        <v>1.4476769105014347</v>
      </c>
      <c r="HQ61" s="36" t="s">
        <v>147</v>
      </c>
      <c r="HR61" s="37" t="s">
        <v>120</v>
      </c>
      <c r="HT61" s="44"/>
      <c r="HU61" s="36">
        <f>SQRT((A61-$A$100)^2+(B61-$B$100)^2+(C61-$C$100)^2+(D61-$D$100)^2+(E61-$E$100)^2+(F61-$F$100)^2+(G61-$G$100)^2+(H61-$H$100)^2+(I61-$I$100)^2+(J61-$J$100)^2+(K61-$K$100)^2+(L61-$L$100)^2+(M61-$M$100)^2+(N61-$N$100)^2+(O61-$O$100)^2+(P61-$P$100)^2+(Q61-$Q$100)^2+(R61-$R$100)^2+(S61-$S$100)^2+(T61-$T$100)^2+(U61-$U$100)^2+(V61-$V$100)^2+(W61-$W$100)^2+(X61-$X$100)^2+(Y61-$Y$100)^2+(Z61-$Z$100)^2+(AA61-$AA$100)^2+(AB61-$AB$100)^2+(AC61-$AC$100)^2+(AD61-$AD$100)^2+(AE61-$AE$100)^2+(AF61-$AF$100)^2+(AG61-$AG$100)^2)</f>
        <v>1.4476769105014347</v>
      </c>
      <c r="HV61" s="36" t="s">
        <v>147</v>
      </c>
      <c r="HW61" s="37" t="s">
        <v>120</v>
      </c>
      <c r="HY61" s="44"/>
      <c r="HZ61" s="36">
        <f>SQRT((A61-$A$101)^2+(B61-$B$101)^2+(C61-$C$101)^2+(D61-$D$101)^2+(E61-$E$101)^2+(F61-$F$101)^2+(G61-$G$101)^2+(H61-$H$101)^2+(I61-$I$101)^2+(J61-$J$101)^2+(K61-$K$101)^2+(L61-$L$101)^2+(M61-$M$101)^2+(N61-$N$101)^2+(O61-$O$101)^2+(P61-$P$101)^2+(Q61-$Q$101)^2+(R61-$R$101)^2+(S61-$S$101)^2+(T61-$T$101)^2+(U61-$U$101)^2+(V61-$V$101)^2+(W61-$W$101)^2+(X61-$X$101)^2+(Y61-$Y$101)^2+(Z61-$Z$101)^2+(AA61-$AA$101)^2+(AB61-$AB$101)^2+(AC61-$AC$101)^2+(AD61-$AD$101)^2+(AE61-$AE$101)^2+(AF61-$AF$101)^2+(AG61-$AG$101)^2)</f>
        <v>2.1331905670565678</v>
      </c>
      <c r="IA61" s="36" t="s">
        <v>147</v>
      </c>
      <c r="IB61" s="37" t="s">
        <v>120</v>
      </c>
    </row>
    <row r="62" spans="1:236" x14ac:dyDescent="0.35">
      <c r="A62" s="38">
        <v>0.5</v>
      </c>
      <c r="B62" s="38">
        <v>0.25</v>
      </c>
      <c r="C62" s="38">
        <v>0.33333333333333298</v>
      </c>
      <c r="D62" s="38">
        <v>0</v>
      </c>
      <c r="E62" s="38">
        <v>0</v>
      </c>
      <c r="F62" s="38">
        <v>1</v>
      </c>
      <c r="G62" s="38">
        <v>0.55555555555555503</v>
      </c>
      <c r="H62" s="38">
        <v>1</v>
      </c>
      <c r="I62" s="38">
        <v>0.5</v>
      </c>
      <c r="J62" s="38">
        <v>0</v>
      </c>
      <c r="K62" s="38">
        <v>0</v>
      </c>
      <c r="L62" s="38">
        <v>0.2</v>
      </c>
      <c r="M62" s="38">
        <v>1</v>
      </c>
      <c r="N62" s="38">
        <v>0</v>
      </c>
      <c r="O62" s="38">
        <v>0</v>
      </c>
      <c r="P62" s="38">
        <v>0</v>
      </c>
      <c r="Q62" s="38">
        <v>1</v>
      </c>
      <c r="R62" s="38">
        <v>0</v>
      </c>
      <c r="S62" s="38">
        <v>1</v>
      </c>
      <c r="T62" s="38">
        <v>1</v>
      </c>
      <c r="U62" s="38">
        <v>1</v>
      </c>
      <c r="V62" s="38">
        <v>0</v>
      </c>
      <c r="W62" s="38">
        <v>1</v>
      </c>
      <c r="X62" s="38">
        <v>1</v>
      </c>
      <c r="Y62" s="38">
        <v>0</v>
      </c>
      <c r="Z62" s="38">
        <v>0</v>
      </c>
      <c r="AA62" s="38">
        <v>1</v>
      </c>
      <c r="AB62" s="38">
        <v>1</v>
      </c>
      <c r="AC62" s="38">
        <v>1</v>
      </c>
      <c r="AD62" s="38">
        <v>1</v>
      </c>
      <c r="AE62" s="38">
        <v>1</v>
      </c>
      <c r="AF62" s="38">
        <v>1</v>
      </c>
      <c r="AG62" s="38">
        <v>0</v>
      </c>
      <c r="AH62" s="38" t="s">
        <v>195</v>
      </c>
      <c r="AI62" s="39" t="s">
        <v>120</v>
      </c>
      <c r="AJ62" s="40" t="s">
        <v>120</v>
      </c>
    </row>
    <row r="63" spans="1:236" x14ac:dyDescent="0.35">
      <c r="A63" s="38">
        <v>0</v>
      </c>
      <c r="B63" s="38">
        <v>0.23765432098765399</v>
      </c>
      <c r="C63" s="38">
        <v>0.23899371069182301</v>
      </c>
      <c r="D63" s="38">
        <v>0.53703703703703698</v>
      </c>
      <c r="E63" s="38">
        <v>0.12757201646090499</v>
      </c>
      <c r="F63" s="38">
        <v>0.94805194805194803</v>
      </c>
      <c r="G63" s="38">
        <v>0.55692729766803795</v>
      </c>
      <c r="H63" s="38">
        <v>0.936708860759493</v>
      </c>
      <c r="I63" s="38">
        <v>0.407407407407407</v>
      </c>
      <c r="J63" s="38">
        <v>0.19478737997256501</v>
      </c>
      <c r="K63" s="38">
        <v>5.5555555555555497E-2</v>
      </c>
      <c r="L63" s="38">
        <v>0.158904109589041</v>
      </c>
      <c r="M63" s="38">
        <v>0.95061728395061695</v>
      </c>
      <c r="N63" s="38">
        <v>6.1728395061728301E-2</v>
      </c>
      <c r="O63" s="38">
        <v>0.189873417721519</v>
      </c>
      <c r="P63" s="38">
        <v>0.32345679012345602</v>
      </c>
      <c r="Q63" s="38">
        <v>0.98765432098765404</v>
      </c>
      <c r="R63" s="38">
        <v>0.76543209876543195</v>
      </c>
      <c r="S63" s="38">
        <v>0.97530864197530798</v>
      </c>
      <c r="T63" s="38">
        <v>1</v>
      </c>
      <c r="U63" s="38">
        <v>1</v>
      </c>
      <c r="V63" s="38">
        <v>0.11111111111111099</v>
      </c>
      <c r="W63" s="38">
        <v>1</v>
      </c>
      <c r="X63" s="38">
        <v>0.97530864197530798</v>
      </c>
      <c r="Y63" s="38">
        <v>0.90123456790123402</v>
      </c>
      <c r="Z63" s="38">
        <v>0.44444444444444398</v>
      </c>
      <c r="AA63" s="38">
        <v>1</v>
      </c>
      <c r="AB63" s="38">
        <v>1</v>
      </c>
      <c r="AC63" s="38">
        <v>1</v>
      </c>
      <c r="AD63" s="38">
        <v>1</v>
      </c>
      <c r="AE63" s="38">
        <v>0.938271604938271</v>
      </c>
      <c r="AF63" s="38">
        <v>1</v>
      </c>
      <c r="AG63" s="38">
        <v>0.19565217391304299</v>
      </c>
      <c r="AH63" s="38" t="s">
        <v>195</v>
      </c>
      <c r="AI63" s="39" t="s">
        <v>120</v>
      </c>
      <c r="AJ63" s="40" t="s">
        <v>120</v>
      </c>
      <c r="AL63" s="29" t="s">
        <v>213</v>
      </c>
      <c r="AM63" s="29"/>
      <c r="AN63" s="29"/>
      <c r="AO63" s="29"/>
      <c r="AP63" s="29"/>
    </row>
    <row r="64" spans="1:236" x14ac:dyDescent="0.35">
      <c r="A64" s="38">
        <v>0</v>
      </c>
      <c r="B64" s="38">
        <v>0.23765432098765399</v>
      </c>
      <c r="C64" s="38">
        <v>0.23899371069182301</v>
      </c>
      <c r="D64" s="38">
        <v>0.53703703703703698</v>
      </c>
      <c r="E64" s="38">
        <v>0.12757201646090499</v>
      </c>
      <c r="F64" s="38">
        <v>0.94805194805194803</v>
      </c>
      <c r="G64" s="38">
        <v>0.55692729766803795</v>
      </c>
      <c r="H64" s="38">
        <v>0.936708860759493</v>
      </c>
      <c r="I64" s="38">
        <v>0.407407407407407</v>
      </c>
      <c r="J64" s="38">
        <v>0.19478737997256501</v>
      </c>
      <c r="K64" s="38">
        <v>5.5555555555555497E-2</v>
      </c>
      <c r="L64" s="38">
        <v>0.158904109589041</v>
      </c>
      <c r="M64" s="38">
        <v>0.95061728395061695</v>
      </c>
      <c r="N64" s="38">
        <v>6.1728395061728301E-2</v>
      </c>
      <c r="O64" s="38">
        <v>0.189873417721519</v>
      </c>
      <c r="P64" s="38">
        <v>0.32345679012345602</v>
      </c>
      <c r="Q64" s="38">
        <v>0.98765432098765404</v>
      </c>
      <c r="R64" s="38">
        <v>0.76543209876543195</v>
      </c>
      <c r="S64" s="38">
        <v>0.97530864197530798</v>
      </c>
      <c r="T64" s="38">
        <v>1</v>
      </c>
      <c r="U64" s="38">
        <v>1</v>
      </c>
      <c r="V64" s="38">
        <v>0.11111111111111099</v>
      </c>
      <c r="W64" s="38">
        <v>1</v>
      </c>
      <c r="X64" s="38">
        <v>0.97530864197530798</v>
      </c>
      <c r="Y64" s="38">
        <v>0.90123456790123402</v>
      </c>
      <c r="Z64" s="38">
        <v>0.44444444444444398</v>
      </c>
      <c r="AA64" s="38">
        <v>1</v>
      </c>
      <c r="AB64" s="38">
        <v>1</v>
      </c>
      <c r="AC64" s="38">
        <v>1</v>
      </c>
      <c r="AD64" s="38">
        <v>1</v>
      </c>
      <c r="AE64" s="38">
        <v>0.938271604938271</v>
      </c>
      <c r="AF64" s="38">
        <v>1</v>
      </c>
      <c r="AG64" s="38">
        <v>0.19565217391304299</v>
      </c>
      <c r="AH64" s="38" t="s">
        <v>195</v>
      </c>
      <c r="AI64" s="39" t="s">
        <v>120</v>
      </c>
      <c r="AJ64" s="40" t="s">
        <v>120</v>
      </c>
      <c r="AL64" s="30"/>
      <c r="AM64" s="30"/>
      <c r="AN64" s="30"/>
      <c r="AO64" s="30"/>
      <c r="AP64" s="30"/>
    </row>
    <row r="65" spans="1:42" x14ac:dyDescent="0.35">
      <c r="A65" s="38">
        <v>0</v>
      </c>
      <c r="B65" s="38">
        <v>0.23765432098765399</v>
      </c>
      <c r="C65" s="38">
        <v>0.23899371069182301</v>
      </c>
      <c r="D65" s="38">
        <v>0.53703703703703698</v>
      </c>
      <c r="E65" s="38">
        <v>0.12757201646090499</v>
      </c>
      <c r="F65" s="38">
        <v>0.94805194805194803</v>
      </c>
      <c r="G65" s="38">
        <v>0.55692729766803795</v>
      </c>
      <c r="H65" s="38">
        <v>0.936708860759493</v>
      </c>
      <c r="I65" s="38">
        <v>0.407407407407407</v>
      </c>
      <c r="J65" s="38">
        <v>0.19478737997256501</v>
      </c>
      <c r="K65" s="38">
        <v>5.5555555555555497E-2</v>
      </c>
      <c r="L65" s="38">
        <v>0.158904109589041</v>
      </c>
      <c r="M65" s="38">
        <v>0.95061728395061695</v>
      </c>
      <c r="N65" s="38">
        <v>6.1728395061728301E-2</v>
      </c>
      <c r="O65" s="38">
        <v>0.189873417721519</v>
      </c>
      <c r="P65" s="38">
        <v>0.32345679012345602</v>
      </c>
      <c r="Q65" s="38">
        <v>0.98765432098765404</v>
      </c>
      <c r="R65" s="38">
        <v>0.76543209876543195</v>
      </c>
      <c r="S65" s="38">
        <v>0.97530864197530798</v>
      </c>
      <c r="T65" s="38">
        <v>1</v>
      </c>
      <c r="U65" s="38">
        <v>1</v>
      </c>
      <c r="V65" s="38">
        <v>0.11111111111111099</v>
      </c>
      <c r="W65" s="38">
        <v>1</v>
      </c>
      <c r="X65" s="38">
        <v>0.97530864197530798</v>
      </c>
      <c r="Y65" s="38">
        <v>0.90123456790123402</v>
      </c>
      <c r="Z65" s="38">
        <v>0.44444444444444398</v>
      </c>
      <c r="AA65" s="38">
        <v>1</v>
      </c>
      <c r="AB65" s="38">
        <v>1</v>
      </c>
      <c r="AC65" s="38">
        <v>1</v>
      </c>
      <c r="AD65" s="38">
        <v>1</v>
      </c>
      <c r="AE65" s="38">
        <v>0.938271604938271</v>
      </c>
      <c r="AF65" s="38">
        <v>1</v>
      </c>
      <c r="AG65" s="38">
        <v>0.19565217391304299</v>
      </c>
      <c r="AH65" s="38" t="s">
        <v>195</v>
      </c>
      <c r="AI65" s="39" t="s">
        <v>120</v>
      </c>
      <c r="AJ65" s="40" t="s">
        <v>120</v>
      </c>
      <c r="AL65" s="31" t="s">
        <v>232</v>
      </c>
      <c r="AM65" s="31"/>
      <c r="AN65" s="31" t="s">
        <v>215</v>
      </c>
      <c r="AO65" s="31"/>
      <c r="AP65" s="32" t="s">
        <v>216</v>
      </c>
    </row>
    <row r="66" spans="1:42" x14ac:dyDescent="0.35">
      <c r="A66" s="38">
        <v>0</v>
      </c>
      <c r="B66" s="38">
        <v>0.23765432098765399</v>
      </c>
      <c r="C66" s="38">
        <v>0.23899371069182301</v>
      </c>
      <c r="D66" s="38">
        <v>0.53703703703703698</v>
      </c>
      <c r="E66" s="38">
        <v>0.12757201646090499</v>
      </c>
      <c r="F66" s="38">
        <v>0.94805194805194803</v>
      </c>
      <c r="G66" s="38">
        <v>0.55692729766803795</v>
      </c>
      <c r="H66" s="38">
        <v>0.936708860759493</v>
      </c>
      <c r="I66" s="38">
        <v>0.407407407407407</v>
      </c>
      <c r="J66" s="38">
        <v>0.19478737997256501</v>
      </c>
      <c r="K66" s="38">
        <v>5.5555555555555497E-2</v>
      </c>
      <c r="L66" s="38">
        <v>0.158904109589041</v>
      </c>
      <c r="M66" s="38">
        <v>0.95061728395061695</v>
      </c>
      <c r="N66" s="38">
        <v>6.1728395061728301E-2</v>
      </c>
      <c r="O66" s="38">
        <v>0.189873417721519</v>
      </c>
      <c r="P66" s="38">
        <v>0.32345679012345602</v>
      </c>
      <c r="Q66" s="38">
        <v>0.98765432098765404</v>
      </c>
      <c r="R66" s="38">
        <v>0.76543209876543195</v>
      </c>
      <c r="S66" s="38">
        <v>0.97530864197530798</v>
      </c>
      <c r="T66" s="38">
        <v>1</v>
      </c>
      <c r="U66" s="38">
        <v>1</v>
      </c>
      <c r="V66" s="38">
        <v>0.11111111111111099</v>
      </c>
      <c r="W66" s="38">
        <v>1</v>
      </c>
      <c r="X66" s="38">
        <v>0.97530864197530798</v>
      </c>
      <c r="Y66" s="38">
        <v>0.90123456790123402</v>
      </c>
      <c r="Z66" s="38">
        <v>0.44444444444444398</v>
      </c>
      <c r="AA66" s="38">
        <v>1</v>
      </c>
      <c r="AB66" s="38">
        <v>1</v>
      </c>
      <c r="AC66" s="38">
        <v>1</v>
      </c>
      <c r="AD66" s="38">
        <v>1</v>
      </c>
      <c r="AE66" s="38">
        <v>0.938271604938271</v>
      </c>
      <c r="AF66" s="38">
        <v>1</v>
      </c>
      <c r="AG66" s="38">
        <v>0.19565217391304299</v>
      </c>
      <c r="AH66" s="38" t="s">
        <v>195</v>
      </c>
      <c r="AI66" s="39" t="s">
        <v>120</v>
      </c>
      <c r="AJ66" s="40" t="s">
        <v>120</v>
      </c>
      <c r="AL66" s="31"/>
      <c r="AM66" s="31"/>
      <c r="AN66" s="33" t="s">
        <v>121</v>
      </c>
      <c r="AO66" s="33" t="s">
        <v>120</v>
      </c>
      <c r="AP66" s="32"/>
    </row>
    <row r="67" spans="1:42" x14ac:dyDescent="0.35">
      <c r="A67" s="38">
        <v>0</v>
      </c>
      <c r="B67" s="38">
        <v>0.23765432098765399</v>
      </c>
      <c r="C67" s="38">
        <v>0.23899371069182301</v>
      </c>
      <c r="D67" s="38">
        <v>0.53703703703703698</v>
      </c>
      <c r="E67" s="38">
        <v>0.12757201646090499</v>
      </c>
      <c r="F67" s="38">
        <v>0.94805194805194803</v>
      </c>
      <c r="G67" s="38">
        <v>0.55692729766803795</v>
      </c>
      <c r="H67" s="38">
        <v>0.936708860759493</v>
      </c>
      <c r="I67" s="38">
        <v>0.407407407407407</v>
      </c>
      <c r="J67" s="38">
        <v>0.19478737997256501</v>
      </c>
      <c r="K67" s="38">
        <v>5.5555555555555497E-2</v>
      </c>
      <c r="L67" s="38">
        <v>0.158904109589041</v>
      </c>
      <c r="M67" s="38">
        <v>0.95061728395061695</v>
      </c>
      <c r="N67" s="38">
        <v>6.1728395061728301E-2</v>
      </c>
      <c r="O67" s="38">
        <v>0.189873417721519</v>
      </c>
      <c r="P67" s="38">
        <v>0.32345679012345602</v>
      </c>
      <c r="Q67" s="38">
        <v>0.98765432098765404</v>
      </c>
      <c r="R67" s="38">
        <v>0.76543209876543195</v>
      </c>
      <c r="S67" s="38">
        <v>0.97530864197530798</v>
      </c>
      <c r="T67" s="38">
        <v>1</v>
      </c>
      <c r="U67" s="38">
        <v>1</v>
      </c>
      <c r="V67" s="38">
        <v>0.11111111111111099</v>
      </c>
      <c r="W67" s="38">
        <v>1</v>
      </c>
      <c r="X67" s="38">
        <v>0.97530864197530798</v>
      </c>
      <c r="Y67" s="38">
        <v>0.90123456790123402</v>
      </c>
      <c r="Z67" s="38">
        <v>0.44444444444444398</v>
      </c>
      <c r="AA67" s="38">
        <v>1</v>
      </c>
      <c r="AB67" s="38">
        <v>1</v>
      </c>
      <c r="AC67" s="38">
        <v>1</v>
      </c>
      <c r="AD67" s="38">
        <v>1</v>
      </c>
      <c r="AE67" s="38">
        <v>0.938271604938271</v>
      </c>
      <c r="AF67" s="38">
        <v>1</v>
      </c>
      <c r="AG67" s="38">
        <v>0.19565217391304299</v>
      </c>
      <c r="AH67" s="38" t="s">
        <v>195</v>
      </c>
      <c r="AI67" s="39" t="s">
        <v>120</v>
      </c>
      <c r="AJ67" s="40" t="s">
        <v>120</v>
      </c>
      <c r="AL67" s="31" t="s">
        <v>217</v>
      </c>
      <c r="AM67" s="33" t="s">
        <v>121</v>
      </c>
      <c r="AN67" s="33">
        <v>0</v>
      </c>
      <c r="AO67" s="33">
        <v>1</v>
      </c>
      <c r="AP67" s="34">
        <f>AN67/(AN67+AO67)</f>
        <v>0</v>
      </c>
    </row>
    <row r="68" spans="1:42" x14ac:dyDescent="0.35">
      <c r="A68" s="38">
        <v>0</v>
      </c>
      <c r="B68" s="38">
        <v>0.23765432098765399</v>
      </c>
      <c r="C68" s="38">
        <v>0.23899371069182301</v>
      </c>
      <c r="D68" s="38">
        <v>0.53703703703703698</v>
      </c>
      <c r="E68" s="38">
        <v>0.12757201646090499</v>
      </c>
      <c r="F68" s="38">
        <v>0.94805194805194803</v>
      </c>
      <c r="G68" s="38">
        <v>0.55692729766803795</v>
      </c>
      <c r="H68" s="38">
        <v>0.936708860759493</v>
      </c>
      <c r="I68" s="38">
        <v>0.407407407407407</v>
      </c>
      <c r="J68" s="38">
        <v>0.19478737997256501</v>
      </c>
      <c r="K68" s="38">
        <v>5.5555555555555497E-2</v>
      </c>
      <c r="L68" s="38">
        <v>0.158904109589041</v>
      </c>
      <c r="M68" s="38">
        <v>0.95061728395061695</v>
      </c>
      <c r="N68" s="38">
        <v>6.1728395061728301E-2</v>
      </c>
      <c r="O68" s="38">
        <v>0.189873417721519</v>
      </c>
      <c r="P68" s="38">
        <v>0.32345679012345602</v>
      </c>
      <c r="Q68" s="38">
        <v>0.98765432098765404</v>
      </c>
      <c r="R68" s="38">
        <v>0.76543209876543195</v>
      </c>
      <c r="S68" s="38">
        <v>0.97530864197530798</v>
      </c>
      <c r="T68" s="38">
        <v>1</v>
      </c>
      <c r="U68" s="38">
        <v>1</v>
      </c>
      <c r="V68" s="38">
        <v>0.11111111111111099</v>
      </c>
      <c r="W68" s="38">
        <v>1</v>
      </c>
      <c r="X68" s="38">
        <v>0.97530864197530798</v>
      </c>
      <c r="Y68" s="38">
        <v>0.90123456790123402</v>
      </c>
      <c r="Z68" s="38">
        <v>0.44444444444444398</v>
      </c>
      <c r="AA68" s="38">
        <v>1</v>
      </c>
      <c r="AB68" s="38">
        <v>1</v>
      </c>
      <c r="AC68" s="38">
        <v>1</v>
      </c>
      <c r="AD68" s="38">
        <v>1</v>
      </c>
      <c r="AE68" s="38">
        <v>0.938271604938271</v>
      </c>
      <c r="AF68" s="38">
        <v>1</v>
      </c>
      <c r="AG68" s="38">
        <v>0.19565217391304299</v>
      </c>
      <c r="AH68" s="38" t="s">
        <v>195</v>
      </c>
      <c r="AI68" s="39" t="s">
        <v>120</v>
      </c>
      <c r="AJ68" s="40" t="s">
        <v>120</v>
      </c>
      <c r="AL68" s="31"/>
      <c r="AM68" s="33" t="s">
        <v>120</v>
      </c>
      <c r="AN68" s="33">
        <v>0</v>
      </c>
      <c r="AO68" s="33">
        <v>39</v>
      </c>
      <c r="AP68" s="34">
        <f>AO68/(AN68+AO68)</f>
        <v>1</v>
      </c>
    </row>
    <row r="69" spans="1:42" x14ac:dyDescent="0.35">
      <c r="A69" s="38">
        <v>0</v>
      </c>
      <c r="B69" s="38">
        <v>0.25</v>
      </c>
      <c r="C69" s="38">
        <v>0.23899371069182301</v>
      </c>
      <c r="D69" s="38">
        <v>0.66666666666666596</v>
      </c>
      <c r="E69" s="38">
        <v>1</v>
      </c>
      <c r="F69" s="38">
        <v>0.94805194805194803</v>
      </c>
      <c r="G69" s="38">
        <v>1</v>
      </c>
      <c r="H69" s="38">
        <v>0.936708860759493</v>
      </c>
      <c r="I69" s="38">
        <v>0.5</v>
      </c>
      <c r="J69" s="38">
        <v>0.55555555555555503</v>
      </c>
      <c r="K69" s="38">
        <v>0.5</v>
      </c>
      <c r="L69" s="38">
        <v>0.158904109589041</v>
      </c>
      <c r="M69" s="38">
        <v>1</v>
      </c>
      <c r="N69" s="38">
        <v>1</v>
      </c>
      <c r="O69" s="38">
        <v>0.189873417721519</v>
      </c>
      <c r="P69" s="38">
        <v>0.4</v>
      </c>
      <c r="Q69" s="38">
        <v>1</v>
      </c>
      <c r="R69" s="38">
        <v>1</v>
      </c>
      <c r="S69" s="38">
        <v>1</v>
      </c>
      <c r="T69" s="38">
        <v>1</v>
      </c>
      <c r="U69" s="38">
        <v>1</v>
      </c>
      <c r="V69" s="38">
        <v>1</v>
      </c>
      <c r="W69" s="38">
        <v>1</v>
      </c>
      <c r="X69" s="38">
        <v>1</v>
      </c>
      <c r="Y69" s="38">
        <v>1</v>
      </c>
      <c r="Z69" s="38">
        <v>1</v>
      </c>
      <c r="AA69" s="38">
        <v>1</v>
      </c>
      <c r="AB69" s="38">
        <v>1</v>
      </c>
      <c r="AC69" s="38">
        <v>1</v>
      </c>
      <c r="AD69" s="38">
        <v>1</v>
      </c>
      <c r="AE69" s="38">
        <v>1</v>
      </c>
      <c r="AF69" s="38">
        <v>1</v>
      </c>
      <c r="AG69" s="38">
        <v>1</v>
      </c>
      <c r="AH69" s="38" t="s">
        <v>195</v>
      </c>
      <c r="AI69" s="39" t="s">
        <v>120</v>
      </c>
      <c r="AJ69" s="40" t="s">
        <v>120</v>
      </c>
      <c r="AL69" s="31" t="s">
        <v>218</v>
      </c>
      <c r="AM69" s="31"/>
      <c r="AN69" s="34">
        <v>0</v>
      </c>
      <c r="AO69" s="34">
        <f>AO68/(AO67+AO68)</f>
        <v>0.97499999999999998</v>
      </c>
      <c r="AP69" s="34"/>
    </row>
    <row r="70" spans="1:42" x14ac:dyDescent="0.35">
      <c r="A70" s="38">
        <v>0.66666666666666596</v>
      </c>
      <c r="B70" s="38">
        <v>0.25</v>
      </c>
      <c r="C70" s="38">
        <v>0.23899371069182301</v>
      </c>
      <c r="D70" s="38">
        <v>0.66666666666666596</v>
      </c>
      <c r="E70" s="38">
        <v>0</v>
      </c>
      <c r="F70" s="38">
        <v>1</v>
      </c>
      <c r="G70" s="38">
        <v>0.55555555555555503</v>
      </c>
      <c r="H70" s="38">
        <v>1</v>
      </c>
      <c r="I70" s="38">
        <v>0</v>
      </c>
      <c r="J70" s="38">
        <v>0</v>
      </c>
      <c r="K70" s="38">
        <v>0</v>
      </c>
      <c r="L70" s="38">
        <v>0.2</v>
      </c>
      <c r="M70" s="38">
        <v>1</v>
      </c>
      <c r="N70" s="38">
        <v>0</v>
      </c>
      <c r="O70" s="38">
        <v>0</v>
      </c>
      <c r="P70" s="38">
        <v>0.4</v>
      </c>
      <c r="Q70" s="38">
        <v>1</v>
      </c>
      <c r="R70" s="38">
        <v>1</v>
      </c>
      <c r="S70" s="38">
        <v>1</v>
      </c>
      <c r="T70" s="38">
        <v>1</v>
      </c>
      <c r="U70" s="38">
        <v>1</v>
      </c>
      <c r="V70" s="38">
        <v>0</v>
      </c>
      <c r="W70" s="38">
        <v>1</v>
      </c>
      <c r="X70" s="38">
        <v>1</v>
      </c>
      <c r="Y70" s="38">
        <v>1</v>
      </c>
      <c r="Z70" s="38">
        <v>1</v>
      </c>
      <c r="AA70" s="38">
        <v>1</v>
      </c>
      <c r="AB70" s="38">
        <v>1</v>
      </c>
      <c r="AC70" s="38">
        <v>1</v>
      </c>
      <c r="AD70" s="38">
        <v>1</v>
      </c>
      <c r="AE70" s="38">
        <v>1</v>
      </c>
      <c r="AF70" s="38">
        <v>1</v>
      </c>
      <c r="AG70" s="38">
        <v>0.19565217391304299</v>
      </c>
      <c r="AH70" s="38" t="s">
        <v>195</v>
      </c>
      <c r="AI70" s="39" t="s">
        <v>120</v>
      </c>
      <c r="AJ70" s="40" t="s">
        <v>120</v>
      </c>
      <c r="AL70" s="30"/>
      <c r="AM70" s="30"/>
      <c r="AN70" s="30"/>
      <c r="AO70" s="30"/>
      <c r="AP70" s="30"/>
    </row>
    <row r="71" spans="1:42" x14ac:dyDescent="0.35">
      <c r="A71" s="38">
        <v>0.5</v>
      </c>
      <c r="B71" s="38">
        <v>0.5</v>
      </c>
      <c r="C71" s="38">
        <v>0.23899371069182301</v>
      </c>
      <c r="D71" s="38">
        <v>0.66666666666666596</v>
      </c>
      <c r="E71" s="38">
        <v>0</v>
      </c>
      <c r="F71" s="38">
        <v>1</v>
      </c>
      <c r="G71" s="38">
        <v>0.55555555555555503</v>
      </c>
      <c r="H71" s="38">
        <v>1</v>
      </c>
      <c r="I71" s="38">
        <v>0</v>
      </c>
      <c r="J71" s="38">
        <v>0</v>
      </c>
      <c r="K71" s="38">
        <v>0</v>
      </c>
      <c r="L71" s="38">
        <v>0.2</v>
      </c>
      <c r="M71" s="38">
        <v>1</v>
      </c>
      <c r="N71" s="38">
        <v>0</v>
      </c>
      <c r="O71" s="38">
        <v>0</v>
      </c>
      <c r="P71" s="38">
        <v>0.4</v>
      </c>
      <c r="Q71" s="38">
        <v>1</v>
      </c>
      <c r="R71" s="38">
        <v>1</v>
      </c>
      <c r="S71" s="38">
        <v>1</v>
      </c>
      <c r="T71" s="38">
        <v>1</v>
      </c>
      <c r="U71" s="38">
        <v>1</v>
      </c>
      <c r="V71" s="38">
        <v>0</v>
      </c>
      <c r="W71" s="38">
        <v>1</v>
      </c>
      <c r="X71" s="38">
        <v>1</v>
      </c>
      <c r="Y71" s="38">
        <v>1</v>
      </c>
      <c r="Z71" s="38">
        <v>0</v>
      </c>
      <c r="AA71" s="38">
        <v>1</v>
      </c>
      <c r="AB71" s="38">
        <v>1</v>
      </c>
      <c r="AC71" s="38">
        <v>1</v>
      </c>
      <c r="AD71" s="38">
        <v>1</v>
      </c>
      <c r="AE71" s="38">
        <v>1</v>
      </c>
      <c r="AF71" s="38">
        <v>1</v>
      </c>
      <c r="AG71" s="38">
        <v>0.19565217391304299</v>
      </c>
      <c r="AH71" s="38" t="s">
        <v>195</v>
      </c>
      <c r="AI71" s="39" t="s">
        <v>120</v>
      </c>
      <c r="AJ71" s="40" t="s">
        <v>120</v>
      </c>
      <c r="AL71" s="31" t="s">
        <v>219</v>
      </c>
      <c r="AM71" s="31"/>
      <c r="AN71" s="31"/>
      <c r="AO71" s="31"/>
      <c r="AP71" s="34">
        <f>(AN67+AO68)/(AN67+AO67+AN68+AO68)</f>
        <v>0.97499999999999998</v>
      </c>
    </row>
    <row r="72" spans="1:42" x14ac:dyDescent="0.35">
      <c r="A72" s="38">
        <v>0.66666666666666596</v>
      </c>
      <c r="B72" s="38">
        <v>0.25</v>
      </c>
      <c r="C72" s="38">
        <v>0.23899371069182301</v>
      </c>
      <c r="D72" s="38">
        <v>0</v>
      </c>
      <c r="E72" s="38">
        <v>0</v>
      </c>
      <c r="F72" s="38">
        <v>1</v>
      </c>
      <c r="G72" s="38">
        <v>0.66666666666666596</v>
      </c>
      <c r="H72" s="38">
        <v>1</v>
      </c>
      <c r="I72" s="38">
        <v>1</v>
      </c>
      <c r="J72" s="38">
        <v>0</v>
      </c>
      <c r="K72" s="38">
        <v>0</v>
      </c>
      <c r="L72" s="38">
        <v>0.2</v>
      </c>
      <c r="M72" s="38">
        <v>1</v>
      </c>
      <c r="N72" s="38">
        <v>0</v>
      </c>
      <c r="O72" s="38">
        <v>0</v>
      </c>
      <c r="P72" s="38">
        <v>0.4</v>
      </c>
      <c r="Q72" s="38">
        <v>1</v>
      </c>
      <c r="R72" s="38">
        <v>1</v>
      </c>
      <c r="S72" s="38">
        <v>1</v>
      </c>
      <c r="T72" s="38">
        <v>1</v>
      </c>
      <c r="U72" s="38">
        <v>1</v>
      </c>
      <c r="V72" s="38">
        <v>0</v>
      </c>
      <c r="W72" s="38">
        <v>1</v>
      </c>
      <c r="X72" s="38">
        <v>1</v>
      </c>
      <c r="Y72" s="38">
        <v>1</v>
      </c>
      <c r="Z72" s="38">
        <v>0</v>
      </c>
      <c r="AA72" s="38">
        <v>1</v>
      </c>
      <c r="AB72" s="38">
        <v>1</v>
      </c>
      <c r="AC72" s="38">
        <v>1</v>
      </c>
      <c r="AD72" s="38">
        <v>1</v>
      </c>
      <c r="AE72" s="38">
        <v>1</v>
      </c>
      <c r="AF72" s="38">
        <v>1</v>
      </c>
      <c r="AG72" s="38">
        <v>0.19565217391304299</v>
      </c>
      <c r="AH72" s="38" t="s">
        <v>195</v>
      </c>
      <c r="AI72" s="39" t="s">
        <v>120</v>
      </c>
      <c r="AJ72" s="40" t="s">
        <v>120</v>
      </c>
    </row>
    <row r="73" spans="1:42" x14ac:dyDescent="0.35">
      <c r="A73" s="38">
        <v>0.33333333333333298</v>
      </c>
      <c r="B73" s="38">
        <v>0.25</v>
      </c>
      <c r="C73" s="38">
        <v>0.33333333333333298</v>
      </c>
      <c r="D73" s="38">
        <v>0.66666666666666596</v>
      </c>
      <c r="E73" s="38">
        <v>0</v>
      </c>
      <c r="F73" s="38">
        <v>1</v>
      </c>
      <c r="G73" s="38">
        <v>0.55555555555555503</v>
      </c>
      <c r="H73" s="38">
        <v>1</v>
      </c>
      <c r="I73" s="38">
        <v>0.5</v>
      </c>
      <c r="J73" s="38">
        <v>0</v>
      </c>
      <c r="K73" s="38">
        <v>0</v>
      </c>
      <c r="L73" s="38">
        <v>0.2</v>
      </c>
      <c r="M73" s="38">
        <v>1</v>
      </c>
      <c r="N73" s="38">
        <v>0</v>
      </c>
      <c r="O73" s="38">
        <v>0</v>
      </c>
      <c r="P73" s="38">
        <v>0.4</v>
      </c>
      <c r="Q73" s="38">
        <v>1</v>
      </c>
      <c r="R73" s="38">
        <v>0</v>
      </c>
      <c r="S73" s="38">
        <v>1</v>
      </c>
      <c r="T73" s="38">
        <v>1</v>
      </c>
      <c r="U73" s="38">
        <v>1</v>
      </c>
      <c r="V73" s="38">
        <v>0</v>
      </c>
      <c r="W73" s="38">
        <v>1</v>
      </c>
      <c r="X73" s="38">
        <v>1</v>
      </c>
      <c r="Y73" s="38">
        <v>1</v>
      </c>
      <c r="Z73" s="38">
        <v>1</v>
      </c>
      <c r="AA73" s="38">
        <v>1</v>
      </c>
      <c r="AB73" s="38">
        <v>1</v>
      </c>
      <c r="AC73" s="38">
        <v>1</v>
      </c>
      <c r="AD73" s="38">
        <v>1</v>
      </c>
      <c r="AE73" s="38">
        <v>1</v>
      </c>
      <c r="AF73" s="38">
        <v>1</v>
      </c>
      <c r="AG73" s="38">
        <v>0</v>
      </c>
      <c r="AH73" s="38" t="s">
        <v>195</v>
      </c>
      <c r="AI73" s="39" t="s">
        <v>120</v>
      </c>
      <c r="AJ73" s="40" t="s">
        <v>120</v>
      </c>
    </row>
    <row r="74" spans="1:42" x14ac:dyDescent="0.35">
      <c r="A74" s="38">
        <v>0.5</v>
      </c>
      <c r="B74" s="38">
        <v>0.25</v>
      </c>
      <c r="C74" s="38">
        <v>0.33333333333333298</v>
      </c>
      <c r="D74" s="38">
        <v>0.66666666666666596</v>
      </c>
      <c r="E74" s="38">
        <v>0</v>
      </c>
      <c r="F74" s="38">
        <v>1</v>
      </c>
      <c r="G74" s="38">
        <v>0.55555555555555503</v>
      </c>
      <c r="H74" s="38">
        <v>1</v>
      </c>
      <c r="I74" s="38">
        <v>0.5</v>
      </c>
      <c r="J74" s="38">
        <v>0</v>
      </c>
      <c r="K74" s="38">
        <v>0</v>
      </c>
      <c r="L74" s="38">
        <v>0</v>
      </c>
      <c r="M74" s="38">
        <v>1</v>
      </c>
      <c r="N74" s="38">
        <v>0</v>
      </c>
      <c r="O74" s="38">
        <v>0</v>
      </c>
      <c r="P74" s="38">
        <v>0.4</v>
      </c>
      <c r="Q74" s="38">
        <v>1</v>
      </c>
      <c r="R74" s="38">
        <v>0</v>
      </c>
      <c r="S74" s="38">
        <v>1</v>
      </c>
      <c r="T74" s="38">
        <v>1</v>
      </c>
      <c r="U74" s="38">
        <v>1</v>
      </c>
      <c r="V74" s="38">
        <v>0</v>
      </c>
      <c r="W74" s="38">
        <v>1</v>
      </c>
      <c r="X74" s="38">
        <v>1</v>
      </c>
      <c r="Y74" s="38">
        <v>1</v>
      </c>
      <c r="Z74" s="38">
        <v>0</v>
      </c>
      <c r="AA74" s="38">
        <v>1</v>
      </c>
      <c r="AB74" s="38">
        <v>1</v>
      </c>
      <c r="AC74" s="38">
        <v>1</v>
      </c>
      <c r="AD74" s="38">
        <v>1</v>
      </c>
      <c r="AE74" s="38">
        <v>1</v>
      </c>
      <c r="AF74" s="38">
        <v>1</v>
      </c>
      <c r="AG74" s="38">
        <v>0</v>
      </c>
      <c r="AH74" s="38" t="s">
        <v>195</v>
      </c>
      <c r="AI74" s="39" t="s">
        <v>120</v>
      </c>
      <c r="AJ74" s="40" t="s">
        <v>120</v>
      </c>
    </row>
    <row r="75" spans="1:42" x14ac:dyDescent="0.35">
      <c r="A75" s="38">
        <v>0.16666666666666599</v>
      </c>
      <c r="B75" s="38">
        <v>0.25</v>
      </c>
      <c r="C75" s="38">
        <v>0.33333333333333298</v>
      </c>
      <c r="D75" s="38">
        <v>0.66666666666666596</v>
      </c>
      <c r="E75" s="38">
        <v>0</v>
      </c>
      <c r="F75" s="38">
        <v>1</v>
      </c>
      <c r="G75" s="38">
        <v>0.55555555555555503</v>
      </c>
      <c r="H75" s="38">
        <v>1</v>
      </c>
      <c r="I75" s="38">
        <v>0.5</v>
      </c>
      <c r="J75" s="38">
        <v>0</v>
      </c>
      <c r="K75" s="38">
        <v>0</v>
      </c>
      <c r="L75" s="38">
        <v>0.2</v>
      </c>
      <c r="M75" s="38">
        <v>1</v>
      </c>
      <c r="N75" s="38">
        <v>0</v>
      </c>
      <c r="O75" s="38">
        <v>0</v>
      </c>
      <c r="P75" s="38">
        <v>0.4</v>
      </c>
      <c r="Q75" s="38">
        <v>1</v>
      </c>
      <c r="R75" s="38">
        <v>0</v>
      </c>
      <c r="S75" s="38">
        <v>1</v>
      </c>
      <c r="T75" s="38">
        <v>1</v>
      </c>
      <c r="U75" s="38">
        <v>1</v>
      </c>
      <c r="V75" s="38">
        <v>0</v>
      </c>
      <c r="W75" s="38">
        <v>1</v>
      </c>
      <c r="X75" s="38">
        <v>1</v>
      </c>
      <c r="Y75" s="38">
        <v>1</v>
      </c>
      <c r="Z75" s="38">
        <v>0</v>
      </c>
      <c r="AA75" s="38">
        <v>1</v>
      </c>
      <c r="AB75" s="38">
        <v>1</v>
      </c>
      <c r="AC75" s="38">
        <v>1</v>
      </c>
      <c r="AD75" s="38">
        <v>1</v>
      </c>
      <c r="AE75" s="38">
        <v>1</v>
      </c>
      <c r="AF75" s="38">
        <v>1</v>
      </c>
      <c r="AG75" s="38">
        <v>0</v>
      </c>
      <c r="AH75" s="38" t="s">
        <v>195</v>
      </c>
      <c r="AI75" s="39" t="s">
        <v>120</v>
      </c>
      <c r="AJ75" s="40" t="s">
        <v>120</v>
      </c>
    </row>
    <row r="76" spans="1:42" x14ac:dyDescent="0.35">
      <c r="A76" s="38">
        <v>0.33333333333333298</v>
      </c>
      <c r="B76" s="38">
        <v>0.25</v>
      </c>
      <c r="C76" s="38">
        <v>0.33333333333333298</v>
      </c>
      <c r="D76" s="38">
        <v>0</v>
      </c>
      <c r="E76" s="38">
        <v>0</v>
      </c>
      <c r="F76" s="38">
        <v>1</v>
      </c>
      <c r="G76" s="38">
        <v>0.55555555555555503</v>
      </c>
      <c r="H76" s="38">
        <v>1</v>
      </c>
      <c r="I76" s="38">
        <v>0</v>
      </c>
      <c r="J76" s="38">
        <v>0</v>
      </c>
      <c r="K76" s="38">
        <v>0</v>
      </c>
      <c r="L76" s="38">
        <v>0.4</v>
      </c>
      <c r="M76" s="38">
        <v>1</v>
      </c>
      <c r="N76" s="38">
        <v>0</v>
      </c>
      <c r="O76" s="38">
        <v>0</v>
      </c>
      <c r="P76" s="38">
        <v>0.4</v>
      </c>
      <c r="Q76" s="38">
        <v>1</v>
      </c>
      <c r="R76" s="38">
        <v>1</v>
      </c>
      <c r="S76" s="38">
        <v>1</v>
      </c>
      <c r="T76" s="38">
        <v>1</v>
      </c>
      <c r="U76" s="38">
        <v>1</v>
      </c>
      <c r="V76" s="38">
        <v>0</v>
      </c>
      <c r="W76" s="38">
        <v>1</v>
      </c>
      <c r="X76" s="38">
        <v>1</v>
      </c>
      <c r="Y76" s="38">
        <v>1</v>
      </c>
      <c r="Z76" s="38">
        <v>0</v>
      </c>
      <c r="AA76" s="38">
        <v>1</v>
      </c>
      <c r="AB76" s="38">
        <v>1</v>
      </c>
      <c r="AC76" s="38">
        <v>1</v>
      </c>
      <c r="AD76" s="38">
        <v>1</v>
      </c>
      <c r="AE76" s="38">
        <v>1</v>
      </c>
      <c r="AF76" s="38">
        <v>1</v>
      </c>
      <c r="AG76" s="38">
        <v>0</v>
      </c>
      <c r="AH76" s="38" t="s">
        <v>195</v>
      </c>
      <c r="AI76" s="39" t="s">
        <v>120</v>
      </c>
      <c r="AJ76" s="40" t="s">
        <v>120</v>
      </c>
    </row>
    <row r="77" spans="1:42" x14ac:dyDescent="0.35">
      <c r="A77" s="38">
        <v>0.16666666666666599</v>
      </c>
      <c r="B77" s="38">
        <v>0.5</v>
      </c>
      <c r="C77" s="38">
        <v>1</v>
      </c>
      <c r="D77" s="38">
        <v>0</v>
      </c>
      <c r="E77" s="38">
        <v>0</v>
      </c>
      <c r="F77" s="38">
        <v>1</v>
      </c>
      <c r="G77" s="38">
        <v>0.55555555555555503</v>
      </c>
      <c r="H77" s="38">
        <v>1</v>
      </c>
      <c r="I77" s="38">
        <v>0.5</v>
      </c>
      <c r="J77" s="38">
        <v>0</v>
      </c>
      <c r="K77" s="38">
        <v>0</v>
      </c>
      <c r="L77" s="38">
        <v>0.2</v>
      </c>
      <c r="M77" s="38">
        <v>1</v>
      </c>
      <c r="N77" s="38">
        <v>0</v>
      </c>
      <c r="O77" s="38">
        <v>0</v>
      </c>
      <c r="P77" s="38">
        <v>0.4</v>
      </c>
      <c r="Q77" s="38">
        <v>1</v>
      </c>
      <c r="R77" s="38">
        <v>0</v>
      </c>
      <c r="S77" s="38">
        <v>1</v>
      </c>
      <c r="T77" s="38">
        <v>1</v>
      </c>
      <c r="U77" s="38">
        <v>1</v>
      </c>
      <c r="V77" s="38">
        <v>0</v>
      </c>
      <c r="W77" s="38">
        <v>1</v>
      </c>
      <c r="X77" s="38">
        <v>1</v>
      </c>
      <c r="Y77" s="38">
        <v>0</v>
      </c>
      <c r="Z77" s="38">
        <v>0</v>
      </c>
      <c r="AA77" s="38">
        <v>1</v>
      </c>
      <c r="AB77" s="38">
        <v>1</v>
      </c>
      <c r="AC77" s="38">
        <v>1</v>
      </c>
      <c r="AD77" s="38">
        <v>1</v>
      </c>
      <c r="AE77" s="38">
        <v>1</v>
      </c>
      <c r="AF77" s="38">
        <v>1</v>
      </c>
      <c r="AG77" s="38">
        <v>0</v>
      </c>
      <c r="AH77" s="38" t="s">
        <v>195</v>
      </c>
      <c r="AI77" s="39" t="s">
        <v>120</v>
      </c>
      <c r="AJ77" s="40" t="s">
        <v>120</v>
      </c>
    </row>
    <row r="78" spans="1:42" x14ac:dyDescent="0.35">
      <c r="A78" s="38">
        <v>0.16666666666666599</v>
      </c>
      <c r="B78" s="38">
        <v>0</v>
      </c>
      <c r="C78" s="38">
        <v>0</v>
      </c>
      <c r="D78" s="38">
        <v>0.66666666666666596</v>
      </c>
      <c r="E78" s="38">
        <v>0</v>
      </c>
      <c r="F78" s="38">
        <v>1</v>
      </c>
      <c r="G78" s="38">
        <v>0.55555555555555503</v>
      </c>
      <c r="H78" s="38">
        <v>1</v>
      </c>
      <c r="I78" s="38">
        <v>0.5</v>
      </c>
      <c r="J78" s="38">
        <v>0</v>
      </c>
      <c r="K78" s="38">
        <v>0</v>
      </c>
      <c r="L78" s="38">
        <v>0.2</v>
      </c>
      <c r="M78" s="38">
        <v>1</v>
      </c>
      <c r="N78" s="38">
        <v>0</v>
      </c>
      <c r="O78" s="38">
        <v>0</v>
      </c>
      <c r="P78" s="38">
        <v>0.4</v>
      </c>
      <c r="Q78" s="38">
        <v>1</v>
      </c>
      <c r="R78" s="38">
        <v>1</v>
      </c>
      <c r="S78" s="38">
        <v>1</v>
      </c>
      <c r="T78" s="38">
        <v>1</v>
      </c>
      <c r="U78" s="38">
        <v>1</v>
      </c>
      <c r="V78" s="38">
        <v>0</v>
      </c>
      <c r="W78" s="38">
        <v>1</v>
      </c>
      <c r="X78" s="38">
        <v>1</v>
      </c>
      <c r="Y78" s="38">
        <v>1</v>
      </c>
      <c r="Z78" s="38">
        <v>1</v>
      </c>
      <c r="AA78" s="38">
        <v>1</v>
      </c>
      <c r="AB78" s="38">
        <v>1</v>
      </c>
      <c r="AC78" s="38">
        <v>1</v>
      </c>
      <c r="AD78" s="38">
        <v>1</v>
      </c>
      <c r="AE78" s="38">
        <v>1</v>
      </c>
      <c r="AF78" s="38">
        <v>1</v>
      </c>
      <c r="AG78" s="38">
        <v>0.19565217391304299</v>
      </c>
      <c r="AH78" s="38" t="s">
        <v>195</v>
      </c>
      <c r="AI78" s="39" t="s">
        <v>120</v>
      </c>
      <c r="AJ78" s="40" t="s">
        <v>120</v>
      </c>
    </row>
    <row r="79" spans="1:42" x14ac:dyDescent="0.35">
      <c r="A79" s="38">
        <v>0.66666666666666596</v>
      </c>
      <c r="B79" s="38">
        <v>0.5</v>
      </c>
      <c r="C79" s="38">
        <v>0.23899371069182301</v>
      </c>
      <c r="D79" s="38">
        <v>0.66666666666666596</v>
      </c>
      <c r="E79" s="38">
        <v>0</v>
      </c>
      <c r="F79" s="38">
        <v>1</v>
      </c>
      <c r="G79" s="38">
        <v>0.55555555555555503</v>
      </c>
      <c r="H79" s="38">
        <v>1</v>
      </c>
      <c r="I79" s="38">
        <v>0.5</v>
      </c>
      <c r="J79" s="38">
        <v>0</v>
      </c>
      <c r="K79" s="38">
        <v>0.5</v>
      </c>
      <c r="L79" s="38">
        <v>0.158904109589041</v>
      </c>
      <c r="M79" s="38">
        <v>1</v>
      </c>
      <c r="N79" s="38">
        <v>0</v>
      </c>
      <c r="O79" s="38">
        <v>0</v>
      </c>
      <c r="P79" s="38">
        <v>0.4</v>
      </c>
      <c r="Q79" s="38">
        <v>1</v>
      </c>
      <c r="R79" s="38">
        <v>1</v>
      </c>
      <c r="S79" s="38">
        <v>1</v>
      </c>
      <c r="T79" s="38">
        <v>1</v>
      </c>
      <c r="U79" s="38">
        <v>1</v>
      </c>
      <c r="V79" s="38">
        <v>0</v>
      </c>
      <c r="W79" s="38">
        <v>1</v>
      </c>
      <c r="X79" s="38">
        <v>1</v>
      </c>
      <c r="Y79" s="38">
        <v>1</v>
      </c>
      <c r="Z79" s="38">
        <v>0</v>
      </c>
      <c r="AA79" s="38">
        <v>1</v>
      </c>
      <c r="AB79" s="38">
        <v>1</v>
      </c>
      <c r="AC79" s="38">
        <v>1</v>
      </c>
      <c r="AD79" s="38">
        <v>1</v>
      </c>
      <c r="AE79" s="38">
        <v>1</v>
      </c>
      <c r="AF79" s="38">
        <v>1</v>
      </c>
      <c r="AG79" s="38">
        <v>0.19565217391304299</v>
      </c>
      <c r="AH79" s="38" t="s">
        <v>195</v>
      </c>
      <c r="AI79" s="39" t="s">
        <v>120</v>
      </c>
      <c r="AJ79" s="40" t="s">
        <v>120</v>
      </c>
    </row>
    <row r="80" spans="1:42" x14ac:dyDescent="0.35">
      <c r="A80" s="38">
        <v>0.33333333333333298</v>
      </c>
      <c r="B80" s="38">
        <v>0.25</v>
      </c>
      <c r="C80" s="38">
        <v>0.33333333333333298</v>
      </c>
      <c r="D80" s="38">
        <v>0.66666666666666596</v>
      </c>
      <c r="E80" s="38">
        <v>0</v>
      </c>
      <c r="F80" s="38">
        <v>1</v>
      </c>
      <c r="G80" s="38">
        <v>0.55555555555555503</v>
      </c>
      <c r="H80" s="38">
        <v>1</v>
      </c>
      <c r="I80" s="38">
        <v>0.5</v>
      </c>
      <c r="J80" s="38">
        <v>1</v>
      </c>
      <c r="K80" s="38">
        <v>0</v>
      </c>
      <c r="L80" s="38">
        <v>0</v>
      </c>
      <c r="M80" s="38">
        <v>1</v>
      </c>
      <c r="N80" s="38">
        <v>0</v>
      </c>
      <c r="O80" s="38">
        <v>1</v>
      </c>
      <c r="P80" s="38">
        <v>0.4</v>
      </c>
      <c r="Q80" s="38">
        <v>1</v>
      </c>
      <c r="R80" s="38">
        <v>1</v>
      </c>
      <c r="S80" s="38">
        <v>1</v>
      </c>
      <c r="T80" s="38">
        <v>1</v>
      </c>
      <c r="U80" s="38">
        <v>1</v>
      </c>
      <c r="V80" s="38">
        <v>0</v>
      </c>
      <c r="W80" s="38">
        <v>1</v>
      </c>
      <c r="X80" s="38">
        <v>1</v>
      </c>
      <c r="Y80" s="38">
        <v>1</v>
      </c>
      <c r="Z80" s="38">
        <v>0</v>
      </c>
      <c r="AA80" s="38">
        <v>1</v>
      </c>
      <c r="AB80" s="38">
        <v>1</v>
      </c>
      <c r="AC80" s="38">
        <v>1</v>
      </c>
      <c r="AD80" s="38">
        <v>1</v>
      </c>
      <c r="AE80" s="38">
        <v>1</v>
      </c>
      <c r="AF80" s="38">
        <v>1</v>
      </c>
      <c r="AG80" s="38">
        <v>0</v>
      </c>
      <c r="AH80" s="38" t="s">
        <v>195</v>
      </c>
      <c r="AI80" s="39" t="s">
        <v>120</v>
      </c>
      <c r="AJ80" s="40" t="s">
        <v>120</v>
      </c>
    </row>
    <row r="81" spans="1:36" x14ac:dyDescent="0.35">
      <c r="A81" s="38">
        <v>0.33333333333333298</v>
      </c>
      <c r="B81" s="38">
        <v>0</v>
      </c>
      <c r="C81" s="38">
        <v>0</v>
      </c>
      <c r="D81" s="38">
        <v>0.66666666666666596</v>
      </c>
      <c r="E81" s="38">
        <v>0</v>
      </c>
      <c r="F81" s="38">
        <v>1</v>
      </c>
      <c r="G81" s="38">
        <v>0.55555555555555503</v>
      </c>
      <c r="H81" s="38">
        <v>1</v>
      </c>
      <c r="I81" s="38">
        <v>0.5</v>
      </c>
      <c r="J81" s="38">
        <v>1</v>
      </c>
      <c r="K81" s="38">
        <v>0</v>
      </c>
      <c r="L81" s="38">
        <v>0.2</v>
      </c>
      <c r="M81" s="38">
        <v>1</v>
      </c>
      <c r="N81" s="38">
        <v>0</v>
      </c>
      <c r="O81" s="38">
        <v>1</v>
      </c>
      <c r="P81" s="38">
        <v>0.4</v>
      </c>
      <c r="Q81" s="38">
        <v>1</v>
      </c>
      <c r="R81" s="38">
        <v>1</v>
      </c>
      <c r="S81" s="38">
        <v>1</v>
      </c>
      <c r="T81" s="38">
        <v>1</v>
      </c>
      <c r="U81" s="38">
        <v>1</v>
      </c>
      <c r="V81" s="38">
        <v>0</v>
      </c>
      <c r="W81" s="38">
        <v>1</v>
      </c>
      <c r="X81" s="38">
        <v>1</v>
      </c>
      <c r="Y81" s="38">
        <v>1</v>
      </c>
      <c r="Z81" s="38">
        <v>0</v>
      </c>
      <c r="AA81" s="38">
        <v>1</v>
      </c>
      <c r="AB81" s="38">
        <v>1</v>
      </c>
      <c r="AC81" s="38">
        <v>1</v>
      </c>
      <c r="AD81" s="38">
        <v>1</v>
      </c>
      <c r="AE81" s="38">
        <v>1</v>
      </c>
      <c r="AF81" s="38">
        <v>1</v>
      </c>
      <c r="AG81" s="38">
        <v>0</v>
      </c>
      <c r="AH81" s="38" t="s">
        <v>195</v>
      </c>
      <c r="AI81" s="39" t="s">
        <v>120</v>
      </c>
      <c r="AJ81" s="40" t="s">
        <v>120</v>
      </c>
    </row>
    <row r="82" spans="1:36" x14ac:dyDescent="0.35">
      <c r="A82" s="38">
        <v>0.33333333333333298</v>
      </c>
      <c r="B82" s="38">
        <v>0</v>
      </c>
      <c r="C82" s="38">
        <v>0.33333333333333298</v>
      </c>
      <c r="D82" s="38">
        <v>0.66666666666666596</v>
      </c>
      <c r="E82" s="38">
        <v>0.33333333333333298</v>
      </c>
      <c r="F82" s="38">
        <v>1</v>
      </c>
      <c r="G82" s="38">
        <v>0.55555555555555503</v>
      </c>
      <c r="H82" s="38">
        <v>1</v>
      </c>
      <c r="I82" s="38">
        <v>0</v>
      </c>
      <c r="J82" s="38">
        <v>0</v>
      </c>
      <c r="K82" s="38">
        <v>0</v>
      </c>
      <c r="L82" s="38">
        <v>0.2</v>
      </c>
      <c r="M82" s="38">
        <v>1</v>
      </c>
      <c r="N82" s="38">
        <v>0</v>
      </c>
      <c r="O82" s="38">
        <v>0</v>
      </c>
      <c r="P82" s="38">
        <v>0.4</v>
      </c>
      <c r="Q82" s="38">
        <v>1</v>
      </c>
      <c r="R82" s="38">
        <v>1</v>
      </c>
      <c r="S82" s="38">
        <v>1</v>
      </c>
      <c r="T82" s="38">
        <v>1</v>
      </c>
      <c r="U82" s="38">
        <v>1</v>
      </c>
      <c r="V82" s="38">
        <v>0</v>
      </c>
      <c r="W82" s="38">
        <v>1</v>
      </c>
      <c r="X82" s="38">
        <v>1</v>
      </c>
      <c r="Y82" s="38">
        <v>0</v>
      </c>
      <c r="Z82" s="38">
        <v>1</v>
      </c>
      <c r="AA82" s="38">
        <v>1</v>
      </c>
      <c r="AB82" s="38">
        <v>1</v>
      </c>
      <c r="AC82" s="38">
        <v>1</v>
      </c>
      <c r="AD82" s="38">
        <v>1</v>
      </c>
      <c r="AE82" s="38">
        <v>1</v>
      </c>
      <c r="AF82" s="38">
        <v>1</v>
      </c>
      <c r="AG82" s="38">
        <v>0.19565217391304299</v>
      </c>
      <c r="AH82" s="38" t="s">
        <v>195</v>
      </c>
      <c r="AI82" s="39" t="s">
        <v>120</v>
      </c>
      <c r="AJ82" s="40" t="s">
        <v>120</v>
      </c>
    </row>
    <row r="83" spans="1:36" x14ac:dyDescent="0.35">
      <c r="A83" s="38">
        <v>0.5</v>
      </c>
      <c r="B83" s="38">
        <v>0</v>
      </c>
      <c r="C83" s="38">
        <v>0</v>
      </c>
      <c r="D83" s="38">
        <v>0.66666666666666596</v>
      </c>
      <c r="E83" s="38">
        <v>0</v>
      </c>
      <c r="F83" s="38">
        <v>1</v>
      </c>
      <c r="G83" s="38">
        <v>0.55555555555555503</v>
      </c>
      <c r="H83" s="38">
        <v>1</v>
      </c>
      <c r="I83" s="38">
        <v>0.5</v>
      </c>
      <c r="J83" s="38">
        <v>0</v>
      </c>
      <c r="K83" s="38">
        <v>0</v>
      </c>
      <c r="L83" s="38">
        <v>0</v>
      </c>
      <c r="M83" s="38">
        <v>1</v>
      </c>
      <c r="N83" s="38">
        <v>0</v>
      </c>
      <c r="O83" s="38">
        <v>0</v>
      </c>
      <c r="P83" s="38">
        <v>0.4</v>
      </c>
      <c r="Q83" s="38">
        <v>1</v>
      </c>
      <c r="R83" s="38">
        <v>1</v>
      </c>
      <c r="S83" s="38">
        <v>1</v>
      </c>
      <c r="T83" s="38">
        <v>1</v>
      </c>
      <c r="U83" s="38">
        <v>1</v>
      </c>
      <c r="V83" s="38">
        <v>0</v>
      </c>
      <c r="W83" s="38">
        <v>1</v>
      </c>
      <c r="X83" s="38">
        <v>1</v>
      </c>
      <c r="Y83" s="38">
        <v>1</v>
      </c>
      <c r="Z83" s="38">
        <v>1</v>
      </c>
      <c r="AA83" s="38">
        <v>1</v>
      </c>
      <c r="AB83" s="38">
        <v>1</v>
      </c>
      <c r="AC83" s="38">
        <v>1</v>
      </c>
      <c r="AD83" s="38">
        <v>1</v>
      </c>
      <c r="AE83" s="38">
        <v>1</v>
      </c>
      <c r="AF83" s="38">
        <v>1</v>
      </c>
      <c r="AG83" s="38">
        <v>0.19565217391304299</v>
      </c>
      <c r="AH83" s="38" t="s">
        <v>195</v>
      </c>
      <c r="AI83" s="39" t="s">
        <v>120</v>
      </c>
      <c r="AJ83" s="40" t="s">
        <v>120</v>
      </c>
    </row>
    <row r="84" spans="1:36" x14ac:dyDescent="0.35">
      <c r="A84" s="38">
        <v>0</v>
      </c>
      <c r="B84" s="38">
        <v>0.23765432098765399</v>
      </c>
      <c r="C84" s="38">
        <v>0.23899371069182301</v>
      </c>
      <c r="D84" s="38">
        <v>0.53703703703703698</v>
      </c>
      <c r="E84" s="38">
        <v>0.12757201646090499</v>
      </c>
      <c r="F84" s="38">
        <v>0.94805194805194803</v>
      </c>
      <c r="G84" s="38">
        <v>0.55692729766803795</v>
      </c>
      <c r="H84" s="38">
        <v>0.936708860759493</v>
      </c>
      <c r="I84" s="38">
        <v>0.407407407407407</v>
      </c>
      <c r="J84" s="38">
        <v>0.19478737997256501</v>
      </c>
      <c r="K84" s="38">
        <v>5.5555555555555497E-2</v>
      </c>
      <c r="L84" s="38">
        <v>0.158904109589041</v>
      </c>
      <c r="M84" s="38">
        <v>0.95061728395061695</v>
      </c>
      <c r="N84" s="38">
        <v>6.1728395061728301E-2</v>
      </c>
      <c r="O84" s="38">
        <v>0.189873417721519</v>
      </c>
      <c r="P84" s="38">
        <v>0.32345679012345602</v>
      </c>
      <c r="Q84" s="38">
        <v>0.98765432098765404</v>
      </c>
      <c r="R84" s="38">
        <v>0.76543209876543195</v>
      </c>
      <c r="S84" s="38">
        <v>0.97530864197530798</v>
      </c>
      <c r="T84" s="38">
        <v>1</v>
      </c>
      <c r="U84" s="38">
        <v>1</v>
      </c>
      <c r="V84" s="38">
        <v>0.11111111111111099</v>
      </c>
      <c r="W84" s="38">
        <v>1</v>
      </c>
      <c r="X84" s="38">
        <v>0.97530864197530798</v>
      </c>
      <c r="Y84" s="38">
        <v>0.90123456790123402</v>
      </c>
      <c r="Z84" s="38">
        <v>0.44444444444444398</v>
      </c>
      <c r="AA84" s="38">
        <v>1</v>
      </c>
      <c r="AB84" s="38">
        <v>1</v>
      </c>
      <c r="AC84" s="38">
        <v>1</v>
      </c>
      <c r="AD84" s="38">
        <v>1</v>
      </c>
      <c r="AE84" s="38">
        <v>0.938271604938271</v>
      </c>
      <c r="AF84" s="38">
        <v>1</v>
      </c>
      <c r="AG84" s="38">
        <v>0.19565217391304299</v>
      </c>
      <c r="AH84" s="38" t="s">
        <v>195</v>
      </c>
      <c r="AI84" s="39" t="s">
        <v>120</v>
      </c>
      <c r="AJ84" s="40" t="s">
        <v>120</v>
      </c>
    </row>
    <row r="85" spans="1:36" x14ac:dyDescent="0.35">
      <c r="A85" s="38">
        <v>0</v>
      </c>
      <c r="B85" s="38">
        <v>0.23765432098765399</v>
      </c>
      <c r="C85" s="38">
        <v>0.23899371069182301</v>
      </c>
      <c r="D85" s="38">
        <v>0.53703703703703698</v>
      </c>
      <c r="E85" s="38">
        <v>0.12757201646090499</v>
      </c>
      <c r="F85" s="38">
        <v>0.94805194805194803</v>
      </c>
      <c r="G85" s="38">
        <v>0.55692729766803795</v>
      </c>
      <c r="H85" s="38">
        <v>0.936708860759493</v>
      </c>
      <c r="I85" s="38">
        <v>0.407407407407407</v>
      </c>
      <c r="J85" s="38">
        <v>0.19478737997256501</v>
      </c>
      <c r="K85" s="38">
        <v>5.5555555555555497E-2</v>
      </c>
      <c r="L85" s="38">
        <v>0.158904109589041</v>
      </c>
      <c r="M85" s="38">
        <v>0.95061728395061695</v>
      </c>
      <c r="N85" s="38">
        <v>6.1728395061728301E-2</v>
      </c>
      <c r="O85" s="38">
        <v>0.189873417721519</v>
      </c>
      <c r="P85" s="38">
        <v>0.32345679012345602</v>
      </c>
      <c r="Q85" s="38">
        <v>0.98765432098765404</v>
      </c>
      <c r="R85" s="38">
        <v>0.76543209876543195</v>
      </c>
      <c r="S85" s="38">
        <v>0.97530864197530798</v>
      </c>
      <c r="T85" s="38">
        <v>1</v>
      </c>
      <c r="U85" s="38">
        <v>1</v>
      </c>
      <c r="V85" s="38">
        <v>0.11111111111111099</v>
      </c>
      <c r="W85" s="38">
        <v>1</v>
      </c>
      <c r="X85" s="38">
        <v>0.97530864197530798</v>
      </c>
      <c r="Y85" s="38">
        <v>0.90123456790123402</v>
      </c>
      <c r="Z85" s="38">
        <v>0.44444444444444398</v>
      </c>
      <c r="AA85" s="38">
        <v>1</v>
      </c>
      <c r="AB85" s="38">
        <v>1</v>
      </c>
      <c r="AC85" s="38">
        <v>1</v>
      </c>
      <c r="AD85" s="38">
        <v>1</v>
      </c>
      <c r="AE85" s="38">
        <v>0.938271604938271</v>
      </c>
      <c r="AF85" s="38">
        <v>1</v>
      </c>
      <c r="AG85" s="38">
        <v>0.19565217391304299</v>
      </c>
      <c r="AH85" s="38" t="s">
        <v>195</v>
      </c>
      <c r="AI85" s="39" t="s">
        <v>120</v>
      </c>
      <c r="AJ85" s="40" t="s">
        <v>120</v>
      </c>
    </row>
    <row r="86" spans="1:36" x14ac:dyDescent="0.35">
      <c r="A86" s="38">
        <v>0</v>
      </c>
      <c r="B86" s="38">
        <v>0.23765432098765399</v>
      </c>
      <c r="C86" s="38">
        <v>0.23899371069182301</v>
      </c>
      <c r="D86" s="38">
        <v>0.53703703703703698</v>
      </c>
      <c r="E86" s="38">
        <v>0.12757201646090499</v>
      </c>
      <c r="F86" s="38">
        <v>0.94805194805194803</v>
      </c>
      <c r="G86" s="38">
        <v>0.55692729766803795</v>
      </c>
      <c r="H86" s="38">
        <v>0.936708860759493</v>
      </c>
      <c r="I86" s="38">
        <v>0.407407407407407</v>
      </c>
      <c r="J86" s="38">
        <v>0.19478737997256501</v>
      </c>
      <c r="K86" s="38">
        <v>5.5555555555555497E-2</v>
      </c>
      <c r="L86" s="38">
        <v>0.158904109589041</v>
      </c>
      <c r="M86" s="38">
        <v>0.95061728395061695</v>
      </c>
      <c r="N86" s="38">
        <v>6.1728395061728301E-2</v>
      </c>
      <c r="O86" s="38">
        <v>0.189873417721519</v>
      </c>
      <c r="P86" s="38">
        <v>0.32345679012345602</v>
      </c>
      <c r="Q86" s="38">
        <v>0.98765432098765404</v>
      </c>
      <c r="R86" s="38">
        <v>0.76543209876543195</v>
      </c>
      <c r="S86" s="38">
        <v>0.97530864197530798</v>
      </c>
      <c r="T86" s="38">
        <v>1</v>
      </c>
      <c r="U86" s="38">
        <v>1</v>
      </c>
      <c r="V86" s="38">
        <v>0.11111111111111099</v>
      </c>
      <c r="W86" s="38">
        <v>1</v>
      </c>
      <c r="X86" s="38">
        <v>0.97530864197530798</v>
      </c>
      <c r="Y86" s="38">
        <v>0.90123456790123402</v>
      </c>
      <c r="Z86" s="38">
        <v>0.44444444444444398</v>
      </c>
      <c r="AA86" s="38">
        <v>1</v>
      </c>
      <c r="AB86" s="38">
        <v>1</v>
      </c>
      <c r="AC86" s="38">
        <v>1</v>
      </c>
      <c r="AD86" s="38">
        <v>1</v>
      </c>
      <c r="AE86" s="38">
        <v>0.938271604938271</v>
      </c>
      <c r="AF86" s="38">
        <v>1</v>
      </c>
      <c r="AG86" s="38">
        <v>0.19565217391304299</v>
      </c>
      <c r="AH86" s="38" t="s">
        <v>195</v>
      </c>
      <c r="AI86" s="39" t="s">
        <v>120</v>
      </c>
      <c r="AJ86" s="40" t="s">
        <v>120</v>
      </c>
    </row>
    <row r="87" spans="1:36" x14ac:dyDescent="0.35">
      <c r="A87" s="38">
        <v>0.33333333333333298</v>
      </c>
      <c r="B87" s="38">
        <v>0.25</v>
      </c>
      <c r="C87" s="38">
        <v>0.33333333333333298</v>
      </c>
      <c r="D87" s="38">
        <v>0.66666666666666596</v>
      </c>
      <c r="E87" s="38">
        <v>0</v>
      </c>
      <c r="F87" s="38">
        <v>1</v>
      </c>
      <c r="G87" s="38">
        <v>0.55555555555555503</v>
      </c>
      <c r="H87" s="38">
        <v>1</v>
      </c>
      <c r="I87" s="38">
        <v>0</v>
      </c>
      <c r="J87" s="38">
        <v>0</v>
      </c>
      <c r="K87" s="38">
        <v>0</v>
      </c>
      <c r="L87" s="38">
        <v>0.2</v>
      </c>
      <c r="M87" s="38">
        <v>1</v>
      </c>
      <c r="N87" s="38">
        <v>0</v>
      </c>
      <c r="O87" s="38">
        <v>0</v>
      </c>
      <c r="P87" s="38">
        <v>0</v>
      </c>
      <c r="Q87" s="38">
        <v>1</v>
      </c>
      <c r="R87" s="38">
        <v>1</v>
      </c>
      <c r="S87" s="38">
        <v>1</v>
      </c>
      <c r="T87" s="38">
        <v>1</v>
      </c>
      <c r="U87" s="38">
        <v>1</v>
      </c>
      <c r="V87" s="38">
        <v>0</v>
      </c>
      <c r="W87" s="38">
        <v>1</v>
      </c>
      <c r="X87" s="38">
        <v>1</v>
      </c>
      <c r="Y87" s="38">
        <v>1</v>
      </c>
      <c r="Z87" s="38">
        <v>1</v>
      </c>
      <c r="AA87" s="38">
        <v>1</v>
      </c>
      <c r="AB87" s="38">
        <v>1</v>
      </c>
      <c r="AC87" s="38">
        <v>1</v>
      </c>
      <c r="AD87" s="38">
        <v>1</v>
      </c>
      <c r="AE87" s="38">
        <v>1</v>
      </c>
      <c r="AF87" s="38">
        <v>1</v>
      </c>
      <c r="AG87" s="38">
        <v>0</v>
      </c>
      <c r="AH87" s="38" t="s">
        <v>195</v>
      </c>
      <c r="AI87" s="39" t="s">
        <v>120</v>
      </c>
      <c r="AJ87" s="40" t="s">
        <v>120</v>
      </c>
    </row>
    <row r="88" spans="1:36" x14ac:dyDescent="0.35">
      <c r="A88" s="38">
        <v>0.66666666666666596</v>
      </c>
      <c r="B88" s="38">
        <v>0.25</v>
      </c>
      <c r="C88" s="38">
        <v>0.23899371069182301</v>
      </c>
      <c r="D88" s="38">
        <v>1</v>
      </c>
      <c r="E88" s="38">
        <v>0.33333333333333298</v>
      </c>
      <c r="F88" s="38">
        <v>1</v>
      </c>
      <c r="G88" s="38">
        <v>0.55555555555555503</v>
      </c>
      <c r="H88" s="38">
        <v>1</v>
      </c>
      <c r="I88" s="38">
        <v>0.5</v>
      </c>
      <c r="J88" s="38">
        <v>0</v>
      </c>
      <c r="K88" s="38">
        <v>0</v>
      </c>
      <c r="L88" s="38">
        <v>0.2</v>
      </c>
      <c r="M88" s="38">
        <v>0.5</v>
      </c>
      <c r="N88" s="38">
        <v>0</v>
      </c>
      <c r="O88" s="38">
        <v>0</v>
      </c>
      <c r="P88" s="38">
        <v>0.4</v>
      </c>
      <c r="Q88" s="38">
        <v>1</v>
      </c>
      <c r="R88" s="38">
        <v>1</v>
      </c>
      <c r="S88" s="38">
        <v>1</v>
      </c>
      <c r="T88" s="38">
        <v>1</v>
      </c>
      <c r="U88" s="38">
        <v>1</v>
      </c>
      <c r="V88" s="38">
        <v>0</v>
      </c>
      <c r="W88" s="38">
        <v>1</v>
      </c>
      <c r="X88" s="38">
        <v>1</v>
      </c>
      <c r="Y88" s="38">
        <v>1</v>
      </c>
      <c r="Z88" s="38">
        <v>0</v>
      </c>
      <c r="AA88" s="38">
        <v>1</v>
      </c>
      <c r="AB88" s="38">
        <v>1</v>
      </c>
      <c r="AC88" s="38">
        <v>1</v>
      </c>
      <c r="AD88" s="38">
        <v>1</v>
      </c>
      <c r="AE88" s="38">
        <v>1</v>
      </c>
      <c r="AF88" s="38">
        <v>1</v>
      </c>
      <c r="AG88" s="38">
        <v>0.19565217391304299</v>
      </c>
      <c r="AH88" s="38" t="s">
        <v>195</v>
      </c>
      <c r="AI88" s="39" t="s">
        <v>120</v>
      </c>
      <c r="AJ88" s="40" t="s">
        <v>120</v>
      </c>
    </row>
    <row r="89" spans="1:36" x14ac:dyDescent="0.35">
      <c r="A89" s="38">
        <v>0.83333333333333304</v>
      </c>
      <c r="B89" s="38">
        <v>0.25</v>
      </c>
      <c r="C89" s="38">
        <v>0.33333333333333298</v>
      </c>
      <c r="D89" s="38">
        <v>0.66666666666666596</v>
      </c>
      <c r="E89" s="38">
        <v>0</v>
      </c>
      <c r="F89" s="38">
        <v>1</v>
      </c>
      <c r="G89" s="38">
        <v>0.55555555555555503</v>
      </c>
      <c r="H89" s="38">
        <v>1</v>
      </c>
      <c r="I89" s="38">
        <v>0.5</v>
      </c>
      <c r="J89" s="38">
        <v>1</v>
      </c>
      <c r="K89" s="38">
        <v>0</v>
      </c>
      <c r="L89" s="38">
        <v>0.2</v>
      </c>
      <c r="M89" s="38">
        <v>1</v>
      </c>
      <c r="N89" s="38">
        <v>0</v>
      </c>
      <c r="O89" s="38">
        <v>1</v>
      </c>
      <c r="P89" s="38">
        <v>0.4</v>
      </c>
      <c r="Q89" s="38">
        <v>1</v>
      </c>
      <c r="R89" s="38">
        <v>1</v>
      </c>
      <c r="S89" s="38">
        <v>1</v>
      </c>
      <c r="T89" s="38">
        <v>1</v>
      </c>
      <c r="U89" s="38">
        <v>1</v>
      </c>
      <c r="V89" s="38">
        <v>0</v>
      </c>
      <c r="W89" s="38">
        <v>1</v>
      </c>
      <c r="X89" s="38">
        <v>1</v>
      </c>
      <c r="Y89" s="38">
        <v>1</v>
      </c>
      <c r="Z89" s="38">
        <v>0</v>
      </c>
      <c r="AA89" s="38">
        <v>1</v>
      </c>
      <c r="AB89" s="38">
        <v>1</v>
      </c>
      <c r="AC89" s="38">
        <v>1</v>
      </c>
      <c r="AD89" s="38">
        <v>1</v>
      </c>
      <c r="AE89" s="38">
        <v>1</v>
      </c>
      <c r="AF89" s="38">
        <v>1</v>
      </c>
      <c r="AG89" s="38">
        <v>0</v>
      </c>
      <c r="AH89" s="38" t="s">
        <v>195</v>
      </c>
      <c r="AI89" s="39" t="s">
        <v>120</v>
      </c>
      <c r="AJ89" s="40" t="s">
        <v>121</v>
      </c>
    </row>
    <row r="90" spans="1:36" x14ac:dyDescent="0.35">
      <c r="A90" s="38">
        <v>0.66666666666666596</v>
      </c>
      <c r="B90" s="38">
        <v>0.25</v>
      </c>
      <c r="C90" s="38">
        <v>0.33333333333333298</v>
      </c>
      <c r="D90" s="38">
        <v>0.66666666666666596</v>
      </c>
      <c r="E90" s="38">
        <v>0.33333333333333298</v>
      </c>
      <c r="F90" s="38">
        <v>1</v>
      </c>
      <c r="G90" s="38">
        <v>0.55555555555555503</v>
      </c>
      <c r="H90" s="38">
        <v>1</v>
      </c>
      <c r="I90" s="38">
        <v>0</v>
      </c>
      <c r="J90" s="38">
        <v>0</v>
      </c>
      <c r="K90" s="38">
        <v>0</v>
      </c>
      <c r="L90" s="38">
        <v>0</v>
      </c>
      <c r="M90" s="38">
        <v>1</v>
      </c>
      <c r="N90" s="38">
        <v>0</v>
      </c>
      <c r="O90" s="38">
        <v>0</v>
      </c>
      <c r="P90" s="38">
        <v>0</v>
      </c>
      <c r="Q90" s="38">
        <v>1</v>
      </c>
      <c r="R90" s="38">
        <v>0</v>
      </c>
      <c r="S90" s="38">
        <v>1</v>
      </c>
      <c r="T90" s="38">
        <v>1</v>
      </c>
      <c r="U90" s="38">
        <v>1</v>
      </c>
      <c r="V90" s="38">
        <v>0</v>
      </c>
      <c r="W90" s="38">
        <v>1</v>
      </c>
      <c r="X90" s="38">
        <v>1</v>
      </c>
      <c r="Y90" s="38">
        <v>1</v>
      </c>
      <c r="Z90" s="38">
        <v>0</v>
      </c>
      <c r="AA90" s="38">
        <v>1</v>
      </c>
      <c r="AB90" s="38">
        <v>1</v>
      </c>
      <c r="AC90" s="38">
        <v>1</v>
      </c>
      <c r="AD90" s="38">
        <v>1</v>
      </c>
      <c r="AE90" s="38">
        <v>1</v>
      </c>
      <c r="AF90" s="38">
        <v>1</v>
      </c>
      <c r="AG90" s="38">
        <v>1</v>
      </c>
      <c r="AH90" s="38" t="s">
        <v>195</v>
      </c>
      <c r="AI90" s="39" t="s">
        <v>120</v>
      </c>
      <c r="AJ90" s="40" t="s">
        <v>120</v>
      </c>
    </row>
    <row r="91" spans="1:36" x14ac:dyDescent="0.35">
      <c r="A91" s="38">
        <v>0.16666666666666599</v>
      </c>
      <c r="B91" s="38">
        <v>0</v>
      </c>
      <c r="C91" s="38">
        <v>0</v>
      </c>
      <c r="D91" s="38">
        <v>0</v>
      </c>
      <c r="E91" s="38">
        <v>0</v>
      </c>
      <c r="F91" s="38">
        <v>1</v>
      </c>
      <c r="G91" s="38">
        <v>0.55555555555555503</v>
      </c>
      <c r="H91" s="38">
        <v>1</v>
      </c>
      <c r="I91" s="38">
        <v>1</v>
      </c>
      <c r="J91" s="38">
        <v>0.33333333333333298</v>
      </c>
      <c r="K91" s="38">
        <v>0</v>
      </c>
      <c r="L91" s="38">
        <v>0.2</v>
      </c>
      <c r="M91" s="38">
        <v>1</v>
      </c>
      <c r="N91" s="38">
        <v>0</v>
      </c>
      <c r="O91" s="38">
        <v>0</v>
      </c>
      <c r="P91" s="38">
        <v>0</v>
      </c>
      <c r="Q91" s="38">
        <v>1</v>
      </c>
      <c r="R91" s="38">
        <v>0</v>
      </c>
      <c r="S91" s="38">
        <v>1</v>
      </c>
      <c r="T91" s="38">
        <v>1</v>
      </c>
      <c r="U91" s="38">
        <v>1</v>
      </c>
      <c r="V91" s="38">
        <v>0</v>
      </c>
      <c r="W91" s="38">
        <v>1</v>
      </c>
      <c r="X91" s="38">
        <v>1</v>
      </c>
      <c r="Y91" s="38">
        <v>1</v>
      </c>
      <c r="Z91" s="38">
        <v>1</v>
      </c>
      <c r="AA91" s="38">
        <v>1</v>
      </c>
      <c r="AB91" s="38">
        <v>1</v>
      </c>
      <c r="AC91" s="38">
        <v>1</v>
      </c>
      <c r="AD91" s="38">
        <v>1</v>
      </c>
      <c r="AE91" s="38">
        <v>0</v>
      </c>
      <c r="AF91" s="38">
        <v>1</v>
      </c>
      <c r="AG91" s="38">
        <v>0.5</v>
      </c>
      <c r="AH91" s="38" t="s">
        <v>195</v>
      </c>
      <c r="AI91" s="39" t="s">
        <v>120</v>
      </c>
      <c r="AJ91" s="40" t="s">
        <v>120</v>
      </c>
    </row>
    <row r="92" spans="1:36" x14ac:dyDescent="0.35">
      <c r="A92" s="38">
        <v>1</v>
      </c>
      <c r="B92" s="38">
        <v>0.25</v>
      </c>
      <c r="C92" s="38">
        <v>0.23899371069182301</v>
      </c>
      <c r="D92" s="38">
        <v>0.66666666666666596</v>
      </c>
      <c r="E92" s="38">
        <v>0</v>
      </c>
      <c r="F92" s="38">
        <v>1</v>
      </c>
      <c r="G92" s="38">
        <v>0.55555555555555503</v>
      </c>
      <c r="H92" s="38">
        <v>1</v>
      </c>
      <c r="I92" s="38">
        <v>0.5</v>
      </c>
      <c r="J92" s="38">
        <v>0</v>
      </c>
      <c r="K92" s="38">
        <v>0</v>
      </c>
      <c r="L92" s="38">
        <v>0.2</v>
      </c>
      <c r="M92" s="38">
        <v>1</v>
      </c>
      <c r="N92" s="38">
        <v>0</v>
      </c>
      <c r="O92" s="38">
        <v>0</v>
      </c>
      <c r="P92" s="38">
        <v>0.4</v>
      </c>
      <c r="Q92" s="38">
        <v>1</v>
      </c>
      <c r="R92" s="38">
        <v>1</v>
      </c>
      <c r="S92" s="38">
        <v>1</v>
      </c>
      <c r="T92" s="38">
        <v>1</v>
      </c>
      <c r="U92" s="38">
        <v>1</v>
      </c>
      <c r="V92" s="38">
        <v>1</v>
      </c>
      <c r="W92" s="38">
        <v>1</v>
      </c>
      <c r="X92" s="38">
        <v>1</v>
      </c>
      <c r="Y92" s="38">
        <v>1</v>
      </c>
      <c r="Z92" s="38">
        <v>1</v>
      </c>
      <c r="AA92" s="38">
        <v>1</v>
      </c>
      <c r="AB92" s="38">
        <v>1</v>
      </c>
      <c r="AC92" s="38">
        <v>1</v>
      </c>
      <c r="AD92" s="38">
        <v>1</v>
      </c>
      <c r="AE92" s="38">
        <v>1</v>
      </c>
      <c r="AF92" s="38">
        <v>1</v>
      </c>
      <c r="AG92" s="38">
        <v>0.19565217391304299</v>
      </c>
      <c r="AH92" s="38" t="s">
        <v>195</v>
      </c>
      <c r="AI92" s="39" t="s">
        <v>120</v>
      </c>
      <c r="AJ92" s="40" t="s">
        <v>120</v>
      </c>
    </row>
    <row r="93" spans="1:36" x14ac:dyDescent="0.35">
      <c r="A93" s="38">
        <v>0</v>
      </c>
      <c r="B93" s="38">
        <v>0</v>
      </c>
      <c r="C93" s="38">
        <v>0</v>
      </c>
      <c r="D93" s="38">
        <v>0.66666666666666596</v>
      </c>
      <c r="E93" s="38">
        <v>0</v>
      </c>
      <c r="F93" s="38">
        <v>1</v>
      </c>
      <c r="G93" s="38">
        <v>0.55555555555555503</v>
      </c>
      <c r="H93" s="38">
        <v>1</v>
      </c>
      <c r="I93" s="38">
        <v>1</v>
      </c>
      <c r="J93" s="38">
        <v>0</v>
      </c>
      <c r="K93" s="38">
        <v>0</v>
      </c>
      <c r="L93" s="38">
        <v>0</v>
      </c>
      <c r="M93" s="38">
        <v>1</v>
      </c>
      <c r="N93" s="38">
        <v>0</v>
      </c>
      <c r="O93" s="38">
        <v>0</v>
      </c>
      <c r="P93" s="38">
        <v>0</v>
      </c>
      <c r="Q93" s="38">
        <v>1</v>
      </c>
      <c r="R93" s="38">
        <v>0</v>
      </c>
      <c r="S93" s="38">
        <v>1</v>
      </c>
      <c r="T93" s="38">
        <v>1</v>
      </c>
      <c r="U93" s="38">
        <v>1</v>
      </c>
      <c r="V93" s="38">
        <v>0</v>
      </c>
      <c r="W93" s="38">
        <v>1</v>
      </c>
      <c r="X93" s="38">
        <v>1</v>
      </c>
      <c r="Y93" s="38">
        <v>1</v>
      </c>
      <c r="Z93" s="38">
        <v>1</v>
      </c>
      <c r="AA93" s="38">
        <v>1</v>
      </c>
      <c r="AB93" s="38">
        <v>1</v>
      </c>
      <c r="AC93" s="38">
        <v>1</v>
      </c>
      <c r="AD93" s="38">
        <v>1</v>
      </c>
      <c r="AE93" s="38">
        <v>0</v>
      </c>
      <c r="AF93" s="38">
        <v>1</v>
      </c>
      <c r="AG93" s="38">
        <v>1</v>
      </c>
      <c r="AH93" s="38" t="s">
        <v>195</v>
      </c>
      <c r="AI93" s="39" t="s">
        <v>120</v>
      </c>
      <c r="AJ93" s="40" t="s">
        <v>120</v>
      </c>
    </row>
    <row r="94" spans="1:36" x14ac:dyDescent="0.35">
      <c r="A94" s="38">
        <v>0</v>
      </c>
      <c r="B94" s="38">
        <v>0</v>
      </c>
      <c r="C94" s="38">
        <v>0.33333333333333298</v>
      </c>
      <c r="D94" s="38">
        <v>1</v>
      </c>
      <c r="E94" s="38">
        <v>0.33333333333333298</v>
      </c>
      <c r="F94" s="38">
        <v>1</v>
      </c>
      <c r="G94" s="38">
        <v>0.55555555555555503</v>
      </c>
      <c r="H94" s="38">
        <v>1</v>
      </c>
      <c r="I94" s="38">
        <v>0</v>
      </c>
      <c r="J94" s="38">
        <v>0</v>
      </c>
      <c r="K94" s="38">
        <v>0</v>
      </c>
      <c r="L94" s="38">
        <v>0.2</v>
      </c>
      <c r="M94" s="38">
        <v>1</v>
      </c>
      <c r="N94" s="38">
        <v>0.33333333333333298</v>
      </c>
      <c r="O94" s="38">
        <v>0</v>
      </c>
      <c r="P94" s="38">
        <v>0.4</v>
      </c>
      <c r="Q94" s="38">
        <v>1</v>
      </c>
      <c r="R94" s="38">
        <v>1</v>
      </c>
      <c r="S94" s="38">
        <v>1</v>
      </c>
      <c r="T94" s="38">
        <v>1</v>
      </c>
      <c r="U94" s="38">
        <v>1</v>
      </c>
      <c r="V94" s="38">
        <v>0</v>
      </c>
      <c r="W94" s="38">
        <v>1</v>
      </c>
      <c r="X94" s="38">
        <v>1</v>
      </c>
      <c r="Y94" s="38">
        <v>1</v>
      </c>
      <c r="Z94" s="38">
        <v>1</v>
      </c>
      <c r="AA94" s="38">
        <v>1</v>
      </c>
      <c r="AB94" s="38">
        <v>1</v>
      </c>
      <c r="AC94" s="38">
        <v>1</v>
      </c>
      <c r="AD94" s="38">
        <v>1</v>
      </c>
      <c r="AE94" s="38">
        <v>1</v>
      </c>
      <c r="AF94" s="38">
        <v>1</v>
      </c>
      <c r="AG94" s="38">
        <v>0.19565217391304299</v>
      </c>
      <c r="AH94" s="38" t="s">
        <v>195</v>
      </c>
      <c r="AI94" s="39" t="s">
        <v>120</v>
      </c>
      <c r="AJ94" s="40" t="s">
        <v>120</v>
      </c>
    </row>
    <row r="95" spans="1:36" x14ac:dyDescent="0.35">
      <c r="A95" s="38">
        <v>0.66666666666666596</v>
      </c>
      <c r="B95" s="38">
        <v>0</v>
      </c>
      <c r="C95" s="38">
        <v>0</v>
      </c>
      <c r="D95" s="38">
        <v>0</v>
      </c>
      <c r="E95" s="38">
        <v>0</v>
      </c>
      <c r="F95" s="38">
        <v>0</v>
      </c>
      <c r="G95" s="38">
        <v>0.55555555555555503</v>
      </c>
      <c r="H95" s="38">
        <v>1</v>
      </c>
      <c r="I95" s="38">
        <v>1</v>
      </c>
      <c r="J95" s="38">
        <v>0</v>
      </c>
      <c r="K95" s="38">
        <v>0</v>
      </c>
      <c r="L95" s="38">
        <v>0.2</v>
      </c>
      <c r="M95" s="38">
        <v>1</v>
      </c>
      <c r="N95" s="38">
        <v>0</v>
      </c>
      <c r="O95" s="38">
        <v>0</v>
      </c>
      <c r="P95" s="38">
        <v>0</v>
      </c>
      <c r="Q95" s="38">
        <v>1</v>
      </c>
      <c r="R95" s="38">
        <v>0</v>
      </c>
      <c r="S95" s="38">
        <v>0</v>
      </c>
      <c r="T95" s="38">
        <v>1</v>
      </c>
      <c r="U95" s="38">
        <v>1</v>
      </c>
      <c r="V95" s="38">
        <v>0</v>
      </c>
      <c r="W95" s="38">
        <v>1</v>
      </c>
      <c r="X95" s="38">
        <v>0</v>
      </c>
      <c r="Y95" s="38">
        <v>1</v>
      </c>
      <c r="Z95" s="38">
        <v>0</v>
      </c>
      <c r="AA95" s="38">
        <v>1</v>
      </c>
      <c r="AB95" s="38">
        <v>1</v>
      </c>
      <c r="AC95" s="38">
        <v>1</v>
      </c>
      <c r="AD95" s="38">
        <v>1</v>
      </c>
      <c r="AE95" s="38">
        <v>1</v>
      </c>
      <c r="AF95" s="38">
        <v>1</v>
      </c>
      <c r="AG95" s="38">
        <v>0</v>
      </c>
      <c r="AH95" s="38" t="s">
        <v>195</v>
      </c>
      <c r="AI95" s="39" t="s">
        <v>120</v>
      </c>
      <c r="AJ95" s="40" t="s">
        <v>120</v>
      </c>
    </row>
    <row r="96" spans="1:36" x14ac:dyDescent="0.35">
      <c r="A96" s="38">
        <v>0.5</v>
      </c>
      <c r="B96" s="38">
        <v>0</v>
      </c>
      <c r="C96" s="38">
        <v>0</v>
      </c>
      <c r="D96" s="38">
        <v>0</v>
      </c>
      <c r="E96" s="38">
        <v>0</v>
      </c>
      <c r="F96" s="38">
        <v>0</v>
      </c>
      <c r="G96" s="38">
        <v>0.55555555555555503</v>
      </c>
      <c r="H96" s="38">
        <v>0</v>
      </c>
      <c r="I96" s="38">
        <v>0.5</v>
      </c>
      <c r="J96" s="38">
        <v>0</v>
      </c>
      <c r="K96" s="38">
        <v>0</v>
      </c>
      <c r="L96" s="38">
        <v>0</v>
      </c>
      <c r="M96" s="38">
        <v>1</v>
      </c>
      <c r="N96" s="38">
        <v>0</v>
      </c>
      <c r="O96" s="38">
        <v>0</v>
      </c>
      <c r="P96" s="38">
        <v>0</v>
      </c>
      <c r="Q96" s="38">
        <v>1</v>
      </c>
      <c r="R96" s="38">
        <v>0</v>
      </c>
      <c r="S96" s="38">
        <v>1</v>
      </c>
      <c r="T96" s="38">
        <v>1</v>
      </c>
      <c r="U96" s="38">
        <v>1</v>
      </c>
      <c r="V96" s="38">
        <v>0</v>
      </c>
      <c r="W96" s="38">
        <v>1</v>
      </c>
      <c r="X96" s="38">
        <v>0</v>
      </c>
      <c r="Y96" s="38">
        <v>1</v>
      </c>
      <c r="Z96" s="38">
        <v>0</v>
      </c>
      <c r="AA96" s="38">
        <v>1</v>
      </c>
      <c r="AB96" s="38">
        <v>1</v>
      </c>
      <c r="AC96" s="38">
        <v>1</v>
      </c>
      <c r="AD96" s="38">
        <v>1</v>
      </c>
      <c r="AE96" s="38">
        <v>1</v>
      </c>
      <c r="AF96" s="38">
        <v>1</v>
      </c>
      <c r="AG96" s="38">
        <v>0</v>
      </c>
      <c r="AH96" s="38" t="s">
        <v>195</v>
      </c>
      <c r="AI96" s="39" t="s">
        <v>120</v>
      </c>
      <c r="AJ96" s="40" t="s">
        <v>120</v>
      </c>
    </row>
    <row r="97" spans="1:36" x14ac:dyDescent="0.35">
      <c r="A97" s="38">
        <v>0</v>
      </c>
      <c r="B97" s="38">
        <v>0.23765432098765399</v>
      </c>
      <c r="C97" s="38">
        <v>0.23899371069182301</v>
      </c>
      <c r="D97" s="38">
        <v>0.53703703703703698</v>
      </c>
      <c r="E97" s="38">
        <v>0.12757201646090499</v>
      </c>
      <c r="F97" s="38">
        <v>0.94805194805194803</v>
      </c>
      <c r="G97" s="38">
        <v>0.55692729766803795</v>
      </c>
      <c r="H97" s="38">
        <v>0.936708860759493</v>
      </c>
      <c r="I97" s="38">
        <v>0.407407407407407</v>
      </c>
      <c r="J97" s="38">
        <v>0.19478737997256501</v>
      </c>
      <c r="K97" s="38">
        <v>5.5555555555555497E-2</v>
      </c>
      <c r="L97" s="38">
        <v>0.158904109589041</v>
      </c>
      <c r="M97" s="38">
        <v>0.95061728395061695</v>
      </c>
      <c r="N97" s="38">
        <v>6.1728395061728301E-2</v>
      </c>
      <c r="O97" s="38">
        <v>0.189873417721519</v>
      </c>
      <c r="P97" s="38">
        <v>0.32345679012345602</v>
      </c>
      <c r="Q97" s="38">
        <v>0.98765432098765404</v>
      </c>
      <c r="R97" s="38">
        <v>0.76543209876543195</v>
      </c>
      <c r="S97" s="38">
        <v>0.97530864197530798</v>
      </c>
      <c r="T97" s="38">
        <v>1</v>
      </c>
      <c r="U97" s="38">
        <v>1</v>
      </c>
      <c r="V97" s="38">
        <v>0.11111111111111099</v>
      </c>
      <c r="W97" s="38">
        <v>1</v>
      </c>
      <c r="X97" s="38">
        <v>0.97530864197530798</v>
      </c>
      <c r="Y97" s="38">
        <v>0.90123456790123402</v>
      </c>
      <c r="Z97" s="38">
        <v>0.44444444444444398</v>
      </c>
      <c r="AA97" s="38">
        <v>1</v>
      </c>
      <c r="AB97" s="38">
        <v>1</v>
      </c>
      <c r="AC97" s="38">
        <v>1</v>
      </c>
      <c r="AD97" s="38">
        <v>1</v>
      </c>
      <c r="AE97" s="38">
        <v>0.938271604938271</v>
      </c>
      <c r="AF97" s="38">
        <v>1</v>
      </c>
      <c r="AG97" s="38">
        <v>0.19565217391304299</v>
      </c>
      <c r="AH97" s="38" t="s">
        <v>195</v>
      </c>
      <c r="AI97" s="39" t="s">
        <v>120</v>
      </c>
      <c r="AJ97" s="40" t="s">
        <v>120</v>
      </c>
    </row>
    <row r="98" spans="1:36" x14ac:dyDescent="0.35">
      <c r="A98" s="38">
        <v>0</v>
      </c>
      <c r="B98" s="38">
        <v>0.23765432098765399</v>
      </c>
      <c r="C98" s="38">
        <v>0.23899371069182301</v>
      </c>
      <c r="D98" s="38">
        <v>0.53703703703703698</v>
      </c>
      <c r="E98" s="38">
        <v>0.12757201646090499</v>
      </c>
      <c r="F98" s="38">
        <v>0.94805194805194803</v>
      </c>
      <c r="G98" s="38">
        <v>0.55692729766803795</v>
      </c>
      <c r="H98" s="38">
        <v>0.936708860759493</v>
      </c>
      <c r="I98" s="38">
        <v>0.407407407407407</v>
      </c>
      <c r="J98" s="38">
        <v>0.19478737997256501</v>
      </c>
      <c r="K98" s="38">
        <v>5.5555555555555497E-2</v>
      </c>
      <c r="L98" s="38">
        <v>0.158904109589041</v>
      </c>
      <c r="M98" s="38">
        <v>0.95061728395061695</v>
      </c>
      <c r="N98" s="38">
        <v>6.1728395061728301E-2</v>
      </c>
      <c r="O98" s="38">
        <v>0.189873417721519</v>
      </c>
      <c r="P98" s="38">
        <v>0.32345679012345602</v>
      </c>
      <c r="Q98" s="38">
        <v>0.98765432098765404</v>
      </c>
      <c r="R98" s="38">
        <v>0.76543209876543195</v>
      </c>
      <c r="S98" s="38">
        <v>0.97530864197530798</v>
      </c>
      <c r="T98" s="38">
        <v>1</v>
      </c>
      <c r="U98" s="38">
        <v>1</v>
      </c>
      <c r="V98" s="38">
        <v>0.11111111111111099</v>
      </c>
      <c r="W98" s="38">
        <v>1</v>
      </c>
      <c r="X98" s="38">
        <v>0.97530864197530798</v>
      </c>
      <c r="Y98" s="38">
        <v>0.90123456790123402</v>
      </c>
      <c r="Z98" s="38">
        <v>0.44444444444444398</v>
      </c>
      <c r="AA98" s="38">
        <v>1</v>
      </c>
      <c r="AB98" s="38">
        <v>1</v>
      </c>
      <c r="AC98" s="38">
        <v>1</v>
      </c>
      <c r="AD98" s="38">
        <v>1</v>
      </c>
      <c r="AE98" s="38">
        <v>0.938271604938271</v>
      </c>
      <c r="AF98" s="38">
        <v>1</v>
      </c>
      <c r="AG98" s="38">
        <v>0.19565217391304299</v>
      </c>
      <c r="AH98" s="38" t="s">
        <v>195</v>
      </c>
      <c r="AI98" s="39" t="s">
        <v>120</v>
      </c>
      <c r="AJ98" s="40" t="s">
        <v>120</v>
      </c>
    </row>
    <row r="99" spans="1:36" x14ac:dyDescent="0.35">
      <c r="A99" s="38">
        <v>0</v>
      </c>
      <c r="B99" s="38">
        <v>0.23765432098765399</v>
      </c>
      <c r="C99" s="38">
        <v>0.23899371069182301</v>
      </c>
      <c r="D99" s="38">
        <v>0.53703703703703698</v>
      </c>
      <c r="E99" s="38">
        <v>0.12757201646090499</v>
      </c>
      <c r="F99" s="38">
        <v>0.94805194805194803</v>
      </c>
      <c r="G99" s="38">
        <v>0.55692729766803795</v>
      </c>
      <c r="H99" s="38">
        <v>0.936708860759493</v>
      </c>
      <c r="I99" s="38">
        <v>0.407407407407407</v>
      </c>
      <c r="J99" s="38">
        <v>0.19478737997256501</v>
      </c>
      <c r="K99" s="38">
        <v>5.5555555555555497E-2</v>
      </c>
      <c r="L99" s="38">
        <v>0.158904109589041</v>
      </c>
      <c r="M99" s="38">
        <v>0.95061728395061695</v>
      </c>
      <c r="N99" s="38">
        <v>6.1728395061728301E-2</v>
      </c>
      <c r="O99" s="38">
        <v>0.189873417721519</v>
      </c>
      <c r="P99" s="38">
        <v>0.32345679012345602</v>
      </c>
      <c r="Q99" s="38">
        <v>0.98765432098765404</v>
      </c>
      <c r="R99" s="38">
        <v>0.76543209876543195</v>
      </c>
      <c r="S99" s="38">
        <v>0.97530864197530798</v>
      </c>
      <c r="T99" s="38">
        <v>1</v>
      </c>
      <c r="U99" s="38">
        <v>1</v>
      </c>
      <c r="V99" s="38">
        <v>0.11111111111111099</v>
      </c>
      <c r="W99" s="38">
        <v>1</v>
      </c>
      <c r="X99" s="38">
        <v>0.97530864197530798</v>
      </c>
      <c r="Y99" s="38">
        <v>0.90123456790123402</v>
      </c>
      <c r="Z99" s="38">
        <v>0.44444444444444398</v>
      </c>
      <c r="AA99" s="38">
        <v>1</v>
      </c>
      <c r="AB99" s="38">
        <v>1</v>
      </c>
      <c r="AC99" s="38">
        <v>1</v>
      </c>
      <c r="AD99" s="38">
        <v>1</v>
      </c>
      <c r="AE99" s="38">
        <v>0.938271604938271</v>
      </c>
      <c r="AF99" s="38">
        <v>1</v>
      </c>
      <c r="AG99" s="38">
        <v>0.19565217391304299</v>
      </c>
      <c r="AH99" s="38" t="s">
        <v>195</v>
      </c>
      <c r="AI99" s="39" t="s">
        <v>120</v>
      </c>
      <c r="AJ99" s="40" t="s">
        <v>120</v>
      </c>
    </row>
    <row r="100" spans="1:36" x14ac:dyDescent="0.35">
      <c r="A100" s="38">
        <v>0</v>
      </c>
      <c r="B100" s="38">
        <v>0.23765432098765399</v>
      </c>
      <c r="C100" s="38">
        <v>0.23899371069182301</v>
      </c>
      <c r="D100" s="38">
        <v>0.53703703703703698</v>
      </c>
      <c r="E100" s="38">
        <v>0.12757201646090499</v>
      </c>
      <c r="F100" s="38">
        <v>0.94805194805194803</v>
      </c>
      <c r="G100" s="38">
        <v>0.55692729766803795</v>
      </c>
      <c r="H100" s="38">
        <v>0.936708860759493</v>
      </c>
      <c r="I100" s="38">
        <v>0.407407407407407</v>
      </c>
      <c r="J100" s="38">
        <v>0.19478737997256501</v>
      </c>
      <c r="K100" s="38">
        <v>5.5555555555555497E-2</v>
      </c>
      <c r="L100" s="38">
        <v>0.158904109589041</v>
      </c>
      <c r="M100" s="38">
        <v>0.95061728395061695</v>
      </c>
      <c r="N100" s="38">
        <v>6.1728395061728301E-2</v>
      </c>
      <c r="O100" s="38">
        <v>0.189873417721519</v>
      </c>
      <c r="P100" s="38">
        <v>0.32345679012345602</v>
      </c>
      <c r="Q100" s="38">
        <v>0.98765432098765404</v>
      </c>
      <c r="R100" s="38">
        <v>0.76543209876543195</v>
      </c>
      <c r="S100" s="38">
        <v>0.97530864197530798</v>
      </c>
      <c r="T100" s="38">
        <v>1</v>
      </c>
      <c r="U100" s="38">
        <v>1</v>
      </c>
      <c r="V100" s="38">
        <v>0.11111111111111099</v>
      </c>
      <c r="W100" s="38">
        <v>1</v>
      </c>
      <c r="X100" s="38">
        <v>0.97530864197530798</v>
      </c>
      <c r="Y100" s="38">
        <v>0.90123456790123402</v>
      </c>
      <c r="Z100" s="38">
        <v>0.44444444444444398</v>
      </c>
      <c r="AA100" s="38">
        <v>1</v>
      </c>
      <c r="AB100" s="38">
        <v>1</v>
      </c>
      <c r="AC100" s="38">
        <v>1</v>
      </c>
      <c r="AD100" s="38">
        <v>1</v>
      </c>
      <c r="AE100" s="38">
        <v>0.938271604938271</v>
      </c>
      <c r="AF100" s="38">
        <v>1</v>
      </c>
      <c r="AG100" s="38">
        <v>0.19565217391304299</v>
      </c>
      <c r="AH100" s="38" t="s">
        <v>195</v>
      </c>
      <c r="AI100" s="39" t="s">
        <v>120</v>
      </c>
      <c r="AJ100" s="40" t="s">
        <v>120</v>
      </c>
    </row>
    <row r="101" spans="1:36" x14ac:dyDescent="0.35">
      <c r="A101" s="38">
        <v>0.5</v>
      </c>
      <c r="B101" s="38">
        <v>0</v>
      </c>
      <c r="C101" s="38">
        <v>0</v>
      </c>
      <c r="D101" s="38">
        <v>0.66666666666666596</v>
      </c>
      <c r="E101" s="38">
        <v>0</v>
      </c>
      <c r="F101" s="38">
        <v>1</v>
      </c>
      <c r="G101" s="38">
        <v>0.55555555555555503</v>
      </c>
      <c r="H101" s="38">
        <v>1</v>
      </c>
      <c r="I101" s="38">
        <v>0.5</v>
      </c>
      <c r="J101" s="38">
        <v>1</v>
      </c>
      <c r="K101" s="38">
        <v>0</v>
      </c>
      <c r="L101" s="38">
        <v>0</v>
      </c>
      <c r="M101" s="38">
        <v>1</v>
      </c>
      <c r="N101" s="38">
        <v>0</v>
      </c>
      <c r="O101" s="38">
        <v>1</v>
      </c>
      <c r="P101" s="38">
        <v>0.4</v>
      </c>
      <c r="Q101" s="38">
        <v>1</v>
      </c>
      <c r="R101" s="38">
        <v>1</v>
      </c>
      <c r="S101" s="38">
        <v>1</v>
      </c>
      <c r="T101" s="38">
        <v>1</v>
      </c>
      <c r="U101" s="38">
        <v>1</v>
      </c>
      <c r="V101" s="38">
        <v>0</v>
      </c>
      <c r="W101" s="38">
        <v>1</v>
      </c>
      <c r="X101" s="38">
        <v>1</v>
      </c>
      <c r="Y101" s="38">
        <v>1</v>
      </c>
      <c r="Z101" s="38">
        <v>0</v>
      </c>
      <c r="AA101" s="38">
        <v>1</v>
      </c>
      <c r="AB101" s="38">
        <v>1</v>
      </c>
      <c r="AC101" s="38">
        <v>1</v>
      </c>
      <c r="AD101" s="38">
        <v>1</v>
      </c>
      <c r="AE101" s="38">
        <v>1</v>
      </c>
      <c r="AF101" s="38">
        <v>1</v>
      </c>
      <c r="AG101" s="38">
        <v>0</v>
      </c>
      <c r="AH101" s="38" t="s">
        <v>195</v>
      </c>
      <c r="AI101" s="39" t="s">
        <v>120</v>
      </c>
      <c r="AJ101" s="40" t="s">
        <v>120</v>
      </c>
    </row>
  </sheetData>
  <sortState xmlns:xlrd2="http://schemas.microsoft.com/office/spreadsheetml/2017/richdata2" ref="HY2:IB61">
    <sortCondition ref="HZ2:HZ61"/>
  </sortState>
  <mergeCells count="48">
    <mergeCell ref="HY2:HY61"/>
    <mergeCell ref="HT2:HT61"/>
    <mergeCell ref="EC2:EC61"/>
    <mergeCell ref="EH2:EH61"/>
    <mergeCell ref="EM2:EM61"/>
    <mergeCell ref="ER2:ER61"/>
    <mergeCell ref="EW2:EW61"/>
    <mergeCell ref="GK2:GK61"/>
    <mergeCell ref="GP2:GP61"/>
    <mergeCell ref="GU2:GU61"/>
    <mergeCell ref="GF2:GF61"/>
    <mergeCell ref="DX2:DX61"/>
    <mergeCell ref="AV2:AV61"/>
    <mergeCell ref="BA2:BA61"/>
    <mergeCell ref="BF2:BF61"/>
    <mergeCell ref="BK2:BK61"/>
    <mergeCell ref="BP2:BP61"/>
    <mergeCell ref="BU2:BU61"/>
    <mergeCell ref="BZ2:BZ61"/>
    <mergeCell ref="CE2:CE61"/>
    <mergeCell ref="HJ2:HJ61"/>
    <mergeCell ref="HO2:HO61"/>
    <mergeCell ref="GZ2:GZ61"/>
    <mergeCell ref="HE2:HE61"/>
    <mergeCell ref="FL2:FL61"/>
    <mergeCell ref="FQ2:FQ61"/>
    <mergeCell ref="FV2:FV61"/>
    <mergeCell ref="GA2:GA61"/>
    <mergeCell ref="FB2:FB61"/>
    <mergeCell ref="FG2:FG61"/>
    <mergeCell ref="DD2:DD61"/>
    <mergeCell ref="DI2:DI61"/>
    <mergeCell ref="DN2:DN61"/>
    <mergeCell ref="DS2:DS61"/>
    <mergeCell ref="CJ2:CJ61"/>
    <mergeCell ref="CO2:CO61"/>
    <mergeCell ref="CT2:CT61"/>
    <mergeCell ref="CY2:CY61"/>
    <mergeCell ref="AL63:AP63"/>
    <mergeCell ref="AL65:AM66"/>
    <mergeCell ref="AN65:AO65"/>
    <mergeCell ref="AP65:AP66"/>
    <mergeCell ref="AL2:AL61"/>
    <mergeCell ref="AQ2:AQ61"/>
    <mergeCell ref="AI2:AJ61"/>
    <mergeCell ref="AL67:AL68"/>
    <mergeCell ref="AL69:AM69"/>
    <mergeCell ref="AL71:AO7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BD6A-8FA7-4785-BD3B-B9B28570C9C9}">
  <dimension ref="A1:AH236"/>
  <sheetViews>
    <sheetView tabSelected="1" topLeftCell="A98" workbookViewId="0">
      <selection activeCell="K106" sqref="K106"/>
    </sheetView>
  </sheetViews>
  <sheetFormatPr defaultRowHeight="14.5" x14ac:dyDescent="0.35"/>
  <sheetData>
    <row r="1" spans="1:34" x14ac:dyDescent="0.35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</row>
    <row r="2" spans="1:34" x14ac:dyDescent="0.35">
      <c r="A2" s="2">
        <v>0.33333333333333298</v>
      </c>
      <c r="B2" s="2">
        <v>0.23765432098765399</v>
      </c>
      <c r="C2" s="2">
        <v>0.23899371069182301</v>
      </c>
      <c r="D2" s="2">
        <v>0.53703703703703698</v>
      </c>
      <c r="E2" s="2">
        <v>0.12757201646090499</v>
      </c>
      <c r="F2" s="2">
        <v>0.94805194805194803</v>
      </c>
      <c r="G2" s="2">
        <v>0.55692729766803795</v>
      </c>
      <c r="H2" s="2">
        <v>0.936708860759493</v>
      </c>
      <c r="I2" s="2">
        <v>0.407407407407407</v>
      </c>
      <c r="J2" s="2">
        <v>0.19478737997256501</v>
      </c>
      <c r="K2" s="2">
        <v>5.5555555555555497E-2</v>
      </c>
      <c r="L2" s="2">
        <v>0.158904109589041</v>
      </c>
      <c r="M2" s="2">
        <v>0.95061728395061695</v>
      </c>
      <c r="N2" s="2">
        <v>6.1728395061728301E-2</v>
      </c>
      <c r="O2" s="2">
        <v>0.189873417721519</v>
      </c>
      <c r="P2" s="2">
        <v>0.32345679012345602</v>
      </c>
      <c r="Q2" s="2">
        <v>0.98765432098765404</v>
      </c>
      <c r="R2" s="2">
        <v>0.76543209876543195</v>
      </c>
      <c r="S2" s="2">
        <v>0.97530864197530798</v>
      </c>
      <c r="T2" s="2">
        <v>1</v>
      </c>
      <c r="U2" s="2">
        <v>1</v>
      </c>
      <c r="V2" s="2">
        <v>0.11111111111111099</v>
      </c>
      <c r="W2" s="2">
        <v>1</v>
      </c>
      <c r="X2" s="2">
        <v>0.97530864197530798</v>
      </c>
      <c r="Y2" s="2">
        <v>0.90123456790123402</v>
      </c>
      <c r="Z2" s="2">
        <v>0.44444444444444398</v>
      </c>
      <c r="AA2" s="2">
        <v>1</v>
      </c>
      <c r="AB2" s="2">
        <v>1</v>
      </c>
      <c r="AC2" s="2">
        <v>1</v>
      </c>
      <c r="AD2" s="2">
        <v>1</v>
      </c>
      <c r="AE2" s="2">
        <v>0.938271604938271</v>
      </c>
      <c r="AF2" s="2">
        <v>1</v>
      </c>
      <c r="AG2" s="2">
        <v>0.19565217391304299</v>
      </c>
      <c r="AH2" s="2" t="s">
        <v>120</v>
      </c>
    </row>
    <row r="3" spans="1:34" x14ac:dyDescent="0.35">
      <c r="A3" s="2">
        <v>0.33333333333333298</v>
      </c>
      <c r="B3" s="2">
        <v>0.25</v>
      </c>
      <c r="C3" s="2">
        <v>0.33333333333333298</v>
      </c>
      <c r="D3" s="2">
        <v>0.66666666666666596</v>
      </c>
      <c r="E3" s="2">
        <v>0</v>
      </c>
      <c r="F3" s="2">
        <v>1</v>
      </c>
      <c r="G3" s="2">
        <v>0.55555555555555503</v>
      </c>
      <c r="H3" s="2">
        <v>1</v>
      </c>
      <c r="I3" s="2">
        <v>0.5</v>
      </c>
      <c r="J3" s="2">
        <v>1</v>
      </c>
      <c r="K3" s="2">
        <v>0</v>
      </c>
      <c r="L3" s="2">
        <v>0.2</v>
      </c>
      <c r="M3" s="2">
        <v>0</v>
      </c>
      <c r="N3" s="2">
        <v>0</v>
      </c>
      <c r="O3" s="2">
        <v>1</v>
      </c>
      <c r="P3" s="2">
        <v>0.4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0</v>
      </c>
      <c r="AH3" s="2" t="s">
        <v>120</v>
      </c>
    </row>
    <row r="4" spans="1:34" x14ac:dyDescent="0.35">
      <c r="A4" s="2">
        <v>0</v>
      </c>
      <c r="B4" s="2">
        <v>0</v>
      </c>
      <c r="C4" s="2">
        <v>0</v>
      </c>
      <c r="D4" s="2">
        <v>0.66666666666666596</v>
      </c>
      <c r="E4" s="2">
        <v>0.33333333333333298</v>
      </c>
      <c r="F4" s="2">
        <v>1</v>
      </c>
      <c r="G4" s="2">
        <v>0.55555555555555503</v>
      </c>
      <c r="H4" s="2">
        <v>1</v>
      </c>
      <c r="I4" s="2">
        <v>0.5</v>
      </c>
      <c r="J4" s="2">
        <v>0</v>
      </c>
      <c r="K4" s="2">
        <v>0</v>
      </c>
      <c r="L4" s="2">
        <v>0.2</v>
      </c>
      <c r="M4" s="2">
        <v>0.5</v>
      </c>
      <c r="N4" s="2">
        <v>0</v>
      </c>
      <c r="O4" s="2">
        <v>0</v>
      </c>
      <c r="P4" s="2">
        <v>0.4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0.19565217391304299</v>
      </c>
      <c r="AH4" s="2" t="s">
        <v>120</v>
      </c>
    </row>
    <row r="5" spans="1:34" x14ac:dyDescent="0.35">
      <c r="A5" s="2">
        <v>0.16666666666666599</v>
      </c>
      <c r="B5" s="2">
        <v>0.5</v>
      </c>
      <c r="C5" s="2">
        <v>0.23899371069182301</v>
      </c>
      <c r="D5" s="2">
        <v>0.66666666666666596</v>
      </c>
      <c r="E5" s="2">
        <v>0</v>
      </c>
      <c r="F5" s="2">
        <v>1</v>
      </c>
      <c r="G5" s="2">
        <v>0.55555555555555503</v>
      </c>
      <c r="H5" s="2">
        <v>1</v>
      </c>
      <c r="I5" s="2">
        <v>0.5</v>
      </c>
      <c r="J5" s="2">
        <v>0</v>
      </c>
      <c r="K5" s="2">
        <v>0</v>
      </c>
      <c r="L5" s="2">
        <v>0.2</v>
      </c>
      <c r="M5" s="2">
        <v>1</v>
      </c>
      <c r="N5" s="2">
        <v>0</v>
      </c>
      <c r="O5" s="2">
        <v>0</v>
      </c>
      <c r="P5" s="2">
        <v>0.4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0.19565217391304299</v>
      </c>
      <c r="AH5" s="2" t="s">
        <v>120</v>
      </c>
    </row>
    <row r="6" spans="1:34" x14ac:dyDescent="0.35">
      <c r="A6" s="2">
        <v>0</v>
      </c>
      <c r="B6" s="2">
        <v>0.23765432098765399</v>
      </c>
      <c r="C6" s="2">
        <v>0.23899371069182301</v>
      </c>
      <c r="D6" s="2">
        <v>0.53703703703703698</v>
      </c>
      <c r="E6" s="2">
        <v>0.12757201646090499</v>
      </c>
      <c r="F6" s="2">
        <v>0.94805194805194803</v>
      </c>
      <c r="G6" s="2">
        <v>0.55692729766803795</v>
      </c>
      <c r="H6" s="2">
        <v>0.936708860759493</v>
      </c>
      <c r="I6" s="2">
        <v>0.407407407407407</v>
      </c>
      <c r="J6" s="2">
        <v>0.19478737997256501</v>
      </c>
      <c r="K6" s="2">
        <v>5.5555555555555497E-2</v>
      </c>
      <c r="L6" s="2">
        <v>0.158904109589041</v>
      </c>
      <c r="M6" s="2">
        <v>0.95061728395061695</v>
      </c>
      <c r="N6" s="2">
        <v>6.1728395061728301E-2</v>
      </c>
      <c r="O6" s="2">
        <v>0.189873417721519</v>
      </c>
      <c r="P6" s="2">
        <v>0.32345679012345602</v>
      </c>
      <c r="Q6" s="2">
        <v>0.98765432098765404</v>
      </c>
      <c r="R6" s="2">
        <v>0.76543209876543195</v>
      </c>
      <c r="S6" s="2">
        <v>0.97530864197530798</v>
      </c>
      <c r="T6" s="2">
        <v>1</v>
      </c>
      <c r="U6" s="2">
        <v>1</v>
      </c>
      <c r="V6" s="2">
        <v>0.11111111111111099</v>
      </c>
      <c r="W6" s="2">
        <v>1</v>
      </c>
      <c r="X6" s="2">
        <v>0.97530864197530798</v>
      </c>
      <c r="Y6" s="2">
        <v>0.90123456790123402</v>
      </c>
      <c r="Z6" s="2">
        <v>0.44444444444444398</v>
      </c>
      <c r="AA6" s="2">
        <v>1</v>
      </c>
      <c r="AB6" s="2">
        <v>1</v>
      </c>
      <c r="AC6" s="2">
        <v>1</v>
      </c>
      <c r="AD6" s="2">
        <v>1</v>
      </c>
      <c r="AE6" s="2">
        <v>0.938271604938271</v>
      </c>
      <c r="AF6" s="2">
        <v>1</v>
      </c>
      <c r="AG6" s="2">
        <v>0.19565217391304299</v>
      </c>
      <c r="AH6" s="2" t="s">
        <v>120</v>
      </c>
    </row>
    <row r="7" spans="1:34" x14ac:dyDescent="0.35">
      <c r="A7" s="2">
        <v>0</v>
      </c>
      <c r="B7" s="2">
        <v>0.23765432098765399</v>
      </c>
      <c r="C7" s="2">
        <v>0.23899371069182301</v>
      </c>
      <c r="D7" s="2">
        <v>0.53703703703703698</v>
      </c>
      <c r="E7" s="2">
        <v>0.12757201646090499</v>
      </c>
      <c r="F7" s="2">
        <v>0.94805194805194803</v>
      </c>
      <c r="G7" s="2">
        <v>0.55692729766803795</v>
      </c>
      <c r="H7" s="2">
        <v>0.936708860759493</v>
      </c>
      <c r="I7" s="2">
        <v>0.407407407407407</v>
      </c>
      <c r="J7" s="2">
        <v>0.19478737997256501</v>
      </c>
      <c r="K7" s="2">
        <v>5.5555555555555497E-2</v>
      </c>
      <c r="L7" s="2">
        <v>0.158904109589041</v>
      </c>
      <c r="M7" s="2">
        <v>0.95061728395061695</v>
      </c>
      <c r="N7" s="2">
        <v>6.1728395061728301E-2</v>
      </c>
      <c r="O7" s="2">
        <v>0.189873417721519</v>
      </c>
      <c r="P7" s="2">
        <v>0.32345679012345602</v>
      </c>
      <c r="Q7" s="2">
        <v>0.98765432098765404</v>
      </c>
      <c r="R7" s="2">
        <v>0.76543209876543195</v>
      </c>
      <c r="S7" s="2">
        <v>0.97530864197530798</v>
      </c>
      <c r="T7" s="2">
        <v>1</v>
      </c>
      <c r="U7" s="2">
        <v>1</v>
      </c>
      <c r="V7" s="2">
        <v>0.11111111111111099</v>
      </c>
      <c r="W7" s="2">
        <v>1</v>
      </c>
      <c r="X7" s="2">
        <v>0.97530864197530798</v>
      </c>
      <c r="Y7" s="2">
        <v>0.90123456790123402</v>
      </c>
      <c r="Z7" s="2">
        <v>0.44444444444444398</v>
      </c>
      <c r="AA7" s="2">
        <v>1</v>
      </c>
      <c r="AB7" s="2">
        <v>1</v>
      </c>
      <c r="AC7" s="2">
        <v>1</v>
      </c>
      <c r="AD7" s="2">
        <v>1</v>
      </c>
      <c r="AE7" s="2">
        <v>0.938271604938271</v>
      </c>
      <c r="AF7" s="2">
        <v>1</v>
      </c>
      <c r="AG7" s="2">
        <v>0.19565217391304299</v>
      </c>
      <c r="AH7" s="2" t="s">
        <v>120</v>
      </c>
    </row>
    <row r="8" spans="1:34" x14ac:dyDescent="0.35">
      <c r="A8" s="2">
        <v>0.83333333333333304</v>
      </c>
      <c r="B8" s="2">
        <v>0.5</v>
      </c>
      <c r="C8" s="2">
        <v>0</v>
      </c>
      <c r="D8" s="2">
        <v>0.66666666666666596</v>
      </c>
      <c r="E8" s="2">
        <v>0</v>
      </c>
      <c r="F8" s="2">
        <v>1</v>
      </c>
      <c r="G8" s="2">
        <v>0.55555555555555503</v>
      </c>
      <c r="H8" s="2">
        <v>1</v>
      </c>
      <c r="I8" s="2">
        <v>0.5</v>
      </c>
      <c r="J8" s="2">
        <v>0</v>
      </c>
      <c r="K8" s="2">
        <v>0</v>
      </c>
      <c r="L8" s="2">
        <v>0</v>
      </c>
      <c r="M8" s="2">
        <v>1</v>
      </c>
      <c r="N8" s="2">
        <v>0.33333333333333298</v>
      </c>
      <c r="O8" s="2">
        <v>0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0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0</v>
      </c>
      <c r="AH8" s="2" t="s">
        <v>120</v>
      </c>
    </row>
    <row r="9" spans="1:34" x14ac:dyDescent="0.35">
      <c r="A9" s="2">
        <v>0</v>
      </c>
      <c r="B9" s="2">
        <v>0.23765432098765399</v>
      </c>
      <c r="C9" s="2">
        <v>0.23899371069182301</v>
      </c>
      <c r="D9" s="2">
        <v>0.53703703703703698</v>
      </c>
      <c r="E9" s="2">
        <v>0.12757201646090499</v>
      </c>
      <c r="F9" s="2">
        <v>0.94805194805194803</v>
      </c>
      <c r="G9" s="2">
        <v>0.55692729766803795</v>
      </c>
      <c r="H9" s="2">
        <v>0.936708860759493</v>
      </c>
      <c r="I9" s="2">
        <v>0.407407407407407</v>
      </c>
      <c r="J9" s="2">
        <v>0.19478737997256501</v>
      </c>
      <c r="K9" s="2">
        <v>5.5555555555555497E-2</v>
      </c>
      <c r="L9" s="2">
        <v>0.158904109589041</v>
      </c>
      <c r="M9" s="2">
        <v>0.95061728395061695</v>
      </c>
      <c r="N9" s="2">
        <v>6.1728395061728301E-2</v>
      </c>
      <c r="O9" s="2">
        <v>0.189873417721519</v>
      </c>
      <c r="P9" s="2">
        <v>0.32345679012345602</v>
      </c>
      <c r="Q9" s="2">
        <v>0.98765432098765404</v>
      </c>
      <c r="R9" s="2">
        <v>0.76543209876543195</v>
      </c>
      <c r="S9" s="2">
        <v>0.97530864197530798</v>
      </c>
      <c r="T9" s="2">
        <v>1</v>
      </c>
      <c r="U9" s="2">
        <v>1</v>
      </c>
      <c r="V9" s="2">
        <v>0.11111111111111099</v>
      </c>
      <c r="W9" s="2">
        <v>1</v>
      </c>
      <c r="X9" s="2">
        <v>0.97530864197530798</v>
      </c>
      <c r="Y9" s="2">
        <v>0.90123456790123402</v>
      </c>
      <c r="Z9" s="2">
        <v>0.44444444444444398</v>
      </c>
      <c r="AA9" s="2">
        <v>1</v>
      </c>
      <c r="AB9" s="2">
        <v>1</v>
      </c>
      <c r="AC9" s="2">
        <v>1</v>
      </c>
      <c r="AD9" s="2">
        <v>1</v>
      </c>
      <c r="AE9" s="2">
        <v>0.938271604938271</v>
      </c>
      <c r="AF9" s="2">
        <v>1</v>
      </c>
      <c r="AG9" s="2">
        <v>0.19565217391304299</v>
      </c>
      <c r="AH9" s="2" t="s">
        <v>120</v>
      </c>
    </row>
    <row r="10" spans="1:34" x14ac:dyDescent="0.35">
      <c r="A10" s="2">
        <v>0.16666666666666599</v>
      </c>
      <c r="B10" s="2">
        <v>0.25</v>
      </c>
      <c r="C10" s="2">
        <v>0.23899371069182301</v>
      </c>
      <c r="D10" s="2">
        <v>0.66666666666666596</v>
      </c>
      <c r="E10" s="2">
        <v>1</v>
      </c>
      <c r="F10" s="2">
        <v>0.94805194805194803</v>
      </c>
      <c r="G10" s="2">
        <v>1</v>
      </c>
      <c r="H10" s="2">
        <v>0.936708860759493</v>
      </c>
      <c r="I10" s="2">
        <v>0</v>
      </c>
      <c r="J10" s="2">
        <v>0.55555555555555503</v>
      </c>
      <c r="K10" s="2">
        <v>0.5</v>
      </c>
      <c r="L10" s="2">
        <v>0.158904109589041</v>
      </c>
      <c r="M10" s="2">
        <v>1</v>
      </c>
      <c r="N10" s="2">
        <v>1</v>
      </c>
      <c r="O10" s="2">
        <v>0.189873417721519</v>
      </c>
      <c r="P10" s="2">
        <v>0.4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 t="s">
        <v>120</v>
      </c>
    </row>
    <row r="11" spans="1:34" x14ac:dyDescent="0.35">
      <c r="A11" s="2">
        <v>0.83333333333333304</v>
      </c>
      <c r="B11" s="2">
        <v>0</v>
      </c>
      <c r="C11" s="2">
        <v>0</v>
      </c>
      <c r="D11" s="2">
        <v>0.66666666666666596</v>
      </c>
      <c r="E11" s="2">
        <v>0</v>
      </c>
      <c r="F11" s="2">
        <v>1</v>
      </c>
      <c r="G11" s="2">
        <v>0.55555555555555503</v>
      </c>
      <c r="H11" s="2">
        <v>1</v>
      </c>
      <c r="I11" s="2">
        <v>1</v>
      </c>
      <c r="J11" s="2">
        <v>0</v>
      </c>
      <c r="K11" s="2">
        <v>0</v>
      </c>
      <c r="L11" s="2">
        <v>0.2</v>
      </c>
      <c r="M11" s="2">
        <v>1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1</v>
      </c>
      <c r="Y11" s="2">
        <v>1</v>
      </c>
      <c r="Z11" s="2">
        <v>0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0</v>
      </c>
      <c r="AH11" s="2" t="s">
        <v>120</v>
      </c>
    </row>
    <row r="12" spans="1:34" x14ac:dyDescent="0.35">
      <c r="A12" s="2">
        <v>0.66666666666666596</v>
      </c>
      <c r="B12" s="2">
        <v>0.25</v>
      </c>
      <c r="C12" s="2">
        <v>0.23899371069182301</v>
      </c>
      <c r="D12" s="2">
        <v>0.66666666666666596</v>
      </c>
      <c r="E12" s="2">
        <v>0</v>
      </c>
      <c r="F12" s="2">
        <v>1</v>
      </c>
      <c r="G12" s="2">
        <v>0.55555555555555503</v>
      </c>
      <c r="H12" s="2">
        <v>1</v>
      </c>
      <c r="I12" s="2">
        <v>0.5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0.4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0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0.19565217391304299</v>
      </c>
      <c r="AH12" s="2" t="s">
        <v>120</v>
      </c>
    </row>
    <row r="13" spans="1:34" x14ac:dyDescent="0.35">
      <c r="A13" s="2">
        <v>0.16666666666666599</v>
      </c>
      <c r="B13" s="2">
        <v>0.5</v>
      </c>
      <c r="C13" s="2">
        <v>0.23899371069182301</v>
      </c>
      <c r="D13" s="2">
        <v>0</v>
      </c>
      <c r="E13" s="2">
        <v>0</v>
      </c>
      <c r="F13" s="2">
        <v>1</v>
      </c>
      <c r="G13" s="2">
        <v>0.55555555555555503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0.4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0.19565217391304299</v>
      </c>
      <c r="AH13" s="2" t="s">
        <v>120</v>
      </c>
    </row>
    <row r="14" spans="1:34" x14ac:dyDescent="0.35">
      <c r="A14" s="2">
        <v>0</v>
      </c>
      <c r="B14" s="2">
        <v>0.25</v>
      </c>
      <c r="C14" s="2">
        <v>0.23899371069182301</v>
      </c>
      <c r="D14" s="2">
        <v>0.66666666666666596</v>
      </c>
      <c r="E14" s="2">
        <v>0</v>
      </c>
      <c r="F14" s="2">
        <v>1</v>
      </c>
      <c r="G14" s="2">
        <v>0.55555555555555503</v>
      </c>
      <c r="H14" s="2">
        <v>1</v>
      </c>
      <c r="I14" s="2">
        <v>0</v>
      </c>
      <c r="J14" s="2">
        <v>0</v>
      </c>
      <c r="K14" s="2">
        <v>0</v>
      </c>
      <c r="L14" s="2">
        <v>0.2</v>
      </c>
      <c r="M14" s="2">
        <v>1</v>
      </c>
      <c r="N14" s="2">
        <v>0</v>
      </c>
      <c r="O14" s="2">
        <v>0</v>
      </c>
      <c r="P14" s="2">
        <v>0.4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0.19565217391304299</v>
      </c>
      <c r="AH14" s="2" t="s">
        <v>120</v>
      </c>
    </row>
    <row r="15" spans="1:34" x14ac:dyDescent="0.35">
      <c r="A15" s="2">
        <v>0.5</v>
      </c>
      <c r="B15" s="2">
        <v>0.25</v>
      </c>
      <c r="C15" s="2">
        <v>0.33333333333333298</v>
      </c>
      <c r="D15" s="2">
        <v>0.66666666666666596</v>
      </c>
      <c r="E15" s="2">
        <v>0</v>
      </c>
      <c r="F15" s="2">
        <v>1</v>
      </c>
      <c r="G15" s="2">
        <v>0.55555555555555503</v>
      </c>
      <c r="H15" s="2">
        <v>1</v>
      </c>
      <c r="I15" s="2">
        <v>0.5</v>
      </c>
      <c r="J15" s="2">
        <v>1</v>
      </c>
      <c r="K15" s="2">
        <v>0</v>
      </c>
      <c r="L15" s="2">
        <v>0</v>
      </c>
      <c r="M15" s="2">
        <v>1</v>
      </c>
      <c r="N15" s="2">
        <v>0</v>
      </c>
      <c r="O15" s="2">
        <v>1</v>
      </c>
      <c r="P15" s="2">
        <v>0.4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0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0</v>
      </c>
      <c r="AH15" s="2" t="s">
        <v>120</v>
      </c>
    </row>
    <row r="16" spans="1:34" x14ac:dyDescent="0.35">
      <c r="A16" s="2">
        <v>0.83333333333333304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0.55555555555555503</v>
      </c>
      <c r="H16" s="2">
        <v>1</v>
      </c>
      <c r="I16" s="2">
        <v>0.5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1</v>
      </c>
      <c r="P16" s="2">
        <v>0.4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0</v>
      </c>
      <c r="W16" s="2">
        <v>1</v>
      </c>
      <c r="X16" s="2">
        <v>1</v>
      </c>
      <c r="Y16" s="2">
        <v>1</v>
      </c>
      <c r="Z16" s="2">
        <v>0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0</v>
      </c>
      <c r="AH16" s="2" t="s">
        <v>120</v>
      </c>
    </row>
    <row r="17" spans="1:34" x14ac:dyDescent="0.35">
      <c r="A17" s="2">
        <v>0.16666666666666599</v>
      </c>
      <c r="B17" s="2">
        <v>0.25</v>
      </c>
      <c r="C17" s="2">
        <v>0.33333333333333298</v>
      </c>
      <c r="D17" s="2">
        <v>0.66666666666666596</v>
      </c>
      <c r="E17" s="2">
        <v>1</v>
      </c>
      <c r="F17" s="2">
        <v>0.94805194805194803</v>
      </c>
      <c r="G17" s="2">
        <v>0.55555555555555503</v>
      </c>
      <c r="H17" s="2">
        <v>1</v>
      </c>
      <c r="I17" s="2">
        <v>0.5</v>
      </c>
      <c r="J17" s="2">
        <v>1</v>
      </c>
      <c r="K17" s="2">
        <v>0</v>
      </c>
      <c r="L17" s="2">
        <v>0.2</v>
      </c>
      <c r="M17" s="2">
        <v>1</v>
      </c>
      <c r="N17" s="2">
        <v>0.33333333333333298</v>
      </c>
      <c r="O17" s="2">
        <v>0</v>
      </c>
      <c r="P17" s="2">
        <v>0.4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1</v>
      </c>
      <c r="Y17" s="2">
        <v>1</v>
      </c>
      <c r="Z17" s="2">
        <v>0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0</v>
      </c>
      <c r="AH17" s="2" t="s">
        <v>120</v>
      </c>
    </row>
    <row r="18" spans="1:34" x14ac:dyDescent="0.35">
      <c r="A18" s="2">
        <v>0.66666666666666596</v>
      </c>
      <c r="B18" s="2">
        <v>0</v>
      </c>
      <c r="C18" s="2">
        <v>1</v>
      </c>
      <c r="D18" s="2">
        <v>0.66666666666666596</v>
      </c>
      <c r="E18" s="2">
        <v>0.33333333333333298</v>
      </c>
      <c r="F18" s="2">
        <v>1</v>
      </c>
      <c r="G18" s="2">
        <v>0.55555555555555503</v>
      </c>
      <c r="H18" s="2">
        <v>1</v>
      </c>
      <c r="I18" s="2">
        <v>0.5</v>
      </c>
      <c r="J18" s="2">
        <v>0</v>
      </c>
      <c r="K18" s="2">
        <v>0</v>
      </c>
      <c r="L18" s="2">
        <v>0</v>
      </c>
      <c r="M18" s="2">
        <v>1</v>
      </c>
      <c r="N18" s="2">
        <v>0.33333333333333298</v>
      </c>
      <c r="O18" s="2">
        <v>0</v>
      </c>
      <c r="P18" s="2">
        <v>1</v>
      </c>
      <c r="Q18" s="2">
        <v>1</v>
      </c>
      <c r="R18" s="2">
        <v>1</v>
      </c>
      <c r="S18" s="2">
        <v>0</v>
      </c>
      <c r="T18" s="2">
        <v>1</v>
      </c>
      <c r="U18" s="2">
        <v>1</v>
      </c>
      <c r="V18" s="2">
        <v>0</v>
      </c>
      <c r="W18" s="2">
        <v>1</v>
      </c>
      <c r="X18" s="2">
        <v>1</v>
      </c>
      <c r="Y18" s="2">
        <v>1</v>
      </c>
      <c r="Z18" s="2">
        <v>0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0</v>
      </c>
      <c r="AH18" s="2" t="s">
        <v>120</v>
      </c>
    </row>
    <row r="19" spans="1:34" x14ac:dyDescent="0.35">
      <c r="A19" s="2">
        <v>0.66666666666666596</v>
      </c>
      <c r="B19" s="2">
        <v>0.25</v>
      </c>
      <c r="C19" s="2">
        <v>0.33333333333333298</v>
      </c>
      <c r="D19" s="2">
        <v>0</v>
      </c>
      <c r="E19" s="2">
        <v>0</v>
      </c>
      <c r="F19" s="2">
        <v>0</v>
      </c>
      <c r="G19" s="2">
        <v>0.55555555555555503</v>
      </c>
      <c r="H19" s="2">
        <v>0</v>
      </c>
      <c r="I19" s="2">
        <v>0.5</v>
      </c>
      <c r="J19" s="2">
        <v>0</v>
      </c>
      <c r="K19" s="2">
        <v>0</v>
      </c>
      <c r="L19" s="2">
        <v>0.2</v>
      </c>
      <c r="M19" s="2">
        <v>1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1</v>
      </c>
      <c r="U19" s="2">
        <v>1</v>
      </c>
      <c r="V19" s="2">
        <v>0</v>
      </c>
      <c r="W19" s="2">
        <v>1</v>
      </c>
      <c r="X19" s="2">
        <v>1</v>
      </c>
      <c r="Y19" s="2">
        <v>1</v>
      </c>
      <c r="Z19" s="2">
        <v>0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 t="s">
        <v>120</v>
      </c>
    </row>
    <row r="20" spans="1:34" x14ac:dyDescent="0.35">
      <c r="A20" s="2">
        <v>0.33333333333333298</v>
      </c>
      <c r="B20" s="2">
        <v>0.5</v>
      </c>
      <c r="C20" s="2">
        <v>0.33333333333333298</v>
      </c>
      <c r="D20" s="2">
        <v>0</v>
      </c>
      <c r="E20" s="2">
        <v>0</v>
      </c>
      <c r="F20" s="2">
        <v>1</v>
      </c>
      <c r="G20" s="2">
        <v>0.55555555555555503</v>
      </c>
      <c r="H20" s="2">
        <v>1</v>
      </c>
      <c r="I20" s="2">
        <v>0.5</v>
      </c>
      <c r="J20" s="2">
        <v>0</v>
      </c>
      <c r="K20" s="2">
        <v>0</v>
      </c>
      <c r="L20" s="2">
        <v>0.2</v>
      </c>
      <c r="M20" s="2">
        <v>1</v>
      </c>
      <c r="N20" s="2">
        <v>0</v>
      </c>
      <c r="O20" s="2">
        <v>0</v>
      </c>
      <c r="P20" s="2">
        <v>0.4</v>
      </c>
      <c r="Q20" s="2">
        <v>1</v>
      </c>
      <c r="R20" s="2">
        <v>0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0</v>
      </c>
      <c r="Z20" s="2">
        <v>0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0</v>
      </c>
      <c r="AH20" s="2" t="s">
        <v>120</v>
      </c>
    </row>
    <row r="21" spans="1:34" x14ac:dyDescent="0.35">
      <c r="A21" s="2">
        <v>0</v>
      </c>
      <c r="B21" s="2">
        <v>0</v>
      </c>
      <c r="C21" s="2">
        <v>0</v>
      </c>
      <c r="D21" s="2">
        <v>1</v>
      </c>
      <c r="E21" s="2">
        <v>0.33333333333333298</v>
      </c>
      <c r="F21" s="2">
        <v>1</v>
      </c>
      <c r="G21" s="2">
        <v>0.55555555555555503</v>
      </c>
      <c r="H21" s="2">
        <v>1</v>
      </c>
      <c r="I21" s="2">
        <v>0</v>
      </c>
      <c r="J21" s="2">
        <v>0.44444444444444398</v>
      </c>
      <c r="K21" s="2">
        <v>0</v>
      </c>
      <c r="L21" s="2">
        <v>0.2</v>
      </c>
      <c r="M21" s="2">
        <v>1</v>
      </c>
      <c r="N21" s="2">
        <v>0</v>
      </c>
      <c r="O21" s="2">
        <v>1</v>
      </c>
      <c r="P21" s="2">
        <v>0.4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0</v>
      </c>
      <c r="W21" s="2">
        <v>1</v>
      </c>
      <c r="X21" s="2">
        <v>1</v>
      </c>
      <c r="Y21" s="2">
        <v>1</v>
      </c>
      <c r="Z21" s="2">
        <v>0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0</v>
      </c>
      <c r="AH21" s="2" t="s">
        <v>120</v>
      </c>
    </row>
    <row r="22" spans="1:34" x14ac:dyDescent="0.35">
      <c r="A22" s="2">
        <v>0.33333333333333298</v>
      </c>
      <c r="B22" s="2">
        <v>0</v>
      </c>
      <c r="C22" s="2">
        <v>0</v>
      </c>
      <c r="D22" s="2">
        <v>1</v>
      </c>
      <c r="E22" s="2">
        <v>0.33333333333333298</v>
      </c>
      <c r="F22" s="2">
        <v>1</v>
      </c>
      <c r="G22" s="2">
        <v>0.55555555555555503</v>
      </c>
      <c r="H22" s="2">
        <v>1</v>
      </c>
      <c r="I22" s="2">
        <v>0</v>
      </c>
      <c r="J22" s="2">
        <v>0.44444444444444398</v>
      </c>
      <c r="K22" s="2">
        <v>0</v>
      </c>
      <c r="L22" s="2">
        <v>0.2</v>
      </c>
      <c r="M22" s="2">
        <v>1</v>
      </c>
      <c r="N22" s="2">
        <v>0</v>
      </c>
      <c r="O22" s="2">
        <v>1</v>
      </c>
      <c r="P22" s="2">
        <v>0.4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0</v>
      </c>
      <c r="W22" s="2">
        <v>1</v>
      </c>
      <c r="X22" s="2">
        <v>1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0</v>
      </c>
      <c r="AH22" s="2" t="s">
        <v>120</v>
      </c>
    </row>
    <row r="23" spans="1:34" x14ac:dyDescent="0.35">
      <c r="A23" s="2">
        <v>0.66666666666666596</v>
      </c>
      <c r="B23" s="2">
        <v>0.25</v>
      </c>
      <c r="C23" s="2">
        <v>0.33333333333333298</v>
      </c>
      <c r="D23" s="2">
        <v>0.66666666666666596</v>
      </c>
      <c r="E23" s="2">
        <v>1</v>
      </c>
      <c r="F23" s="2">
        <v>0.94805194805194803</v>
      </c>
      <c r="G23" s="2">
        <v>0.55555555555555503</v>
      </c>
      <c r="H23" s="2">
        <v>1</v>
      </c>
      <c r="I23" s="2">
        <v>0.5</v>
      </c>
      <c r="J23" s="2">
        <v>1</v>
      </c>
      <c r="K23" s="2">
        <v>0</v>
      </c>
      <c r="L23" s="2">
        <v>0.2</v>
      </c>
      <c r="M23" s="2">
        <v>1</v>
      </c>
      <c r="N23" s="2">
        <v>0.33333333333333298</v>
      </c>
      <c r="O23" s="2">
        <v>0</v>
      </c>
      <c r="P23" s="2">
        <v>0.4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0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0</v>
      </c>
      <c r="AH23" s="2" t="s">
        <v>120</v>
      </c>
    </row>
    <row r="24" spans="1:34" x14ac:dyDescent="0.35">
      <c r="A24" s="2">
        <v>0.33333333333333298</v>
      </c>
      <c r="B24" s="2">
        <v>0</v>
      </c>
      <c r="C24" s="2">
        <v>0</v>
      </c>
      <c r="D24" s="2">
        <v>0.66666666666666596</v>
      </c>
      <c r="E24" s="2">
        <v>0</v>
      </c>
      <c r="F24" s="2">
        <v>1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0.4</v>
      </c>
      <c r="Q24" s="2">
        <v>1</v>
      </c>
      <c r="R24" s="2">
        <v>0</v>
      </c>
      <c r="S24" s="2">
        <v>1</v>
      </c>
      <c r="T24" s="2">
        <v>1</v>
      </c>
      <c r="U24" s="2">
        <v>1</v>
      </c>
      <c r="V24" s="2">
        <v>0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0</v>
      </c>
      <c r="AH24" s="2" t="s">
        <v>120</v>
      </c>
    </row>
    <row r="25" spans="1:34" x14ac:dyDescent="0.35">
      <c r="A25" s="2">
        <v>0.66666666666666596</v>
      </c>
      <c r="B25" s="2">
        <v>0</v>
      </c>
      <c r="C25" s="2">
        <v>0</v>
      </c>
      <c r="D25" s="2">
        <v>0.66666666666666596</v>
      </c>
      <c r="E25" s="2">
        <v>0</v>
      </c>
      <c r="F25" s="2">
        <v>1</v>
      </c>
      <c r="G25" s="2">
        <v>0.55555555555555503</v>
      </c>
      <c r="H25" s="2">
        <v>1</v>
      </c>
      <c r="I25" s="2">
        <v>0.5</v>
      </c>
      <c r="J25" s="2">
        <v>0.44444444444444398</v>
      </c>
      <c r="K25" s="2">
        <v>0</v>
      </c>
      <c r="L25" s="2">
        <v>0</v>
      </c>
      <c r="M25" s="2">
        <v>1</v>
      </c>
      <c r="N25" s="2">
        <v>0</v>
      </c>
      <c r="O25" s="2">
        <v>1</v>
      </c>
      <c r="P25" s="2">
        <v>0.4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0</v>
      </c>
      <c r="W25" s="2">
        <v>1</v>
      </c>
      <c r="X25" s="2">
        <v>1</v>
      </c>
      <c r="Y25" s="2">
        <v>1</v>
      </c>
      <c r="Z25" s="2">
        <v>0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0</v>
      </c>
      <c r="AH25" s="2" t="s">
        <v>120</v>
      </c>
    </row>
    <row r="26" spans="1:34" x14ac:dyDescent="0.35">
      <c r="A26" s="2">
        <v>0.5</v>
      </c>
      <c r="B26" s="2">
        <v>0.25</v>
      </c>
      <c r="C26" s="2">
        <v>0.33333333333333298</v>
      </c>
      <c r="D26" s="2">
        <v>0.66666666666666596</v>
      </c>
      <c r="E26" s="2">
        <v>0</v>
      </c>
      <c r="F26" s="2">
        <v>1</v>
      </c>
      <c r="G26" s="2">
        <v>0.55555555555555503</v>
      </c>
      <c r="H26" s="2">
        <v>0</v>
      </c>
      <c r="I26" s="2">
        <v>0.5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  <c r="T26" s="2">
        <v>1</v>
      </c>
      <c r="U26" s="2">
        <v>1</v>
      </c>
      <c r="V26" s="2">
        <v>0</v>
      </c>
      <c r="W26" s="2">
        <v>1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0</v>
      </c>
      <c r="AH26" s="2" t="s">
        <v>120</v>
      </c>
    </row>
    <row r="27" spans="1:34" x14ac:dyDescent="0.35">
      <c r="A27" s="2">
        <v>0.33333333333333298</v>
      </c>
      <c r="B27" s="2">
        <v>1</v>
      </c>
      <c r="C27" s="2">
        <v>1</v>
      </c>
      <c r="D27" s="2">
        <v>0</v>
      </c>
      <c r="E27" s="2">
        <v>0</v>
      </c>
      <c r="F27" s="2">
        <v>0</v>
      </c>
      <c r="G27" s="2">
        <v>0.55555555555555503</v>
      </c>
      <c r="H27" s="2">
        <v>1</v>
      </c>
      <c r="I27" s="2">
        <v>1</v>
      </c>
      <c r="J27" s="2">
        <v>0</v>
      </c>
      <c r="K27" s="2">
        <v>0</v>
      </c>
      <c r="L27" s="2">
        <v>0.2</v>
      </c>
      <c r="M27" s="2">
        <v>1</v>
      </c>
      <c r="N27" s="2">
        <v>0</v>
      </c>
      <c r="O27" s="2">
        <v>0</v>
      </c>
      <c r="P27" s="2">
        <v>0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0</v>
      </c>
      <c r="AF27" s="2">
        <v>1</v>
      </c>
      <c r="AG27" s="2">
        <v>1</v>
      </c>
      <c r="AH27" s="2" t="s">
        <v>120</v>
      </c>
    </row>
    <row r="28" spans="1:34" x14ac:dyDescent="0.35">
      <c r="A28" s="2">
        <v>0.16666666666666599</v>
      </c>
      <c r="B28" s="2">
        <v>0</v>
      </c>
      <c r="C28" s="2">
        <v>0</v>
      </c>
      <c r="D28" s="2">
        <v>1</v>
      </c>
      <c r="E28" s="2">
        <v>0.33333333333333298</v>
      </c>
      <c r="F28" s="2">
        <v>1</v>
      </c>
      <c r="G28" s="2">
        <v>0.55555555555555503</v>
      </c>
      <c r="H28" s="2">
        <v>1</v>
      </c>
      <c r="I28" s="2">
        <v>0.5</v>
      </c>
      <c r="J28" s="2">
        <v>0</v>
      </c>
      <c r="K28" s="2">
        <v>0</v>
      </c>
      <c r="L28" s="2">
        <v>0.2</v>
      </c>
      <c r="M28" s="2">
        <v>1</v>
      </c>
      <c r="N28" s="2">
        <v>0</v>
      </c>
      <c r="O28" s="2">
        <v>0</v>
      </c>
      <c r="P28" s="2">
        <v>0.6</v>
      </c>
      <c r="Q28" s="2">
        <v>0</v>
      </c>
      <c r="R28" s="2">
        <v>0</v>
      </c>
      <c r="S28" s="2">
        <v>1</v>
      </c>
      <c r="T28" s="2">
        <v>1</v>
      </c>
      <c r="U28" s="2">
        <v>1</v>
      </c>
      <c r="V28" s="2">
        <v>0</v>
      </c>
      <c r="W28" s="2">
        <v>1</v>
      </c>
      <c r="X28" s="2">
        <v>1</v>
      </c>
      <c r="Y28" s="2">
        <v>1</v>
      </c>
      <c r="Z28" s="2">
        <v>0</v>
      </c>
      <c r="AA28" s="2">
        <v>1</v>
      </c>
      <c r="AB28" s="2">
        <v>1</v>
      </c>
      <c r="AC28" s="2">
        <v>1</v>
      </c>
      <c r="AD28" s="2">
        <v>1</v>
      </c>
      <c r="AE28" s="2">
        <v>0</v>
      </c>
      <c r="AF28" s="2">
        <v>1</v>
      </c>
      <c r="AG28" s="2">
        <v>1</v>
      </c>
      <c r="AH28" s="2" t="s">
        <v>120</v>
      </c>
    </row>
    <row r="29" spans="1:34" x14ac:dyDescent="0.35">
      <c r="A29" s="2">
        <v>0.5</v>
      </c>
      <c r="B29" s="2">
        <v>0.25</v>
      </c>
      <c r="C29" s="2">
        <v>0.23899371069182301</v>
      </c>
      <c r="D29" s="2">
        <v>0.66666666666666596</v>
      </c>
      <c r="E29" s="2">
        <v>0</v>
      </c>
      <c r="F29" s="2">
        <v>1</v>
      </c>
      <c r="G29" s="2">
        <v>0.55555555555555503</v>
      </c>
      <c r="H29" s="2">
        <v>1</v>
      </c>
      <c r="I29" s="2">
        <v>0.5</v>
      </c>
      <c r="J29" s="2">
        <v>0</v>
      </c>
      <c r="K29" s="2">
        <v>0</v>
      </c>
      <c r="L29" s="2">
        <v>0.2</v>
      </c>
      <c r="M29" s="2">
        <v>1</v>
      </c>
      <c r="N29" s="2">
        <v>0</v>
      </c>
      <c r="O29" s="2">
        <v>0</v>
      </c>
      <c r="P29" s="2">
        <v>0.4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0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0.19565217391304299</v>
      </c>
      <c r="AH29" s="2" t="s">
        <v>120</v>
      </c>
    </row>
    <row r="30" spans="1:34" x14ac:dyDescent="0.35">
      <c r="A30" s="2">
        <v>0.66666666666666596</v>
      </c>
      <c r="B30" s="2">
        <v>0.25</v>
      </c>
      <c r="C30" s="2">
        <v>0.23899371069182301</v>
      </c>
      <c r="D30" s="2">
        <v>0.66666666666666596</v>
      </c>
      <c r="E30" s="2">
        <v>0.33333333333333298</v>
      </c>
      <c r="F30" s="2">
        <v>1</v>
      </c>
      <c r="G30" s="2">
        <v>0.55555555555555503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0.4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0</v>
      </c>
      <c r="W30" s="2">
        <v>1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0.19565217391304299</v>
      </c>
      <c r="AH30" s="2" t="s">
        <v>120</v>
      </c>
    </row>
    <row r="31" spans="1:34" x14ac:dyDescent="0.35">
      <c r="A31" s="2">
        <v>0.66666666666666596</v>
      </c>
      <c r="B31" s="2">
        <v>0.25</v>
      </c>
      <c r="C31" s="2">
        <v>0.23899371069182301</v>
      </c>
      <c r="D31" s="2">
        <v>0.66666666666666596</v>
      </c>
      <c r="E31" s="2">
        <v>0</v>
      </c>
      <c r="F31" s="2">
        <v>1</v>
      </c>
      <c r="G31" s="2">
        <v>0.55555555555555503</v>
      </c>
      <c r="H31" s="2">
        <v>1</v>
      </c>
      <c r="I31" s="2">
        <v>0.5</v>
      </c>
      <c r="J31" s="2">
        <v>0</v>
      </c>
      <c r="K31" s="2">
        <v>0</v>
      </c>
      <c r="L31" s="2">
        <v>0.2</v>
      </c>
      <c r="M31" s="2">
        <v>1</v>
      </c>
      <c r="N31" s="2">
        <v>0</v>
      </c>
      <c r="O31" s="2">
        <v>0</v>
      </c>
      <c r="P31" s="2">
        <v>0.4</v>
      </c>
      <c r="Q31" s="2">
        <v>1</v>
      </c>
      <c r="R31" s="2">
        <v>0</v>
      </c>
      <c r="S31" s="2">
        <v>1</v>
      </c>
      <c r="T31" s="2">
        <v>1</v>
      </c>
      <c r="U31" s="2">
        <v>1</v>
      </c>
      <c r="V31" s="2">
        <v>0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0.19565217391304299</v>
      </c>
      <c r="AH31" s="2" t="s">
        <v>120</v>
      </c>
    </row>
    <row r="32" spans="1:34" x14ac:dyDescent="0.35">
      <c r="A32" s="2">
        <v>0.66666666666666596</v>
      </c>
      <c r="B32" s="2">
        <v>0.25</v>
      </c>
      <c r="C32" s="2">
        <v>0.23899371069182301</v>
      </c>
      <c r="D32" s="2">
        <v>0.66666666666666596</v>
      </c>
      <c r="E32" s="2">
        <v>0</v>
      </c>
      <c r="F32" s="2">
        <v>1</v>
      </c>
      <c r="G32" s="2">
        <v>0.55555555555555503</v>
      </c>
      <c r="H32" s="2">
        <v>1</v>
      </c>
      <c r="I32" s="2">
        <v>0.5</v>
      </c>
      <c r="J32" s="2">
        <v>0</v>
      </c>
      <c r="K32" s="2">
        <v>0</v>
      </c>
      <c r="L32" s="2">
        <v>0.2</v>
      </c>
      <c r="M32" s="2">
        <v>1</v>
      </c>
      <c r="N32" s="2">
        <v>0</v>
      </c>
      <c r="O32" s="2">
        <v>0</v>
      </c>
      <c r="P32" s="2">
        <v>0.4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0.19565217391304299</v>
      </c>
      <c r="AH32" s="2" t="s">
        <v>120</v>
      </c>
    </row>
    <row r="33" spans="1:34" x14ac:dyDescent="0.35">
      <c r="A33" s="2">
        <v>1</v>
      </c>
      <c r="B33" s="2">
        <v>0.5</v>
      </c>
      <c r="C33" s="2">
        <v>0.23899371069182301</v>
      </c>
      <c r="D33" s="2">
        <v>0.66666666666666596</v>
      </c>
      <c r="E33" s="2">
        <v>0</v>
      </c>
      <c r="F33" s="2">
        <v>1</v>
      </c>
      <c r="G33" s="2">
        <v>0.55555555555555503</v>
      </c>
      <c r="H33" s="2">
        <v>1</v>
      </c>
      <c r="I33" s="2">
        <v>0.5</v>
      </c>
      <c r="J33" s="2">
        <v>0</v>
      </c>
      <c r="K33" s="2">
        <v>0</v>
      </c>
      <c r="L33" s="2">
        <v>0.2</v>
      </c>
      <c r="M33" s="2">
        <v>1</v>
      </c>
      <c r="N33" s="2">
        <v>0</v>
      </c>
      <c r="O33" s="2">
        <v>0</v>
      </c>
      <c r="P33" s="2">
        <v>0.4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0</v>
      </c>
      <c r="W33" s="2">
        <v>1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0.19565217391304299</v>
      </c>
      <c r="AH33" s="2" t="s">
        <v>121</v>
      </c>
    </row>
    <row r="34" spans="1:34" x14ac:dyDescent="0.35">
      <c r="A34" s="2">
        <v>0.66666666666666596</v>
      </c>
      <c r="B34" s="2">
        <v>0.5</v>
      </c>
      <c r="C34" s="2">
        <v>0.23899371069182301</v>
      </c>
      <c r="D34" s="2">
        <v>0.66666666666666596</v>
      </c>
      <c r="E34" s="2">
        <v>0.33333333333333298</v>
      </c>
      <c r="F34" s="2">
        <v>1</v>
      </c>
      <c r="G34" s="2">
        <v>0.55555555555555503</v>
      </c>
      <c r="H34" s="2">
        <v>1</v>
      </c>
      <c r="I34" s="2">
        <v>0.5</v>
      </c>
      <c r="J34" s="2">
        <v>0</v>
      </c>
      <c r="K34" s="2">
        <v>0</v>
      </c>
      <c r="L34" s="2">
        <v>0.2</v>
      </c>
      <c r="M34" s="2">
        <v>1</v>
      </c>
      <c r="N34" s="2">
        <v>0</v>
      </c>
      <c r="O34" s="2">
        <v>0</v>
      </c>
      <c r="P34" s="2">
        <v>0.4</v>
      </c>
      <c r="Q34" s="2">
        <v>1</v>
      </c>
      <c r="R34" s="2">
        <v>0</v>
      </c>
      <c r="S34" s="2">
        <v>1</v>
      </c>
      <c r="T34" s="2">
        <v>1</v>
      </c>
      <c r="U34" s="2">
        <v>1</v>
      </c>
      <c r="V34" s="2">
        <v>0</v>
      </c>
      <c r="W34" s="2">
        <v>1</v>
      </c>
      <c r="X34" s="2">
        <v>1</v>
      </c>
      <c r="Y34" s="2">
        <v>1</v>
      </c>
      <c r="Z34" s="2">
        <v>0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0.19565217391304299</v>
      </c>
      <c r="AH34" s="2" t="s">
        <v>120</v>
      </c>
    </row>
    <row r="35" spans="1:34" x14ac:dyDescent="0.35">
      <c r="A35" s="2">
        <v>0.83333333333333304</v>
      </c>
      <c r="B35" s="2">
        <v>0.25</v>
      </c>
      <c r="C35" s="2">
        <v>0.23899371069182301</v>
      </c>
      <c r="D35" s="2">
        <v>0</v>
      </c>
      <c r="E35" s="2">
        <v>0</v>
      </c>
      <c r="F35" s="2">
        <v>1</v>
      </c>
      <c r="G35" s="2">
        <v>0.55555555555555503</v>
      </c>
      <c r="H35" s="2">
        <v>1</v>
      </c>
      <c r="I35" s="2">
        <v>0.5</v>
      </c>
      <c r="J35" s="2">
        <v>0</v>
      </c>
      <c r="K35" s="2">
        <v>1</v>
      </c>
      <c r="L35" s="2">
        <v>0.158904109589041</v>
      </c>
      <c r="M35" s="2">
        <v>1</v>
      </c>
      <c r="N35" s="2">
        <v>0</v>
      </c>
      <c r="O35" s="2">
        <v>0</v>
      </c>
      <c r="P35" s="2">
        <v>0.4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0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0.19565217391304299</v>
      </c>
      <c r="AH35" s="2" t="s">
        <v>120</v>
      </c>
    </row>
    <row r="36" spans="1:34" x14ac:dyDescent="0.35">
      <c r="A36" s="2">
        <v>0.5</v>
      </c>
      <c r="B36" s="2">
        <v>0.25</v>
      </c>
      <c r="C36" s="2">
        <v>0.33333333333333298</v>
      </c>
      <c r="D36" s="2">
        <v>0.66666666666666596</v>
      </c>
      <c r="E36" s="2">
        <v>0.33333333333333298</v>
      </c>
      <c r="F36" s="2">
        <v>1</v>
      </c>
      <c r="G36" s="2">
        <v>0.55555555555555503</v>
      </c>
      <c r="H36" s="2">
        <v>1</v>
      </c>
      <c r="I36" s="2">
        <v>0</v>
      </c>
      <c r="J36" s="2">
        <v>0</v>
      </c>
      <c r="K36" s="2">
        <v>0</v>
      </c>
      <c r="L36" s="2">
        <v>0.2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0</v>
      </c>
      <c r="AH36" s="2" t="s">
        <v>120</v>
      </c>
    </row>
    <row r="37" spans="1:34" x14ac:dyDescent="0.35">
      <c r="A37" s="2">
        <v>0</v>
      </c>
      <c r="B37" s="2">
        <v>0.25</v>
      </c>
      <c r="C37" s="2">
        <v>0.33333333333333298</v>
      </c>
      <c r="D37" s="2">
        <v>1</v>
      </c>
      <c r="E37" s="2">
        <v>0.33333333333333298</v>
      </c>
      <c r="F37" s="2">
        <v>1</v>
      </c>
      <c r="G37" s="2">
        <v>0.55555555555555503</v>
      </c>
      <c r="H37" s="2">
        <v>1</v>
      </c>
      <c r="I37" s="2">
        <v>0.5</v>
      </c>
      <c r="J37" s="2">
        <v>1</v>
      </c>
      <c r="K37" s="2">
        <v>0</v>
      </c>
      <c r="L37" s="2">
        <v>0.2</v>
      </c>
      <c r="M37" s="2">
        <v>1</v>
      </c>
      <c r="N37" s="2">
        <v>0</v>
      </c>
      <c r="O37" s="2">
        <v>1</v>
      </c>
      <c r="P37" s="2">
        <v>0.4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0</v>
      </c>
      <c r="W37" s="2">
        <v>1</v>
      </c>
      <c r="X37" s="2">
        <v>1</v>
      </c>
      <c r="Y37" s="2">
        <v>1</v>
      </c>
      <c r="Z37" s="2">
        <v>0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0</v>
      </c>
      <c r="AH37" s="2" t="s">
        <v>120</v>
      </c>
    </row>
    <row r="38" spans="1:34" x14ac:dyDescent="0.35">
      <c r="A38" s="2">
        <v>0.33333333333333298</v>
      </c>
      <c r="B38" s="2">
        <v>0</v>
      </c>
      <c r="C38" s="2">
        <v>0</v>
      </c>
      <c r="D38" s="2">
        <v>0.66666666666666596</v>
      </c>
      <c r="E38" s="2">
        <v>0</v>
      </c>
      <c r="F38" s="2">
        <v>1</v>
      </c>
      <c r="G38" s="2">
        <v>0.55555555555555503</v>
      </c>
      <c r="H38" s="2">
        <v>1</v>
      </c>
      <c r="I38" s="2">
        <v>0.5</v>
      </c>
      <c r="J38" s="2">
        <v>0</v>
      </c>
      <c r="K38" s="2">
        <v>0</v>
      </c>
      <c r="L38" s="2">
        <v>0.2</v>
      </c>
      <c r="M38" s="2">
        <v>0.5</v>
      </c>
      <c r="N38" s="2">
        <v>0</v>
      </c>
      <c r="O38" s="2">
        <v>0</v>
      </c>
      <c r="P38" s="2">
        <v>0.4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0.19565217391304299</v>
      </c>
      <c r="AH38" s="2" t="s">
        <v>120</v>
      </c>
    </row>
    <row r="39" spans="1:34" x14ac:dyDescent="0.35">
      <c r="A39" s="2">
        <v>0.16666666666666599</v>
      </c>
      <c r="B39" s="2">
        <v>0.5</v>
      </c>
      <c r="C39" s="2">
        <v>0.23899371069182301</v>
      </c>
      <c r="D39" s="2">
        <v>1</v>
      </c>
      <c r="E39" s="2">
        <v>0.33333333333333298</v>
      </c>
      <c r="F39" s="2">
        <v>1</v>
      </c>
      <c r="G39" s="2">
        <v>0.55555555555555503</v>
      </c>
      <c r="H39" s="2">
        <v>1</v>
      </c>
      <c r="I39" s="2">
        <v>0</v>
      </c>
      <c r="J39" s="2">
        <v>0</v>
      </c>
      <c r="K39" s="2">
        <v>0</v>
      </c>
      <c r="L39" s="2">
        <v>0.2</v>
      </c>
      <c r="M39" s="2">
        <v>0.5</v>
      </c>
      <c r="N39" s="2">
        <v>0</v>
      </c>
      <c r="O39" s="2">
        <v>0</v>
      </c>
      <c r="P39" s="2">
        <v>0.4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0.19565217391304299</v>
      </c>
      <c r="AH39" s="2" t="s">
        <v>120</v>
      </c>
    </row>
    <row r="40" spans="1:34" x14ac:dyDescent="0.35">
      <c r="A40" s="2">
        <v>0</v>
      </c>
      <c r="B40" s="2">
        <v>0.23765432098765399</v>
      </c>
      <c r="C40" s="2">
        <v>0.23899371069182301</v>
      </c>
      <c r="D40" s="2">
        <v>0.53703703703703698</v>
      </c>
      <c r="E40" s="2">
        <v>0.12757201646090499</v>
      </c>
      <c r="F40" s="2">
        <v>0.94805194805194803</v>
      </c>
      <c r="G40" s="2">
        <v>0.55692729766803795</v>
      </c>
      <c r="H40" s="2">
        <v>0.936708860759493</v>
      </c>
      <c r="I40" s="2">
        <v>0.407407407407407</v>
      </c>
      <c r="J40" s="2">
        <v>0.19478737997256501</v>
      </c>
      <c r="K40" s="2">
        <v>5.5555555555555497E-2</v>
      </c>
      <c r="L40" s="2">
        <v>0.158904109589041</v>
      </c>
      <c r="M40" s="2">
        <v>0.95061728395061695</v>
      </c>
      <c r="N40" s="2">
        <v>6.1728395061728301E-2</v>
      </c>
      <c r="O40" s="2">
        <v>0.189873417721519</v>
      </c>
      <c r="P40" s="2">
        <v>0.32345679012345602</v>
      </c>
      <c r="Q40" s="2">
        <v>0.98765432098765404</v>
      </c>
      <c r="R40" s="2">
        <v>0.76543209876543195</v>
      </c>
      <c r="S40" s="2">
        <v>0.97530864197530798</v>
      </c>
      <c r="T40" s="2">
        <v>1</v>
      </c>
      <c r="U40" s="2">
        <v>1</v>
      </c>
      <c r="V40" s="2">
        <v>0.11111111111111099</v>
      </c>
      <c r="W40" s="2">
        <v>1</v>
      </c>
      <c r="X40" s="2">
        <v>0.97530864197530798</v>
      </c>
      <c r="Y40" s="2">
        <v>0.90123456790123402</v>
      </c>
      <c r="Z40" s="2">
        <v>0.44444444444444398</v>
      </c>
      <c r="AA40" s="2">
        <v>1</v>
      </c>
      <c r="AB40" s="2">
        <v>1</v>
      </c>
      <c r="AC40" s="2">
        <v>1</v>
      </c>
      <c r="AD40" s="2">
        <v>1</v>
      </c>
      <c r="AE40" s="2">
        <v>0.938271604938271</v>
      </c>
      <c r="AF40" s="2">
        <v>1</v>
      </c>
      <c r="AG40" s="2">
        <v>0.19565217391304299</v>
      </c>
      <c r="AH40" s="2" t="s">
        <v>120</v>
      </c>
    </row>
    <row r="41" spans="1:34" x14ac:dyDescent="0.35">
      <c r="A41" s="2">
        <v>0.5</v>
      </c>
      <c r="B41" s="2">
        <v>0.5</v>
      </c>
      <c r="C41" s="2">
        <v>0.23899371069182301</v>
      </c>
      <c r="D41" s="2">
        <v>0.66666666666666596</v>
      </c>
      <c r="E41" s="2">
        <v>0</v>
      </c>
      <c r="F41" s="2">
        <v>1</v>
      </c>
      <c r="G41" s="2">
        <v>0.55555555555555503</v>
      </c>
      <c r="H41" s="2">
        <v>1</v>
      </c>
      <c r="I41" s="2">
        <v>0</v>
      </c>
      <c r="J41" s="2">
        <v>0</v>
      </c>
      <c r="K41" s="2">
        <v>0.5</v>
      </c>
      <c r="L41" s="2">
        <v>0.158904109589041</v>
      </c>
      <c r="M41" s="2">
        <v>1</v>
      </c>
      <c r="N41" s="2">
        <v>0</v>
      </c>
      <c r="O41" s="2">
        <v>0</v>
      </c>
      <c r="P41" s="2">
        <v>0.4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0</v>
      </c>
      <c r="W41" s="2">
        <v>1</v>
      </c>
      <c r="X41" s="2">
        <v>1</v>
      </c>
      <c r="Y41" s="2">
        <v>1</v>
      </c>
      <c r="Z41" s="2">
        <v>0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0.19565217391304299</v>
      </c>
      <c r="AH41" s="2" t="s">
        <v>120</v>
      </c>
    </row>
    <row r="42" spans="1:34" x14ac:dyDescent="0.35">
      <c r="A42" s="2">
        <v>0.33333333333333298</v>
      </c>
      <c r="B42" s="2">
        <v>0.23765432098765399</v>
      </c>
      <c r="C42" s="2">
        <v>0.23899371069182301</v>
      </c>
      <c r="D42" s="2">
        <v>0.53703703703703698</v>
      </c>
      <c r="E42" s="2">
        <v>0.12757201646090499</v>
      </c>
      <c r="F42" s="2">
        <v>0.94805194805194803</v>
      </c>
      <c r="G42" s="2">
        <v>0.55692729766803795</v>
      </c>
      <c r="H42" s="2">
        <v>0.936708860759493</v>
      </c>
      <c r="I42" s="2">
        <v>0.407407407407407</v>
      </c>
      <c r="J42" s="2">
        <v>0.19478737997256501</v>
      </c>
      <c r="K42" s="2">
        <v>5.5555555555555497E-2</v>
      </c>
      <c r="L42" s="2">
        <v>0.158904109589041</v>
      </c>
      <c r="M42" s="2">
        <v>0.95061728395061695</v>
      </c>
      <c r="N42" s="2">
        <v>6.1728395061728301E-2</v>
      </c>
      <c r="O42" s="2">
        <v>0.189873417721519</v>
      </c>
      <c r="P42" s="2">
        <v>0.32345679012345602</v>
      </c>
      <c r="Q42" s="2">
        <v>0.98765432098765404</v>
      </c>
      <c r="R42" s="2">
        <v>0.76543209876543195</v>
      </c>
      <c r="S42" s="2">
        <v>0.97530864197530798</v>
      </c>
      <c r="T42" s="2">
        <v>1</v>
      </c>
      <c r="U42" s="2">
        <v>1</v>
      </c>
      <c r="V42" s="2">
        <v>0.11111111111111099</v>
      </c>
      <c r="W42" s="2">
        <v>1</v>
      </c>
      <c r="X42" s="2">
        <v>0.97530864197530798</v>
      </c>
      <c r="Y42" s="2">
        <v>0.90123456790123402</v>
      </c>
      <c r="Z42" s="2">
        <v>0.44444444444444398</v>
      </c>
      <c r="AA42" s="2">
        <v>1</v>
      </c>
      <c r="AB42" s="2">
        <v>1</v>
      </c>
      <c r="AC42" s="2">
        <v>1</v>
      </c>
      <c r="AD42" s="2">
        <v>1</v>
      </c>
      <c r="AE42" s="2">
        <v>0.938271604938271</v>
      </c>
      <c r="AF42" s="2">
        <v>1</v>
      </c>
      <c r="AG42" s="2">
        <v>0.19565217391304299</v>
      </c>
      <c r="AH42" s="2" t="s">
        <v>120</v>
      </c>
    </row>
    <row r="43" spans="1:34" x14ac:dyDescent="0.35">
      <c r="A43" s="2">
        <v>0.5</v>
      </c>
      <c r="B43" s="2">
        <v>0.5</v>
      </c>
      <c r="C43" s="2">
        <v>0.23899371069182301</v>
      </c>
      <c r="D43" s="2">
        <v>0.66666666666666596</v>
      </c>
      <c r="E43" s="2">
        <v>0</v>
      </c>
      <c r="F43" s="2">
        <v>1</v>
      </c>
      <c r="G43" s="2">
        <v>0.55555555555555503</v>
      </c>
      <c r="H43" s="2">
        <v>1</v>
      </c>
      <c r="I43" s="2">
        <v>0.5</v>
      </c>
      <c r="J43" s="2">
        <v>0</v>
      </c>
      <c r="K43" s="2">
        <v>0</v>
      </c>
      <c r="L43" s="2">
        <v>0.2</v>
      </c>
      <c r="M43" s="2">
        <v>1</v>
      </c>
      <c r="N43" s="2">
        <v>0</v>
      </c>
      <c r="O43" s="2">
        <v>0</v>
      </c>
      <c r="P43" s="2">
        <v>0.4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0.19565217391304299</v>
      </c>
      <c r="AH43" s="2" t="s">
        <v>120</v>
      </c>
    </row>
    <row r="44" spans="1:34" x14ac:dyDescent="0.35">
      <c r="A44" s="2">
        <v>0.33333333333333298</v>
      </c>
      <c r="B44" s="2">
        <v>0.25</v>
      </c>
      <c r="C44" s="2">
        <v>0.23899371069182301</v>
      </c>
      <c r="D44" s="2">
        <v>0</v>
      </c>
      <c r="E44" s="2">
        <v>0</v>
      </c>
      <c r="F44" s="2">
        <v>1</v>
      </c>
      <c r="G44" s="2">
        <v>0.55555555555555503</v>
      </c>
      <c r="H44" s="2">
        <v>1</v>
      </c>
      <c r="I44" s="2">
        <v>0</v>
      </c>
      <c r="J44" s="2">
        <v>0</v>
      </c>
      <c r="K44" s="2">
        <v>0</v>
      </c>
      <c r="L44" s="2">
        <v>0.2</v>
      </c>
      <c r="M44" s="2">
        <v>0.5</v>
      </c>
      <c r="N44" s="2">
        <v>0</v>
      </c>
      <c r="O44" s="2">
        <v>0</v>
      </c>
      <c r="P44" s="2">
        <v>0.4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1</v>
      </c>
      <c r="X44" s="2">
        <v>1</v>
      </c>
      <c r="Y44" s="2">
        <v>1</v>
      </c>
      <c r="Z44" s="2">
        <v>0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0.19565217391304299</v>
      </c>
      <c r="AH44" s="2" t="s">
        <v>120</v>
      </c>
    </row>
    <row r="45" spans="1:34" x14ac:dyDescent="0.35">
      <c r="A45" s="2">
        <v>0.83333333333333304</v>
      </c>
      <c r="B45" s="2">
        <v>0.25</v>
      </c>
      <c r="C45" s="2">
        <v>0.33333333333333298</v>
      </c>
      <c r="D45" s="2">
        <v>1</v>
      </c>
      <c r="E45" s="2">
        <v>0.33333333333333298</v>
      </c>
      <c r="F45" s="2">
        <v>1</v>
      </c>
      <c r="G45" s="2">
        <v>0.55555555555555503</v>
      </c>
      <c r="H45" s="2">
        <v>1</v>
      </c>
      <c r="I45" s="2">
        <v>0.5</v>
      </c>
      <c r="J45" s="2">
        <v>1</v>
      </c>
      <c r="K45" s="2">
        <v>0</v>
      </c>
      <c r="L45" s="2">
        <v>0.2</v>
      </c>
      <c r="M45" s="2">
        <v>1</v>
      </c>
      <c r="N45" s="2">
        <v>0</v>
      </c>
      <c r="O45" s="2">
        <v>1</v>
      </c>
      <c r="P45" s="2">
        <v>0.4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0</v>
      </c>
      <c r="W45" s="2">
        <v>1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0</v>
      </c>
      <c r="AH45" s="2" t="s">
        <v>121</v>
      </c>
    </row>
    <row r="46" spans="1:34" x14ac:dyDescent="0.35">
      <c r="A46" s="2">
        <v>0.83333333333333304</v>
      </c>
      <c r="B46" s="2">
        <v>0.25</v>
      </c>
      <c r="C46" s="2">
        <v>0.33333333333333298</v>
      </c>
      <c r="D46" s="2">
        <v>0.66666666666666596</v>
      </c>
      <c r="E46" s="2">
        <v>0</v>
      </c>
      <c r="F46" s="2">
        <v>1</v>
      </c>
      <c r="G46" s="2">
        <v>0.55555555555555503</v>
      </c>
      <c r="H46" s="2">
        <v>1</v>
      </c>
      <c r="I46" s="2">
        <v>0.5</v>
      </c>
      <c r="J46" s="2">
        <v>1</v>
      </c>
      <c r="K46" s="2">
        <v>0</v>
      </c>
      <c r="L46" s="2">
        <v>0.2</v>
      </c>
      <c r="M46" s="2">
        <v>1</v>
      </c>
      <c r="N46" s="2">
        <v>0</v>
      </c>
      <c r="O46" s="2">
        <v>1</v>
      </c>
      <c r="P46" s="2">
        <v>0.2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0</v>
      </c>
      <c r="AH46" s="2" t="s">
        <v>121</v>
      </c>
    </row>
    <row r="47" spans="1:34" x14ac:dyDescent="0.35">
      <c r="A47" s="2">
        <v>0</v>
      </c>
      <c r="B47" s="2">
        <v>0.25</v>
      </c>
      <c r="C47" s="2">
        <v>0.33333333333333298</v>
      </c>
      <c r="D47" s="2">
        <v>0.66666666666666596</v>
      </c>
      <c r="E47" s="2">
        <v>0</v>
      </c>
      <c r="F47" s="2">
        <v>1</v>
      </c>
      <c r="G47" s="2">
        <v>0.55555555555555503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0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0</v>
      </c>
      <c r="AH47" s="2" t="s">
        <v>120</v>
      </c>
    </row>
    <row r="48" spans="1:34" x14ac:dyDescent="0.35">
      <c r="A48" s="2">
        <v>0.5</v>
      </c>
      <c r="B48" s="2">
        <v>0.25</v>
      </c>
      <c r="C48" s="2">
        <v>0.33333333333333298</v>
      </c>
      <c r="D48" s="2">
        <v>0.66666666666666596</v>
      </c>
      <c r="E48" s="2">
        <v>0.33333333333333298</v>
      </c>
      <c r="F48" s="2">
        <v>1</v>
      </c>
      <c r="G48" s="2">
        <v>0.55555555555555503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0.33333333333333298</v>
      </c>
      <c r="O48" s="2">
        <v>0</v>
      </c>
      <c r="P48" s="2">
        <v>0.4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 t="s">
        <v>120</v>
      </c>
    </row>
    <row r="49" spans="1:34" x14ac:dyDescent="0.35">
      <c r="A49" s="2">
        <v>0.83333333333333304</v>
      </c>
      <c r="B49" s="2">
        <v>0.25</v>
      </c>
      <c r="C49" s="2">
        <v>0.33333333333333298</v>
      </c>
      <c r="D49" s="2">
        <v>0.5</v>
      </c>
      <c r="E49" s="2">
        <v>0.33333333333333298</v>
      </c>
      <c r="F49" s="2">
        <v>1</v>
      </c>
      <c r="G49" s="2">
        <v>0.55555555555555503</v>
      </c>
      <c r="H49" s="2">
        <v>1</v>
      </c>
      <c r="I49" s="2">
        <v>0.5</v>
      </c>
      <c r="J49" s="2">
        <v>0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>
        <v>0.4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0</v>
      </c>
      <c r="AH49" s="2" t="s">
        <v>121</v>
      </c>
    </row>
    <row r="50" spans="1:34" x14ac:dyDescent="0.35">
      <c r="A50" s="2">
        <v>0.5</v>
      </c>
      <c r="B50" s="2">
        <v>0.25</v>
      </c>
      <c r="C50" s="2">
        <v>0.33333333333333298</v>
      </c>
      <c r="D50" s="2">
        <v>0.66666666666666596</v>
      </c>
      <c r="E50" s="2">
        <v>0</v>
      </c>
      <c r="F50" s="2">
        <v>1</v>
      </c>
      <c r="G50" s="2">
        <v>0.55555555555555503</v>
      </c>
      <c r="H50" s="2">
        <v>1</v>
      </c>
      <c r="I50" s="2">
        <v>0.5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1</v>
      </c>
      <c r="U50" s="2">
        <v>1</v>
      </c>
      <c r="V50" s="2">
        <v>0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0</v>
      </c>
      <c r="AH50" s="2" t="s">
        <v>120</v>
      </c>
    </row>
    <row r="51" spans="1:34" x14ac:dyDescent="0.35">
      <c r="A51" s="2">
        <v>0.83333333333333304</v>
      </c>
      <c r="B51" s="2">
        <v>0</v>
      </c>
      <c r="C51" s="2">
        <v>0</v>
      </c>
      <c r="D51" s="2">
        <v>0.66666666666666596</v>
      </c>
      <c r="E51" s="2">
        <v>0</v>
      </c>
      <c r="F51" s="2">
        <v>1</v>
      </c>
      <c r="G51" s="2">
        <v>0.55555555555555503</v>
      </c>
      <c r="H51" s="2">
        <v>0</v>
      </c>
      <c r="I51" s="2">
        <v>0.5</v>
      </c>
      <c r="J51" s="2">
        <v>0</v>
      </c>
      <c r="K51" s="2">
        <v>0</v>
      </c>
      <c r="L51" s="2">
        <v>0.2</v>
      </c>
      <c r="M51" s="2">
        <v>1</v>
      </c>
      <c r="N51" s="2">
        <v>0</v>
      </c>
      <c r="O51" s="2">
        <v>1</v>
      </c>
      <c r="P51" s="2">
        <v>0.4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0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0</v>
      </c>
      <c r="AH51" s="2" t="s">
        <v>120</v>
      </c>
    </row>
    <row r="52" spans="1:34" x14ac:dyDescent="0.35">
      <c r="A52" s="2">
        <v>0.66666666666666596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0.55555555555555503</v>
      </c>
      <c r="H52" s="2">
        <v>1</v>
      </c>
      <c r="I52" s="2">
        <v>1</v>
      </c>
      <c r="J52" s="2">
        <v>0</v>
      </c>
      <c r="K52" s="2">
        <v>0</v>
      </c>
      <c r="L52" s="2">
        <v>0.2</v>
      </c>
      <c r="M52" s="2">
        <v>1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1</v>
      </c>
      <c r="AC52" s="2">
        <v>1</v>
      </c>
      <c r="AD52" s="2">
        <v>1</v>
      </c>
      <c r="AE52" s="2">
        <v>0</v>
      </c>
      <c r="AF52" s="2">
        <v>1</v>
      </c>
      <c r="AG52" s="2">
        <v>0.5</v>
      </c>
      <c r="AH52" s="2" t="s">
        <v>120</v>
      </c>
    </row>
    <row r="53" spans="1:34" x14ac:dyDescent="0.35">
      <c r="A53" s="2">
        <v>0.66666666666666596</v>
      </c>
      <c r="B53" s="2">
        <v>0.5</v>
      </c>
      <c r="C53" s="2">
        <v>0.23899371069182301</v>
      </c>
      <c r="D53" s="2">
        <v>0</v>
      </c>
      <c r="E53" s="2">
        <v>0</v>
      </c>
      <c r="F53" s="2">
        <v>1</v>
      </c>
      <c r="G53" s="2">
        <v>0.55555555555555503</v>
      </c>
      <c r="H53" s="2">
        <v>1</v>
      </c>
      <c r="I53" s="2">
        <v>0.5</v>
      </c>
      <c r="J53" s="2">
        <v>0</v>
      </c>
      <c r="K53" s="2">
        <v>0</v>
      </c>
      <c r="L53" s="2">
        <v>0.2</v>
      </c>
      <c r="M53" s="2">
        <v>1</v>
      </c>
      <c r="N53" s="2">
        <v>0</v>
      </c>
      <c r="O53" s="2">
        <v>0</v>
      </c>
      <c r="P53" s="2">
        <v>0.4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0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0.19565217391304299</v>
      </c>
      <c r="AH53" s="2" t="s">
        <v>120</v>
      </c>
    </row>
    <row r="54" spans="1:34" x14ac:dyDescent="0.35">
      <c r="A54" s="2">
        <v>0.33333333333333298</v>
      </c>
      <c r="B54" s="2">
        <v>1</v>
      </c>
      <c r="C54" s="2">
        <v>1</v>
      </c>
      <c r="D54" s="2">
        <v>0</v>
      </c>
      <c r="E54" s="2">
        <v>0</v>
      </c>
      <c r="F54" s="2">
        <v>1</v>
      </c>
      <c r="G54" s="2">
        <v>0.22222222222222199</v>
      </c>
      <c r="H54" s="2">
        <v>1</v>
      </c>
      <c r="I54" s="2">
        <v>0</v>
      </c>
      <c r="J54" s="2">
        <v>0</v>
      </c>
      <c r="K54" s="2">
        <v>0.5</v>
      </c>
      <c r="L54" s="2">
        <v>0.158904109589041</v>
      </c>
      <c r="M54" s="2">
        <v>1</v>
      </c>
      <c r="N54" s="2">
        <v>0.66666666666666596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0</v>
      </c>
      <c r="W54" s="2">
        <v>1</v>
      </c>
      <c r="X54" s="2">
        <v>1</v>
      </c>
      <c r="Y54" s="2">
        <v>0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 t="s">
        <v>120</v>
      </c>
    </row>
    <row r="55" spans="1:34" x14ac:dyDescent="0.3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0.55555555555555503</v>
      </c>
      <c r="H55" s="2">
        <v>1</v>
      </c>
      <c r="I55" s="2">
        <v>0</v>
      </c>
      <c r="J55" s="2">
        <v>0</v>
      </c>
      <c r="K55" s="2">
        <v>0.5</v>
      </c>
      <c r="L55" s="2">
        <v>0.158904109589041</v>
      </c>
      <c r="M55" s="2">
        <v>1</v>
      </c>
      <c r="N55" s="2">
        <v>0</v>
      </c>
      <c r="O55" s="2">
        <v>0</v>
      </c>
      <c r="P55" s="2">
        <v>0.4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0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0.19565217391304299</v>
      </c>
      <c r="AH55" s="2" t="s">
        <v>120</v>
      </c>
    </row>
    <row r="56" spans="1:34" x14ac:dyDescent="0.35">
      <c r="A56" s="2">
        <v>0.33333333333333298</v>
      </c>
      <c r="B56" s="2">
        <v>0.25</v>
      </c>
      <c r="C56" s="2">
        <v>0.23899371069182301</v>
      </c>
      <c r="D56" s="2">
        <v>0.66666666666666596</v>
      </c>
      <c r="E56" s="2">
        <v>0</v>
      </c>
      <c r="F56" s="2">
        <v>1</v>
      </c>
      <c r="G56" s="2">
        <v>0.55555555555555503</v>
      </c>
      <c r="H56" s="2">
        <v>1</v>
      </c>
      <c r="I56" s="2">
        <v>0.5</v>
      </c>
      <c r="J56" s="2">
        <v>0</v>
      </c>
      <c r="K56" s="2">
        <v>0</v>
      </c>
      <c r="L56" s="2">
        <v>0.2</v>
      </c>
      <c r="M56" s="2">
        <v>1</v>
      </c>
      <c r="N56" s="2">
        <v>0</v>
      </c>
      <c r="O56" s="2">
        <v>0</v>
      </c>
      <c r="P56" s="2">
        <v>0.4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0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0.19565217391304299</v>
      </c>
      <c r="AH56" s="2" t="s">
        <v>120</v>
      </c>
    </row>
    <row r="57" spans="1:34" x14ac:dyDescent="0.35">
      <c r="A57" s="2">
        <v>0.16666666666666599</v>
      </c>
      <c r="B57" s="2">
        <v>0.25</v>
      </c>
      <c r="C57" s="2">
        <v>0.23899371069182301</v>
      </c>
      <c r="D57" s="2">
        <v>0</v>
      </c>
      <c r="E57" s="2">
        <v>0</v>
      </c>
      <c r="F57" s="2">
        <v>1</v>
      </c>
      <c r="G57" s="2">
        <v>0.55555555555555503</v>
      </c>
      <c r="H57" s="2">
        <v>1</v>
      </c>
      <c r="I57" s="2">
        <v>0</v>
      </c>
      <c r="J57" s="2">
        <v>0</v>
      </c>
      <c r="K57" s="2">
        <v>0</v>
      </c>
      <c r="L57" s="2">
        <v>0.2</v>
      </c>
      <c r="M57" s="2">
        <v>1</v>
      </c>
      <c r="N57" s="2">
        <v>0</v>
      </c>
      <c r="O57" s="2">
        <v>0</v>
      </c>
      <c r="P57" s="2">
        <v>0.4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0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0.19565217391304299</v>
      </c>
      <c r="AH57" s="2" t="s">
        <v>120</v>
      </c>
    </row>
    <row r="58" spans="1:34" x14ac:dyDescent="0.35">
      <c r="A58" s="2">
        <v>0.66666666666666596</v>
      </c>
      <c r="B58" s="2">
        <v>0.5</v>
      </c>
      <c r="C58" s="2">
        <v>0.23899371069182301</v>
      </c>
      <c r="D58" s="2">
        <v>0</v>
      </c>
      <c r="E58" s="2">
        <v>0.33333333333333298</v>
      </c>
      <c r="F58" s="2">
        <v>1</v>
      </c>
      <c r="G58" s="2">
        <v>0.55555555555555503</v>
      </c>
      <c r="H58" s="2">
        <v>1</v>
      </c>
      <c r="I58" s="2">
        <v>0</v>
      </c>
      <c r="J58" s="2">
        <v>0</v>
      </c>
      <c r="K58" s="2">
        <v>0</v>
      </c>
      <c r="L58" s="2">
        <v>0.2</v>
      </c>
      <c r="M58" s="2">
        <v>1</v>
      </c>
      <c r="N58" s="2">
        <v>0</v>
      </c>
      <c r="O58" s="2">
        <v>0</v>
      </c>
      <c r="P58" s="2">
        <v>0.4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1</v>
      </c>
      <c r="X58" s="2">
        <v>1</v>
      </c>
      <c r="Y58" s="2">
        <v>1</v>
      </c>
      <c r="Z58" s="2">
        <v>0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0.19565217391304299</v>
      </c>
      <c r="AH58" s="2" t="s">
        <v>120</v>
      </c>
    </row>
    <row r="59" spans="1:34" x14ac:dyDescent="0.35">
      <c r="A59" s="2">
        <v>0.66666666666666596</v>
      </c>
      <c r="B59" s="2">
        <v>0.5</v>
      </c>
      <c r="C59" s="2">
        <v>0.23899371069182301</v>
      </c>
      <c r="D59" s="2">
        <v>0.66666666666666596</v>
      </c>
      <c r="E59" s="2">
        <v>0</v>
      </c>
      <c r="F59" s="2">
        <v>1</v>
      </c>
      <c r="G59" s="2">
        <v>0.55555555555555503</v>
      </c>
      <c r="H59" s="2">
        <v>1</v>
      </c>
      <c r="I59" s="2">
        <v>0</v>
      </c>
      <c r="J59" s="2">
        <v>0</v>
      </c>
      <c r="K59" s="2">
        <v>0.5</v>
      </c>
      <c r="L59" s="2">
        <v>0.158904109589041</v>
      </c>
      <c r="M59" s="2">
        <v>1</v>
      </c>
      <c r="N59" s="2">
        <v>0.33333333333333298</v>
      </c>
      <c r="O59" s="2">
        <v>0</v>
      </c>
      <c r="P59" s="2">
        <v>0.4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0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0.19565217391304299</v>
      </c>
      <c r="AH59" s="2" t="s">
        <v>120</v>
      </c>
    </row>
    <row r="60" spans="1:34" x14ac:dyDescent="0.35">
      <c r="A60" s="2">
        <v>0.16666666666666599</v>
      </c>
      <c r="B60" s="2">
        <v>0</v>
      </c>
      <c r="C60" s="2">
        <v>0</v>
      </c>
      <c r="D60" s="2">
        <v>0.66666666666666596</v>
      </c>
      <c r="E60" s="2">
        <v>0</v>
      </c>
      <c r="F60" s="2">
        <v>1</v>
      </c>
      <c r="G60" s="2">
        <v>0.55555555555555503</v>
      </c>
      <c r="H60" s="2">
        <v>1</v>
      </c>
      <c r="I60" s="2">
        <v>1</v>
      </c>
      <c r="J60" s="2">
        <v>0</v>
      </c>
      <c r="K60" s="2">
        <v>0</v>
      </c>
      <c r="L60" s="2">
        <v>0.2</v>
      </c>
      <c r="M60" s="2">
        <v>1</v>
      </c>
      <c r="N60" s="2">
        <v>0</v>
      </c>
      <c r="O60" s="2">
        <v>0</v>
      </c>
      <c r="P60" s="2">
        <v>0.4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0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0.19565217391304299</v>
      </c>
      <c r="AH60" s="2" t="s">
        <v>120</v>
      </c>
    </row>
    <row r="61" spans="1:34" x14ac:dyDescent="0.35">
      <c r="A61" s="2">
        <v>0.5</v>
      </c>
      <c r="B61" s="2">
        <v>0</v>
      </c>
      <c r="C61" s="2">
        <v>0</v>
      </c>
      <c r="D61" s="2">
        <v>1</v>
      </c>
      <c r="E61" s="2">
        <v>0.33333333333333298</v>
      </c>
      <c r="F61" s="2">
        <v>1</v>
      </c>
      <c r="G61" s="2">
        <v>0.55555555555555503</v>
      </c>
      <c r="H61" s="2">
        <v>1</v>
      </c>
      <c r="I61" s="2">
        <v>0.5</v>
      </c>
      <c r="J61" s="2">
        <v>0</v>
      </c>
      <c r="K61" s="2">
        <v>0</v>
      </c>
      <c r="L61" s="2">
        <v>0.2</v>
      </c>
      <c r="M61" s="2">
        <v>0.5</v>
      </c>
      <c r="N61" s="2">
        <v>0</v>
      </c>
      <c r="O61" s="2">
        <v>0</v>
      </c>
      <c r="P61" s="2">
        <v>0.4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0.19565217391304299</v>
      </c>
      <c r="AH61" s="2" t="s">
        <v>120</v>
      </c>
    </row>
    <row r="62" spans="1:34" x14ac:dyDescent="0.35">
      <c r="A62" s="38">
        <v>0.5</v>
      </c>
      <c r="B62" s="38">
        <v>0.25</v>
      </c>
      <c r="C62" s="38">
        <v>0.33333333333333298</v>
      </c>
      <c r="D62" s="38">
        <v>0</v>
      </c>
      <c r="E62" s="38">
        <v>0</v>
      </c>
      <c r="F62" s="38">
        <v>1</v>
      </c>
      <c r="G62" s="38">
        <v>0.55555555555555503</v>
      </c>
      <c r="H62" s="38">
        <v>1</v>
      </c>
      <c r="I62" s="38">
        <v>0.5</v>
      </c>
      <c r="J62" s="38">
        <v>0</v>
      </c>
      <c r="K62" s="38">
        <v>0</v>
      </c>
      <c r="L62" s="38">
        <v>0.2</v>
      </c>
      <c r="M62" s="38">
        <v>1</v>
      </c>
      <c r="N62" s="38">
        <v>0</v>
      </c>
      <c r="O62" s="38">
        <v>0</v>
      </c>
      <c r="P62" s="38">
        <v>0</v>
      </c>
      <c r="Q62" s="38">
        <v>1</v>
      </c>
      <c r="R62" s="38">
        <v>0</v>
      </c>
      <c r="S62" s="38">
        <v>1</v>
      </c>
      <c r="T62" s="38">
        <v>1</v>
      </c>
      <c r="U62" s="38">
        <v>1</v>
      </c>
      <c r="V62" s="38">
        <v>0</v>
      </c>
      <c r="W62" s="38">
        <v>1</v>
      </c>
      <c r="X62" s="38">
        <v>1</v>
      </c>
      <c r="Y62" s="38">
        <v>0</v>
      </c>
      <c r="Z62" s="38">
        <v>0</v>
      </c>
      <c r="AA62" s="38">
        <v>1</v>
      </c>
      <c r="AB62" s="38">
        <v>1</v>
      </c>
      <c r="AC62" s="38">
        <v>1</v>
      </c>
      <c r="AD62" s="38">
        <v>1</v>
      </c>
      <c r="AE62" s="38">
        <v>1</v>
      </c>
      <c r="AF62" s="38">
        <v>1</v>
      </c>
      <c r="AG62" s="38">
        <v>0</v>
      </c>
      <c r="AH62" s="38" t="s">
        <v>195</v>
      </c>
    </row>
    <row r="63" spans="1:34" x14ac:dyDescent="0.35">
      <c r="A63" s="38">
        <v>0</v>
      </c>
      <c r="B63" s="38">
        <v>0.23765432098765399</v>
      </c>
      <c r="C63" s="38">
        <v>0.23899371069182301</v>
      </c>
      <c r="D63" s="38">
        <v>0.53703703703703698</v>
      </c>
      <c r="E63" s="38">
        <v>0.12757201646090499</v>
      </c>
      <c r="F63" s="38">
        <v>0.94805194805194803</v>
      </c>
      <c r="G63" s="38">
        <v>0.55692729766803795</v>
      </c>
      <c r="H63" s="38">
        <v>0.936708860759493</v>
      </c>
      <c r="I63" s="38">
        <v>0.407407407407407</v>
      </c>
      <c r="J63" s="38">
        <v>0.19478737997256501</v>
      </c>
      <c r="K63" s="38">
        <v>5.5555555555555497E-2</v>
      </c>
      <c r="L63" s="38">
        <v>0.158904109589041</v>
      </c>
      <c r="M63" s="38">
        <v>0.95061728395061695</v>
      </c>
      <c r="N63" s="38">
        <v>6.1728395061728301E-2</v>
      </c>
      <c r="O63" s="38">
        <v>0.189873417721519</v>
      </c>
      <c r="P63" s="38">
        <v>0.32345679012345602</v>
      </c>
      <c r="Q63" s="38">
        <v>0.98765432098765404</v>
      </c>
      <c r="R63" s="38">
        <v>0.76543209876543195</v>
      </c>
      <c r="S63" s="38">
        <v>0.97530864197530798</v>
      </c>
      <c r="T63" s="38">
        <v>1</v>
      </c>
      <c r="U63" s="38">
        <v>1</v>
      </c>
      <c r="V63" s="38">
        <v>0.11111111111111099</v>
      </c>
      <c r="W63" s="38">
        <v>1</v>
      </c>
      <c r="X63" s="38">
        <v>0.97530864197530798</v>
      </c>
      <c r="Y63" s="38">
        <v>0.90123456790123402</v>
      </c>
      <c r="Z63" s="38">
        <v>0.44444444444444398</v>
      </c>
      <c r="AA63" s="38">
        <v>1</v>
      </c>
      <c r="AB63" s="38">
        <v>1</v>
      </c>
      <c r="AC63" s="38">
        <v>1</v>
      </c>
      <c r="AD63" s="38">
        <v>1</v>
      </c>
      <c r="AE63" s="38">
        <v>0.938271604938271</v>
      </c>
      <c r="AF63" s="38">
        <v>1</v>
      </c>
      <c r="AG63" s="38">
        <v>0.19565217391304299</v>
      </c>
      <c r="AH63" s="38" t="s">
        <v>195</v>
      </c>
    </row>
    <row r="64" spans="1:34" x14ac:dyDescent="0.35">
      <c r="A64" s="38">
        <v>0</v>
      </c>
      <c r="B64" s="38">
        <v>0.23765432098765399</v>
      </c>
      <c r="C64" s="38">
        <v>0.23899371069182301</v>
      </c>
      <c r="D64" s="38">
        <v>0.53703703703703698</v>
      </c>
      <c r="E64" s="38">
        <v>0.12757201646090499</v>
      </c>
      <c r="F64" s="38">
        <v>0.94805194805194803</v>
      </c>
      <c r="G64" s="38">
        <v>0.55692729766803795</v>
      </c>
      <c r="H64" s="38">
        <v>0.936708860759493</v>
      </c>
      <c r="I64" s="38">
        <v>0.407407407407407</v>
      </c>
      <c r="J64" s="38">
        <v>0.19478737997256501</v>
      </c>
      <c r="K64" s="38">
        <v>5.5555555555555497E-2</v>
      </c>
      <c r="L64" s="38">
        <v>0.158904109589041</v>
      </c>
      <c r="M64" s="38">
        <v>0.95061728395061695</v>
      </c>
      <c r="N64" s="38">
        <v>6.1728395061728301E-2</v>
      </c>
      <c r="O64" s="38">
        <v>0.189873417721519</v>
      </c>
      <c r="P64" s="38">
        <v>0.32345679012345602</v>
      </c>
      <c r="Q64" s="38">
        <v>0.98765432098765404</v>
      </c>
      <c r="R64" s="38">
        <v>0.76543209876543195</v>
      </c>
      <c r="S64" s="38">
        <v>0.97530864197530798</v>
      </c>
      <c r="T64" s="38">
        <v>1</v>
      </c>
      <c r="U64" s="38">
        <v>1</v>
      </c>
      <c r="V64" s="38">
        <v>0.11111111111111099</v>
      </c>
      <c r="W64" s="38">
        <v>1</v>
      </c>
      <c r="X64" s="38">
        <v>0.97530864197530798</v>
      </c>
      <c r="Y64" s="38">
        <v>0.90123456790123402</v>
      </c>
      <c r="Z64" s="38">
        <v>0.44444444444444398</v>
      </c>
      <c r="AA64" s="38">
        <v>1</v>
      </c>
      <c r="AB64" s="38">
        <v>1</v>
      </c>
      <c r="AC64" s="38">
        <v>1</v>
      </c>
      <c r="AD64" s="38">
        <v>1</v>
      </c>
      <c r="AE64" s="38">
        <v>0.938271604938271</v>
      </c>
      <c r="AF64" s="38">
        <v>1</v>
      </c>
      <c r="AG64" s="38">
        <v>0.19565217391304299</v>
      </c>
      <c r="AH64" s="38" t="s">
        <v>195</v>
      </c>
    </row>
    <row r="65" spans="1:34" x14ac:dyDescent="0.35">
      <c r="A65" s="38">
        <v>0</v>
      </c>
      <c r="B65" s="38">
        <v>0.23765432098765399</v>
      </c>
      <c r="C65" s="38">
        <v>0.23899371069182301</v>
      </c>
      <c r="D65" s="38">
        <v>0.53703703703703698</v>
      </c>
      <c r="E65" s="38">
        <v>0.12757201646090499</v>
      </c>
      <c r="F65" s="38">
        <v>0.94805194805194803</v>
      </c>
      <c r="G65" s="38">
        <v>0.55692729766803795</v>
      </c>
      <c r="H65" s="38">
        <v>0.936708860759493</v>
      </c>
      <c r="I65" s="38">
        <v>0.407407407407407</v>
      </c>
      <c r="J65" s="38">
        <v>0.19478737997256501</v>
      </c>
      <c r="K65" s="38">
        <v>5.5555555555555497E-2</v>
      </c>
      <c r="L65" s="38">
        <v>0.158904109589041</v>
      </c>
      <c r="M65" s="38">
        <v>0.95061728395061695</v>
      </c>
      <c r="N65" s="38">
        <v>6.1728395061728301E-2</v>
      </c>
      <c r="O65" s="38">
        <v>0.189873417721519</v>
      </c>
      <c r="P65" s="38">
        <v>0.32345679012345602</v>
      </c>
      <c r="Q65" s="38">
        <v>0.98765432098765404</v>
      </c>
      <c r="R65" s="38">
        <v>0.76543209876543195</v>
      </c>
      <c r="S65" s="38">
        <v>0.97530864197530798</v>
      </c>
      <c r="T65" s="38">
        <v>1</v>
      </c>
      <c r="U65" s="38">
        <v>1</v>
      </c>
      <c r="V65" s="38">
        <v>0.11111111111111099</v>
      </c>
      <c r="W65" s="38">
        <v>1</v>
      </c>
      <c r="X65" s="38">
        <v>0.97530864197530798</v>
      </c>
      <c r="Y65" s="38">
        <v>0.90123456790123402</v>
      </c>
      <c r="Z65" s="38">
        <v>0.44444444444444398</v>
      </c>
      <c r="AA65" s="38">
        <v>1</v>
      </c>
      <c r="AB65" s="38">
        <v>1</v>
      </c>
      <c r="AC65" s="38">
        <v>1</v>
      </c>
      <c r="AD65" s="38">
        <v>1</v>
      </c>
      <c r="AE65" s="38">
        <v>0.938271604938271</v>
      </c>
      <c r="AF65" s="38">
        <v>1</v>
      </c>
      <c r="AG65" s="38">
        <v>0.19565217391304299</v>
      </c>
      <c r="AH65" s="38" t="s">
        <v>195</v>
      </c>
    </row>
    <row r="66" spans="1:34" x14ac:dyDescent="0.35">
      <c r="A66" s="38">
        <v>0</v>
      </c>
      <c r="B66" s="38">
        <v>0.23765432098765399</v>
      </c>
      <c r="C66" s="38">
        <v>0.23899371069182301</v>
      </c>
      <c r="D66" s="38">
        <v>0.53703703703703698</v>
      </c>
      <c r="E66" s="38">
        <v>0.12757201646090499</v>
      </c>
      <c r="F66" s="38">
        <v>0.94805194805194803</v>
      </c>
      <c r="G66" s="38">
        <v>0.55692729766803795</v>
      </c>
      <c r="H66" s="38">
        <v>0.936708860759493</v>
      </c>
      <c r="I66" s="38">
        <v>0.407407407407407</v>
      </c>
      <c r="J66" s="38">
        <v>0.19478737997256501</v>
      </c>
      <c r="K66" s="38">
        <v>5.5555555555555497E-2</v>
      </c>
      <c r="L66" s="38">
        <v>0.158904109589041</v>
      </c>
      <c r="M66" s="38">
        <v>0.95061728395061695</v>
      </c>
      <c r="N66" s="38">
        <v>6.1728395061728301E-2</v>
      </c>
      <c r="O66" s="38">
        <v>0.189873417721519</v>
      </c>
      <c r="P66" s="38">
        <v>0.32345679012345602</v>
      </c>
      <c r="Q66" s="38">
        <v>0.98765432098765404</v>
      </c>
      <c r="R66" s="38">
        <v>0.76543209876543195</v>
      </c>
      <c r="S66" s="38">
        <v>0.97530864197530798</v>
      </c>
      <c r="T66" s="38">
        <v>1</v>
      </c>
      <c r="U66" s="38">
        <v>1</v>
      </c>
      <c r="V66" s="38">
        <v>0.11111111111111099</v>
      </c>
      <c r="W66" s="38">
        <v>1</v>
      </c>
      <c r="X66" s="38">
        <v>0.97530864197530798</v>
      </c>
      <c r="Y66" s="38">
        <v>0.90123456790123402</v>
      </c>
      <c r="Z66" s="38">
        <v>0.44444444444444398</v>
      </c>
      <c r="AA66" s="38">
        <v>1</v>
      </c>
      <c r="AB66" s="38">
        <v>1</v>
      </c>
      <c r="AC66" s="38">
        <v>1</v>
      </c>
      <c r="AD66" s="38">
        <v>1</v>
      </c>
      <c r="AE66" s="38">
        <v>0.938271604938271</v>
      </c>
      <c r="AF66" s="38">
        <v>1</v>
      </c>
      <c r="AG66" s="38">
        <v>0.19565217391304299</v>
      </c>
      <c r="AH66" s="38" t="s">
        <v>195</v>
      </c>
    </row>
    <row r="67" spans="1:34" x14ac:dyDescent="0.35">
      <c r="A67" s="38">
        <v>0</v>
      </c>
      <c r="B67" s="38">
        <v>0.23765432098765399</v>
      </c>
      <c r="C67" s="38">
        <v>0.23899371069182301</v>
      </c>
      <c r="D67" s="38">
        <v>0.53703703703703698</v>
      </c>
      <c r="E67" s="38">
        <v>0.12757201646090499</v>
      </c>
      <c r="F67" s="38">
        <v>0.94805194805194803</v>
      </c>
      <c r="G67" s="38">
        <v>0.55692729766803795</v>
      </c>
      <c r="H67" s="38">
        <v>0.936708860759493</v>
      </c>
      <c r="I67" s="38">
        <v>0.407407407407407</v>
      </c>
      <c r="J67" s="38">
        <v>0.19478737997256501</v>
      </c>
      <c r="K67" s="38">
        <v>5.5555555555555497E-2</v>
      </c>
      <c r="L67" s="38">
        <v>0.158904109589041</v>
      </c>
      <c r="M67" s="38">
        <v>0.95061728395061695</v>
      </c>
      <c r="N67" s="38">
        <v>6.1728395061728301E-2</v>
      </c>
      <c r="O67" s="38">
        <v>0.189873417721519</v>
      </c>
      <c r="P67" s="38">
        <v>0.32345679012345602</v>
      </c>
      <c r="Q67" s="38">
        <v>0.98765432098765404</v>
      </c>
      <c r="R67" s="38">
        <v>0.76543209876543195</v>
      </c>
      <c r="S67" s="38">
        <v>0.97530864197530798</v>
      </c>
      <c r="T67" s="38">
        <v>1</v>
      </c>
      <c r="U67" s="38">
        <v>1</v>
      </c>
      <c r="V67" s="38">
        <v>0.11111111111111099</v>
      </c>
      <c r="W67" s="38">
        <v>1</v>
      </c>
      <c r="X67" s="38">
        <v>0.97530864197530798</v>
      </c>
      <c r="Y67" s="38">
        <v>0.90123456790123402</v>
      </c>
      <c r="Z67" s="38">
        <v>0.44444444444444398</v>
      </c>
      <c r="AA67" s="38">
        <v>1</v>
      </c>
      <c r="AB67" s="38">
        <v>1</v>
      </c>
      <c r="AC67" s="38">
        <v>1</v>
      </c>
      <c r="AD67" s="38">
        <v>1</v>
      </c>
      <c r="AE67" s="38">
        <v>0.938271604938271</v>
      </c>
      <c r="AF67" s="38">
        <v>1</v>
      </c>
      <c r="AG67" s="38">
        <v>0.19565217391304299</v>
      </c>
      <c r="AH67" s="38" t="s">
        <v>195</v>
      </c>
    </row>
    <row r="68" spans="1:34" x14ac:dyDescent="0.35">
      <c r="A68" s="38">
        <v>0</v>
      </c>
      <c r="B68" s="38">
        <v>0.23765432098765399</v>
      </c>
      <c r="C68" s="38">
        <v>0.23899371069182301</v>
      </c>
      <c r="D68" s="38">
        <v>0.53703703703703698</v>
      </c>
      <c r="E68" s="38">
        <v>0.12757201646090499</v>
      </c>
      <c r="F68" s="38">
        <v>0.94805194805194803</v>
      </c>
      <c r="G68" s="38">
        <v>0.55692729766803795</v>
      </c>
      <c r="H68" s="38">
        <v>0.936708860759493</v>
      </c>
      <c r="I68" s="38">
        <v>0.407407407407407</v>
      </c>
      <c r="J68" s="38">
        <v>0.19478737997256501</v>
      </c>
      <c r="K68" s="38">
        <v>5.5555555555555497E-2</v>
      </c>
      <c r="L68" s="38">
        <v>0.158904109589041</v>
      </c>
      <c r="M68" s="38">
        <v>0.95061728395061695</v>
      </c>
      <c r="N68" s="38">
        <v>6.1728395061728301E-2</v>
      </c>
      <c r="O68" s="38">
        <v>0.189873417721519</v>
      </c>
      <c r="P68" s="38">
        <v>0.32345679012345602</v>
      </c>
      <c r="Q68" s="38">
        <v>0.98765432098765404</v>
      </c>
      <c r="R68" s="38">
        <v>0.76543209876543195</v>
      </c>
      <c r="S68" s="38">
        <v>0.97530864197530798</v>
      </c>
      <c r="T68" s="38">
        <v>1</v>
      </c>
      <c r="U68" s="38">
        <v>1</v>
      </c>
      <c r="V68" s="38">
        <v>0.11111111111111099</v>
      </c>
      <c r="W68" s="38">
        <v>1</v>
      </c>
      <c r="X68" s="38">
        <v>0.97530864197530798</v>
      </c>
      <c r="Y68" s="38">
        <v>0.90123456790123402</v>
      </c>
      <c r="Z68" s="38">
        <v>0.44444444444444398</v>
      </c>
      <c r="AA68" s="38">
        <v>1</v>
      </c>
      <c r="AB68" s="38">
        <v>1</v>
      </c>
      <c r="AC68" s="38">
        <v>1</v>
      </c>
      <c r="AD68" s="38">
        <v>1</v>
      </c>
      <c r="AE68" s="38">
        <v>0.938271604938271</v>
      </c>
      <c r="AF68" s="38">
        <v>1</v>
      </c>
      <c r="AG68" s="38">
        <v>0.19565217391304299</v>
      </c>
      <c r="AH68" s="38" t="s">
        <v>195</v>
      </c>
    </row>
    <row r="69" spans="1:34" x14ac:dyDescent="0.35">
      <c r="A69" s="38">
        <v>0</v>
      </c>
      <c r="B69" s="38">
        <v>0.25</v>
      </c>
      <c r="C69" s="38">
        <v>0.23899371069182301</v>
      </c>
      <c r="D69" s="38">
        <v>0.66666666666666596</v>
      </c>
      <c r="E69" s="38">
        <v>1</v>
      </c>
      <c r="F69" s="38">
        <v>0.94805194805194803</v>
      </c>
      <c r="G69" s="38">
        <v>1</v>
      </c>
      <c r="H69" s="38">
        <v>0.936708860759493</v>
      </c>
      <c r="I69" s="38">
        <v>0.5</v>
      </c>
      <c r="J69" s="38">
        <v>0.55555555555555503</v>
      </c>
      <c r="K69" s="38">
        <v>0.5</v>
      </c>
      <c r="L69" s="38">
        <v>0.158904109589041</v>
      </c>
      <c r="M69" s="38">
        <v>1</v>
      </c>
      <c r="N69" s="38">
        <v>1</v>
      </c>
      <c r="O69" s="38">
        <v>0.189873417721519</v>
      </c>
      <c r="P69" s="38">
        <v>0.4</v>
      </c>
      <c r="Q69" s="38">
        <v>1</v>
      </c>
      <c r="R69" s="38">
        <v>1</v>
      </c>
      <c r="S69" s="38">
        <v>1</v>
      </c>
      <c r="T69" s="38">
        <v>1</v>
      </c>
      <c r="U69" s="38">
        <v>1</v>
      </c>
      <c r="V69" s="38">
        <v>1</v>
      </c>
      <c r="W69" s="38">
        <v>1</v>
      </c>
      <c r="X69" s="38">
        <v>1</v>
      </c>
      <c r="Y69" s="38">
        <v>1</v>
      </c>
      <c r="Z69" s="38">
        <v>1</v>
      </c>
      <c r="AA69" s="38">
        <v>1</v>
      </c>
      <c r="AB69" s="38">
        <v>1</v>
      </c>
      <c r="AC69" s="38">
        <v>1</v>
      </c>
      <c r="AD69" s="38">
        <v>1</v>
      </c>
      <c r="AE69" s="38">
        <v>1</v>
      </c>
      <c r="AF69" s="38">
        <v>1</v>
      </c>
      <c r="AG69" s="38">
        <v>1</v>
      </c>
      <c r="AH69" s="38" t="s">
        <v>195</v>
      </c>
    </row>
    <row r="70" spans="1:34" x14ac:dyDescent="0.35">
      <c r="A70" s="38">
        <v>0.66666666666666596</v>
      </c>
      <c r="B70" s="38">
        <v>0.25</v>
      </c>
      <c r="C70" s="38">
        <v>0.23899371069182301</v>
      </c>
      <c r="D70" s="38">
        <v>0.66666666666666596</v>
      </c>
      <c r="E70" s="38">
        <v>0</v>
      </c>
      <c r="F70" s="38">
        <v>1</v>
      </c>
      <c r="G70" s="38">
        <v>0.55555555555555503</v>
      </c>
      <c r="H70" s="38">
        <v>1</v>
      </c>
      <c r="I70" s="38">
        <v>0</v>
      </c>
      <c r="J70" s="38">
        <v>0</v>
      </c>
      <c r="K70" s="38">
        <v>0</v>
      </c>
      <c r="L70" s="38">
        <v>0.2</v>
      </c>
      <c r="M70" s="38">
        <v>1</v>
      </c>
      <c r="N70" s="38">
        <v>0</v>
      </c>
      <c r="O70" s="38">
        <v>0</v>
      </c>
      <c r="P70" s="38">
        <v>0.4</v>
      </c>
      <c r="Q70" s="38">
        <v>1</v>
      </c>
      <c r="R70" s="38">
        <v>1</v>
      </c>
      <c r="S70" s="38">
        <v>1</v>
      </c>
      <c r="T70" s="38">
        <v>1</v>
      </c>
      <c r="U70" s="38">
        <v>1</v>
      </c>
      <c r="V70" s="38">
        <v>0</v>
      </c>
      <c r="W70" s="38">
        <v>1</v>
      </c>
      <c r="X70" s="38">
        <v>1</v>
      </c>
      <c r="Y70" s="38">
        <v>1</v>
      </c>
      <c r="Z70" s="38">
        <v>1</v>
      </c>
      <c r="AA70" s="38">
        <v>1</v>
      </c>
      <c r="AB70" s="38">
        <v>1</v>
      </c>
      <c r="AC70" s="38">
        <v>1</v>
      </c>
      <c r="AD70" s="38">
        <v>1</v>
      </c>
      <c r="AE70" s="38">
        <v>1</v>
      </c>
      <c r="AF70" s="38">
        <v>1</v>
      </c>
      <c r="AG70" s="38">
        <v>0.19565217391304299</v>
      </c>
      <c r="AH70" s="38" t="s">
        <v>195</v>
      </c>
    </row>
    <row r="71" spans="1:34" x14ac:dyDescent="0.35">
      <c r="A71" s="38">
        <v>0.5</v>
      </c>
      <c r="B71" s="38">
        <v>0.5</v>
      </c>
      <c r="C71" s="38">
        <v>0.23899371069182301</v>
      </c>
      <c r="D71" s="38">
        <v>0.66666666666666596</v>
      </c>
      <c r="E71" s="38">
        <v>0</v>
      </c>
      <c r="F71" s="38">
        <v>1</v>
      </c>
      <c r="G71" s="38">
        <v>0.55555555555555503</v>
      </c>
      <c r="H71" s="38">
        <v>1</v>
      </c>
      <c r="I71" s="38">
        <v>0</v>
      </c>
      <c r="J71" s="38">
        <v>0</v>
      </c>
      <c r="K71" s="38">
        <v>0</v>
      </c>
      <c r="L71" s="38">
        <v>0.2</v>
      </c>
      <c r="M71" s="38">
        <v>1</v>
      </c>
      <c r="N71" s="38">
        <v>0</v>
      </c>
      <c r="O71" s="38">
        <v>0</v>
      </c>
      <c r="P71" s="38">
        <v>0.4</v>
      </c>
      <c r="Q71" s="38">
        <v>1</v>
      </c>
      <c r="R71" s="38">
        <v>1</v>
      </c>
      <c r="S71" s="38">
        <v>1</v>
      </c>
      <c r="T71" s="38">
        <v>1</v>
      </c>
      <c r="U71" s="38">
        <v>1</v>
      </c>
      <c r="V71" s="38">
        <v>0</v>
      </c>
      <c r="W71" s="38">
        <v>1</v>
      </c>
      <c r="X71" s="38">
        <v>1</v>
      </c>
      <c r="Y71" s="38">
        <v>1</v>
      </c>
      <c r="Z71" s="38">
        <v>0</v>
      </c>
      <c r="AA71" s="38">
        <v>1</v>
      </c>
      <c r="AB71" s="38">
        <v>1</v>
      </c>
      <c r="AC71" s="38">
        <v>1</v>
      </c>
      <c r="AD71" s="38">
        <v>1</v>
      </c>
      <c r="AE71" s="38">
        <v>1</v>
      </c>
      <c r="AF71" s="38">
        <v>1</v>
      </c>
      <c r="AG71" s="38">
        <v>0.19565217391304299</v>
      </c>
      <c r="AH71" s="38" t="s">
        <v>195</v>
      </c>
    </row>
    <row r="72" spans="1:34" x14ac:dyDescent="0.35">
      <c r="A72" s="38">
        <v>0.66666666666666596</v>
      </c>
      <c r="B72" s="38">
        <v>0.25</v>
      </c>
      <c r="C72" s="38">
        <v>0.23899371069182301</v>
      </c>
      <c r="D72" s="38">
        <v>0</v>
      </c>
      <c r="E72" s="38">
        <v>0</v>
      </c>
      <c r="F72" s="38">
        <v>1</v>
      </c>
      <c r="G72" s="38">
        <v>0.66666666666666596</v>
      </c>
      <c r="H72" s="38">
        <v>1</v>
      </c>
      <c r="I72" s="38">
        <v>1</v>
      </c>
      <c r="J72" s="38">
        <v>0</v>
      </c>
      <c r="K72" s="38">
        <v>0</v>
      </c>
      <c r="L72" s="38">
        <v>0.2</v>
      </c>
      <c r="M72" s="38">
        <v>1</v>
      </c>
      <c r="N72" s="38">
        <v>0</v>
      </c>
      <c r="O72" s="38">
        <v>0</v>
      </c>
      <c r="P72" s="38">
        <v>0.4</v>
      </c>
      <c r="Q72" s="38">
        <v>1</v>
      </c>
      <c r="R72" s="38">
        <v>1</v>
      </c>
      <c r="S72" s="38">
        <v>1</v>
      </c>
      <c r="T72" s="38">
        <v>1</v>
      </c>
      <c r="U72" s="38">
        <v>1</v>
      </c>
      <c r="V72" s="38">
        <v>0</v>
      </c>
      <c r="W72" s="38">
        <v>1</v>
      </c>
      <c r="X72" s="38">
        <v>1</v>
      </c>
      <c r="Y72" s="38">
        <v>1</v>
      </c>
      <c r="Z72" s="38">
        <v>0</v>
      </c>
      <c r="AA72" s="38">
        <v>1</v>
      </c>
      <c r="AB72" s="38">
        <v>1</v>
      </c>
      <c r="AC72" s="38">
        <v>1</v>
      </c>
      <c r="AD72" s="38">
        <v>1</v>
      </c>
      <c r="AE72" s="38">
        <v>1</v>
      </c>
      <c r="AF72" s="38">
        <v>1</v>
      </c>
      <c r="AG72" s="38">
        <v>0.19565217391304299</v>
      </c>
      <c r="AH72" s="38" t="s">
        <v>195</v>
      </c>
    </row>
    <row r="73" spans="1:34" x14ac:dyDescent="0.35">
      <c r="A73" s="38">
        <v>0.33333333333333298</v>
      </c>
      <c r="B73" s="38">
        <v>0.25</v>
      </c>
      <c r="C73" s="38">
        <v>0.33333333333333298</v>
      </c>
      <c r="D73" s="38">
        <v>0.66666666666666596</v>
      </c>
      <c r="E73" s="38">
        <v>0</v>
      </c>
      <c r="F73" s="38">
        <v>1</v>
      </c>
      <c r="G73" s="38">
        <v>0.55555555555555503</v>
      </c>
      <c r="H73" s="38">
        <v>1</v>
      </c>
      <c r="I73" s="38">
        <v>0.5</v>
      </c>
      <c r="J73" s="38">
        <v>0</v>
      </c>
      <c r="K73" s="38">
        <v>0</v>
      </c>
      <c r="L73" s="38">
        <v>0.2</v>
      </c>
      <c r="M73" s="38">
        <v>1</v>
      </c>
      <c r="N73" s="38">
        <v>0</v>
      </c>
      <c r="O73" s="38">
        <v>0</v>
      </c>
      <c r="P73" s="38">
        <v>0.4</v>
      </c>
      <c r="Q73" s="38">
        <v>1</v>
      </c>
      <c r="R73" s="38">
        <v>0</v>
      </c>
      <c r="S73" s="38">
        <v>1</v>
      </c>
      <c r="T73" s="38">
        <v>1</v>
      </c>
      <c r="U73" s="38">
        <v>1</v>
      </c>
      <c r="V73" s="38">
        <v>0</v>
      </c>
      <c r="W73" s="38">
        <v>1</v>
      </c>
      <c r="X73" s="38">
        <v>1</v>
      </c>
      <c r="Y73" s="38">
        <v>1</v>
      </c>
      <c r="Z73" s="38">
        <v>1</v>
      </c>
      <c r="AA73" s="38">
        <v>1</v>
      </c>
      <c r="AB73" s="38">
        <v>1</v>
      </c>
      <c r="AC73" s="38">
        <v>1</v>
      </c>
      <c r="AD73" s="38">
        <v>1</v>
      </c>
      <c r="AE73" s="38">
        <v>1</v>
      </c>
      <c r="AF73" s="38">
        <v>1</v>
      </c>
      <c r="AG73" s="38">
        <v>0</v>
      </c>
      <c r="AH73" s="38" t="s">
        <v>195</v>
      </c>
    </row>
    <row r="74" spans="1:34" x14ac:dyDescent="0.35">
      <c r="A74" s="38">
        <v>0.5</v>
      </c>
      <c r="B74" s="38">
        <v>0.25</v>
      </c>
      <c r="C74" s="38">
        <v>0.33333333333333298</v>
      </c>
      <c r="D74" s="38">
        <v>0.66666666666666596</v>
      </c>
      <c r="E74" s="38">
        <v>0</v>
      </c>
      <c r="F74" s="38">
        <v>1</v>
      </c>
      <c r="G74" s="38">
        <v>0.55555555555555503</v>
      </c>
      <c r="H74" s="38">
        <v>1</v>
      </c>
      <c r="I74" s="38">
        <v>0.5</v>
      </c>
      <c r="J74" s="38">
        <v>0</v>
      </c>
      <c r="K74" s="38">
        <v>0</v>
      </c>
      <c r="L74" s="38">
        <v>0</v>
      </c>
      <c r="M74" s="38">
        <v>1</v>
      </c>
      <c r="N74" s="38">
        <v>0</v>
      </c>
      <c r="O74" s="38">
        <v>0</v>
      </c>
      <c r="P74" s="38">
        <v>0.4</v>
      </c>
      <c r="Q74" s="38">
        <v>1</v>
      </c>
      <c r="R74" s="38">
        <v>0</v>
      </c>
      <c r="S74" s="38">
        <v>1</v>
      </c>
      <c r="T74" s="38">
        <v>1</v>
      </c>
      <c r="U74" s="38">
        <v>1</v>
      </c>
      <c r="V74" s="38">
        <v>0</v>
      </c>
      <c r="W74" s="38">
        <v>1</v>
      </c>
      <c r="X74" s="38">
        <v>1</v>
      </c>
      <c r="Y74" s="38">
        <v>1</v>
      </c>
      <c r="Z74" s="38">
        <v>0</v>
      </c>
      <c r="AA74" s="38">
        <v>1</v>
      </c>
      <c r="AB74" s="38">
        <v>1</v>
      </c>
      <c r="AC74" s="38">
        <v>1</v>
      </c>
      <c r="AD74" s="38">
        <v>1</v>
      </c>
      <c r="AE74" s="38">
        <v>1</v>
      </c>
      <c r="AF74" s="38">
        <v>1</v>
      </c>
      <c r="AG74" s="38">
        <v>0</v>
      </c>
      <c r="AH74" s="38" t="s">
        <v>195</v>
      </c>
    </row>
    <row r="75" spans="1:34" x14ac:dyDescent="0.35">
      <c r="A75" s="38">
        <v>0.16666666666666599</v>
      </c>
      <c r="B75" s="38">
        <v>0.25</v>
      </c>
      <c r="C75" s="38">
        <v>0.33333333333333298</v>
      </c>
      <c r="D75" s="38">
        <v>0.66666666666666596</v>
      </c>
      <c r="E75" s="38">
        <v>0</v>
      </c>
      <c r="F75" s="38">
        <v>1</v>
      </c>
      <c r="G75" s="38">
        <v>0.55555555555555503</v>
      </c>
      <c r="H75" s="38">
        <v>1</v>
      </c>
      <c r="I75" s="38">
        <v>0.5</v>
      </c>
      <c r="J75" s="38">
        <v>0</v>
      </c>
      <c r="K75" s="38">
        <v>0</v>
      </c>
      <c r="L75" s="38">
        <v>0.2</v>
      </c>
      <c r="M75" s="38">
        <v>1</v>
      </c>
      <c r="N75" s="38">
        <v>0</v>
      </c>
      <c r="O75" s="38">
        <v>0</v>
      </c>
      <c r="P75" s="38">
        <v>0.4</v>
      </c>
      <c r="Q75" s="38">
        <v>1</v>
      </c>
      <c r="R75" s="38">
        <v>0</v>
      </c>
      <c r="S75" s="38">
        <v>1</v>
      </c>
      <c r="T75" s="38">
        <v>1</v>
      </c>
      <c r="U75" s="38">
        <v>1</v>
      </c>
      <c r="V75" s="38">
        <v>0</v>
      </c>
      <c r="W75" s="38">
        <v>1</v>
      </c>
      <c r="X75" s="38">
        <v>1</v>
      </c>
      <c r="Y75" s="38">
        <v>1</v>
      </c>
      <c r="Z75" s="38">
        <v>0</v>
      </c>
      <c r="AA75" s="38">
        <v>1</v>
      </c>
      <c r="AB75" s="38">
        <v>1</v>
      </c>
      <c r="AC75" s="38">
        <v>1</v>
      </c>
      <c r="AD75" s="38">
        <v>1</v>
      </c>
      <c r="AE75" s="38">
        <v>1</v>
      </c>
      <c r="AF75" s="38">
        <v>1</v>
      </c>
      <c r="AG75" s="38">
        <v>0</v>
      </c>
      <c r="AH75" s="38" t="s">
        <v>195</v>
      </c>
    </row>
    <row r="76" spans="1:34" x14ac:dyDescent="0.35">
      <c r="A76" s="38">
        <v>0.33333333333333298</v>
      </c>
      <c r="B76" s="38">
        <v>0.25</v>
      </c>
      <c r="C76" s="38">
        <v>0.33333333333333298</v>
      </c>
      <c r="D76" s="38">
        <v>0</v>
      </c>
      <c r="E76" s="38">
        <v>0</v>
      </c>
      <c r="F76" s="38">
        <v>1</v>
      </c>
      <c r="G76" s="38">
        <v>0.55555555555555503</v>
      </c>
      <c r="H76" s="38">
        <v>1</v>
      </c>
      <c r="I76" s="38">
        <v>0</v>
      </c>
      <c r="J76" s="38">
        <v>0</v>
      </c>
      <c r="K76" s="38">
        <v>0</v>
      </c>
      <c r="L76" s="38">
        <v>0.4</v>
      </c>
      <c r="M76" s="38">
        <v>1</v>
      </c>
      <c r="N76" s="38">
        <v>0</v>
      </c>
      <c r="O76" s="38">
        <v>0</v>
      </c>
      <c r="P76" s="38">
        <v>0.4</v>
      </c>
      <c r="Q76" s="38">
        <v>1</v>
      </c>
      <c r="R76" s="38">
        <v>1</v>
      </c>
      <c r="S76" s="38">
        <v>1</v>
      </c>
      <c r="T76" s="38">
        <v>1</v>
      </c>
      <c r="U76" s="38">
        <v>1</v>
      </c>
      <c r="V76" s="38">
        <v>0</v>
      </c>
      <c r="W76" s="38">
        <v>1</v>
      </c>
      <c r="X76" s="38">
        <v>1</v>
      </c>
      <c r="Y76" s="38">
        <v>1</v>
      </c>
      <c r="Z76" s="38">
        <v>0</v>
      </c>
      <c r="AA76" s="38">
        <v>1</v>
      </c>
      <c r="AB76" s="38">
        <v>1</v>
      </c>
      <c r="AC76" s="38">
        <v>1</v>
      </c>
      <c r="AD76" s="38">
        <v>1</v>
      </c>
      <c r="AE76" s="38">
        <v>1</v>
      </c>
      <c r="AF76" s="38">
        <v>1</v>
      </c>
      <c r="AG76" s="38">
        <v>0</v>
      </c>
      <c r="AH76" s="38" t="s">
        <v>195</v>
      </c>
    </row>
    <row r="77" spans="1:34" x14ac:dyDescent="0.35">
      <c r="A77" s="38">
        <v>0.16666666666666599</v>
      </c>
      <c r="B77" s="38">
        <v>0.5</v>
      </c>
      <c r="C77" s="38">
        <v>1</v>
      </c>
      <c r="D77" s="38">
        <v>0</v>
      </c>
      <c r="E77" s="38">
        <v>0</v>
      </c>
      <c r="F77" s="38">
        <v>1</v>
      </c>
      <c r="G77" s="38">
        <v>0.55555555555555503</v>
      </c>
      <c r="H77" s="38">
        <v>1</v>
      </c>
      <c r="I77" s="38">
        <v>0.5</v>
      </c>
      <c r="J77" s="38">
        <v>0</v>
      </c>
      <c r="K77" s="38">
        <v>0</v>
      </c>
      <c r="L77" s="38">
        <v>0.2</v>
      </c>
      <c r="M77" s="38">
        <v>1</v>
      </c>
      <c r="N77" s="38">
        <v>0</v>
      </c>
      <c r="O77" s="38">
        <v>0</v>
      </c>
      <c r="P77" s="38">
        <v>0.4</v>
      </c>
      <c r="Q77" s="38">
        <v>1</v>
      </c>
      <c r="R77" s="38">
        <v>0</v>
      </c>
      <c r="S77" s="38">
        <v>1</v>
      </c>
      <c r="T77" s="38">
        <v>1</v>
      </c>
      <c r="U77" s="38">
        <v>1</v>
      </c>
      <c r="V77" s="38">
        <v>0</v>
      </c>
      <c r="W77" s="38">
        <v>1</v>
      </c>
      <c r="X77" s="38">
        <v>1</v>
      </c>
      <c r="Y77" s="38">
        <v>0</v>
      </c>
      <c r="Z77" s="38">
        <v>0</v>
      </c>
      <c r="AA77" s="38">
        <v>1</v>
      </c>
      <c r="AB77" s="38">
        <v>1</v>
      </c>
      <c r="AC77" s="38">
        <v>1</v>
      </c>
      <c r="AD77" s="38">
        <v>1</v>
      </c>
      <c r="AE77" s="38">
        <v>1</v>
      </c>
      <c r="AF77" s="38">
        <v>1</v>
      </c>
      <c r="AG77" s="38">
        <v>0</v>
      </c>
      <c r="AH77" s="38" t="s">
        <v>195</v>
      </c>
    </row>
    <row r="78" spans="1:34" x14ac:dyDescent="0.35">
      <c r="A78" s="38">
        <v>0.16666666666666599</v>
      </c>
      <c r="B78" s="38">
        <v>0</v>
      </c>
      <c r="C78" s="38">
        <v>0</v>
      </c>
      <c r="D78" s="38">
        <v>0.66666666666666596</v>
      </c>
      <c r="E78" s="38">
        <v>0</v>
      </c>
      <c r="F78" s="38">
        <v>1</v>
      </c>
      <c r="G78" s="38">
        <v>0.55555555555555503</v>
      </c>
      <c r="H78" s="38">
        <v>1</v>
      </c>
      <c r="I78" s="38">
        <v>0.5</v>
      </c>
      <c r="J78" s="38">
        <v>0</v>
      </c>
      <c r="K78" s="38">
        <v>0</v>
      </c>
      <c r="L78" s="38">
        <v>0.2</v>
      </c>
      <c r="M78" s="38">
        <v>1</v>
      </c>
      <c r="N78" s="38">
        <v>0</v>
      </c>
      <c r="O78" s="38">
        <v>0</v>
      </c>
      <c r="P78" s="38">
        <v>0.4</v>
      </c>
      <c r="Q78" s="38">
        <v>1</v>
      </c>
      <c r="R78" s="38">
        <v>1</v>
      </c>
      <c r="S78" s="38">
        <v>1</v>
      </c>
      <c r="T78" s="38">
        <v>1</v>
      </c>
      <c r="U78" s="38">
        <v>1</v>
      </c>
      <c r="V78" s="38">
        <v>0</v>
      </c>
      <c r="W78" s="38">
        <v>1</v>
      </c>
      <c r="X78" s="38">
        <v>1</v>
      </c>
      <c r="Y78" s="38">
        <v>1</v>
      </c>
      <c r="Z78" s="38">
        <v>1</v>
      </c>
      <c r="AA78" s="38">
        <v>1</v>
      </c>
      <c r="AB78" s="38">
        <v>1</v>
      </c>
      <c r="AC78" s="38">
        <v>1</v>
      </c>
      <c r="AD78" s="38">
        <v>1</v>
      </c>
      <c r="AE78" s="38">
        <v>1</v>
      </c>
      <c r="AF78" s="38">
        <v>1</v>
      </c>
      <c r="AG78" s="38">
        <v>0.19565217391304299</v>
      </c>
      <c r="AH78" s="38" t="s">
        <v>195</v>
      </c>
    </row>
    <row r="79" spans="1:34" x14ac:dyDescent="0.35">
      <c r="A79" s="38">
        <v>0.66666666666666596</v>
      </c>
      <c r="B79" s="38">
        <v>0.5</v>
      </c>
      <c r="C79" s="38">
        <v>0.23899371069182301</v>
      </c>
      <c r="D79" s="38">
        <v>0.66666666666666596</v>
      </c>
      <c r="E79" s="38">
        <v>0</v>
      </c>
      <c r="F79" s="38">
        <v>1</v>
      </c>
      <c r="G79" s="38">
        <v>0.55555555555555503</v>
      </c>
      <c r="H79" s="38">
        <v>1</v>
      </c>
      <c r="I79" s="38">
        <v>0.5</v>
      </c>
      <c r="J79" s="38">
        <v>0</v>
      </c>
      <c r="K79" s="38">
        <v>0.5</v>
      </c>
      <c r="L79" s="38">
        <v>0.158904109589041</v>
      </c>
      <c r="M79" s="38">
        <v>1</v>
      </c>
      <c r="N79" s="38">
        <v>0</v>
      </c>
      <c r="O79" s="38">
        <v>0</v>
      </c>
      <c r="P79" s="38">
        <v>0.4</v>
      </c>
      <c r="Q79" s="38">
        <v>1</v>
      </c>
      <c r="R79" s="38">
        <v>1</v>
      </c>
      <c r="S79" s="38">
        <v>1</v>
      </c>
      <c r="T79" s="38">
        <v>1</v>
      </c>
      <c r="U79" s="38">
        <v>1</v>
      </c>
      <c r="V79" s="38">
        <v>0</v>
      </c>
      <c r="W79" s="38">
        <v>1</v>
      </c>
      <c r="X79" s="38">
        <v>1</v>
      </c>
      <c r="Y79" s="38">
        <v>1</v>
      </c>
      <c r="Z79" s="38">
        <v>0</v>
      </c>
      <c r="AA79" s="38">
        <v>1</v>
      </c>
      <c r="AB79" s="38">
        <v>1</v>
      </c>
      <c r="AC79" s="38">
        <v>1</v>
      </c>
      <c r="AD79" s="38">
        <v>1</v>
      </c>
      <c r="AE79" s="38">
        <v>1</v>
      </c>
      <c r="AF79" s="38">
        <v>1</v>
      </c>
      <c r="AG79" s="38">
        <v>0.19565217391304299</v>
      </c>
      <c r="AH79" s="38" t="s">
        <v>195</v>
      </c>
    </row>
    <row r="80" spans="1:34" x14ac:dyDescent="0.35">
      <c r="A80" s="38">
        <v>0.33333333333333298</v>
      </c>
      <c r="B80" s="38">
        <v>0.25</v>
      </c>
      <c r="C80" s="38">
        <v>0.33333333333333298</v>
      </c>
      <c r="D80" s="38">
        <v>0.66666666666666596</v>
      </c>
      <c r="E80" s="38">
        <v>0</v>
      </c>
      <c r="F80" s="38">
        <v>1</v>
      </c>
      <c r="G80" s="38">
        <v>0.55555555555555503</v>
      </c>
      <c r="H80" s="38">
        <v>1</v>
      </c>
      <c r="I80" s="38">
        <v>0.5</v>
      </c>
      <c r="J80" s="38">
        <v>1</v>
      </c>
      <c r="K80" s="38">
        <v>0</v>
      </c>
      <c r="L80" s="38">
        <v>0</v>
      </c>
      <c r="M80" s="38">
        <v>1</v>
      </c>
      <c r="N80" s="38">
        <v>0</v>
      </c>
      <c r="O80" s="38">
        <v>1</v>
      </c>
      <c r="P80" s="38">
        <v>0.4</v>
      </c>
      <c r="Q80" s="38">
        <v>1</v>
      </c>
      <c r="R80" s="38">
        <v>1</v>
      </c>
      <c r="S80" s="38">
        <v>1</v>
      </c>
      <c r="T80" s="38">
        <v>1</v>
      </c>
      <c r="U80" s="38">
        <v>1</v>
      </c>
      <c r="V80" s="38">
        <v>0</v>
      </c>
      <c r="W80" s="38">
        <v>1</v>
      </c>
      <c r="X80" s="38">
        <v>1</v>
      </c>
      <c r="Y80" s="38">
        <v>1</v>
      </c>
      <c r="Z80" s="38">
        <v>0</v>
      </c>
      <c r="AA80" s="38">
        <v>1</v>
      </c>
      <c r="AB80" s="38">
        <v>1</v>
      </c>
      <c r="AC80" s="38">
        <v>1</v>
      </c>
      <c r="AD80" s="38">
        <v>1</v>
      </c>
      <c r="AE80" s="38">
        <v>1</v>
      </c>
      <c r="AF80" s="38">
        <v>1</v>
      </c>
      <c r="AG80" s="38">
        <v>0</v>
      </c>
      <c r="AH80" s="38" t="s">
        <v>195</v>
      </c>
    </row>
    <row r="81" spans="1:34" x14ac:dyDescent="0.35">
      <c r="A81" s="38">
        <v>0.33333333333333298</v>
      </c>
      <c r="B81" s="38">
        <v>0</v>
      </c>
      <c r="C81" s="38">
        <v>0</v>
      </c>
      <c r="D81" s="38">
        <v>0.66666666666666596</v>
      </c>
      <c r="E81" s="38">
        <v>0</v>
      </c>
      <c r="F81" s="38">
        <v>1</v>
      </c>
      <c r="G81" s="38">
        <v>0.55555555555555503</v>
      </c>
      <c r="H81" s="38">
        <v>1</v>
      </c>
      <c r="I81" s="38">
        <v>0.5</v>
      </c>
      <c r="J81" s="38">
        <v>1</v>
      </c>
      <c r="K81" s="38">
        <v>0</v>
      </c>
      <c r="L81" s="38">
        <v>0.2</v>
      </c>
      <c r="M81" s="38">
        <v>1</v>
      </c>
      <c r="N81" s="38">
        <v>0</v>
      </c>
      <c r="O81" s="38">
        <v>1</v>
      </c>
      <c r="P81" s="38">
        <v>0.4</v>
      </c>
      <c r="Q81" s="38">
        <v>1</v>
      </c>
      <c r="R81" s="38">
        <v>1</v>
      </c>
      <c r="S81" s="38">
        <v>1</v>
      </c>
      <c r="T81" s="38">
        <v>1</v>
      </c>
      <c r="U81" s="38">
        <v>1</v>
      </c>
      <c r="V81" s="38">
        <v>0</v>
      </c>
      <c r="W81" s="38">
        <v>1</v>
      </c>
      <c r="X81" s="38">
        <v>1</v>
      </c>
      <c r="Y81" s="38">
        <v>1</v>
      </c>
      <c r="Z81" s="38">
        <v>0</v>
      </c>
      <c r="AA81" s="38">
        <v>1</v>
      </c>
      <c r="AB81" s="38">
        <v>1</v>
      </c>
      <c r="AC81" s="38">
        <v>1</v>
      </c>
      <c r="AD81" s="38">
        <v>1</v>
      </c>
      <c r="AE81" s="38">
        <v>1</v>
      </c>
      <c r="AF81" s="38">
        <v>1</v>
      </c>
      <c r="AG81" s="38">
        <v>0</v>
      </c>
      <c r="AH81" s="38" t="s">
        <v>195</v>
      </c>
    </row>
    <row r="82" spans="1:34" x14ac:dyDescent="0.35">
      <c r="A82" s="38">
        <v>0.33333333333333298</v>
      </c>
      <c r="B82" s="38">
        <v>0</v>
      </c>
      <c r="C82" s="38">
        <v>0.33333333333333298</v>
      </c>
      <c r="D82" s="38">
        <v>0.66666666666666596</v>
      </c>
      <c r="E82" s="38">
        <v>0.33333333333333298</v>
      </c>
      <c r="F82" s="38">
        <v>1</v>
      </c>
      <c r="G82" s="38">
        <v>0.55555555555555503</v>
      </c>
      <c r="H82" s="38">
        <v>1</v>
      </c>
      <c r="I82" s="38">
        <v>0</v>
      </c>
      <c r="J82" s="38">
        <v>0</v>
      </c>
      <c r="K82" s="38">
        <v>0</v>
      </c>
      <c r="L82" s="38">
        <v>0.2</v>
      </c>
      <c r="M82" s="38">
        <v>1</v>
      </c>
      <c r="N82" s="38">
        <v>0</v>
      </c>
      <c r="O82" s="38">
        <v>0</v>
      </c>
      <c r="P82" s="38">
        <v>0.4</v>
      </c>
      <c r="Q82" s="38">
        <v>1</v>
      </c>
      <c r="R82" s="38">
        <v>1</v>
      </c>
      <c r="S82" s="38">
        <v>1</v>
      </c>
      <c r="T82" s="38">
        <v>1</v>
      </c>
      <c r="U82" s="38">
        <v>1</v>
      </c>
      <c r="V82" s="38">
        <v>0</v>
      </c>
      <c r="W82" s="38">
        <v>1</v>
      </c>
      <c r="X82" s="38">
        <v>1</v>
      </c>
      <c r="Y82" s="38">
        <v>0</v>
      </c>
      <c r="Z82" s="38">
        <v>1</v>
      </c>
      <c r="AA82" s="38">
        <v>1</v>
      </c>
      <c r="AB82" s="38">
        <v>1</v>
      </c>
      <c r="AC82" s="38">
        <v>1</v>
      </c>
      <c r="AD82" s="38">
        <v>1</v>
      </c>
      <c r="AE82" s="38">
        <v>1</v>
      </c>
      <c r="AF82" s="38">
        <v>1</v>
      </c>
      <c r="AG82" s="38">
        <v>0.19565217391304299</v>
      </c>
      <c r="AH82" s="38" t="s">
        <v>195</v>
      </c>
    </row>
    <row r="83" spans="1:34" x14ac:dyDescent="0.35">
      <c r="A83" s="38">
        <v>0.5</v>
      </c>
      <c r="B83" s="38">
        <v>0</v>
      </c>
      <c r="C83" s="38">
        <v>0</v>
      </c>
      <c r="D83" s="38">
        <v>0.66666666666666596</v>
      </c>
      <c r="E83" s="38">
        <v>0</v>
      </c>
      <c r="F83" s="38">
        <v>1</v>
      </c>
      <c r="G83" s="38">
        <v>0.55555555555555503</v>
      </c>
      <c r="H83" s="38">
        <v>1</v>
      </c>
      <c r="I83" s="38">
        <v>0.5</v>
      </c>
      <c r="J83" s="38">
        <v>0</v>
      </c>
      <c r="K83" s="38">
        <v>0</v>
      </c>
      <c r="L83" s="38">
        <v>0</v>
      </c>
      <c r="M83" s="38">
        <v>1</v>
      </c>
      <c r="N83" s="38">
        <v>0</v>
      </c>
      <c r="O83" s="38">
        <v>0</v>
      </c>
      <c r="P83" s="38">
        <v>0.4</v>
      </c>
      <c r="Q83" s="38">
        <v>1</v>
      </c>
      <c r="R83" s="38">
        <v>1</v>
      </c>
      <c r="S83" s="38">
        <v>1</v>
      </c>
      <c r="T83" s="38">
        <v>1</v>
      </c>
      <c r="U83" s="38">
        <v>1</v>
      </c>
      <c r="V83" s="38">
        <v>0</v>
      </c>
      <c r="W83" s="38">
        <v>1</v>
      </c>
      <c r="X83" s="38">
        <v>1</v>
      </c>
      <c r="Y83" s="38">
        <v>1</v>
      </c>
      <c r="Z83" s="38">
        <v>1</v>
      </c>
      <c r="AA83" s="38">
        <v>1</v>
      </c>
      <c r="AB83" s="38">
        <v>1</v>
      </c>
      <c r="AC83" s="38">
        <v>1</v>
      </c>
      <c r="AD83" s="38">
        <v>1</v>
      </c>
      <c r="AE83" s="38">
        <v>1</v>
      </c>
      <c r="AF83" s="38">
        <v>1</v>
      </c>
      <c r="AG83" s="38">
        <v>0.19565217391304299</v>
      </c>
      <c r="AH83" s="38" t="s">
        <v>195</v>
      </c>
    </row>
    <row r="84" spans="1:34" x14ac:dyDescent="0.35">
      <c r="A84" s="38">
        <v>0</v>
      </c>
      <c r="B84" s="38">
        <v>0.23765432098765399</v>
      </c>
      <c r="C84" s="38">
        <v>0.23899371069182301</v>
      </c>
      <c r="D84" s="38">
        <v>0.53703703703703698</v>
      </c>
      <c r="E84" s="38">
        <v>0.12757201646090499</v>
      </c>
      <c r="F84" s="38">
        <v>0.94805194805194803</v>
      </c>
      <c r="G84" s="38">
        <v>0.55692729766803795</v>
      </c>
      <c r="H84" s="38">
        <v>0.936708860759493</v>
      </c>
      <c r="I84" s="38">
        <v>0.407407407407407</v>
      </c>
      <c r="J84" s="38">
        <v>0.19478737997256501</v>
      </c>
      <c r="K84" s="38">
        <v>5.5555555555555497E-2</v>
      </c>
      <c r="L84" s="38">
        <v>0.158904109589041</v>
      </c>
      <c r="M84" s="38">
        <v>0.95061728395061695</v>
      </c>
      <c r="N84" s="38">
        <v>6.1728395061728301E-2</v>
      </c>
      <c r="O84" s="38">
        <v>0.189873417721519</v>
      </c>
      <c r="P84" s="38">
        <v>0.32345679012345602</v>
      </c>
      <c r="Q84" s="38">
        <v>0.98765432098765404</v>
      </c>
      <c r="R84" s="38">
        <v>0.76543209876543195</v>
      </c>
      <c r="S84" s="38">
        <v>0.97530864197530798</v>
      </c>
      <c r="T84" s="38">
        <v>1</v>
      </c>
      <c r="U84" s="38">
        <v>1</v>
      </c>
      <c r="V84" s="38">
        <v>0.11111111111111099</v>
      </c>
      <c r="W84" s="38">
        <v>1</v>
      </c>
      <c r="X84" s="38">
        <v>0.97530864197530798</v>
      </c>
      <c r="Y84" s="38">
        <v>0.90123456790123402</v>
      </c>
      <c r="Z84" s="38">
        <v>0.44444444444444398</v>
      </c>
      <c r="AA84" s="38">
        <v>1</v>
      </c>
      <c r="AB84" s="38">
        <v>1</v>
      </c>
      <c r="AC84" s="38">
        <v>1</v>
      </c>
      <c r="AD84" s="38">
        <v>1</v>
      </c>
      <c r="AE84" s="38">
        <v>0.938271604938271</v>
      </c>
      <c r="AF84" s="38">
        <v>1</v>
      </c>
      <c r="AG84" s="38">
        <v>0.19565217391304299</v>
      </c>
      <c r="AH84" s="38" t="s">
        <v>195</v>
      </c>
    </row>
    <row r="85" spans="1:34" x14ac:dyDescent="0.35">
      <c r="A85" s="38">
        <v>0</v>
      </c>
      <c r="B85" s="38">
        <v>0.23765432098765399</v>
      </c>
      <c r="C85" s="38">
        <v>0.23899371069182301</v>
      </c>
      <c r="D85" s="38">
        <v>0.53703703703703698</v>
      </c>
      <c r="E85" s="38">
        <v>0.12757201646090499</v>
      </c>
      <c r="F85" s="38">
        <v>0.94805194805194803</v>
      </c>
      <c r="G85" s="38">
        <v>0.55692729766803795</v>
      </c>
      <c r="H85" s="38">
        <v>0.936708860759493</v>
      </c>
      <c r="I85" s="38">
        <v>0.407407407407407</v>
      </c>
      <c r="J85" s="38">
        <v>0.19478737997256501</v>
      </c>
      <c r="K85" s="38">
        <v>5.5555555555555497E-2</v>
      </c>
      <c r="L85" s="38">
        <v>0.158904109589041</v>
      </c>
      <c r="M85" s="38">
        <v>0.95061728395061695</v>
      </c>
      <c r="N85" s="38">
        <v>6.1728395061728301E-2</v>
      </c>
      <c r="O85" s="38">
        <v>0.189873417721519</v>
      </c>
      <c r="P85" s="38">
        <v>0.32345679012345602</v>
      </c>
      <c r="Q85" s="38">
        <v>0.98765432098765404</v>
      </c>
      <c r="R85" s="38">
        <v>0.76543209876543195</v>
      </c>
      <c r="S85" s="38">
        <v>0.97530864197530798</v>
      </c>
      <c r="T85" s="38">
        <v>1</v>
      </c>
      <c r="U85" s="38">
        <v>1</v>
      </c>
      <c r="V85" s="38">
        <v>0.11111111111111099</v>
      </c>
      <c r="W85" s="38">
        <v>1</v>
      </c>
      <c r="X85" s="38">
        <v>0.97530864197530798</v>
      </c>
      <c r="Y85" s="38">
        <v>0.90123456790123402</v>
      </c>
      <c r="Z85" s="38">
        <v>0.44444444444444398</v>
      </c>
      <c r="AA85" s="38">
        <v>1</v>
      </c>
      <c r="AB85" s="38">
        <v>1</v>
      </c>
      <c r="AC85" s="38">
        <v>1</v>
      </c>
      <c r="AD85" s="38">
        <v>1</v>
      </c>
      <c r="AE85" s="38">
        <v>0.938271604938271</v>
      </c>
      <c r="AF85" s="38">
        <v>1</v>
      </c>
      <c r="AG85" s="38">
        <v>0.19565217391304299</v>
      </c>
      <c r="AH85" s="38" t="s">
        <v>195</v>
      </c>
    </row>
    <row r="86" spans="1:34" x14ac:dyDescent="0.35">
      <c r="A86" s="38">
        <v>0</v>
      </c>
      <c r="B86" s="38">
        <v>0.23765432098765399</v>
      </c>
      <c r="C86" s="38">
        <v>0.23899371069182301</v>
      </c>
      <c r="D86" s="38">
        <v>0.53703703703703698</v>
      </c>
      <c r="E86" s="38">
        <v>0.12757201646090499</v>
      </c>
      <c r="F86" s="38">
        <v>0.94805194805194803</v>
      </c>
      <c r="G86" s="38">
        <v>0.55692729766803795</v>
      </c>
      <c r="H86" s="38">
        <v>0.936708860759493</v>
      </c>
      <c r="I86" s="38">
        <v>0.407407407407407</v>
      </c>
      <c r="J86" s="38">
        <v>0.19478737997256501</v>
      </c>
      <c r="K86" s="38">
        <v>5.5555555555555497E-2</v>
      </c>
      <c r="L86" s="38">
        <v>0.158904109589041</v>
      </c>
      <c r="M86" s="38">
        <v>0.95061728395061695</v>
      </c>
      <c r="N86" s="38">
        <v>6.1728395061728301E-2</v>
      </c>
      <c r="O86" s="38">
        <v>0.189873417721519</v>
      </c>
      <c r="P86" s="38">
        <v>0.32345679012345602</v>
      </c>
      <c r="Q86" s="38">
        <v>0.98765432098765404</v>
      </c>
      <c r="R86" s="38">
        <v>0.76543209876543195</v>
      </c>
      <c r="S86" s="38">
        <v>0.97530864197530798</v>
      </c>
      <c r="T86" s="38">
        <v>1</v>
      </c>
      <c r="U86" s="38">
        <v>1</v>
      </c>
      <c r="V86" s="38">
        <v>0.11111111111111099</v>
      </c>
      <c r="W86" s="38">
        <v>1</v>
      </c>
      <c r="X86" s="38">
        <v>0.97530864197530798</v>
      </c>
      <c r="Y86" s="38">
        <v>0.90123456790123402</v>
      </c>
      <c r="Z86" s="38">
        <v>0.44444444444444398</v>
      </c>
      <c r="AA86" s="38">
        <v>1</v>
      </c>
      <c r="AB86" s="38">
        <v>1</v>
      </c>
      <c r="AC86" s="38">
        <v>1</v>
      </c>
      <c r="AD86" s="38">
        <v>1</v>
      </c>
      <c r="AE86" s="38">
        <v>0.938271604938271</v>
      </c>
      <c r="AF86" s="38">
        <v>1</v>
      </c>
      <c r="AG86" s="38">
        <v>0.19565217391304299</v>
      </c>
      <c r="AH86" s="38" t="s">
        <v>195</v>
      </c>
    </row>
    <row r="87" spans="1:34" x14ac:dyDescent="0.35">
      <c r="A87" s="38">
        <v>0.33333333333333298</v>
      </c>
      <c r="B87" s="38">
        <v>0.25</v>
      </c>
      <c r="C87" s="38">
        <v>0.33333333333333298</v>
      </c>
      <c r="D87" s="38">
        <v>0.66666666666666596</v>
      </c>
      <c r="E87" s="38">
        <v>0</v>
      </c>
      <c r="F87" s="38">
        <v>1</v>
      </c>
      <c r="G87" s="38">
        <v>0.55555555555555503</v>
      </c>
      <c r="H87" s="38">
        <v>1</v>
      </c>
      <c r="I87" s="38">
        <v>0</v>
      </c>
      <c r="J87" s="38">
        <v>0</v>
      </c>
      <c r="K87" s="38">
        <v>0</v>
      </c>
      <c r="L87" s="38">
        <v>0.2</v>
      </c>
      <c r="M87" s="38">
        <v>1</v>
      </c>
      <c r="N87" s="38">
        <v>0</v>
      </c>
      <c r="O87" s="38">
        <v>0</v>
      </c>
      <c r="P87" s="38">
        <v>0</v>
      </c>
      <c r="Q87" s="38">
        <v>1</v>
      </c>
      <c r="R87" s="38">
        <v>1</v>
      </c>
      <c r="S87" s="38">
        <v>1</v>
      </c>
      <c r="T87" s="38">
        <v>1</v>
      </c>
      <c r="U87" s="38">
        <v>1</v>
      </c>
      <c r="V87" s="38">
        <v>0</v>
      </c>
      <c r="W87" s="38">
        <v>1</v>
      </c>
      <c r="X87" s="38">
        <v>1</v>
      </c>
      <c r="Y87" s="38">
        <v>1</v>
      </c>
      <c r="Z87" s="38">
        <v>1</v>
      </c>
      <c r="AA87" s="38">
        <v>1</v>
      </c>
      <c r="AB87" s="38">
        <v>1</v>
      </c>
      <c r="AC87" s="38">
        <v>1</v>
      </c>
      <c r="AD87" s="38">
        <v>1</v>
      </c>
      <c r="AE87" s="38">
        <v>1</v>
      </c>
      <c r="AF87" s="38">
        <v>1</v>
      </c>
      <c r="AG87" s="38">
        <v>0</v>
      </c>
      <c r="AH87" s="38" t="s">
        <v>195</v>
      </c>
    </row>
    <row r="88" spans="1:34" x14ac:dyDescent="0.35">
      <c r="A88" s="38">
        <v>0.66666666666666596</v>
      </c>
      <c r="B88" s="38">
        <v>0.25</v>
      </c>
      <c r="C88" s="38">
        <v>0.23899371069182301</v>
      </c>
      <c r="D88" s="38">
        <v>1</v>
      </c>
      <c r="E88" s="38">
        <v>0.33333333333333298</v>
      </c>
      <c r="F88" s="38">
        <v>1</v>
      </c>
      <c r="G88" s="38">
        <v>0.55555555555555503</v>
      </c>
      <c r="H88" s="38">
        <v>1</v>
      </c>
      <c r="I88" s="38">
        <v>0.5</v>
      </c>
      <c r="J88" s="38">
        <v>0</v>
      </c>
      <c r="K88" s="38">
        <v>0</v>
      </c>
      <c r="L88" s="38">
        <v>0.2</v>
      </c>
      <c r="M88" s="38">
        <v>0.5</v>
      </c>
      <c r="N88" s="38">
        <v>0</v>
      </c>
      <c r="O88" s="38">
        <v>0</v>
      </c>
      <c r="P88" s="38">
        <v>0.4</v>
      </c>
      <c r="Q88" s="38">
        <v>1</v>
      </c>
      <c r="R88" s="38">
        <v>1</v>
      </c>
      <c r="S88" s="38">
        <v>1</v>
      </c>
      <c r="T88" s="38">
        <v>1</v>
      </c>
      <c r="U88" s="38">
        <v>1</v>
      </c>
      <c r="V88" s="38">
        <v>0</v>
      </c>
      <c r="W88" s="38">
        <v>1</v>
      </c>
      <c r="X88" s="38">
        <v>1</v>
      </c>
      <c r="Y88" s="38">
        <v>1</v>
      </c>
      <c r="Z88" s="38">
        <v>0</v>
      </c>
      <c r="AA88" s="38">
        <v>1</v>
      </c>
      <c r="AB88" s="38">
        <v>1</v>
      </c>
      <c r="AC88" s="38">
        <v>1</v>
      </c>
      <c r="AD88" s="38">
        <v>1</v>
      </c>
      <c r="AE88" s="38">
        <v>1</v>
      </c>
      <c r="AF88" s="38">
        <v>1</v>
      </c>
      <c r="AG88" s="38">
        <v>0.19565217391304299</v>
      </c>
      <c r="AH88" s="38" t="s">
        <v>195</v>
      </c>
    </row>
    <row r="89" spans="1:34" x14ac:dyDescent="0.35">
      <c r="A89" s="38">
        <v>0.83333333333333304</v>
      </c>
      <c r="B89" s="38">
        <v>0.25</v>
      </c>
      <c r="C89" s="38">
        <v>0.33333333333333298</v>
      </c>
      <c r="D89" s="38">
        <v>0.66666666666666596</v>
      </c>
      <c r="E89" s="38">
        <v>0</v>
      </c>
      <c r="F89" s="38">
        <v>1</v>
      </c>
      <c r="G89" s="38">
        <v>0.55555555555555503</v>
      </c>
      <c r="H89" s="38">
        <v>1</v>
      </c>
      <c r="I89" s="38">
        <v>0.5</v>
      </c>
      <c r="J89" s="38">
        <v>1</v>
      </c>
      <c r="K89" s="38">
        <v>0</v>
      </c>
      <c r="L89" s="38">
        <v>0.2</v>
      </c>
      <c r="M89" s="38">
        <v>1</v>
      </c>
      <c r="N89" s="38">
        <v>0</v>
      </c>
      <c r="O89" s="38">
        <v>1</v>
      </c>
      <c r="P89" s="38">
        <v>0.4</v>
      </c>
      <c r="Q89" s="38">
        <v>1</v>
      </c>
      <c r="R89" s="38">
        <v>1</v>
      </c>
      <c r="S89" s="38">
        <v>1</v>
      </c>
      <c r="T89" s="38">
        <v>1</v>
      </c>
      <c r="U89" s="38">
        <v>1</v>
      </c>
      <c r="V89" s="38">
        <v>0</v>
      </c>
      <c r="W89" s="38">
        <v>1</v>
      </c>
      <c r="X89" s="38">
        <v>1</v>
      </c>
      <c r="Y89" s="38">
        <v>1</v>
      </c>
      <c r="Z89" s="38">
        <v>0</v>
      </c>
      <c r="AA89" s="38">
        <v>1</v>
      </c>
      <c r="AB89" s="38">
        <v>1</v>
      </c>
      <c r="AC89" s="38">
        <v>1</v>
      </c>
      <c r="AD89" s="38">
        <v>1</v>
      </c>
      <c r="AE89" s="38">
        <v>1</v>
      </c>
      <c r="AF89" s="38">
        <v>1</v>
      </c>
      <c r="AG89" s="38">
        <v>0</v>
      </c>
      <c r="AH89" s="38" t="s">
        <v>195</v>
      </c>
    </row>
    <row r="90" spans="1:34" x14ac:dyDescent="0.35">
      <c r="A90" s="38">
        <v>0.66666666666666596</v>
      </c>
      <c r="B90" s="38">
        <v>0.25</v>
      </c>
      <c r="C90" s="38">
        <v>0.33333333333333298</v>
      </c>
      <c r="D90" s="38">
        <v>0.66666666666666596</v>
      </c>
      <c r="E90" s="38">
        <v>0.33333333333333298</v>
      </c>
      <c r="F90" s="38">
        <v>1</v>
      </c>
      <c r="G90" s="38">
        <v>0.55555555555555503</v>
      </c>
      <c r="H90" s="38">
        <v>1</v>
      </c>
      <c r="I90" s="38">
        <v>0</v>
      </c>
      <c r="J90" s="38">
        <v>0</v>
      </c>
      <c r="K90" s="38">
        <v>0</v>
      </c>
      <c r="L90" s="38">
        <v>0</v>
      </c>
      <c r="M90" s="38">
        <v>1</v>
      </c>
      <c r="N90" s="38">
        <v>0</v>
      </c>
      <c r="O90" s="38">
        <v>0</v>
      </c>
      <c r="P90" s="38">
        <v>0</v>
      </c>
      <c r="Q90" s="38">
        <v>1</v>
      </c>
      <c r="R90" s="38">
        <v>0</v>
      </c>
      <c r="S90" s="38">
        <v>1</v>
      </c>
      <c r="T90" s="38">
        <v>1</v>
      </c>
      <c r="U90" s="38">
        <v>1</v>
      </c>
      <c r="V90" s="38">
        <v>0</v>
      </c>
      <c r="W90" s="38">
        <v>1</v>
      </c>
      <c r="X90" s="38">
        <v>1</v>
      </c>
      <c r="Y90" s="38">
        <v>1</v>
      </c>
      <c r="Z90" s="38">
        <v>0</v>
      </c>
      <c r="AA90" s="38">
        <v>1</v>
      </c>
      <c r="AB90" s="38">
        <v>1</v>
      </c>
      <c r="AC90" s="38">
        <v>1</v>
      </c>
      <c r="AD90" s="38">
        <v>1</v>
      </c>
      <c r="AE90" s="38">
        <v>1</v>
      </c>
      <c r="AF90" s="38">
        <v>1</v>
      </c>
      <c r="AG90" s="38">
        <v>1</v>
      </c>
      <c r="AH90" s="38" t="s">
        <v>195</v>
      </c>
    </row>
    <row r="91" spans="1:34" x14ac:dyDescent="0.35">
      <c r="A91" s="38">
        <v>0.16666666666666599</v>
      </c>
      <c r="B91" s="38">
        <v>0</v>
      </c>
      <c r="C91" s="38">
        <v>0</v>
      </c>
      <c r="D91" s="38">
        <v>0</v>
      </c>
      <c r="E91" s="38">
        <v>0</v>
      </c>
      <c r="F91" s="38">
        <v>1</v>
      </c>
      <c r="G91" s="38">
        <v>0.55555555555555503</v>
      </c>
      <c r="H91" s="38">
        <v>1</v>
      </c>
      <c r="I91" s="38">
        <v>1</v>
      </c>
      <c r="J91" s="38">
        <v>0.33333333333333298</v>
      </c>
      <c r="K91" s="38">
        <v>0</v>
      </c>
      <c r="L91" s="38">
        <v>0.2</v>
      </c>
      <c r="M91" s="38">
        <v>1</v>
      </c>
      <c r="N91" s="38">
        <v>0</v>
      </c>
      <c r="O91" s="38">
        <v>0</v>
      </c>
      <c r="P91" s="38">
        <v>0</v>
      </c>
      <c r="Q91" s="38">
        <v>1</v>
      </c>
      <c r="R91" s="38">
        <v>0</v>
      </c>
      <c r="S91" s="38">
        <v>1</v>
      </c>
      <c r="T91" s="38">
        <v>1</v>
      </c>
      <c r="U91" s="38">
        <v>1</v>
      </c>
      <c r="V91" s="38">
        <v>0</v>
      </c>
      <c r="W91" s="38">
        <v>1</v>
      </c>
      <c r="X91" s="38">
        <v>1</v>
      </c>
      <c r="Y91" s="38">
        <v>1</v>
      </c>
      <c r="Z91" s="38">
        <v>1</v>
      </c>
      <c r="AA91" s="38">
        <v>1</v>
      </c>
      <c r="AB91" s="38">
        <v>1</v>
      </c>
      <c r="AC91" s="38">
        <v>1</v>
      </c>
      <c r="AD91" s="38">
        <v>1</v>
      </c>
      <c r="AE91" s="38">
        <v>0</v>
      </c>
      <c r="AF91" s="38">
        <v>1</v>
      </c>
      <c r="AG91" s="38">
        <v>0.5</v>
      </c>
      <c r="AH91" s="38" t="s">
        <v>195</v>
      </c>
    </row>
    <row r="92" spans="1:34" x14ac:dyDescent="0.35">
      <c r="A92" s="38">
        <v>1</v>
      </c>
      <c r="B92" s="38">
        <v>0.25</v>
      </c>
      <c r="C92" s="38">
        <v>0.23899371069182301</v>
      </c>
      <c r="D92" s="38">
        <v>0.66666666666666596</v>
      </c>
      <c r="E92" s="38">
        <v>0</v>
      </c>
      <c r="F92" s="38">
        <v>1</v>
      </c>
      <c r="G92" s="38">
        <v>0.55555555555555503</v>
      </c>
      <c r="H92" s="38">
        <v>1</v>
      </c>
      <c r="I92" s="38">
        <v>0.5</v>
      </c>
      <c r="J92" s="38">
        <v>0</v>
      </c>
      <c r="K92" s="38">
        <v>0</v>
      </c>
      <c r="L92" s="38">
        <v>0.2</v>
      </c>
      <c r="M92" s="38">
        <v>1</v>
      </c>
      <c r="N92" s="38">
        <v>0</v>
      </c>
      <c r="O92" s="38">
        <v>0</v>
      </c>
      <c r="P92" s="38">
        <v>0.4</v>
      </c>
      <c r="Q92" s="38">
        <v>1</v>
      </c>
      <c r="R92" s="38">
        <v>1</v>
      </c>
      <c r="S92" s="38">
        <v>1</v>
      </c>
      <c r="T92" s="38">
        <v>1</v>
      </c>
      <c r="U92" s="38">
        <v>1</v>
      </c>
      <c r="V92" s="38">
        <v>1</v>
      </c>
      <c r="W92" s="38">
        <v>1</v>
      </c>
      <c r="X92" s="38">
        <v>1</v>
      </c>
      <c r="Y92" s="38">
        <v>1</v>
      </c>
      <c r="Z92" s="38">
        <v>1</v>
      </c>
      <c r="AA92" s="38">
        <v>1</v>
      </c>
      <c r="AB92" s="38">
        <v>1</v>
      </c>
      <c r="AC92" s="38">
        <v>1</v>
      </c>
      <c r="AD92" s="38">
        <v>1</v>
      </c>
      <c r="AE92" s="38">
        <v>1</v>
      </c>
      <c r="AF92" s="38">
        <v>1</v>
      </c>
      <c r="AG92" s="38">
        <v>0.19565217391304299</v>
      </c>
      <c r="AH92" s="38" t="s">
        <v>195</v>
      </c>
    </row>
    <row r="93" spans="1:34" x14ac:dyDescent="0.35">
      <c r="A93" s="38">
        <v>0</v>
      </c>
      <c r="B93" s="38">
        <v>0</v>
      </c>
      <c r="C93" s="38">
        <v>0</v>
      </c>
      <c r="D93" s="38">
        <v>0.66666666666666596</v>
      </c>
      <c r="E93" s="38">
        <v>0</v>
      </c>
      <c r="F93" s="38">
        <v>1</v>
      </c>
      <c r="G93" s="38">
        <v>0.55555555555555503</v>
      </c>
      <c r="H93" s="38">
        <v>1</v>
      </c>
      <c r="I93" s="38">
        <v>1</v>
      </c>
      <c r="J93" s="38">
        <v>0</v>
      </c>
      <c r="K93" s="38">
        <v>0</v>
      </c>
      <c r="L93" s="38">
        <v>0</v>
      </c>
      <c r="M93" s="38">
        <v>1</v>
      </c>
      <c r="N93" s="38">
        <v>0</v>
      </c>
      <c r="O93" s="38">
        <v>0</v>
      </c>
      <c r="P93" s="38">
        <v>0</v>
      </c>
      <c r="Q93" s="38">
        <v>1</v>
      </c>
      <c r="R93" s="38">
        <v>0</v>
      </c>
      <c r="S93" s="38">
        <v>1</v>
      </c>
      <c r="T93" s="38">
        <v>1</v>
      </c>
      <c r="U93" s="38">
        <v>1</v>
      </c>
      <c r="V93" s="38">
        <v>0</v>
      </c>
      <c r="W93" s="38">
        <v>1</v>
      </c>
      <c r="X93" s="38">
        <v>1</v>
      </c>
      <c r="Y93" s="38">
        <v>1</v>
      </c>
      <c r="Z93" s="38">
        <v>1</v>
      </c>
      <c r="AA93" s="38">
        <v>1</v>
      </c>
      <c r="AB93" s="38">
        <v>1</v>
      </c>
      <c r="AC93" s="38">
        <v>1</v>
      </c>
      <c r="AD93" s="38">
        <v>1</v>
      </c>
      <c r="AE93" s="38">
        <v>0</v>
      </c>
      <c r="AF93" s="38">
        <v>1</v>
      </c>
      <c r="AG93" s="38">
        <v>1</v>
      </c>
      <c r="AH93" s="38" t="s">
        <v>195</v>
      </c>
    </row>
    <row r="94" spans="1:34" x14ac:dyDescent="0.35">
      <c r="A94" s="38">
        <v>0</v>
      </c>
      <c r="B94" s="38">
        <v>0</v>
      </c>
      <c r="C94" s="38">
        <v>0.33333333333333298</v>
      </c>
      <c r="D94" s="38">
        <v>1</v>
      </c>
      <c r="E94" s="38">
        <v>0.33333333333333298</v>
      </c>
      <c r="F94" s="38">
        <v>1</v>
      </c>
      <c r="G94" s="38">
        <v>0.55555555555555503</v>
      </c>
      <c r="H94" s="38">
        <v>1</v>
      </c>
      <c r="I94" s="38">
        <v>0</v>
      </c>
      <c r="J94" s="38">
        <v>0</v>
      </c>
      <c r="K94" s="38">
        <v>0</v>
      </c>
      <c r="L94" s="38">
        <v>0.2</v>
      </c>
      <c r="M94" s="38">
        <v>1</v>
      </c>
      <c r="N94" s="38">
        <v>0.33333333333333298</v>
      </c>
      <c r="O94" s="38">
        <v>0</v>
      </c>
      <c r="P94" s="38">
        <v>0.4</v>
      </c>
      <c r="Q94" s="38">
        <v>1</v>
      </c>
      <c r="R94" s="38">
        <v>1</v>
      </c>
      <c r="S94" s="38">
        <v>1</v>
      </c>
      <c r="T94" s="38">
        <v>1</v>
      </c>
      <c r="U94" s="38">
        <v>1</v>
      </c>
      <c r="V94" s="38">
        <v>0</v>
      </c>
      <c r="W94" s="38">
        <v>1</v>
      </c>
      <c r="X94" s="38">
        <v>1</v>
      </c>
      <c r="Y94" s="38">
        <v>1</v>
      </c>
      <c r="Z94" s="38">
        <v>1</v>
      </c>
      <c r="AA94" s="38">
        <v>1</v>
      </c>
      <c r="AB94" s="38">
        <v>1</v>
      </c>
      <c r="AC94" s="38">
        <v>1</v>
      </c>
      <c r="AD94" s="38">
        <v>1</v>
      </c>
      <c r="AE94" s="38">
        <v>1</v>
      </c>
      <c r="AF94" s="38">
        <v>1</v>
      </c>
      <c r="AG94" s="38">
        <v>0.19565217391304299</v>
      </c>
      <c r="AH94" s="38" t="s">
        <v>195</v>
      </c>
    </row>
    <row r="95" spans="1:34" x14ac:dyDescent="0.35">
      <c r="A95" s="38">
        <v>0.66666666666666596</v>
      </c>
      <c r="B95" s="38">
        <v>0</v>
      </c>
      <c r="C95" s="38">
        <v>0</v>
      </c>
      <c r="D95" s="38">
        <v>0</v>
      </c>
      <c r="E95" s="38">
        <v>0</v>
      </c>
      <c r="F95" s="38">
        <v>0</v>
      </c>
      <c r="G95" s="38">
        <v>0.55555555555555503</v>
      </c>
      <c r="H95" s="38">
        <v>1</v>
      </c>
      <c r="I95" s="38">
        <v>1</v>
      </c>
      <c r="J95" s="38">
        <v>0</v>
      </c>
      <c r="K95" s="38">
        <v>0</v>
      </c>
      <c r="L95" s="38">
        <v>0.2</v>
      </c>
      <c r="M95" s="38">
        <v>1</v>
      </c>
      <c r="N95" s="38">
        <v>0</v>
      </c>
      <c r="O95" s="38">
        <v>0</v>
      </c>
      <c r="P95" s="38">
        <v>0</v>
      </c>
      <c r="Q95" s="38">
        <v>1</v>
      </c>
      <c r="R95" s="38">
        <v>0</v>
      </c>
      <c r="S95" s="38">
        <v>0</v>
      </c>
      <c r="T95" s="38">
        <v>1</v>
      </c>
      <c r="U95" s="38">
        <v>1</v>
      </c>
      <c r="V95" s="38">
        <v>0</v>
      </c>
      <c r="W95" s="38">
        <v>1</v>
      </c>
      <c r="X95" s="38">
        <v>0</v>
      </c>
      <c r="Y95" s="38">
        <v>1</v>
      </c>
      <c r="Z95" s="38">
        <v>0</v>
      </c>
      <c r="AA95" s="38">
        <v>1</v>
      </c>
      <c r="AB95" s="38">
        <v>1</v>
      </c>
      <c r="AC95" s="38">
        <v>1</v>
      </c>
      <c r="AD95" s="38">
        <v>1</v>
      </c>
      <c r="AE95" s="38">
        <v>1</v>
      </c>
      <c r="AF95" s="38">
        <v>1</v>
      </c>
      <c r="AG95" s="38">
        <v>0</v>
      </c>
      <c r="AH95" s="38" t="s">
        <v>195</v>
      </c>
    </row>
    <row r="96" spans="1:34" x14ac:dyDescent="0.35">
      <c r="A96" s="38">
        <v>0.5</v>
      </c>
      <c r="B96" s="38">
        <v>0</v>
      </c>
      <c r="C96" s="38">
        <v>0</v>
      </c>
      <c r="D96" s="38">
        <v>0</v>
      </c>
      <c r="E96" s="38">
        <v>0</v>
      </c>
      <c r="F96" s="38">
        <v>0</v>
      </c>
      <c r="G96" s="38">
        <v>0.55555555555555503</v>
      </c>
      <c r="H96" s="38">
        <v>0</v>
      </c>
      <c r="I96" s="38">
        <v>0.5</v>
      </c>
      <c r="J96" s="38">
        <v>0</v>
      </c>
      <c r="K96" s="38">
        <v>0</v>
      </c>
      <c r="L96" s="38">
        <v>0</v>
      </c>
      <c r="M96" s="38">
        <v>1</v>
      </c>
      <c r="N96" s="38">
        <v>0</v>
      </c>
      <c r="O96" s="38">
        <v>0</v>
      </c>
      <c r="P96" s="38">
        <v>0</v>
      </c>
      <c r="Q96" s="38">
        <v>1</v>
      </c>
      <c r="R96" s="38">
        <v>0</v>
      </c>
      <c r="S96" s="38">
        <v>1</v>
      </c>
      <c r="T96" s="38">
        <v>1</v>
      </c>
      <c r="U96" s="38">
        <v>1</v>
      </c>
      <c r="V96" s="38">
        <v>0</v>
      </c>
      <c r="W96" s="38">
        <v>1</v>
      </c>
      <c r="X96" s="38">
        <v>0</v>
      </c>
      <c r="Y96" s="38">
        <v>1</v>
      </c>
      <c r="Z96" s="38">
        <v>0</v>
      </c>
      <c r="AA96" s="38">
        <v>1</v>
      </c>
      <c r="AB96" s="38">
        <v>1</v>
      </c>
      <c r="AC96" s="38">
        <v>1</v>
      </c>
      <c r="AD96" s="38">
        <v>1</v>
      </c>
      <c r="AE96" s="38">
        <v>1</v>
      </c>
      <c r="AF96" s="38">
        <v>1</v>
      </c>
      <c r="AG96" s="38">
        <v>0</v>
      </c>
      <c r="AH96" s="38" t="s">
        <v>195</v>
      </c>
    </row>
    <row r="97" spans="1:34" x14ac:dyDescent="0.35">
      <c r="A97" s="38">
        <v>0</v>
      </c>
      <c r="B97" s="38">
        <v>0.23765432098765399</v>
      </c>
      <c r="C97" s="38">
        <v>0.23899371069182301</v>
      </c>
      <c r="D97" s="38">
        <v>0.53703703703703698</v>
      </c>
      <c r="E97" s="38">
        <v>0.12757201646090499</v>
      </c>
      <c r="F97" s="38">
        <v>0.94805194805194803</v>
      </c>
      <c r="G97" s="38">
        <v>0.55692729766803795</v>
      </c>
      <c r="H97" s="38">
        <v>0.936708860759493</v>
      </c>
      <c r="I97" s="38">
        <v>0.407407407407407</v>
      </c>
      <c r="J97" s="38">
        <v>0.19478737997256501</v>
      </c>
      <c r="K97" s="38">
        <v>5.5555555555555497E-2</v>
      </c>
      <c r="L97" s="38">
        <v>0.158904109589041</v>
      </c>
      <c r="M97" s="38">
        <v>0.95061728395061695</v>
      </c>
      <c r="N97" s="38">
        <v>6.1728395061728301E-2</v>
      </c>
      <c r="O97" s="38">
        <v>0.189873417721519</v>
      </c>
      <c r="P97" s="38">
        <v>0.32345679012345602</v>
      </c>
      <c r="Q97" s="38">
        <v>0.98765432098765404</v>
      </c>
      <c r="R97" s="38">
        <v>0.76543209876543195</v>
      </c>
      <c r="S97" s="38">
        <v>0.97530864197530798</v>
      </c>
      <c r="T97" s="38">
        <v>1</v>
      </c>
      <c r="U97" s="38">
        <v>1</v>
      </c>
      <c r="V97" s="38">
        <v>0.11111111111111099</v>
      </c>
      <c r="W97" s="38">
        <v>1</v>
      </c>
      <c r="X97" s="38">
        <v>0.97530864197530798</v>
      </c>
      <c r="Y97" s="38">
        <v>0.90123456790123402</v>
      </c>
      <c r="Z97" s="38">
        <v>0.44444444444444398</v>
      </c>
      <c r="AA97" s="38">
        <v>1</v>
      </c>
      <c r="AB97" s="38">
        <v>1</v>
      </c>
      <c r="AC97" s="38">
        <v>1</v>
      </c>
      <c r="AD97" s="38">
        <v>1</v>
      </c>
      <c r="AE97" s="38">
        <v>0.938271604938271</v>
      </c>
      <c r="AF97" s="38">
        <v>1</v>
      </c>
      <c r="AG97" s="38">
        <v>0.19565217391304299</v>
      </c>
      <c r="AH97" s="38" t="s">
        <v>195</v>
      </c>
    </row>
    <row r="98" spans="1:34" x14ac:dyDescent="0.35">
      <c r="A98" s="38">
        <v>0</v>
      </c>
      <c r="B98" s="38">
        <v>0.23765432098765399</v>
      </c>
      <c r="C98" s="38">
        <v>0.23899371069182301</v>
      </c>
      <c r="D98" s="38">
        <v>0.53703703703703698</v>
      </c>
      <c r="E98" s="38">
        <v>0.12757201646090499</v>
      </c>
      <c r="F98" s="38">
        <v>0.94805194805194803</v>
      </c>
      <c r="G98" s="38">
        <v>0.55692729766803795</v>
      </c>
      <c r="H98" s="38">
        <v>0.936708860759493</v>
      </c>
      <c r="I98" s="38">
        <v>0.407407407407407</v>
      </c>
      <c r="J98" s="38">
        <v>0.19478737997256501</v>
      </c>
      <c r="K98" s="38">
        <v>5.5555555555555497E-2</v>
      </c>
      <c r="L98" s="38">
        <v>0.158904109589041</v>
      </c>
      <c r="M98" s="38">
        <v>0.95061728395061695</v>
      </c>
      <c r="N98" s="38">
        <v>6.1728395061728301E-2</v>
      </c>
      <c r="O98" s="38">
        <v>0.189873417721519</v>
      </c>
      <c r="P98" s="38">
        <v>0.32345679012345602</v>
      </c>
      <c r="Q98" s="38">
        <v>0.98765432098765404</v>
      </c>
      <c r="R98" s="38">
        <v>0.76543209876543195</v>
      </c>
      <c r="S98" s="38">
        <v>0.97530864197530798</v>
      </c>
      <c r="T98" s="38">
        <v>1</v>
      </c>
      <c r="U98" s="38">
        <v>1</v>
      </c>
      <c r="V98" s="38">
        <v>0.11111111111111099</v>
      </c>
      <c r="W98" s="38">
        <v>1</v>
      </c>
      <c r="X98" s="38">
        <v>0.97530864197530798</v>
      </c>
      <c r="Y98" s="38">
        <v>0.90123456790123402</v>
      </c>
      <c r="Z98" s="38">
        <v>0.44444444444444398</v>
      </c>
      <c r="AA98" s="38">
        <v>1</v>
      </c>
      <c r="AB98" s="38">
        <v>1</v>
      </c>
      <c r="AC98" s="38">
        <v>1</v>
      </c>
      <c r="AD98" s="38">
        <v>1</v>
      </c>
      <c r="AE98" s="38">
        <v>0.938271604938271</v>
      </c>
      <c r="AF98" s="38">
        <v>1</v>
      </c>
      <c r="AG98" s="38">
        <v>0.19565217391304299</v>
      </c>
      <c r="AH98" s="38" t="s">
        <v>195</v>
      </c>
    </row>
    <row r="99" spans="1:34" x14ac:dyDescent="0.35">
      <c r="A99" s="38">
        <v>0</v>
      </c>
      <c r="B99" s="38">
        <v>0.23765432098765399</v>
      </c>
      <c r="C99" s="38">
        <v>0.23899371069182301</v>
      </c>
      <c r="D99" s="38">
        <v>0.53703703703703698</v>
      </c>
      <c r="E99" s="38">
        <v>0.12757201646090499</v>
      </c>
      <c r="F99" s="38">
        <v>0.94805194805194803</v>
      </c>
      <c r="G99" s="38">
        <v>0.55692729766803795</v>
      </c>
      <c r="H99" s="38">
        <v>0.936708860759493</v>
      </c>
      <c r="I99" s="38">
        <v>0.407407407407407</v>
      </c>
      <c r="J99" s="38">
        <v>0.19478737997256501</v>
      </c>
      <c r="K99" s="38">
        <v>5.5555555555555497E-2</v>
      </c>
      <c r="L99" s="38">
        <v>0.158904109589041</v>
      </c>
      <c r="M99" s="38">
        <v>0.95061728395061695</v>
      </c>
      <c r="N99" s="38">
        <v>6.1728395061728301E-2</v>
      </c>
      <c r="O99" s="38">
        <v>0.189873417721519</v>
      </c>
      <c r="P99" s="38">
        <v>0.32345679012345602</v>
      </c>
      <c r="Q99" s="38">
        <v>0.98765432098765404</v>
      </c>
      <c r="R99" s="38">
        <v>0.76543209876543195</v>
      </c>
      <c r="S99" s="38">
        <v>0.97530864197530798</v>
      </c>
      <c r="T99" s="38">
        <v>1</v>
      </c>
      <c r="U99" s="38">
        <v>1</v>
      </c>
      <c r="V99" s="38">
        <v>0.11111111111111099</v>
      </c>
      <c r="W99" s="38">
        <v>1</v>
      </c>
      <c r="X99" s="38">
        <v>0.97530864197530798</v>
      </c>
      <c r="Y99" s="38">
        <v>0.90123456790123402</v>
      </c>
      <c r="Z99" s="38">
        <v>0.44444444444444398</v>
      </c>
      <c r="AA99" s="38">
        <v>1</v>
      </c>
      <c r="AB99" s="38">
        <v>1</v>
      </c>
      <c r="AC99" s="38">
        <v>1</v>
      </c>
      <c r="AD99" s="38">
        <v>1</v>
      </c>
      <c r="AE99" s="38">
        <v>0.938271604938271</v>
      </c>
      <c r="AF99" s="38">
        <v>1</v>
      </c>
      <c r="AG99" s="38">
        <v>0.19565217391304299</v>
      </c>
      <c r="AH99" s="38" t="s">
        <v>195</v>
      </c>
    </row>
    <row r="100" spans="1:34" x14ac:dyDescent="0.35">
      <c r="A100" s="38">
        <v>0</v>
      </c>
      <c r="B100" s="38">
        <v>0.23765432098765399</v>
      </c>
      <c r="C100" s="38">
        <v>0.23899371069182301</v>
      </c>
      <c r="D100" s="38">
        <v>0.53703703703703698</v>
      </c>
      <c r="E100" s="38">
        <v>0.12757201646090499</v>
      </c>
      <c r="F100" s="38">
        <v>0.94805194805194803</v>
      </c>
      <c r="G100" s="38">
        <v>0.55692729766803795</v>
      </c>
      <c r="H100" s="38">
        <v>0.936708860759493</v>
      </c>
      <c r="I100" s="38">
        <v>0.407407407407407</v>
      </c>
      <c r="J100" s="38">
        <v>0.19478737997256501</v>
      </c>
      <c r="K100" s="38">
        <v>5.5555555555555497E-2</v>
      </c>
      <c r="L100" s="38">
        <v>0.158904109589041</v>
      </c>
      <c r="M100" s="38">
        <v>0.95061728395061695</v>
      </c>
      <c r="N100" s="38">
        <v>6.1728395061728301E-2</v>
      </c>
      <c r="O100" s="38">
        <v>0.189873417721519</v>
      </c>
      <c r="P100" s="38">
        <v>0.32345679012345602</v>
      </c>
      <c r="Q100" s="38">
        <v>0.98765432098765404</v>
      </c>
      <c r="R100" s="38">
        <v>0.76543209876543195</v>
      </c>
      <c r="S100" s="38">
        <v>0.97530864197530798</v>
      </c>
      <c r="T100" s="38">
        <v>1</v>
      </c>
      <c r="U100" s="38">
        <v>1</v>
      </c>
      <c r="V100" s="38">
        <v>0.11111111111111099</v>
      </c>
      <c r="W100" s="38">
        <v>1</v>
      </c>
      <c r="X100" s="38">
        <v>0.97530864197530798</v>
      </c>
      <c r="Y100" s="38">
        <v>0.90123456790123402</v>
      </c>
      <c r="Z100" s="38">
        <v>0.44444444444444398</v>
      </c>
      <c r="AA100" s="38">
        <v>1</v>
      </c>
      <c r="AB100" s="38">
        <v>1</v>
      </c>
      <c r="AC100" s="38">
        <v>1</v>
      </c>
      <c r="AD100" s="38">
        <v>1</v>
      </c>
      <c r="AE100" s="38">
        <v>0.938271604938271</v>
      </c>
      <c r="AF100" s="38">
        <v>1</v>
      </c>
      <c r="AG100" s="38">
        <v>0.19565217391304299</v>
      </c>
      <c r="AH100" s="38" t="s">
        <v>195</v>
      </c>
    </row>
    <row r="101" spans="1:34" x14ac:dyDescent="0.35">
      <c r="A101" s="38">
        <v>0.5</v>
      </c>
      <c r="B101" s="38">
        <v>0</v>
      </c>
      <c r="C101" s="38">
        <v>0</v>
      </c>
      <c r="D101" s="38">
        <v>0.66666666666666596</v>
      </c>
      <c r="E101" s="38">
        <v>0</v>
      </c>
      <c r="F101" s="38">
        <v>1</v>
      </c>
      <c r="G101" s="38">
        <v>0.55555555555555503</v>
      </c>
      <c r="H101" s="38">
        <v>1</v>
      </c>
      <c r="I101" s="38">
        <v>0.5</v>
      </c>
      <c r="J101" s="38">
        <v>1</v>
      </c>
      <c r="K101" s="38">
        <v>0</v>
      </c>
      <c r="L101" s="38">
        <v>0</v>
      </c>
      <c r="M101" s="38">
        <v>1</v>
      </c>
      <c r="N101" s="38">
        <v>0</v>
      </c>
      <c r="O101" s="38">
        <v>1</v>
      </c>
      <c r="P101" s="38">
        <v>0.4</v>
      </c>
      <c r="Q101" s="38">
        <v>1</v>
      </c>
      <c r="R101" s="38">
        <v>1</v>
      </c>
      <c r="S101" s="38">
        <v>1</v>
      </c>
      <c r="T101" s="38">
        <v>1</v>
      </c>
      <c r="U101" s="38">
        <v>1</v>
      </c>
      <c r="V101" s="38">
        <v>0</v>
      </c>
      <c r="W101" s="38">
        <v>1</v>
      </c>
      <c r="X101" s="38">
        <v>1</v>
      </c>
      <c r="Y101" s="38">
        <v>1</v>
      </c>
      <c r="Z101" s="38">
        <v>0</v>
      </c>
      <c r="AA101" s="38">
        <v>1</v>
      </c>
      <c r="AB101" s="38">
        <v>1</v>
      </c>
      <c r="AC101" s="38">
        <v>1</v>
      </c>
      <c r="AD101" s="38">
        <v>1</v>
      </c>
      <c r="AE101" s="38">
        <v>1</v>
      </c>
      <c r="AF101" s="38">
        <v>1</v>
      </c>
      <c r="AG101" s="38">
        <v>0</v>
      </c>
      <c r="AH101" s="38" t="s">
        <v>195</v>
      </c>
    </row>
    <row r="103" spans="1:34" x14ac:dyDescent="0.35">
      <c r="A103" s="25" t="s">
        <v>209</v>
      </c>
      <c r="B103" s="45" t="s">
        <v>207</v>
      </c>
      <c r="C103" s="46"/>
      <c r="D103" s="25" t="s">
        <v>121</v>
      </c>
      <c r="E103" s="25" t="s">
        <v>120</v>
      </c>
      <c r="F103" s="25" t="s">
        <v>372</v>
      </c>
      <c r="G103" s="25" t="s">
        <v>373</v>
      </c>
      <c r="H103" s="25" t="s">
        <v>374</v>
      </c>
    </row>
    <row r="104" spans="1:34" x14ac:dyDescent="0.35">
      <c r="A104" s="25"/>
      <c r="B104" s="25" t="s">
        <v>375</v>
      </c>
      <c r="C104" s="25" t="s">
        <v>376</v>
      </c>
      <c r="D104" s="25">
        <v>4</v>
      </c>
      <c r="E104" s="25">
        <v>56</v>
      </c>
      <c r="F104" s="25">
        <f>SUM(D104:E104)</f>
        <v>60</v>
      </c>
      <c r="G104" s="25"/>
      <c r="H104" s="25"/>
    </row>
    <row r="105" spans="1:34" x14ac:dyDescent="0.35">
      <c r="A105" s="47">
        <v>1</v>
      </c>
      <c r="B105" s="47" t="s">
        <v>377</v>
      </c>
      <c r="C105" s="25"/>
      <c r="D105" s="25"/>
      <c r="E105" s="25"/>
      <c r="F105" s="25"/>
      <c r="G105" s="25"/>
      <c r="H105" s="25"/>
      <c r="N105" s="50" t="s">
        <v>411</v>
      </c>
      <c r="O105" s="50" t="s">
        <v>217</v>
      </c>
      <c r="Q105" s="51" t="s">
        <v>213</v>
      </c>
      <c r="R105" s="51"/>
      <c r="S105" s="51"/>
      <c r="T105" s="51"/>
      <c r="U105" s="51"/>
    </row>
    <row r="106" spans="1:34" x14ac:dyDescent="0.35">
      <c r="A106" s="47"/>
      <c r="B106" s="47"/>
      <c r="C106" s="25" t="s">
        <v>378</v>
      </c>
      <c r="D106" s="25">
        <v>0</v>
      </c>
      <c r="E106" s="25">
        <v>38</v>
      </c>
      <c r="F106" s="25">
        <f t="shared" ref="F106:F108" si="0">SUM(D106:E106)</f>
        <v>38</v>
      </c>
      <c r="G106" s="25">
        <v>0</v>
      </c>
      <c r="H106" s="25">
        <f>F108-((F106/12)*G106)-((F107/12)*G107)</f>
        <v>58.745929534661755</v>
      </c>
      <c r="N106" s="39" t="s">
        <v>120</v>
      </c>
      <c r="O106" s="40" t="s">
        <v>120</v>
      </c>
      <c r="Q106" s="30"/>
      <c r="R106" s="30"/>
      <c r="S106" s="30"/>
      <c r="T106" s="30"/>
      <c r="U106" s="30"/>
    </row>
    <row r="107" spans="1:34" x14ac:dyDescent="0.35">
      <c r="A107" s="47"/>
      <c r="B107" s="47"/>
      <c r="C107" s="25" t="s">
        <v>379</v>
      </c>
      <c r="D107" s="25">
        <v>4</v>
      </c>
      <c r="E107" s="25">
        <v>18</v>
      </c>
      <c r="F107" s="25">
        <f t="shared" si="0"/>
        <v>22</v>
      </c>
      <c r="G107" s="25">
        <f>((-D107/F107)*IMLOG2(D107/F107)+(-E107/F107)*IMLOG2(E107/F107))</f>
        <v>0.68403843563904232</v>
      </c>
      <c r="H107" s="25"/>
      <c r="N107" s="39" t="s">
        <v>120</v>
      </c>
      <c r="O107" s="40" t="s">
        <v>120</v>
      </c>
      <c r="Q107" s="52" t="s">
        <v>214</v>
      </c>
      <c r="R107" s="52"/>
      <c r="S107" s="52" t="s">
        <v>215</v>
      </c>
      <c r="T107" s="52"/>
      <c r="U107" s="53" t="s">
        <v>216</v>
      </c>
    </row>
    <row r="108" spans="1:34" x14ac:dyDescent="0.35">
      <c r="A108" s="47"/>
      <c r="B108" s="47"/>
      <c r="C108" s="47"/>
      <c r="D108" s="48">
        <f>SUM(D106:D107)</f>
        <v>4</v>
      </c>
      <c r="E108" s="48">
        <f>SUM(E106:E107)</f>
        <v>56</v>
      </c>
      <c r="F108" s="48">
        <f t="shared" si="0"/>
        <v>60</v>
      </c>
      <c r="G108" s="25"/>
      <c r="H108" s="25"/>
      <c r="N108" s="39" t="s">
        <v>120</v>
      </c>
      <c r="O108" s="40" t="s">
        <v>120</v>
      </c>
      <c r="Q108" s="52"/>
      <c r="R108" s="52"/>
      <c r="S108" s="54" t="s">
        <v>121</v>
      </c>
      <c r="T108" s="54" t="s">
        <v>120</v>
      </c>
      <c r="U108" s="53"/>
    </row>
    <row r="109" spans="1:34" x14ac:dyDescent="0.35">
      <c r="A109" s="47">
        <v>2</v>
      </c>
      <c r="B109" s="47" t="s">
        <v>380</v>
      </c>
      <c r="C109" s="25"/>
      <c r="D109" s="25"/>
      <c r="E109" s="25"/>
      <c r="F109" s="25"/>
      <c r="G109" s="25"/>
      <c r="H109" s="25"/>
      <c r="N109" s="39" t="s">
        <v>120</v>
      </c>
      <c r="O109" s="40" t="s">
        <v>120</v>
      </c>
      <c r="Q109" s="52" t="s">
        <v>217</v>
      </c>
      <c r="R109" s="54" t="s">
        <v>121</v>
      </c>
      <c r="S109" s="54">
        <v>0</v>
      </c>
      <c r="T109" s="54">
        <v>0</v>
      </c>
      <c r="U109" s="55">
        <v>0</v>
      </c>
    </row>
    <row r="110" spans="1:34" x14ac:dyDescent="0.35">
      <c r="A110" s="47"/>
      <c r="B110" s="47"/>
      <c r="C110" s="25" t="s">
        <v>378</v>
      </c>
      <c r="D110" s="25">
        <v>4</v>
      </c>
      <c r="E110" s="25">
        <v>54</v>
      </c>
      <c r="F110" s="25">
        <f>SUM(D110:E110)</f>
        <v>58</v>
      </c>
      <c r="G110" s="25">
        <f>((-D110/F110)*IMLOG2(D110/F110)+(-E110/F110)*IMLOG2(E110/F110))</f>
        <v>0.36205125173399821</v>
      </c>
      <c r="H110" s="25">
        <f>F112-((F110/12)*G110)-((F111/12)*G111)</f>
        <v>58.25008561661901</v>
      </c>
      <c r="N110" s="39" t="s">
        <v>120</v>
      </c>
      <c r="O110" s="40" t="s">
        <v>120</v>
      </c>
      <c r="Q110" s="52"/>
      <c r="R110" s="54" t="s">
        <v>120</v>
      </c>
      <c r="S110" s="54">
        <v>0</v>
      </c>
      <c r="T110" s="54">
        <v>40</v>
      </c>
      <c r="U110" s="55">
        <f>T110/(S110+T110)</f>
        <v>1</v>
      </c>
    </row>
    <row r="111" spans="1:34" x14ac:dyDescent="0.35">
      <c r="A111" s="47"/>
      <c r="B111" s="47"/>
      <c r="C111" s="25" t="s">
        <v>379</v>
      </c>
      <c r="D111" s="25">
        <f>COUNTIFS($C$2:$C$61,C111,$A$2:$A$61,$D$103)</f>
        <v>0</v>
      </c>
      <c r="E111" s="25">
        <v>2</v>
      </c>
      <c r="F111" s="25">
        <f>SUM(D111:E111)</f>
        <v>2</v>
      </c>
      <c r="G111" s="25">
        <v>0</v>
      </c>
      <c r="H111" s="25"/>
      <c r="N111" s="39" t="s">
        <v>120</v>
      </c>
      <c r="O111" s="40" t="s">
        <v>120</v>
      </c>
      <c r="Q111" s="52" t="s">
        <v>218</v>
      </c>
      <c r="R111" s="52"/>
      <c r="S111" s="55">
        <v>0</v>
      </c>
      <c r="T111" s="55">
        <f>T110/(T109+T110)</f>
        <v>1</v>
      </c>
      <c r="U111" s="55"/>
    </row>
    <row r="112" spans="1:34" x14ac:dyDescent="0.35">
      <c r="A112" s="47"/>
      <c r="B112" s="47"/>
      <c r="C112" s="25"/>
      <c r="D112" s="49">
        <f>SUM(D110:D111)</f>
        <v>4</v>
      </c>
      <c r="E112" s="49">
        <f>SUM(E110:E111)</f>
        <v>56</v>
      </c>
      <c r="F112" s="49">
        <f>SUM(F110:F111)</f>
        <v>60</v>
      </c>
      <c r="G112" s="25"/>
      <c r="H112" s="25"/>
      <c r="N112" s="39" t="s">
        <v>120</v>
      </c>
      <c r="O112" s="40" t="s">
        <v>120</v>
      </c>
      <c r="Q112" s="30"/>
      <c r="R112" s="30"/>
      <c r="S112" s="30"/>
      <c r="T112" s="30"/>
      <c r="U112" s="30"/>
    </row>
    <row r="113" spans="1:21" x14ac:dyDescent="0.35">
      <c r="A113" s="47">
        <v>3</v>
      </c>
      <c r="B113" s="47" t="s">
        <v>381</v>
      </c>
      <c r="C113" s="25"/>
      <c r="D113" s="25"/>
      <c r="E113" s="25"/>
      <c r="F113" s="25"/>
      <c r="G113" s="25"/>
      <c r="H113" s="25"/>
      <c r="N113" s="39" t="s">
        <v>120</v>
      </c>
      <c r="O113" s="40" t="s">
        <v>120</v>
      </c>
      <c r="Q113" s="52" t="s">
        <v>219</v>
      </c>
      <c r="R113" s="52"/>
      <c r="S113" s="52"/>
      <c r="T113" s="52"/>
      <c r="U113" s="55">
        <f>(S109+T110)/(S109+T109+S110+T110)</f>
        <v>1</v>
      </c>
    </row>
    <row r="114" spans="1:21" x14ac:dyDescent="0.35">
      <c r="A114" s="47"/>
      <c r="B114" s="47"/>
      <c r="C114" s="25" t="s">
        <v>378</v>
      </c>
      <c r="D114" s="25">
        <v>1</v>
      </c>
      <c r="E114" s="25">
        <v>13</v>
      </c>
      <c r="F114" s="25">
        <f>SUM(D114:E114)</f>
        <v>14</v>
      </c>
      <c r="G114" s="25">
        <f>((-D114/F114)*IMLOG2(D114/F114)+(-E114/F114)*IMLOG2(E114/F114))</f>
        <v>0.37123232664087613</v>
      </c>
      <c r="H114" s="25">
        <f>F116-((F114/12)*G114)-((F115/12)*G115)</f>
        <v>58.233597450229901</v>
      </c>
      <c r="N114" s="39" t="s">
        <v>120</v>
      </c>
      <c r="O114" s="40" t="s">
        <v>120</v>
      </c>
    </row>
    <row r="115" spans="1:21" x14ac:dyDescent="0.35">
      <c r="A115" s="47"/>
      <c r="B115" s="47"/>
      <c r="C115" s="25" t="s">
        <v>379</v>
      </c>
      <c r="D115" s="25">
        <v>3</v>
      </c>
      <c r="E115" s="25">
        <v>43</v>
      </c>
      <c r="F115" s="25">
        <f>SUM(D115:E115)</f>
        <v>46</v>
      </c>
      <c r="G115" s="25">
        <f>((-D115/F115)*IMLOG2(D115/F115)+(-E115/F115)*IMLOG2(E115/F115))</f>
        <v>0.34781691357106348</v>
      </c>
      <c r="H115" s="25"/>
      <c r="N115" s="39" t="s">
        <v>120</v>
      </c>
      <c r="O115" s="40" t="s">
        <v>120</v>
      </c>
    </row>
    <row r="116" spans="1:21" x14ac:dyDescent="0.35">
      <c r="A116" s="47"/>
      <c r="B116" s="47"/>
      <c r="C116" s="25"/>
      <c r="D116" s="49">
        <f>SUM(D114:D115)</f>
        <v>4</v>
      </c>
      <c r="E116" s="49">
        <f>SUM(E114:E115)</f>
        <v>56</v>
      </c>
      <c r="F116" s="49">
        <f>SUM(F114:F115)</f>
        <v>60</v>
      </c>
      <c r="G116" s="25"/>
      <c r="H116" s="25"/>
      <c r="N116" s="39" t="s">
        <v>120</v>
      </c>
      <c r="O116" s="40" t="s">
        <v>120</v>
      </c>
    </row>
    <row r="117" spans="1:21" x14ac:dyDescent="0.35">
      <c r="A117" s="47">
        <v>4</v>
      </c>
      <c r="B117" s="47" t="s">
        <v>382</v>
      </c>
      <c r="C117" s="25"/>
      <c r="D117" s="25"/>
      <c r="E117" s="25"/>
      <c r="F117" s="25"/>
      <c r="G117" s="25"/>
      <c r="H117" s="25"/>
      <c r="N117" s="39" t="s">
        <v>120</v>
      </c>
      <c r="O117" s="40" t="s">
        <v>120</v>
      </c>
    </row>
    <row r="118" spans="1:21" x14ac:dyDescent="0.35">
      <c r="A118" s="47"/>
      <c r="B118" s="47"/>
      <c r="C118" s="25" t="s">
        <v>378</v>
      </c>
      <c r="D118" s="25">
        <v>1</v>
      </c>
      <c r="E118" s="25">
        <v>13</v>
      </c>
      <c r="F118" s="25">
        <f>SUM(D118:E118)</f>
        <v>14</v>
      </c>
      <c r="G118" s="25">
        <f>((-D118/F118)*IMLOG2(D118/F118)+(-E118/F118)*IMLOG2(E118/F118))</f>
        <v>0.37123232664087613</v>
      </c>
      <c r="H118" s="25">
        <f>F120-((F118/12)*G118)-((F119/12)*G119)</f>
        <v>58.233597450229901</v>
      </c>
      <c r="N118" s="39" t="s">
        <v>120</v>
      </c>
      <c r="O118" s="40" t="s">
        <v>120</v>
      </c>
    </row>
    <row r="119" spans="1:21" x14ac:dyDescent="0.35">
      <c r="A119" s="47"/>
      <c r="B119" s="47"/>
      <c r="C119" s="25" t="s">
        <v>379</v>
      </c>
      <c r="D119" s="25">
        <v>3</v>
      </c>
      <c r="E119" s="25">
        <v>43</v>
      </c>
      <c r="F119" s="25">
        <f>SUM(D119:E119)</f>
        <v>46</v>
      </c>
      <c r="G119" s="25">
        <f>((-D119/F119)*IMLOG2(D119/F119)+(-E119/F119)*IMLOG2(E119/F119))</f>
        <v>0.34781691357106348</v>
      </c>
      <c r="H119" s="25"/>
      <c r="N119" s="39" t="s">
        <v>120</v>
      </c>
      <c r="O119" s="40" t="s">
        <v>120</v>
      </c>
    </row>
    <row r="120" spans="1:21" x14ac:dyDescent="0.35">
      <c r="A120" s="47"/>
      <c r="B120" s="47"/>
      <c r="C120" s="25"/>
      <c r="D120" s="49">
        <f>SUM(D118:D119)</f>
        <v>4</v>
      </c>
      <c r="E120" s="49">
        <f>SUM(E118:E119)</f>
        <v>56</v>
      </c>
      <c r="F120" s="49">
        <f>SUM(F118:F119)</f>
        <v>60</v>
      </c>
      <c r="G120" s="25"/>
      <c r="H120" s="25"/>
      <c r="N120" s="39" t="s">
        <v>120</v>
      </c>
      <c r="O120" s="40" t="s">
        <v>120</v>
      </c>
    </row>
    <row r="121" spans="1:21" x14ac:dyDescent="0.35">
      <c r="A121" s="47">
        <v>5</v>
      </c>
      <c r="B121" s="47" t="s">
        <v>383</v>
      </c>
      <c r="C121" s="25"/>
      <c r="D121" s="25"/>
      <c r="E121" s="25"/>
      <c r="F121" s="25"/>
      <c r="G121" s="25"/>
      <c r="H121" s="25"/>
      <c r="N121" s="39" t="s">
        <v>120</v>
      </c>
      <c r="O121" s="40" t="s">
        <v>120</v>
      </c>
    </row>
    <row r="122" spans="1:21" x14ac:dyDescent="0.35">
      <c r="A122" s="47"/>
      <c r="B122" s="47"/>
      <c r="C122" s="25" t="s">
        <v>378</v>
      </c>
      <c r="D122" s="25">
        <v>4</v>
      </c>
      <c r="E122" s="25">
        <v>53</v>
      </c>
      <c r="F122" s="25">
        <f>SUM(D122:E122)</f>
        <v>57</v>
      </c>
      <c r="G122" s="25">
        <f>((-D122/F122)*IMLOG2(D122/F122)+(-E122/F122)*IMLOG2(E122/F122))</f>
        <v>0.36657801255334627</v>
      </c>
      <c r="H122" s="25">
        <f>F124-((F122/12)*G122)-((F123/12)*G123)</f>
        <v>58.258754440371604</v>
      </c>
      <c r="N122" s="39" t="s">
        <v>120</v>
      </c>
      <c r="O122" s="40" t="s">
        <v>120</v>
      </c>
    </row>
    <row r="123" spans="1:21" x14ac:dyDescent="0.35">
      <c r="A123" s="47"/>
      <c r="B123" s="47"/>
      <c r="C123" s="25" t="s">
        <v>379</v>
      </c>
      <c r="D123" s="25">
        <v>0</v>
      </c>
      <c r="E123" s="25">
        <v>3</v>
      </c>
      <c r="F123" s="25">
        <f>SUM(D123:E123)</f>
        <v>3</v>
      </c>
      <c r="G123" s="25">
        <v>0</v>
      </c>
      <c r="H123" s="25"/>
      <c r="N123" s="39" t="s">
        <v>120</v>
      </c>
      <c r="O123" s="40" t="s">
        <v>120</v>
      </c>
    </row>
    <row r="124" spans="1:21" x14ac:dyDescent="0.35">
      <c r="A124" s="47"/>
      <c r="B124" s="47"/>
      <c r="C124" s="25"/>
      <c r="D124" s="49">
        <f>SUM(D122:D123)</f>
        <v>4</v>
      </c>
      <c r="E124" s="49">
        <f>SUM(E122:E123)</f>
        <v>56</v>
      </c>
      <c r="F124" s="49">
        <f>SUM(F122:F123)</f>
        <v>60</v>
      </c>
      <c r="G124" s="25"/>
      <c r="H124" s="25"/>
      <c r="N124" s="39" t="s">
        <v>120</v>
      </c>
      <c r="O124" s="40" t="s">
        <v>120</v>
      </c>
    </row>
    <row r="125" spans="1:21" x14ac:dyDescent="0.35">
      <c r="A125" s="25">
        <v>6</v>
      </c>
      <c r="B125" s="25" t="s">
        <v>384</v>
      </c>
      <c r="C125" s="25"/>
      <c r="D125" s="25"/>
      <c r="E125" s="25"/>
      <c r="F125" s="25"/>
      <c r="G125" s="25"/>
      <c r="H125" s="25"/>
      <c r="N125" s="39" t="s">
        <v>120</v>
      </c>
      <c r="O125" s="40" t="s">
        <v>120</v>
      </c>
    </row>
    <row r="126" spans="1:21" x14ac:dyDescent="0.35">
      <c r="A126" s="25"/>
      <c r="B126" s="25"/>
      <c r="C126" s="25" t="s">
        <v>378</v>
      </c>
      <c r="D126" s="25">
        <v>0</v>
      </c>
      <c r="E126" s="25">
        <v>2</v>
      </c>
      <c r="F126" s="25">
        <f>SUM(D126:E126)</f>
        <v>2</v>
      </c>
      <c r="G126" s="25">
        <v>0</v>
      </c>
      <c r="H126" s="25">
        <f>F128-((F126/12)*G126)-((F127/12)*G127)</f>
        <v>58.25008561661901</v>
      </c>
      <c r="N126" s="39" t="s">
        <v>120</v>
      </c>
      <c r="O126" s="40" t="s">
        <v>120</v>
      </c>
    </row>
    <row r="127" spans="1:21" x14ac:dyDescent="0.35">
      <c r="A127" s="25"/>
      <c r="B127" s="25"/>
      <c r="C127" s="25" t="s">
        <v>379</v>
      </c>
      <c r="D127" s="25">
        <v>4</v>
      </c>
      <c r="E127" s="25">
        <v>54</v>
      </c>
      <c r="F127" s="25">
        <f>SUM(D127:E127)</f>
        <v>58</v>
      </c>
      <c r="G127" s="25">
        <f>((-D127/F127)*IMLOG2(D127/F127)+(-E127/F127)*IMLOG2(E127/F127))</f>
        <v>0.36205125173399821</v>
      </c>
      <c r="H127" s="25"/>
      <c r="N127" s="39" t="s">
        <v>120</v>
      </c>
      <c r="O127" s="40" t="s">
        <v>120</v>
      </c>
    </row>
    <row r="128" spans="1:21" x14ac:dyDescent="0.35">
      <c r="A128" s="25"/>
      <c r="B128" s="25"/>
      <c r="C128" s="25"/>
      <c r="D128" s="49">
        <f>SUM(D126:D127)</f>
        <v>4</v>
      </c>
      <c r="E128" s="49">
        <f>SUM(E126:E127)</f>
        <v>56</v>
      </c>
      <c r="F128" s="49">
        <f>SUM(F126:F127)</f>
        <v>60</v>
      </c>
      <c r="G128" s="25"/>
      <c r="H128" s="25"/>
      <c r="N128" s="39" t="s">
        <v>120</v>
      </c>
      <c r="O128" s="40" t="s">
        <v>120</v>
      </c>
    </row>
    <row r="129" spans="1:15" x14ac:dyDescent="0.35">
      <c r="A129" s="25">
        <v>7</v>
      </c>
      <c r="B129" s="25" t="s">
        <v>385</v>
      </c>
      <c r="C129" s="25"/>
      <c r="D129" s="25"/>
      <c r="E129" s="25"/>
      <c r="F129" s="25"/>
      <c r="G129" s="25"/>
      <c r="H129" s="25"/>
      <c r="N129" s="39" t="s">
        <v>120</v>
      </c>
      <c r="O129" s="40" t="s">
        <v>120</v>
      </c>
    </row>
    <row r="130" spans="1:15" x14ac:dyDescent="0.35">
      <c r="A130" s="25"/>
      <c r="B130" s="25"/>
      <c r="C130" s="25" t="s">
        <v>378</v>
      </c>
      <c r="D130" s="25">
        <v>0</v>
      </c>
      <c r="E130" s="25">
        <v>2</v>
      </c>
      <c r="F130" s="25">
        <f>SUM(D130:E130)</f>
        <v>2</v>
      </c>
      <c r="G130" s="25">
        <v>0</v>
      </c>
      <c r="H130" s="25">
        <f>F132-((F130/12)*G130)-((F131/12)*G131)</f>
        <v>58.25008561661901</v>
      </c>
      <c r="N130" s="39" t="s">
        <v>120</v>
      </c>
      <c r="O130" s="40" t="s">
        <v>120</v>
      </c>
    </row>
    <row r="131" spans="1:15" x14ac:dyDescent="0.35">
      <c r="A131" s="25"/>
      <c r="B131" s="25"/>
      <c r="C131" s="25" t="s">
        <v>379</v>
      </c>
      <c r="D131" s="25">
        <v>4</v>
      </c>
      <c r="E131" s="25">
        <v>54</v>
      </c>
      <c r="F131" s="25">
        <f>SUM(D131:E131)</f>
        <v>58</v>
      </c>
      <c r="G131" s="25">
        <f>((-D131/F131)*IMLOG2(D131/F131)+(-E131/F131)*IMLOG2(E131/F131))</f>
        <v>0.36205125173399821</v>
      </c>
      <c r="H131" s="25"/>
      <c r="N131" s="39" t="s">
        <v>120</v>
      </c>
      <c r="O131" s="40" t="s">
        <v>120</v>
      </c>
    </row>
    <row r="132" spans="1:15" x14ac:dyDescent="0.35">
      <c r="A132" s="25"/>
      <c r="B132" s="25"/>
      <c r="C132" s="47"/>
      <c r="D132" s="49">
        <f>SUM(D130:D131)</f>
        <v>4</v>
      </c>
      <c r="E132" s="49">
        <f>SUM(E130:E131)</f>
        <v>56</v>
      </c>
      <c r="F132" s="49">
        <f>SUM(F130:F131)</f>
        <v>60</v>
      </c>
      <c r="G132" s="25"/>
      <c r="H132" s="25"/>
      <c r="N132" s="39" t="s">
        <v>120</v>
      </c>
      <c r="O132" s="40" t="s">
        <v>120</v>
      </c>
    </row>
    <row r="133" spans="1:15" x14ac:dyDescent="0.35">
      <c r="A133" s="25">
        <v>8</v>
      </c>
      <c r="B133" s="25" t="s">
        <v>386</v>
      </c>
      <c r="C133" s="25"/>
      <c r="D133" s="25"/>
      <c r="E133" s="25"/>
      <c r="F133" s="25"/>
      <c r="G133" s="25"/>
      <c r="H133" s="25"/>
      <c r="N133" s="39" t="s">
        <v>120</v>
      </c>
      <c r="O133" s="40" t="s">
        <v>120</v>
      </c>
    </row>
    <row r="134" spans="1:15" x14ac:dyDescent="0.35">
      <c r="A134" s="25"/>
      <c r="B134" s="25"/>
      <c r="C134" s="25" t="s">
        <v>378</v>
      </c>
      <c r="D134" s="25">
        <v>0</v>
      </c>
      <c r="E134" s="25">
        <v>4</v>
      </c>
      <c r="F134" s="25">
        <f>SUM(D134:E134)</f>
        <v>4</v>
      </c>
      <c r="G134" s="25">
        <v>0</v>
      </c>
      <c r="H134" s="25">
        <f>F136-((F134/12)*G134)-((F135/12)*G135)</f>
        <v>58.267582475675908</v>
      </c>
      <c r="N134" s="39" t="s">
        <v>120</v>
      </c>
      <c r="O134" s="40" t="s">
        <v>120</v>
      </c>
    </row>
    <row r="135" spans="1:15" x14ac:dyDescent="0.35">
      <c r="A135" s="25"/>
      <c r="B135" s="25"/>
      <c r="C135" s="25" t="s">
        <v>379</v>
      </c>
      <c r="D135" s="25">
        <v>4</v>
      </c>
      <c r="E135" s="25">
        <v>52</v>
      </c>
      <c r="F135" s="25">
        <f>SUM(D135:E135)</f>
        <v>56</v>
      </c>
      <c r="G135" s="25">
        <f>((-D135/F135)*IMLOG2(D135/F135)+(-E135/F135)*IMLOG2(E135/F135))</f>
        <v>0.37123232664087613</v>
      </c>
      <c r="H135" s="25"/>
      <c r="N135" s="39" t="s">
        <v>120</v>
      </c>
      <c r="O135" s="40" t="s">
        <v>120</v>
      </c>
    </row>
    <row r="136" spans="1:15" x14ac:dyDescent="0.35">
      <c r="A136" s="25"/>
      <c r="B136" s="25"/>
      <c r="C136" s="25"/>
      <c r="D136" s="49">
        <f>SUM(D134:D135)</f>
        <v>4</v>
      </c>
      <c r="E136" s="49">
        <f>SUM(E134:E135)</f>
        <v>56</v>
      </c>
      <c r="F136" s="49">
        <f>SUM(F134:F135)</f>
        <v>60</v>
      </c>
      <c r="G136" s="25"/>
      <c r="H136" s="25"/>
      <c r="N136" s="39" t="s">
        <v>120</v>
      </c>
      <c r="O136" s="40" t="s">
        <v>120</v>
      </c>
    </row>
    <row r="137" spans="1:15" x14ac:dyDescent="0.35">
      <c r="A137" s="25">
        <v>9</v>
      </c>
      <c r="B137" s="25" t="s">
        <v>387</v>
      </c>
      <c r="C137" s="25"/>
      <c r="D137" s="25"/>
      <c r="E137" s="25"/>
      <c r="F137" s="25"/>
      <c r="G137" s="25"/>
      <c r="H137" s="25"/>
      <c r="N137" s="39" t="s">
        <v>120</v>
      </c>
      <c r="O137" s="40" t="s">
        <v>120</v>
      </c>
    </row>
    <row r="138" spans="1:15" x14ac:dyDescent="0.35">
      <c r="A138" s="25"/>
      <c r="B138" s="25"/>
      <c r="C138" s="25" t="s">
        <v>378</v>
      </c>
      <c r="D138" s="25">
        <v>4</v>
      </c>
      <c r="E138" s="25">
        <v>51</v>
      </c>
      <c r="F138" s="25">
        <f>SUM(D138:E138)</f>
        <v>55</v>
      </c>
      <c r="G138" s="25">
        <f>((-D138/F138)*IMLOG2(D138/F138)+(-E138/F138)*IMLOG2(E138/F138))</f>
        <v>0.37601985096927276</v>
      </c>
      <c r="H138" s="25">
        <f>F140-((F138/12)*G138)-((F139/12)*G139)</f>
        <v>58.276575683057501</v>
      </c>
      <c r="N138" s="39" t="s">
        <v>120</v>
      </c>
      <c r="O138" s="40" t="s">
        <v>120</v>
      </c>
    </row>
    <row r="139" spans="1:15" x14ac:dyDescent="0.35">
      <c r="A139" s="25"/>
      <c r="B139" s="25"/>
      <c r="C139" s="25" t="s">
        <v>379</v>
      </c>
      <c r="D139" s="25">
        <v>0</v>
      </c>
      <c r="E139" s="25">
        <v>5</v>
      </c>
      <c r="F139" s="25">
        <f>SUM(D139:E139)</f>
        <v>5</v>
      </c>
      <c r="G139" s="25">
        <v>0</v>
      </c>
      <c r="H139" s="25"/>
      <c r="N139" s="39" t="s">
        <v>120</v>
      </c>
      <c r="O139" s="40" t="s">
        <v>120</v>
      </c>
    </row>
    <row r="140" spans="1:15" x14ac:dyDescent="0.35">
      <c r="A140" s="25"/>
      <c r="B140" s="25"/>
      <c r="C140" s="47"/>
      <c r="D140" s="49">
        <f>SUM(D138:D139)</f>
        <v>4</v>
      </c>
      <c r="E140" s="49">
        <f>SUM(E138:E139)</f>
        <v>56</v>
      </c>
      <c r="F140" s="49">
        <f>SUM(F138:F139)</f>
        <v>60</v>
      </c>
      <c r="G140" s="25"/>
      <c r="H140" s="25"/>
      <c r="N140" s="39" t="s">
        <v>120</v>
      </c>
      <c r="O140" s="40" t="s">
        <v>120</v>
      </c>
    </row>
    <row r="141" spans="1:15" x14ac:dyDescent="0.35">
      <c r="A141" s="25">
        <v>10</v>
      </c>
      <c r="B141" s="25" t="s">
        <v>388</v>
      </c>
      <c r="C141" s="25"/>
      <c r="D141" s="25"/>
      <c r="E141" s="25"/>
      <c r="F141" s="25"/>
      <c r="G141" s="25"/>
      <c r="H141" s="25"/>
      <c r="N141" s="39" t="s">
        <v>120</v>
      </c>
      <c r="O141" s="40" t="s">
        <v>120</v>
      </c>
    </row>
    <row r="142" spans="1:15" x14ac:dyDescent="0.35">
      <c r="A142" s="25"/>
      <c r="B142" s="25"/>
      <c r="C142" s="25" t="s">
        <v>378</v>
      </c>
      <c r="D142" s="25">
        <v>2</v>
      </c>
      <c r="E142" s="25">
        <v>48</v>
      </c>
      <c r="F142" s="25">
        <f>SUM(D142:E142)</f>
        <v>50</v>
      </c>
      <c r="G142" s="25">
        <f>((-D142/F142)*IMLOG2(D142/F142)+(-E142/F142)*IMLOG2(E142/F142))</f>
        <v>0.24229218908241504</v>
      </c>
      <c r="H142" s="25">
        <f>F144-((F142/12)*G142)-((F143/12)*G143)</f>
        <v>58.388842466417138</v>
      </c>
      <c r="N142" s="39" t="s">
        <v>120</v>
      </c>
      <c r="O142" s="40" t="s">
        <v>120</v>
      </c>
    </row>
    <row r="143" spans="1:15" x14ac:dyDescent="0.35">
      <c r="A143" s="25"/>
      <c r="B143" s="25"/>
      <c r="C143" s="25" t="s">
        <v>379</v>
      </c>
      <c r="D143" s="25">
        <v>2</v>
      </c>
      <c r="E143" s="25">
        <v>8</v>
      </c>
      <c r="F143" s="25">
        <f>SUM(D143:E143)</f>
        <v>10</v>
      </c>
      <c r="G143" s="25">
        <f>((-D143/F143)*IMLOG2(D143/F143)+(-E143/F143)*IMLOG2(E143/F143))</f>
        <v>0.72192809488736165</v>
      </c>
      <c r="H143" s="25"/>
      <c r="N143" s="39" t="s">
        <v>120</v>
      </c>
      <c r="O143" s="40" t="s">
        <v>120</v>
      </c>
    </row>
    <row r="144" spans="1:15" x14ac:dyDescent="0.35">
      <c r="A144" s="25"/>
      <c r="B144" s="25"/>
      <c r="C144" s="25"/>
      <c r="D144" s="49">
        <f>SUM(D142:D143)</f>
        <v>4</v>
      </c>
      <c r="E144" s="49">
        <f>SUM(E142:E143)</f>
        <v>56</v>
      </c>
      <c r="F144" s="49">
        <f>SUM(F142:F143)</f>
        <v>60</v>
      </c>
      <c r="G144" s="25"/>
      <c r="H144" s="25"/>
      <c r="N144" s="39" t="s">
        <v>120</v>
      </c>
      <c r="O144" s="40" t="s">
        <v>120</v>
      </c>
    </row>
    <row r="145" spans="1:15" x14ac:dyDescent="0.35">
      <c r="A145" s="25">
        <v>11</v>
      </c>
      <c r="B145" s="25" t="s">
        <v>389</v>
      </c>
      <c r="C145" s="25"/>
      <c r="D145" s="25"/>
      <c r="E145" s="25"/>
      <c r="F145" s="25"/>
      <c r="G145" s="25"/>
      <c r="H145" s="25"/>
      <c r="N145" s="39" t="s">
        <v>120</v>
      </c>
      <c r="O145" s="40" t="s">
        <v>120</v>
      </c>
    </row>
    <row r="146" spans="1:15" x14ac:dyDescent="0.35">
      <c r="A146" s="25"/>
      <c r="B146" s="25"/>
      <c r="C146" s="25" t="s">
        <v>378</v>
      </c>
      <c r="D146" s="25">
        <v>4</v>
      </c>
      <c r="E146" s="25">
        <v>55</v>
      </c>
      <c r="F146" s="25">
        <f>SUM(D146:E146)</f>
        <v>59</v>
      </c>
      <c r="G146" s="25">
        <f>((-D146/F146)*IMLOG2(D146/F146)+(-E146/F146)*IMLOG2(E146/F146))</f>
        <v>0.35764670624563338</v>
      </c>
      <c r="H146" s="25">
        <f>F148-((F146/12)*G146)-((F147/12)*G147)</f>
        <v>58.241570360958967</v>
      </c>
    </row>
    <row r="147" spans="1:15" x14ac:dyDescent="0.35">
      <c r="A147" s="25"/>
      <c r="B147" s="25"/>
      <c r="C147" s="25" t="s">
        <v>379</v>
      </c>
      <c r="D147" s="25">
        <v>0</v>
      </c>
      <c r="E147" s="25">
        <v>1</v>
      </c>
      <c r="F147" s="25">
        <f>SUM(D147:E147)</f>
        <v>1</v>
      </c>
      <c r="G147" s="25">
        <v>0</v>
      </c>
      <c r="H147" s="25"/>
    </row>
    <row r="148" spans="1:15" x14ac:dyDescent="0.35">
      <c r="A148" s="25"/>
      <c r="B148" s="25"/>
      <c r="C148" s="25"/>
      <c r="D148" s="49">
        <f>SUM(D146:D147)</f>
        <v>4</v>
      </c>
      <c r="E148" s="49">
        <f>SUM(E146:E147)</f>
        <v>56</v>
      </c>
      <c r="F148" s="49">
        <f>SUM(F146:F147)</f>
        <v>60</v>
      </c>
      <c r="G148" s="25"/>
      <c r="H148" s="25"/>
    </row>
    <row r="149" spans="1:15" x14ac:dyDescent="0.35">
      <c r="A149" s="25">
        <v>12</v>
      </c>
      <c r="B149" s="25" t="s">
        <v>390</v>
      </c>
      <c r="C149" s="25"/>
      <c r="D149" s="25"/>
      <c r="E149" s="25"/>
      <c r="F149" s="25"/>
      <c r="G149" s="25"/>
      <c r="H149" s="25"/>
    </row>
    <row r="150" spans="1:15" x14ac:dyDescent="0.35">
      <c r="A150" s="25"/>
      <c r="B150" s="25"/>
      <c r="C150" s="25" t="s">
        <v>378</v>
      </c>
      <c r="D150" s="25">
        <v>3</v>
      </c>
      <c r="E150" s="25">
        <v>56</v>
      </c>
      <c r="F150" s="25">
        <f>SUM(D150:E150)</f>
        <v>59</v>
      </c>
      <c r="G150" s="25">
        <f>((-D150/F150)*IMLOG2(D150/F150)+(-E150/F150)*IMLOG2(E150/F150))</f>
        <v>0.28998604703320929</v>
      </c>
      <c r="H150" s="25">
        <f>F152-((F150/12)*G150)-((F151/12)*G151)</f>
        <v>58.574235268753391</v>
      </c>
    </row>
    <row r="151" spans="1:15" x14ac:dyDescent="0.35">
      <c r="A151" s="25"/>
      <c r="B151" s="25"/>
      <c r="C151" s="25" t="s">
        <v>379</v>
      </c>
      <c r="D151" s="25">
        <v>1</v>
      </c>
      <c r="E151" s="25">
        <v>0</v>
      </c>
      <c r="F151" s="25">
        <f>SUM(D151:E151)</f>
        <v>1</v>
      </c>
      <c r="G151" s="25">
        <v>0</v>
      </c>
      <c r="H151" s="25"/>
    </row>
    <row r="152" spans="1:15" x14ac:dyDescent="0.35">
      <c r="A152" s="25"/>
      <c r="B152" s="25"/>
      <c r="C152" s="25"/>
      <c r="D152" s="49">
        <f>SUM(D150:D151)</f>
        <v>4</v>
      </c>
      <c r="E152" s="49">
        <f>SUM(E150:E151)</f>
        <v>56</v>
      </c>
      <c r="F152" s="49">
        <f>SUM(F150:F151)</f>
        <v>60</v>
      </c>
      <c r="G152" s="25"/>
      <c r="H152" s="25"/>
    </row>
    <row r="153" spans="1:15" x14ac:dyDescent="0.35">
      <c r="A153" s="25">
        <v>13</v>
      </c>
      <c r="B153" s="25" t="s">
        <v>391</v>
      </c>
      <c r="C153" s="25"/>
      <c r="D153" s="25"/>
      <c r="E153" s="25"/>
      <c r="F153" s="25"/>
      <c r="G153" s="25"/>
      <c r="H153" s="25"/>
    </row>
    <row r="154" spans="1:15" x14ac:dyDescent="0.35">
      <c r="A154" s="25"/>
      <c r="B154" s="25"/>
      <c r="C154" s="25" t="s">
        <v>378</v>
      </c>
      <c r="D154" s="25">
        <v>4</v>
      </c>
      <c r="E154" s="25">
        <v>50</v>
      </c>
      <c r="F154" s="25">
        <f>SUM(D154:E154)</f>
        <v>54</v>
      </c>
      <c r="G154" s="25">
        <f>((-D154/F154)*IMLOG2(D154/F154)+(-E154/F154)*IMLOG2(E154/F154))</f>
        <v>0.38094658570539036</v>
      </c>
      <c r="H154" s="25">
        <f>F156-((F154/12)*G154)-((F155/12)*G155)</f>
        <v>58.285740364325747</v>
      </c>
    </row>
    <row r="155" spans="1:15" x14ac:dyDescent="0.35">
      <c r="A155" s="25"/>
      <c r="B155" s="25"/>
      <c r="C155" s="25" t="s">
        <v>379</v>
      </c>
      <c r="D155" s="25">
        <v>0</v>
      </c>
      <c r="E155" s="25">
        <v>6</v>
      </c>
      <c r="F155" s="25">
        <f>SUM(D155:E155)</f>
        <v>6</v>
      </c>
      <c r="G155" s="25">
        <v>0</v>
      </c>
      <c r="H155" s="25"/>
    </row>
    <row r="156" spans="1:15" x14ac:dyDescent="0.35">
      <c r="A156" s="25"/>
      <c r="B156" s="25"/>
      <c r="C156" s="47"/>
      <c r="D156" s="49">
        <f>SUM(D154:D155)</f>
        <v>4</v>
      </c>
      <c r="E156" s="49">
        <f>SUM(E154:E155)</f>
        <v>56</v>
      </c>
      <c r="F156" s="49">
        <f>SUM(F154:F155)</f>
        <v>60</v>
      </c>
      <c r="G156" s="25"/>
      <c r="H156" s="25"/>
    </row>
    <row r="157" spans="1:15" x14ac:dyDescent="0.35">
      <c r="A157" s="25">
        <v>14</v>
      </c>
      <c r="B157" s="25" t="s">
        <v>392</v>
      </c>
      <c r="C157" s="25"/>
      <c r="D157" s="25"/>
      <c r="E157" s="25"/>
      <c r="F157" s="25"/>
      <c r="G157" s="25"/>
      <c r="H157" s="25"/>
    </row>
    <row r="158" spans="1:15" x14ac:dyDescent="0.35">
      <c r="A158" s="25"/>
      <c r="B158" s="25"/>
      <c r="C158" s="25" t="s">
        <v>378</v>
      </c>
      <c r="D158" s="25">
        <v>4</v>
      </c>
      <c r="E158" s="25">
        <v>54</v>
      </c>
      <c r="F158" s="25">
        <f>SUM(D158:E158)</f>
        <v>58</v>
      </c>
      <c r="G158" s="25">
        <f>((-D158/F158)*IMLOG2(D158/F158)+(-E158/F158)*IMLOG2(E158/F158))</f>
        <v>0.36205125173399821</v>
      </c>
      <c r="H158" s="25">
        <f>F160-((F158/12)*G158)-((F159/12)*G159)</f>
        <v>58.25008561661901</v>
      </c>
    </row>
    <row r="159" spans="1:15" x14ac:dyDescent="0.35">
      <c r="A159" s="25"/>
      <c r="B159" s="25"/>
      <c r="C159" s="25" t="s">
        <v>379</v>
      </c>
      <c r="D159" s="25">
        <v>0</v>
      </c>
      <c r="E159" s="25">
        <v>2</v>
      </c>
      <c r="F159" s="25">
        <f>SUM(D159:E159)</f>
        <v>2</v>
      </c>
      <c r="G159" s="25">
        <v>0</v>
      </c>
      <c r="H159" s="25"/>
    </row>
    <row r="160" spans="1:15" x14ac:dyDescent="0.35">
      <c r="A160" s="25"/>
      <c r="B160" s="25"/>
      <c r="C160" s="25"/>
      <c r="D160" s="49">
        <f>SUM(D158:D159)</f>
        <v>4</v>
      </c>
      <c r="E160" s="49">
        <f>SUM(E158:E159)</f>
        <v>56</v>
      </c>
      <c r="F160" s="49">
        <f>SUM(F158:F159)</f>
        <v>60</v>
      </c>
      <c r="G160" s="25"/>
      <c r="H160" s="25"/>
    </row>
    <row r="161" spans="1:8" x14ac:dyDescent="0.35">
      <c r="A161" s="25">
        <v>15</v>
      </c>
      <c r="B161" s="25" t="s">
        <v>393</v>
      </c>
      <c r="C161" s="25"/>
      <c r="D161" s="25"/>
      <c r="E161" s="25"/>
      <c r="F161" s="25"/>
      <c r="G161" s="25"/>
      <c r="H161" s="25"/>
    </row>
    <row r="162" spans="1:8" x14ac:dyDescent="0.35">
      <c r="A162" s="25"/>
      <c r="B162" s="25"/>
      <c r="C162" s="25" t="s">
        <v>378</v>
      </c>
      <c r="D162" s="25">
        <v>1</v>
      </c>
      <c r="E162" s="25">
        <v>48</v>
      </c>
      <c r="F162" s="25">
        <f>SUM(D162:E162)</f>
        <v>49</v>
      </c>
      <c r="G162" s="25">
        <f>((-D162/F162)*IMLOG2(D162/F162)+(-E162/F162)*IMLOG2(E162/F162))</f>
        <v>0.14372616993938186</v>
      </c>
      <c r="H162" s="25">
        <f>F164-((F162/12)*G162)-((F163/12)*G163)</f>
        <v>58.638213114176956</v>
      </c>
    </row>
    <row r="163" spans="1:8" x14ac:dyDescent="0.35">
      <c r="A163" s="25"/>
      <c r="B163" s="25"/>
      <c r="C163" s="25" t="s">
        <v>379</v>
      </c>
      <c r="D163" s="25">
        <v>3</v>
      </c>
      <c r="E163" s="25">
        <v>8</v>
      </c>
      <c r="F163" s="25">
        <f>SUM(D163:E163)</f>
        <v>11</v>
      </c>
      <c r="G163" s="25">
        <f>((-D163/F163)*IMLOG2(D163/F163)+(-E163/F163)*IMLOG2(E163/F163))</f>
        <v>0.84535093662243588</v>
      </c>
      <c r="H163" s="25"/>
    </row>
    <row r="164" spans="1:8" x14ac:dyDescent="0.35">
      <c r="A164" s="25"/>
      <c r="B164" s="25"/>
      <c r="C164" s="25"/>
      <c r="D164" s="49">
        <f>SUM(D162:D163)</f>
        <v>4</v>
      </c>
      <c r="E164" s="49">
        <f>SUM(E162:E163)</f>
        <v>56</v>
      </c>
      <c r="F164" s="49">
        <f>SUM(F162:F163)</f>
        <v>60</v>
      </c>
      <c r="G164" s="25"/>
      <c r="H164" s="25"/>
    </row>
    <row r="165" spans="1:8" x14ac:dyDescent="0.35">
      <c r="A165" s="25">
        <v>16</v>
      </c>
      <c r="B165" s="25" t="s">
        <v>394</v>
      </c>
      <c r="C165" s="25"/>
      <c r="D165" s="25"/>
      <c r="E165" s="25"/>
      <c r="F165" s="25"/>
      <c r="G165" s="25"/>
      <c r="H165" s="25"/>
    </row>
    <row r="166" spans="1:8" x14ac:dyDescent="0.35">
      <c r="A166" s="25"/>
      <c r="B166" s="25"/>
      <c r="C166" s="25" t="s">
        <v>378</v>
      </c>
      <c r="D166" s="25">
        <v>4</v>
      </c>
      <c r="E166" s="25">
        <v>54</v>
      </c>
      <c r="F166" s="25">
        <f>SUM(D166:E166)</f>
        <v>58</v>
      </c>
      <c r="G166" s="25">
        <f>((-D166/F166)*IMLOG2(D166/F166)+(-E166/F166)*IMLOG2(E166/F166))</f>
        <v>0.36205125173399821</v>
      </c>
      <c r="H166" s="25">
        <f>F168-((F166/12)*G166)-((F167/12)*G167)</f>
        <v>58.25008561661901</v>
      </c>
    </row>
    <row r="167" spans="1:8" x14ac:dyDescent="0.35">
      <c r="A167" s="25"/>
      <c r="B167" s="25"/>
      <c r="C167" s="25" t="s">
        <v>379</v>
      </c>
      <c r="D167" s="25">
        <v>0</v>
      </c>
      <c r="E167" s="25">
        <v>2</v>
      </c>
      <c r="F167" s="25">
        <f>SUM(D167:E167)</f>
        <v>2</v>
      </c>
      <c r="G167" s="25">
        <v>0</v>
      </c>
      <c r="H167" s="25"/>
    </row>
    <row r="168" spans="1:8" x14ac:dyDescent="0.35">
      <c r="A168" s="25"/>
      <c r="B168" s="25"/>
      <c r="C168" s="25"/>
      <c r="D168" s="49">
        <f>SUM(D166:D167)</f>
        <v>4</v>
      </c>
      <c r="E168" s="49">
        <f>SUM(E166:E167)</f>
        <v>56</v>
      </c>
      <c r="F168" s="49">
        <f>SUM(F166:F167)</f>
        <v>60</v>
      </c>
      <c r="G168" s="25"/>
      <c r="H168" s="25"/>
    </row>
    <row r="169" spans="1:8" x14ac:dyDescent="0.35">
      <c r="A169" s="25">
        <v>17</v>
      </c>
      <c r="B169" s="25" t="s">
        <v>395</v>
      </c>
      <c r="C169" s="25"/>
      <c r="D169" s="25"/>
      <c r="E169" s="25"/>
      <c r="F169" s="25"/>
      <c r="G169" s="25"/>
      <c r="H169" s="25"/>
    </row>
    <row r="170" spans="1:8" x14ac:dyDescent="0.35">
      <c r="A170" s="25"/>
      <c r="B170" s="25"/>
      <c r="C170" s="25" t="s">
        <v>378</v>
      </c>
      <c r="D170" s="25">
        <v>0</v>
      </c>
      <c r="E170" s="25">
        <v>1</v>
      </c>
      <c r="F170" s="25">
        <f>SUM(D170:E170)</f>
        <v>1</v>
      </c>
      <c r="G170" s="25">
        <v>0</v>
      </c>
      <c r="H170" s="25">
        <f>F172-((F170/12)*G170)-((F171/12)*G171)</f>
        <v>58.241570360958967</v>
      </c>
    </row>
    <row r="171" spans="1:8" x14ac:dyDescent="0.35">
      <c r="A171" s="25"/>
      <c r="B171" s="25"/>
      <c r="C171" s="25" t="s">
        <v>379</v>
      </c>
      <c r="D171" s="25">
        <v>4</v>
      </c>
      <c r="E171" s="25">
        <v>55</v>
      </c>
      <c r="F171" s="25">
        <f>SUM(D171:E171)</f>
        <v>59</v>
      </c>
      <c r="G171" s="25">
        <f>((-D171/F171)*IMLOG2(D171/F171)+(-E171/F171)*IMLOG2(E171/F171))</f>
        <v>0.35764670624563338</v>
      </c>
      <c r="H171" s="25"/>
    </row>
    <row r="172" spans="1:8" x14ac:dyDescent="0.35">
      <c r="A172" s="25"/>
      <c r="B172" s="25"/>
      <c r="C172" s="47"/>
      <c r="D172" s="49">
        <f>SUM(D170:D171)</f>
        <v>4</v>
      </c>
      <c r="E172" s="49">
        <f>SUM(E170:E171)</f>
        <v>56</v>
      </c>
      <c r="F172" s="49">
        <f>SUM(F170:F171)</f>
        <v>60</v>
      </c>
      <c r="G172" s="25"/>
      <c r="H172" s="25"/>
    </row>
    <row r="173" spans="1:8" x14ac:dyDescent="0.35">
      <c r="A173" s="25">
        <v>18</v>
      </c>
      <c r="B173" s="25" t="s">
        <v>396</v>
      </c>
      <c r="C173" s="25"/>
      <c r="D173" s="25"/>
      <c r="E173" s="25"/>
      <c r="F173" s="25"/>
      <c r="G173" s="25"/>
      <c r="H173" s="25"/>
    </row>
    <row r="174" spans="1:8" x14ac:dyDescent="0.35">
      <c r="A174" s="25"/>
      <c r="B174" s="25"/>
      <c r="C174" s="25" t="s">
        <v>378</v>
      </c>
      <c r="D174" s="25">
        <v>0</v>
      </c>
      <c r="E174" s="25">
        <v>9</v>
      </c>
      <c r="F174" s="25">
        <f>SUM(D174:E174)</f>
        <v>9</v>
      </c>
      <c r="G174" s="25">
        <v>0</v>
      </c>
      <c r="H174" s="25">
        <f t="shared" ref="H174" si="1">F176-((F174/12)*G174)-((F175/12)*G175)</f>
        <v>58.314331965691892</v>
      </c>
    </row>
    <row r="175" spans="1:8" x14ac:dyDescent="0.35">
      <c r="A175" s="25"/>
      <c r="B175" s="25"/>
      <c r="C175" s="25" t="s">
        <v>379</v>
      </c>
      <c r="D175" s="25">
        <v>4</v>
      </c>
      <c r="E175" s="25">
        <v>47</v>
      </c>
      <c r="F175" s="25">
        <f>SUM(D175:E175)</f>
        <v>51</v>
      </c>
      <c r="G175" s="25">
        <f t="shared" ref="G174:G175" si="2">((-D175/F175)*IMLOG2(D175/F175)+(-E175/F175)*IMLOG2(E175/F175))</f>
        <v>0.39662777277837891</v>
      </c>
      <c r="H175" s="25"/>
    </row>
    <row r="176" spans="1:8" x14ac:dyDescent="0.35">
      <c r="A176" s="25"/>
      <c r="B176" s="25"/>
      <c r="C176" s="47"/>
      <c r="D176" s="49">
        <f>SUM(D174:D175)</f>
        <v>4</v>
      </c>
      <c r="E176" s="49">
        <f>SUM(E174:E175)</f>
        <v>56</v>
      </c>
      <c r="F176" s="49">
        <f>SUM(F174:F175)</f>
        <v>60</v>
      </c>
      <c r="G176" s="25"/>
      <c r="H176" s="25"/>
    </row>
    <row r="177" spans="1:8" x14ac:dyDescent="0.35">
      <c r="A177" s="25">
        <v>19</v>
      </c>
      <c r="B177" s="25" t="s">
        <v>397</v>
      </c>
      <c r="C177" s="25"/>
      <c r="D177" s="25"/>
      <c r="E177" s="25"/>
      <c r="F177" s="25"/>
      <c r="G177" s="25"/>
      <c r="H177" s="25"/>
    </row>
    <row r="178" spans="1:8" x14ac:dyDescent="0.35">
      <c r="A178" s="25"/>
      <c r="B178" s="25"/>
      <c r="C178" s="25" t="s">
        <v>378</v>
      </c>
      <c r="D178" s="25">
        <v>0</v>
      </c>
      <c r="E178" s="25">
        <v>1</v>
      </c>
      <c r="F178" s="25">
        <f>SUM(D178:E178)</f>
        <v>1</v>
      </c>
      <c r="G178" s="25">
        <v>0</v>
      </c>
      <c r="H178" s="25">
        <f>F180-((F178/12)*G178)-((F179/12)*G179)</f>
        <v>58.241570360958967</v>
      </c>
    </row>
    <row r="179" spans="1:8" x14ac:dyDescent="0.35">
      <c r="A179" s="25"/>
      <c r="B179" s="25"/>
      <c r="C179" s="25" t="s">
        <v>379</v>
      </c>
      <c r="D179" s="25">
        <v>4</v>
      </c>
      <c r="E179" s="25">
        <v>55</v>
      </c>
      <c r="F179" s="25">
        <f>SUM(D179:E179)</f>
        <v>59</v>
      </c>
      <c r="G179" s="25">
        <f>((-D179/F179)*IMLOG2(D179/F179)+(-E179/F179)*IMLOG2(E179/F179))</f>
        <v>0.35764670624563338</v>
      </c>
      <c r="H179" s="25"/>
    </row>
    <row r="180" spans="1:8" x14ac:dyDescent="0.35">
      <c r="A180" s="25"/>
      <c r="B180" s="25"/>
      <c r="C180" s="47"/>
      <c r="D180" s="49">
        <f>SUM(D178:D179)</f>
        <v>4</v>
      </c>
      <c r="E180" s="49">
        <f>SUM(E178:E179)</f>
        <v>56</v>
      </c>
      <c r="F180" s="49">
        <f>SUM(F178:F179)</f>
        <v>60</v>
      </c>
      <c r="G180" s="25"/>
      <c r="H180" s="25"/>
    </row>
    <row r="181" spans="1:8" x14ac:dyDescent="0.35">
      <c r="A181" s="25">
        <v>20</v>
      </c>
      <c r="B181" s="25" t="s">
        <v>398</v>
      </c>
      <c r="C181" s="25"/>
      <c r="D181" s="25"/>
      <c r="E181" s="25"/>
      <c r="F181" s="25"/>
      <c r="G181" s="25"/>
      <c r="H181" s="25"/>
    </row>
    <row r="182" spans="1:8" x14ac:dyDescent="0.35">
      <c r="A182" s="25"/>
      <c r="B182" s="25"/>
      <c r="C182" s="25" t="s">
        <v>378</v>
      </c>
      <c r="D182" s="25">
        <v>0</v>
      </c>
      <c r="E182" s="25">
        <v>0</v>
      </c>
      <c r="F182" s="25">
        <f>SUM(D182:E182)</f>
        <v>0</v>
      </c>
      <c r="G182" s="25">
        <v>0</v>
      </c>
      <c r="H182" s="25">
        <f>F184-((F182/12)*G182)-((F183/12)*G183)</f>
        <v>58.233203324892891</v>
      </c>
    </row>
    <row r="183" spans="1:8" x14ac:dyDescent="0.35">
      <c r="A183" s="25"/>
      <c r="B183" s="25"/>
      <c r="C183" s="25" t="s">
        <v>379</v>
      </c>
      <c r="D183" s="25">
        <v>4</v>
      </c>
      <c r="E183" s="25">
        <v>56</v>
      </c>
      <c r="F183" s="25">
        <f>SUM(D183:E183)</f>
        <v>60</v>
      </c>
      <c r="G183" s="25">
        <f>((-D183/F183)*IMLOG2(D183/F183)+(-E183/F183)*IMLOG2(E183/F183))</f>
        <v>0.35335933502142142</v>
      </c>
      <c r="H183" s="25"/>
    </row>
    <row r="184" spans="1:8" x14ac:dyDescent="0.35">
      <c r="A184" s="25"/>
      <c r="B184" s="25"/>
      <c r="C184" s="47"/>
      <c r="D184" s="49">
        <f>SUM(D182:D183)</f>
        <v>4</v>
      </c>
      <c r="E184" s="49">
        <f>SUM(E182:E183)</f>
        <v>56</v>
      </c>
      <c r="F184" s="49">
        <f>SUM(F182:F183)</f>
        <v>60</v>
      </c>
      <c r="G184" s="25"/>
      <c r="H184" s="25"/>
    </row>
    <row r="185" spans="1:8" x14ac:dyDescent="0.35">
      <c r="A185" s="25">
        <v>21</v>
      </c>
      <c r="B185" s="25" t="s">
        <v>399</v>
      </c>
      <c r="C185" s="25"/>
      <c r="D185" s="25"/>
      <c r="E185" s="25"/>
      <c r="F185" s="25"/>
      <c r="G185" s="25"/>
      <c r="H185" s="25"/>
    </row>
    <row r="186" spans="1:8" x14ac:dyDescent="0.35">
      <c r="A186" s="25"/>
      <c r="B186" s="25"/>
      <c r="C186" s="25" t="s">
        <v>378</v>
      </c>
      <c r="D186" s="25">
        <v>0</v>
      </c>
      <c r="E186" s="25">
        <v>0</v>
      </c>
      <c r="F186" s="25">
        <f>SUM(D186:E186)</f>
        <v>0</v>
      </c>
      <c r="G186" s="25">
        <v>0</v>
      </c>
      <c r="H186" s="25">
        <f>F188-((F186/12)*G186)-((F187/12)*G187)</f>
        <v>58.233203324892891</v>
      </c>
    </row>
    <row r="187" spans="1:8" x14ac:dyDescent="0.35">
      <c r="A187" s="25"/>
      <c r="B187" s="25"/>
      <c r="C187" s="25" t="s">
        <v>379</v>
      </c>
      <c r="D187" s="25">
        <v>4</v>
      </c>
      <c r="E187" s="25">
        <v>56</v>
      </c>
      <c r="F187" s="25">
        <f>SUM(D187:E187)</f>
        <v>60</v>
      </c>
      <c r="G187" s="25">
        <f>((-D187/F187)*IMLOG2(D187/F187)+(-E187/F187)*IMLOG2(E187/F187))</f>
        <v>0.35335933502142142</v>
      </c>
      <c r="H187" s="25"/>
    </row>
    <row r="188" spans="1:8" x14ac:dyDescent="0.35">
      <c r="A188" s="25"/>
      <c r="B188" s="25"/>
      <c r="C188" s="47"/>
      <c r="D188" s="49">
        <f>SUM(D186:D187)</f>
        <v>4</v>
      </c>
      <c r="E188" s="49">
        <f>SUM(E186:E187)</f>
        <v>56</v>
      </c>
      <c r="F188" s="49">
        <f>SUM(F186:F187)</f>
        <v>60</v>
      </c>
      <c r="G188" s="25"/>
      <c r="H188" s="25"/>
    </row>
    <row r="189" spans="1:8" x14ac:dyDescent="0.35">
      <c r="A189" s="25">
        <v>22</v>
      </c>
      <c r="B189" s="25" t="s">
        <v>400</v>
      </c>
      <c r="C189" s="25"/>
      <c r="D189" s="25"/>
      <c r="E189" s="25"/>
      <c r="F189" s="25"/>
      <c r="G189" s="25"/>
      <c r="H189" s="25"/>
    </row>
    <row r="190" spans="1:8" x14ac:dyDescent="0.35">
      <c r="A190" s="25"/>
      <c r="B190" s="25"/>
      <c r="C190" s="25" t="s">
        <v>378</v>
      </c>
      <c r="D190" s="25">
        <v>4</v>
      </c>
      <c r="E190" s="25">
        <v>49</v>
      </c>
      <c r="F190" s="25">
        <f>SUM(D190:E190)</f>
        <v>53</v>
      </c>
      <c r="G190" s="25">
        <f>((-D190/F190)*IMLOG2(D190/F190)+(-E190/F190)*IMLOG2(E190/F190))</f>
        <v>0.38601890056989357</v>
      </c>
      <c r="H190" s="25">
        <f>F192-((F190/12)*G190)-((F191/12)*G191)</f>
        <v>58.295083189149636</v>
      </c>
    </row>
    <row r="191" spans="1:8" x14ac:dyDescent="0.35">
      <c r="A191" s="25"/>
      <c r="B191" s="25"/>
      <c r="C191" s="25" t="s">
        <v>379</v>
      </c>
      <c r="D191" s="25">
        <v>0</v>
      </c>
      <c r="E191" s="25">
        <v>7</v>
      </c>
      <c r="F191" s="25">
        <f>SUM(D191:E191)</f>
        <v>7</v>
      </c>
      <c r="G191" s="25">
        <v>0</v>
      </c>
      <c r="H191" s="25"/>
    </row>
    <row r="192" spans="1:8" x14ac:dyDescent="0.35">
      <c r="A192" s="25"/>
      <c r="B192" s="25"/>
      <c r="C192" s="25"/>
      <c r="D192" s="49">
        <f>SUM(D190:D191)</f>
        <v>4</v>
      </c>
      <c r="E192" s="49">
        <f>SUM(E190:E191)</f>
        <v>56</v>
      </c>
      <c r="F192" s="49">
        <f>SUM(F190:F191)</f>
        <v>60</v>
      </c>
      <c r="G192" s="25"/>
      <c r="H192" s="25"/>
    </row>
    <row r="193" spans="1:8" x14ac:dyDescent="0.35">
      <c r="A193" s="25">
        <v>23</v>
      </c>
      <c r="B193" s="25" t="s">
        <v>401</v>
      </c>
      <c r="C193" s="25"/>
      <c r="D193" s="25"/>
      <c r="E193" s="25"/>
      <c r="F193" s="25"/>
      <c r="G193" s="25"/>
      <c r="H193" s="25"/>
    </row>
    <row r="194" spans="1:8" x14ac:dyDescent="0.35">
      <c r="A194" s="25"/>
      <c r="B194" s="25"/>
      <c r="C194" s="25" t="s">
        <v>378</v>
      </c>
      <c r="D194" s="25">
        <v>0</v>
      </c>
      <c r="E194" s="25">
        <v>0</v>
      </c>
      <c r="F194" s="25">
        <f>SUM(D194:E194)</f>
        <v>0</v>
      </c>
      <c r="G194" s="25">
        <v>0</v>
      </c>
      <c r="H194" s="25">
        <f>F196-((F194/12)*G194)-((F195/12)*G195)</f>
        <v>58.233203324892891</v>
      </c>
    </row>
    <row r="195" spans="1:8" x14ac:dyDescent="0.35">
      <c r="A195" s="25"/>
      <c r="B195" s="25"/>
      <c r="C195" s="25" t="s">
        <v>379</v>
      </c>
      <c r="D195" s="25">
        <v>4</v>
      </c>
      <c r="E195" s="25">
        <v>56</v>
      </c>
      <c r="F195" s="25">
        <f>SUM(D195:E195)</f>
        <v>60</v>
      </c>
      <c r="G195" s="25">
        <f>((-D195/F195)*IMLOG2(D195/F195)+(-E195/F195)*IMLOG2(E195/F195))</f>
        <v>0.35335933502142142</v>
      </c>
      <c r="H195" s="25"/>
    </row>
    <row r="196" spans="1:8" x14ac:dyDescent="0.35">
      <c r="A196" s="25"/>
      <c r="B196" s="25"/>
      <c r="C196" s="47"/>
      <c r="D196" s="49">
        <f>SUM(D194:D195)</f>
        <v>4</v>
      </c>
      <c r="E196" s="49">
        <f>SUM(E194:E195)</f>
        <v>56</v>
      </c>
      <c r="F196" s="49">
        <f>SUM(F194:F195)</f>
        <v>60</v>
      </c>
      <c r="G196" s="25"/>
      <c r="H196" s="25"/>
    </row>
    <row r="197" spans="1:8" x14ac:dyDescent="0.35">
      <c r="A197" s="25">
        <v>24</v>
      </c>
      <c r="B197" s="25" t="s">
        <v>402</v>
      </c>
      <c r="C197" s="25"/>
      <c r="D197" s="25"/>
      <c r="E197" s="25"/>
      <c r="F197" s="25"/>
      <c r="G197" s="25"/>
      <c r="H197" s="25"/>
    </row>
    <row r="198" spans="1:8" x14ac:dyDescent="0.35">
      <c r="A198" s="25"/>
      <c r="B198" s="25"/>
      <c r="C198" s="25" t="s">
        <v>378</v>
      </c>
      <c r="D198" s="25">
        <v>0</v>
      </c>
      <c r="E198" s="25">
        <v>0</v>
      </c>
      <c r="F198" s="25">
        <f>SUM(D198:E198)</f>
        <v>0</v>
      </c>
      <c r="G198" s="25">
        <v>0</v>
      </c>
      <c r="H198" s="25">
        <f>F200-((F198/12)*G198)-((F199/12)*G199)</f>
        <v>58.233203324892891</v>
      </c>
    </row>
    <row r="199" spans="1:8" x14ac:dyDescent="0.35">
      <c r="A199" s="25"/>
      <c r="B199" s="25"/>
      <c r="C199" s="25" t="s">
        <v>379</v>
      </c>
      <c r="D199" s="25">
        <v>4</v>
      </c>
      <c r="E199" s="25">
        <v>56</v>
      </c>
      <c r="F199" s="25">
        <f>SUM(D199:E199)</f>
        <v>60</v>
      </c>
      <c r="G199" s="25">
        <f>((-D199/F199)*IMLOG2(D199/F199)+(-E199/F199)*IMLOG2(E199/F199))</f>
        <v>0.35335933502142142</v>
      </c>
      <c r="H199" s="25"/>
    </row>
    <row r="200" spans="1:8" x14ac:dyDescent="0.35">
      <c r="A200" s="25"/>
      <c r="B200" s="25"/>
      <c r="C200" s="47"/>
      <c r="D200" s="49">
        <f>SUM(D198:D199)</f>
        <v>4</v>
      </c>
      <c r="E200" s="49">
        <f>SUM(E198:E199)</f>
        <v>56</v>
      </c>
      <c r="F200" s="49">
        <f>SUM(F198:F199)</f>
        <v>60</v>
      </c>
      <c r="G200" s="25"/>
      <c r="H200" s="25"/>
    </row>
    <row r="201" spans="1:8" x14ac:dyDescent="0.35">
      <c r="A201" s="25">
        <v>25</v>
      </c>
      <c r="B201" s="25" t="s">
        <v>403</v>
      </c>
      <c r="C201" s="25"/>
      <c r="D201" s="25"/>
      <c r="E201" s="25"/>
      <c r="F201" s="25"/>
      <c r="G201" s="25"/>
      <c r="H201" s="25"/>
    </row>
    <row r="202" spans="1:8" x14ac:dyDescent="0.35">
      <c r="A202" s="25"/>
      <c r="B202" s="25"/>
      <c r="C202" s="25" t="s">
        <v>378</v>
      </c>
      <c r="D202" s="25">
        <v>0</v>
      </c>
      <c r="E202" s="25">
        <v>5</v>
      </c>
      <c r="F202" s="25">
        <f>SUM(D202:E202)</f>
        <v>5</v>
      </c>
      <c r="G202" s="25">
        <v>0</v>
      </c>
      <c r="H202" s="25">
        <f>F204-((F202/12)*G202)-((F203/12)*G203)</f>
        <v>58.276575683057501</v>
      </c>
    </row>
    <row r="203" spans="1:8" x14ac:dyDescent="0.35">
      <c r="A203" s="25"/>
      <c r="B203" s="25"/>
      <c r="C203" s="25" t="s">
        <v>379</v>
      </c>
      <c r="D203" s="25">
        <v>4</v>
      </c>
      <c r="E203" s="25">
        <v>51</v>
      </c>
      <c r="F203" s="25">
        <f>SUM(D203:E203)</f>
        <v>55</v>
      </c>
      <c r="G203" s="25">
        <f>((-D203/F203)*IMLOG2(D203/F203)+(-E203/F203)*IMLOG2(E203/F203))</f>
        <v>0.37601985096927276</v>
      </c>
      <c r="H203" s="25"/>
    </row>
    <row r="204" spans="1:8" x14ac:dyDescent="0.35">
      <c r="A204" s="25"/>
      <c r="B204" s="25"/>
      <c r="C204" s="47"/>
      <c r="D204" s="49">
        <f>SUM(D202:D203)</f>
        <v>4</v>
      </c>
      <c r="E204" s="49">
        <f>SUM(E202:E203)</f>
        <v>56</v>
      </c>
      <c r="F204" s="49">
        <f>SUM(F202:F203)</f>
        <v>60</v>
      </c>
      <c r="G204" s="25"/>
      <c r="H204" s="25"/>
    </row>
    <row r="205" spans="1:8" x14ac:dyDescent="0.35">
      <c r="A205" s="25">
        <v>26</v>
      </c>
      <c r="B205" s="25" t="s">
        <v>404</v>
      </c>
      <c r="C205" s="25"/>
      <c r="D205" s="25"/>
      <c r="E205" s="25"/>
      <c r="F205" s="25"/>
      <c r="G205" s="25"/>
      <c r="H205" s="25"/>
    </row>
    <row r="206" spans="1:8" x14ac:dyDescent="0.35">
      <c r="A206" s="25"/>
      <c r="B206" s="25"/>
      <c r="C206" s="25" t="s">
        <v>378</v>
      </c>
      <c r="D206" s="25">
        <v>4</v>
      </c>
      <c r="E206" s="25">
        <v>31</v>
      </c>
      <c r="F206" s="25">
        <f>SUM(D206:E206)</f>
        <v>35</v>
      </c>
      <c r="G206" s="25">
        <f>((-D206/F206)*IMLOG2(D206/F206)+(-E206/F206)*IMLOG2(E206/F206))</f>
        <v>0.51270914203087714</v>
      </c>
      <c r="H206" s="25">
        <f>F208-((F206/12)*G206)-((F207/12)*G207)</f>
        <v>58.504598335743275</v>
      </c>
    </row>
    <row r="207" spans="1:8" x14ac:dyDescent="0.35">
      <c r="A207" s="25"/>
      <c r="B207" s="25"/>
      <c r="C207" s="25" t="s">
        <v>379</v>
      </c>
      <c r="D207" s="25">
        <v>0</v>
      </c>
      <c r="E207" s="25">
        <v>25</v>
      </c>
      <c r="F207" s="25">
        <f>SUM(D207:E207)</f>
        <v>25</v>
      </c>
      <c r="G207" s="25">
        <v>0</v>
      </c>
      <c r="H207" s="25"/>
    </row>
    <row r="208" spans="1:8" x14ac:dyDescent="0.35">
      <c r="A208" s="25"/>
      <c r="B208" s="25"/>
      <c r="C208" s="47"/>
      <c r="D208" s="49">
        <f>SUM(D206:D207)</f>
        <v>4</v>
      </c>
      <c r="E208" s="49">
        <f>SUM(E206:E207)</f>
        <v>56</v>
      </c>
      <c r="F208" s="49">
        <f>SUM(F206:F207)</f>
        <v>60</v>
      </c>
      <c r="G208" s="25"/>
      <c r="H208" s="25"/>
    </row>
    <row r="209" spans="1:8" x14ac:dyDescent="0.35">
      <c r="A209" s="25">
        <v>27</v>
      </c>
      <c r="B209" s="25" t="s">
        <v>405</v>
      </c>
      <c r="C209" s="25"/>
      <c r="D209" s="25"/>
      <c r="E209" s="25"/>
      <c r="F209" s="25"/>
      <c r="G209" s="25"/>
      <c r="H209" s="25"/>
    </row>
    <row r="210" spans="1:8" x14ac:dyDescent="0.35">
      <c r="A210" s="25"/>
      <c r="B210" s="25"/>
      <c r="C210" s="25" t="s">
        <v>378</v>
      </c>
      <c r="D210" s="25">
        <v>0</v>
      </c>
      <c r="E210" s="25">
        <v>0</v>
      </c>
      <c r="F210" s="25">
        <f>SUM(D210:E210)</f>
        <v>0</v>
      </c>
      <c r="G210" s="25">
        <v>0</v>
      </c>
      <c r="H210" s="25">
        <f>F212-((F210/12)*G210)-((F211/12)*G211)</f>
        <v>58.233203324892891</v>
      </c>
    </row>
    <row r="211" spans="1:8" x14ac:dyDescent="0.35">
      <c r="A211" s="25"/>
      <c r="B211" s="25"/>
      <c r="C211" s="25" t="s">
        <v>379</v>
      </c>
      <c r="D211" s="25">
        <v>4</v>
      </c>
      <c r="E211" s="25">
        <v>56</v>
      </c>
      <c r="F211" s="25">
        <f>SUM(D211:E211)</f>
        <v>60</v>
      </c>
      <c r="G211" s="25">
        <f>((-D211/F211)*IMLOG2(D211/F211)+(-E211/F211)*IMLOG2(E211/F211))</f>
        <v>0.35335933502142142</v>
      </c>
      <c r="H211" s="25"/>
    </row>
    <row r="212" spans="1:8" x14ac:dyDescent="0.35">
      <c r="A212" s="25"/>
      <c r="B212" s="25"/>
      <c r="C212" s="47"/>
      <c r="D212" s="49">
        <f>SUM(D210:D211)</f>
        <v>4</v>
      </c>
      <c r="E212" s="49">
        <f>SUM(E210:E211)</f>
        <v>56</v>
      </c>
      <c r="F212" s="49">
        <f>SUM(F210:F211)</f>
        <v>60</v>
      </c>
      <c r="G212" s="25"/>
      <c r="H212" s="25"/>
    </row>
    <row r="213" spans="1:8" x14ac:dyDescent="0.35">
      <c r="A213" s="25">
        <v>28</v>
      </c>
      <c r="B213" s="25" t="s">
        <v>406</v>
      </c>
      <c r="C213" s="25"/>
      <c r="D213" s="25"/>
      <c r="E213" s="25"/>
      <c r="F213" s="25"/>
      <c r="G213" s="25"/>
      <c r="H213" s="25"/>
    </row>
    <row r="214" spans="1:8" x14ac:dyDescent="0.35">
      <c r="A214" s="25"/>
      <c r="B214" s="25"/>
      <c r="C214" s="25" t="s">
        <v>378</v>
      </c>
      <c r="D214" s="25">
        <v>0</v>
      </c>
      <c r="E214" s="25">
        <v>0</v>
      </c>
      <c r="F214" s="25">
        <f>SUM(D214:E214)</f>
        <v>0</v>
      </c>
      <c r="G214" s="25">
        <v>0</v>
      </c>
      <c r="H214" s="25">
        <f>F216-((F214/12)*G214)-((F215/12)*G215)</f>
        <v>58.233203324892891</v>
      </c>
    </row>
    <row r="215" spans="1:8" x14ac:dyDescent="0.35">
      <c r="A215" s="25"/>
      <c r="B215" s="25"/>
      <c r="C215" s="25" t="s">
        <v>379</v>
      </c>
      <c r="D215" s="25">
        <v>4</v>
      </c>
      <c r="E215" s="25">
        <v>56</v>
      </c>
      <c r="F215" s="25">
        <f>SUM(D215:E215)</f>
        <v>60</v>
      </c>
      <c r="G215" s="25">
        <f>((-D215/F215)*IMLOG2(D215/F215)+(-E215/F215)*IMLOG2(E215/F215))</f>
        <v>0.35335933502142142</v>
      </c>
      <c r="H215" s="25"/>
    </row>
    <row r="216" spans="1:8" x14ac:dyDescent="0.35">
      <c r="A216" s="25"/>
      <c r="B216" s="25"/>
      <c r="C216" s="47"/>
      <c r="D216" s="49">
        <f>SUM(D214:D215)</f>
        <v>4</v>
      </c>
      <c r="E216" s="49">
        <f>SUM(E214:E215)</f>
        <v>56</v>
      </c>
      <c r="F216" s="49">
        <f>SUM(F214:F215)</f>
        <v>60</v>
      </c>
      <c r="G216" s="25"/>
      <c r="H216" s="25"/>
    </row>
    <row r="217" spans="1:8" x14ac:dyDescent="0.35">
      <c r="A217" s="25">
        <v>29</v>
      </c>
      <c r="B217" s="25" t="s">
        <v>407</v>
      </c>
      <c r="C217" s="25"/>
      <c r="D217" s="25"/>
      <c r="E217" s="25"/>
      <c r="F217" s="25"/>
      <c r="G217" s="25"/>
      <c r="H217" s="25"/>
    </row>
    <row r="218" spans="1:8" x14ac:dyDescent="0.35">
      <c r="A218" s="25"/>
      <c r="B218" s="25"/>
      <c r="C218" s="25" t="s">
        <v>378</v>
      </c>
      <c r="D218" s="25">
        <v>0</v>
      </c>
      <c r="E218" s="25">
        <v>0</v>
      </c>
      <c r="F218" s="25">
        <f>SUM(D218:E218)</f>
        <v>0</v>
      </c>
      <c r="G218" s="25">
        <v>0</v>
      </c>
      <c r="H218" s="25">
        <f>F220-((F218/12)*G218)-((F219/12)*G219)</f>
        <v>58.233203324892891</v>
      </c>
    </row>
    <row r="219" spans="1:8" x14ac:dyDescent="0.35">
      <c r="A219" s="25"/>
      <c r="B219" s="25"/>
      <c r="C219" s="25" t="s">
        <v>379</v>
      </c>
      <c r="D219" s="25">
        <v>4</v>
      </c>
      <c r="E219" s="25">
        <v>56</v>
      </c>
      <c r="F219" s="25">
        <f>SUM(D219:E219)</f>
        <v>60</v>
      </c>
      <c r="G219" s="25">
        <f>((-D219/F219)*IMLOG2(D219/F219)+(-E219/F219)*IMLOG2(E219/F219))</f>
        <v>0.35335933502142142</v>
      </c>
      <c r="H219" s="25"/>
    </row>
    <row r="220" spans="1:8" x14ac:dyDescent="0.35">
      <c r="A220" s="25"/>
      <c r="B220" s="25"/>
      <c r="C220" s="47"/>
      <c r="D220" s="49">
        <f>SUM(D218:D219)</f>
        <v>4</v>
      </c>
      <c r="E220" s="49">
        <f>SUM(E218:E219)</f>
        <v>56</v>
      </c>
      <c r="F220" s="49">
        <f>SUM(F218:F219)</f>
        <v>60</v>
      </c>
      <c r="G220" s="25"/>
      <c r="H220" s="25"/>
    </row>
    <row r="221" spans="1:8" x14ac:dyDescent="0.35">
      <c r="A221" s="25">
        <v>30</v>
      </c>
      <c r="B221" s="25" t="s">
        <v>408</v>
      </c>
      <c r="C221" s="25"/>
      <c r="D221" s="25"/>
      <c r="E221" s="25"/>
      <c r="F221" s="25"/>
      <c r="G221" s="25"/>
      <c r="H221" s="25"/>
    </row>
    <row r="222" spans="1:8" x14ac:dyDescent="0.35">
      <c r="A222" s="25"/>
      <c r="B222" s="25"/>
      <c r="C222" s="25" t="s">
        <v>378</v>
      </c>
      <c r="D222" s="25">
        <v>0</v>
      </c>
      <c r="E222" s="25">
        <v>0</v>
      </c>
      <c r="F222" s="25">
        <f>SUM(D222:E222)</f>
        <v>0</v>
      </c>
      <c r="G222" s="25">
        <v>0</v>
      </c>
      <c r="H222" s="25">
        <f>F224-((F222/12)*G222)-((F223/12)*G223)</f>
        <v>58.233203324892891</v>
      </c>
    </row>
    <row r="223" spans="1:8" x14ac:dyDescent="0.35">
      <c r="A223" s="25"/>
      <c r="B223" s="25"/>
      <c r="C223" s="25" t="s">
        <v>379</v>
      </c>
      <c r="D223" s="25">
        <v>4</v>
      </c>
      <c r="E223" s="25">
        <v>56</v>
      </c>
      <c r="F223" s="25">
        <f>SUM(D223:E223)</f>
        <v>60</v>
      </c>
      <c r="G223" s="25">
        <f>((-D223/F223)*IMLOG2(D223/F223)+(-E223/F223)*IMLOG2(E223/F223))</f>
        <v>0.35335933502142142</v>
      </c>
      <c r="H223" s="25"/>
    </row>
    <row r="224" spans="1:8" x14ac:dyDescent="0.35">
      <c r="A224" s="25"/>
      <c r="B224" s="25"/>
      <c r="C224" s="47"/>
      <c r="D224" s="49">
        <f>SUM(D222:D223)</f>
        <v>4</v>
      </c>
      <c r="E224" s="49">
        <f>SUM(E222:E223)</f>
        <v>56</v>
      </c>
      <c r="F224" s="49">
        <f>SUM(F222:F223)</f>
        <v>60</v>
      </c>
      <c r="G224" s="25"/>
      <c r="H224" s="25"/>
    </row>
    <row r="225" spans="1:8" x14ac:dyDescent="0.35">
      <c r="A225" s="25">
        <v>31</v>
      </c>
      <c r="B225" s="25" t="s">
        <v>409</v>
      </c>
      <c r="C225" s="25"/>
      <c r="D225" s="25"/>
      <c r="E225" s="25"/>
      <c r="F225" s="25"/>
      <c r="G225" s="25"/>
      <c r="H225" s="25"/>
    </row>
    <row r="226" spans="1:8" x14ac:dyDescent="0.35">
      <c r="A226" s="25"/>
      <c r="B226" s="25"/>
      <c r="C226" s="25" t="s">
        <v>378</v>
      </c>
      <c r="D226" s="25">
        <v>0</v>
      </c>
      <c r="E226" s="25">
        <v>3</v>
      </c>
      <c r="F226" s="25">
        <f>SUM(D226:E226)</f>
        <v>3</v>
      </c>
      <c r="G226" s="25">
        <v>0</v>
      </c>
      <c r="H226" s="25">
        <f>F228-((F226/12)*G226)-((F227/12)*G227)</f>
        <v>58.258754440371604</v>
      </c>
    </row>
    <row r="227" spans="1:8" x14ac:dyDescent="0.35">
      <c r="A227" s="25"/>
      <c r="B227" s="25"/>
      <c r="C227" s="25" t="s">
        <v>379</v>
      </c>
      <c r="D227" s="25">
        <v>4</v>
      </c>
      <c r="E227" s="25">
        <v>53</v>
      </c>
      <c r="F227" s="25">
        <f>SUM(D227:E227)</f>
        <v>57</v>
      </c>
      <c r="G227" s="25">
        <f>((-D227/F227)*IMLOG2(D227/F227)+(-E227/F227)*IMLOG2(E227/F227))</f>
        <v>0.36657801255334627</v>
      </c>
      <c r="H227" s="25"/>
    </row>
    <row r="228" spans="1:8" x14ac:dyDescent="0.35">
      <c r="A228" s="25"/>
      <c r="B228" s="25"/>
      <c r="C228" s="47"/>
      <c r="D228" s="49">
        <f>SUM(D226:D227)</f>
        <v>4</v>
      </c>
      <c r="E228" s="49">
        <f>SUM(E226:E227)</f>
        <v>56</v>
      </c>
      <c r="F228" s="49">
        <f>SUM(F226:F227)</f>
        <v>60</v>
      </c>
      <c r="G228" s="25"/>
      <c r="H228" s="25"/>
    </row>
    <row r="229" spans="1:8" x14ac:dyDescent="0.35">
      <c r="A229" s="25">
        <v>32</v>
      </c>
      <c r="B229" s="25" t="s">
        <v>410</v>
      </c>
      <c r="C229" s="25"/>
      <c r="D229" s="25"/>
      <c r="E229" s="25"/>
      <c r="F229" s="25"/>
      <c r="G229" s="25"/>
      <c r="H229" s="25"/>
    </row>
    <row r="230" spans="1:8" x14ac:dyDescent="0.35">
      <c r="A230" s="25"/>
      <c r="B230" s="25"/>
      <c r="C230" s="25" t="s">
        <v>378</v>
      </c>
      <c r="D230" s="25">
        <v>0</v>
      </c>
      <c r="E230" s="25">
        <v>0</v>
      </c>
      <c r="F230" s="25">
        <f>SUM(D230:E230)</f>
        <v>0</v>
      </c>
      <c r="G230" s="25">
        <v>0</v>
      </c>
      <c r="H230" s="25">
        <f>F232-((F230/12)*G230)-((F231/12)*G231)</f>
        <v>58.233203324892891</v>
      </c>
    </row>
    <row r="231" spans="1:8" x14ac:dyDescent="0.35">
      <c r="A231" s="25"/>
      <c r="B231" s="25"/>
      <c r="C231" s="25" t="s">
        <v>379</v>
      </c>
      <c r="D231" s="25">
        <v>4</v>
      </c>
      <c r="E231" s="25">
        <v>56</v>
      </c>
      <c r="F231" s="25">
        <f>SUM(D231:E231)</f>
        <v>60</v>
      </c>
      <c r="G231" s="25">
        <f>((-D231/F231)*IMLOG2(D231/F231)+(-E231/F231)*IMLOG2(E231/F231))</f>
        <v>0.35335933502142142</v>
      </c>
      <c r="H231" s="25"/>
    </row>
    <row r="232" spans="1:8" x14ac:dyDescent="0.35">
      <c r="A232" s="25"/>
      <c r="B232" s="25"/>
      <c r="C232" s="47"/>
      <c r="D232" s="49">
        <f>SUM(D230:D231)</f>
        <v>4</v>
      </c>
      <c r="E232" s="49">
        <f>SUM(E230:E231)</f>
        <v>56</v>
      </c>
      <c r="F232" s="49">
        <f>SUM(F230:F231)</f>
        <v>60</v>
      </c>
      <c r="G232" s="25"/>
      <c r="H232" s="25"/>
    </row>
    <row r="233" spans="1:8" x14ac:dyDescent="0.35">
      <c r="A233" s="25">
        <v>33</v>
      </c>
      <c r="B233" s="25" t="s">
        <v>410</v>
      </c>
      <c r="C233" s="25"/>
      <c r="D233" s="25"/>
      <c r="E233" s="25"/>
      <c r="F233" s="25"/>
      <c r="G233" s="25"/>
      <c r="H233" s="25"/>
    </row>
    <row r="234" spans="1:8" x14ac:dyDescent="0.35">
      <c r="A234" s="25"/>
      <c r="B234" s="25"/>
      <c r="C234" s="25" t="s">
        <v>378</v>
      </c>
      <c r="D234" s="25">
        <v>4</v>
      </c>
      <c r="E234" s="25">
        <v>51</v>
      </c>
      <c r="F234" s="25">
        <f>SUM(D234:E234)</f>
        <v>55</v>
      </c>
      <c r="G234" s="25">
        <f>((-D234/F234)*IMLOG2(D234/F234)+(-E234/F234)*IMLOG2(E234/F234))</f>
        <v>0.37601985096927276</v>
      </c>
      <c r="H234" s="25">
        <f>F236-((F234/12)*G234)-((F235/12)*G235)</f>
        <v>58.276575683057501</v>
      </c>
    </row>
    <row r="235" spans="1:8" x14ac:dyDescent="0.35">
      <c r="A235" s="25"/>
      <c r="B235" s="25"/>
      <c r="C235" s="25" t="s">
        <v>379</v>
      </c>
      <c r="D235" s="25">
        <v>0</v>
      </c>
      <c r="E235" s="25">
        <v>5</v>
      </c>
      <c r="F235" s="25">
        <f>SUM(D235:E235)</f>
        <v>5</v>
      </c>
      <c r="G235" s="25">
        <v>0</v>
      </c>
      <c r="H235" s="25"/>
    </row>
    <row r="236" spans="1:8" x14ac:dyDescent="0.35">
      <c r="A236" s="25"/>
      <c r="B236" s="25"/>
      <c r="C236" s="47"/>
      <c r="D236" s="49">
        <f>SUM(D234:D235)</f>
        <v>4</v>
      </c>
      <c r="E236" s="49">
        <f>SUM(E234:E235)</f>
        <v>56</v>
      </c>
      <c r="F236" s="49">
        <f>SUM(F234:F235)</f>
        <v>60</v>
      </c>
      <c r="G236" s="25"/>
      <c r="H236" s="25"/>
    </row>
  </sheetData>
  <mergeCells count="7">
    <mergeCell ref="Q113:T113"/>
    <mergeCell ref="Q105:U105"/>
    <mergeCell ref="Q107:R108"/>
    <mergeCell ref="S107:T107"/>
    <mergeCell ref="U107:U108"/>
    <mergeCell ref="Q109:Q110"/>
    <mergeCell ref="Q111:R111"/>
  </mergeCells>
  <conditionalFormatting sqref="A2:AG61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JKN</vt:lpstr>
      <vt:lpstr>Jangkaan hasil</vt:lpstr>
      <vt:lpstr>Cleaning</vt:lpstr>
      <vt:lpstr>Normalisasi</vt:lpstr>
      <vt:lpstr>Data Training</vt:lpstr>
      <vt:lpstr>Data Testing</vt:lpstr>
      <vt:lpstr>NBC</vt:lpstr>
      <vt:lpstr>KNN</vt:lpstr>
      <vt:lpstr>C4.5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UMAIRAH RIZKYA GURNING</dc:creator>
  <cp:lastModifiedBy>JULI YANDI RAHMAN</cp:lastModifiedBy>
  <dcterms:created xsi:type="dcterms:W3CDTF">2023-01-05T15:18:57Z</dcterms:created>
  <dcterms:modified xsi:type="dcterms:W3CDTF">2023-05-04T16:37:42Z</dcterms:modified>
</cp:coreProperties>
</file>